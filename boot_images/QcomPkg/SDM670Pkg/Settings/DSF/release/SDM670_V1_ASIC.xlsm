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00000000-0000-0000-0000-000000000000}"/>
  <workbookPr codeName="ThisWorkbook"/>
  <mc:AlternateContent xmlns:mc="http://schemas.openxmlformats.org/markup-compatibility/2006">
    <mc:Choice Requires="x15">
      <x15ac:absPath xmlns:x15ac="http://schemas.microsoft.com/office/spreadsheetml/2010/11/ac" url="Z:\vi_napaliq\users\sve_ddr\SC_01.01.14\vi_ddr\dev\nagarwal_dsf_v029p4_shrm17_release\platform\vi_napaliq\src\DDRSS_SNS_V3\tools\common\target\SDM670\"/>
    </mc:Choice>
  </mc:AlternateContent>
  <xr:revisionPtr revIDLastSave="0" documentId="13_ncr:1_{E327C489-6BDB-433F-BBF9-459500952418}" xr6:coauthVersionLast="28" xr6:coauthVersionMax="28" xr10:uidLastSave="{00000000-0000-0000-0000-000000000000}"/>
  <bookViews>
    <workbookView xWindow="0" yWindow="0" windowWidth="12570" windowHeight="11730" activeTab="5" xr2:uid="{00000000-000D-0000-FFFF-FFFF00000000}"/>
  </bookViews>
  <sheets>
    <sheet name="C" sheetId="1" r:id="rId1"/>
    <sheet name="SCORECARD" sheetId="2" r:id="rId2"/>
    <sheet name="STRUCT" sheetId="3" r:id="rId3"/>
    <sheet name="ALC" sheetId="4" r:id="rId4"/>
    <sheet name="INPUT" sheetId="5" r:id="rId5"/>
    <sheet name="SWCs" sheetId="6" r:id="rId6"/>
    <sheet name="ALCs" sheetId="7" r:id="rId7"/>
    <sheet name="STRUCTb" sheetId="8" r:id="rId8"/>
    <sheet name="STRUCTs" sheetId="9" r:id="rId9"/>
    <sheet name="DCC" sheetId="10" r:id="rId10"/>
    <sheet name="TRAINING" sheetId="11" r:id="rId11"/>
    <sheet name="AUTO" sheetId="12" r:id="rId12"/>
    <sheet name="ENUM" sheetId="13" r:id="rId13"/>
    <sheet name="REL" sheetId="14" r:id="rId14"/>
  </sheets>
  <externalReferences>
    <externalReference r:id="rId15"/>
  </externalReferences>
  <definedNames>
    <definedName name="_xlnm._FilterDatabase" localSheetId="7" hidden="1">STRUCTb!$A$1:$S$153</definedName>
    <definedName name="_xlnm._FilterDatabase" localSheetId="8" hidden="1">STRUCTs!$A$1:$E$671</definedName>
    <definedName name="_xlnm._FilterDatabase" localSheetId="5" hidden="1">SWCs!$A$10:$L$10</definedName>
    <definedName name="ENUM_BOOLEAN" localSheetId="4">[1]ENUM!#REF!</definedName>
    <definedName name="ENUM_BOOLEAN">ENUM!$A$2:$B$3</definedName>
    <definedName name="ENUM_CLK_MODE" localSheetId="4">[1]ENUM!$A$2:$B$4</definedName>
    <definedName name="ENUM_CLK_MODE">ENUM!$A$6:$B$8</definedName>
    <definedName name="ENUM_VOLTAGE_RAIL" localSheetId="4">[1]ENUM!$A$7:$B$17</definedName>
    <definedName name="ENUM_VOLTAGE_RAIL">ENUM!$A$11:$B$21</definedName>
    <definedName name="MC_CLK_MAX">ALC!$C$7</definedName>
    <definedName name="MC_CLK_MIN" localSheetId="4">[1]ALC!$C$6</definedName>
    <definedName name="MC_CLK_MIN">ALC!$C$6</definedName>
    <definedName name="MC_POLICY_COL_ABSR">4</definedName>
    <definedName name="MC_POLICY_COL_CSPD">2</definedName>
    <definedName name="MC_POLICY_COL_IPT">3</definedName>
    <definedName name="MC_POLICY_TABLE" localSheetId="4">[1]ALC!$E$6:$H$9</definedName>
    <definedName name="MC_POLICY_TABLE">ALC!$E$6:$H$9</definedName>
    <definedName name="PMIC_MODE_COL_CX">2</definedName>
    <definedName name="PMIC_MODE_COL_VDD1">8</definedName>
    <definedName name="PMIC_MODE_COL_VDD2">6</definedName>
    <definedName name="PMIC_MODE_COL_VDDA">3</definedName>
    <definedName name="PMIC_MODE_COL_VDDA_LDO_HV">5</definedName>
    <definedName name="PMIC_MODE_COL_VDDA_PLL">4</definedName>
    <definedName name="PMIC_MODE_COL_VDDQ">7</definedName>
    <definedName name="S3_COL_ENTRY">2</definedName>
    <definedName name="S3_COL_EXIT">3</definedName>
    <definedName name="S3_TABLE" localSheetId="4">[1]ALC!$J$6:$L$8</definedName>
    <definedName name="S3_TABLE">ALC!$J$6:$L$8</definedName>
    <definedName name="VOLTAGE_RAIL_TABLE">ENUM!$A$11:$B$21</definedName>
  </definedNames>
  <calcPr calcId="171027"/>
</workbook>
</file>

<file path=xl/calcChain.xml><?xml version="1.0" encoding="utf-8"?>
<calcChain xmlns="http://schemas.openxmlformats.org/spreadsheetml/2006/main">
  <c r="B21" i="13" l="1"/>
  <c r="B20" i="13"/>
  <c r="B19" i="13"/>
  <c r="B18" i="13"/>
  <c r="B17" i="13"/>
  <c r="B16" i="13"/>
  <c r="B15" i="13"/>
  <c r="B14" i="13"/>
  <c r="H7" i="8" s="1"/>
  <c r="B13" i="13"/>
  <c r="B12" i="13"/>
  <c r="B11" i="13"/>
  <c r="B8" i="13"/>
  <c r="H18" i="8" s="1"/>
  <c r="B7" i="13"/>
  <c r="B6" i="13"/>
  <c r="B3" i="13"/>
  <c r="B2" i="13"/>
  <c r="D859" i="9"/>
  <c r="D858" i="9"/>
  <c r="D857" i="9"/>
  <c r="D856" i="9"/>
  <c r="D855" i="9"/>
  <c r="D854" i="9"/>
  <c r="D853" i="9"/>
  <c r="D852" i="9"/>
  <c r="D851" i="9"/>
  <c r="D850" i="9"/>
  <c r="D849" i="9"/>
  <c r="D848" i="9"/>
  <c r="D847" i="9"/>
  <c r="D846" i="9"/>
  <c r="D845" i="9"/>
  <c r="D844" i="9"/>
  <c r="D843" i="9"/>
  <c r="D842" i="9"/>
  <c r="D841" i="9"/>
  <c r="D840" i="9"/>
  <c r="D839" i="9"/>
  <c r="D838" i="9"/>
  <c r="D837" i="9"/>
  <c r="E836" i="9"/>
  <c r="D836" i="9"/>
  <c r="E835" i="9"/>
  <c r="D835" i="9"/>
  <c r="E834" i="9"/>
  <c r="D834" i="9"/>
  <c r="E833" i="9"/>
  <c r="D833" i="9"/>
  <c r="E832" i="9"/>
  <c r="D832" i="9"/>
  <c r="E831" i="9"/>
  <c r="D831" i="9"/>
  <c r="E830" i="9"/>
  <c r="D830" i="9"/>
  <c r="E829" i="9"/>
  <c r="D829" i="9"/>
  <c r="E828" i="9"/>
  <c r="D828" i="9"/>
  <c r="E827" i="9"/>
  <c r="D827" i="9"/>
  <c r="E826" i="9"/>
  <c r="D826" i="9"/>
  <c r="E825" i="9"/>
  <c r="D825" i="9"/>
  <c r="E824" i="9"/>
  <c r="D824" i="9"/>
  <c r="E823" i="9"/>
  <c r="D823" i="9"/>
  <c r="E822" i="9"/>
  <c r="D822" i="9"/>
  <c r="E821" i="9"/>
  <c r="D821" i="9"/>
  <c r="E820" i="9"/>
  <c r="D820" i="9"/>
  <c r="E819" i="9"/>
  <c r="D819" i="9"/>
  <c r="E818" i="9"/>
  <c r="D818" i="9"/>
  <c r="E817" i="9"/>
  <c r="D817" i="9"/>
  <c r="E816" i="9"/>
  <c r="D816" i="9"/>
  <c r="E815" i="9"/>
  <c r="D815" i="9"/>
  <c r="E814" i="9"/>
  <c r="D814" i="9"/>
  <c r="E813" i="9"/>
  <c r="D813" i="9"/>
  <c r="E812" i="9"/>
  <c r="D812" i="9"/>
  <c r="E811" i="9"/>
  <c r="D811" i="9"/>
  <c r="E810" i="9"/>
  <c r="D810" i="9"/>
  <c r="E809" i="9"/>
  <c r="D809" i="9"/>
  <c r="E808" i="9"/>
  <c r="D808" i="9"/>
  <c r="E807" i="9"/>
  <c r="D807" i="9"/>
  <c r="E806" i="9"/>
  <c r="D806" i="9"/>
  <c r="E805" i="9"/>
  <c r="D805" i="9"/>
  <c r="E804" i="9"/>
  <c r="D804" i="9"/>
  <c r="D803" i="9"/>
  <c r="D802" i="9"/>
  <c r="D801" i="9"/>
  <c r="D800" i="9"/>
  <c r="D799" i="9"/>
  <c r="D798" i="9"/>
  <c r="D797" i="9"/>
  <c r="D796" i="9"/>
  <c r="D795" i="9"/>
  <c r="D794" i="9"/>
  <c r="D793" i="9"/>
  <c r="D792" i="9"/>
  <c r="D791" i="9"/>
  <c r="D790" i="9"/>
  <c r="D789" i="9"/>
  <c r="D788" i="9"/>
  <c r="D787" i="9"/>
  <c r="D786" i="9"/>
  <c r="D785" i="9"/>
  <c r="D784" i="9"/>
  <c r="D783" i="9"/>
  <c r="D782" i="9"/>
  <c r="D781" i="9"/>
  <c r="D780" i="9"/>
  <c r="D779" i="9"/>
  <c r="D778" i="9"/>
  <c r="D777" i="9"/>
  <c r="D776" i="9"/>
  <c r="D775" i="9"/>
  <c r="D774" i="9"/>
  <c r="D773" i="9"/>
  <c r="D772" i="9"/>
  <c r="D771" i="9"/>
  <c r="D770" i="9"/>
  <c r="D769" i="9"/>
  <c r="D768" i="9"/>
  <c r="D767" i="9"/>
  <c r="D766" i="9"/>
  <c r="D765" i="9"/>
  <c r="D764" i="9"/>
  <c r="D763" i="9"/>
  <c r="D762" i="9"/>
  <c r="D761" i="9"/>
  <c r="D760" i="9"/>
  <c r="D759" i="9"/>
  <c r="E758" i="9"/>
  <c r="D758" i="9"/>
  <c r="E757" i="9"/>
  <c r="D757" i="9"/>
  <c r="E756" i="9"/>
  <c r="D756" i="9"/>
  <c r="E755" i="9"/>
  <c r="D755" i="9"/>
  <c r="E754" i="9"/>
  <c r="D754" i="9"/>
  <c r="E753" i="9"/>
  <c r="D753" i="9"/>
  <c r="E752" i="9"/>
  <c r="D752" i="9"/>
  <c r="E751" i="9"/>
  <c r="D751" i="9"/>
  <c r="E750" i="9"/>
  <c r="D750" i="9"/>
  <c r="E749" i="9"/>
  <c r="D749" i="9"/>
  <c r="E748" i="9"/>
  <c r="D748" i="9"/>
  <c r="E747" i="9"/>
  <c r="D747" i="9"/>
  <c r="E746" i="9"/>
  <c r="D746" i="9"/>
  <c r="E745" i="9"/>
  <c r="D745" i="9"/>
  <c r="E744" i="9"/>
  <c r="D744" i="9"/>
  <c r="E743" i="9"/>
  <c r="D743" i="9"/>
  <c r="E742" i="9"/>
  <c r="D742" i="9"/>
  <c r="E741" i="9"/>
  <c r="D741" i="9"/>
  <c r="E740" i="9"/>
  <c r="D740" i="9"/>
  <c r="E739" i="9"/>
  <c r="D739" i="9"/>
  <c r="E738" i="9"/>
  <c r="D738" i="9"/>
  <c r="E737" i="9"/>
  <c r="D737" i="9"/>
  <c r="E736" i="9"/>
  <c r="D736" i="9"/>
  <c r="E735" i="9"/>
  <c r="D735" i="9"/>
  <c r="E734" i="9"/>
  <c r="D734" i="9"/>
  <c r="E733" i="9"/>
  <c r="D733" i="9"/>
  <c r="E732" i="9"/>
  <c r="D732" i="9"/>
  <c r="E731" i="9"/>
  <c r="D731" i="9"/>
  <c r="E730" i="9"/>
  <c r="D730" i="9"/>
  <c r="E729" i="9"/>
  <c r="D729" i="9"/>
  <c r="E728" i="9"/>
  <c r="D728" i="9"/>
  <c r="E727" i="9"/>
  <c r="D727" i="9"/>
  <c r="E726" i="9"/>
  <c r="D726" i="9"/>
  <c r="D725" i="9"/>
  <c r="D724" i="9"/>
  <c r="D723" i="9"/>
  <c r="D722" i="9"/>
  <c r="D721" i="9"/>
  <c r="D720" i="9"/>
  <c r="D719" i="9"/>
  <c r="D718" i="9"/>
  <c r="D717" i="9"/>
  <c r="D716" i="9"/>
  <c r="D715" i="9"/>
  <c r="D714" i="9"/>
  <c r="D713" i="9"/>
  <c r="D712" i="9"/>
  <c r="D711" i="9"/>
  <c r="D710" i="9"/>
  <c r="D709" i="9"/>
  <c r="D708" i="9"/>
  <c r="D707" i="9"/>
  <c r="D706" i="9"/>
  <c r="D705" i="9"/>
  <c r="D704" i="9"/>
  <c r="D703" i="9"/>
  <c r="D702" i="9"/>
  <c r="D701" i="9"/>
  <c r="D700" i="9"/>
  <c r="D699" i="9"/>
  <c r="D698" i="9"/>
  <c r="D697" i="9"/>
  <c r="D696" i="9"/>
  <c r="D695" i="9"/>
  <c r="D694" i="9"/>
  <c r="D693" i="9"/>
  <c r="D692" i="9"/>
  <c r="D691" i="9"/>
  <c r="D690" i="9"/>
  <c r="D689" i="9"/>
  <c r="D688" i="9"/>
  <c r="D687" i="9"/>
  <c r="D686" i="9"/>
  <c r="D685" i="9"/>
  <c r="D684" i="9"/>
  <c r="D683" i="9"/>
  <c r="D682" i="9"/>
  <c r="D681" i="9"/>
  <c r="E680" i="9"/>
  <c r="D680" i="9"/>
  <c r="E679" i="9"/>
  <c r="D679" i="9"/>
  <c r="E678" i="9"/>
  <c r="D678" i="9"/>
  <c r="E677" i="9"/>
  <c r="D677" i="9"/>
  <c r="E676" i="9"/>
  <c r="D676" i="9"/>
  <c r="E675" i="9"/>
  <c r="D675" i="9"/>
  <c r="E674" i="9"/>
  <c r="D674" i="9"/>
  <c r="E673" i="9"/>
  <c r="D673" i="9"/>
  <c r="E672" i="9"/>
  <c r="D672" i="9"/>
  <c r="E671" i="9"/>
  <c r="D671" i="9"/>
  <c r="E670" i="9"/>
  <c r="D670" i="9"/>
  <c r="E669" i="9"/>
  <c r="D669" i="9"/>
  <c r="E668" i="9"/>
  <c r="D668" i="9"/>
  <c r="E667" i="9"/>
  <c r="D667" i="9"/>
  <c r="E666" i="9"/>
  <c r="D666" i="9"/>
  <c r="E665" i="9"/>
  <c r="D665" i="9"/>
  <c r="E664" i="9"/>
  <c r="D664" i="9"/>
  <c r="E663" i="9"/>
  <c r="D663" i="9"/>
  <c r="E662" i="9"/>
  <c r="D662" i="9"/>
  <c r="E661" i="9"/>
  <c r="D661" i="9"/>
  <c r="E660" i="9"/>
  <c r="D660" i="9"/>
  <c r="E659" i="9"/>
  <c r="D659" i="9"/>
  <c r="E658" i="9"/>
  <c r="D658" i="9"/>
  <c r="E657" i="9"/>
  <c r="D657" i="9"/>
  <c r="E656" i="9"/>
  <c r="D656" i="9"/>
  <c r="E655" i="9"/>
  <c r="D655" i="9"/>
  <c r="E654" i="9"/>
  <c r="D654" i="9"/>
  <c r="E653" i="9"/>
  <c r="D653" i="9"/>
  <c r="E652" i="9"/>
  <c r="D652" i="9"/>
  <c r="E651" i="9"/>
  <c r="D651" i="9"/>
  <c r="E650" i="9"/>
  <c r="D650" i="9"/>
  <c r="E649" i="9"/>
  <c r="D649" i="9"/>
  <c r="E648" i="9"/>
  <c r="D648" i="9"/>
  <c r="D647" i="9"/>
  <c r="D646" i="9"/>
  <c r="D645" i="9"/>
  <c r="D644" i="9"/>
  <c r="D643" i="9"/>
  <c r="D642" i="9"/>
  <c r="D641" i="9"/>
  <c r="D640" i="9"/>
  <c r="D639" i="9"/>
  <c r="D638" i="9"/>
  <c r="D637" i="9"/>
  <c r="D636" i="9"/>
  <c r="D635" i="9"/>
  <c r="D634" i="9"/>
  <c r="D633" i="9"/>
  <c r="D632" i="9"/>
  <c r="D631" i="9"/>
  <c r="D630" i="9"/>
  <c r="D629" i="9"/>
  <c r="D628" i="9"/>
  <c r="D627" i="9"/>
  <c r="D626" i="9"/>
  <c r="D625" i="9"/>
  <c r="D624" i="9"/>
  <c r="D623" i="9"/>
  <c r="D622" i="9"/>
  <c r="D621" i="9"/>
  <c r="D620" i="9"/>
  <c r="D619" i="9"/>
  <c r="D618" i="9"/>
  <c r="D617" i="9"/>
  <c r="D616" i="9"/>
  <c r="D615" i="9"/>
  <c r="D614" i="9"/>
  <c r="D613" i="9"/>
  <c r="D612" i="9"/>
  <c r="D611" i="9"/>
  <c r="D610" i="9"/>
  <c r="D609" i="9"/>
  <c r="D608" i="9"/>
  <c r="D607" i="9"/>
  <c r="D606" i="9"/>
  <c r="D605" i="9"/>
  <c r="D604" i="9"/>
  <c r="D603" i="9"/>
  <c r="E602" i="9"/>
  <c r="D602" i="9"/>
  <c r="E601" i="9"/>
  <c r="D601" i="9"/>
  <c r="E600" i="9"/>
  <c r="D600" i="9"/>
  <c r="E599" i="9"/>
  <c r="D599" i="9"/>
  <c r="E598" i="9"/>
  <c r="D598" i="9"/>
  <c r="E597" i="9"/>
  <c r="D597" i="9"/>
  <c r="E596" i="9"/>
  <c r="D596" i="9"/>
  <c r="E595" i="9"/>
  <c r="D595" i="9"/>
  <c r="E594" i="9"/>
  <c r="D594" i="9"/>
  <c r="E593" i="9"/>
  <c r="D593" i="9"/>
  <c r="E592" i="9"/>
  <c r="D592" i="9"/>
  <c r="E591" i="9"/>
  <c r="D591" i="9"/>
  <c r="E590" i="9"/>
  <c r="D590" i="9"/>
  <c r="E589" i="9"/>
  <c r="D589" i="9"/>
  <c r="E588" i="9"/>
  <c r="D588" i="9"/>
  <c r="E587" i="9"/>
  <c r="D587" i="9"/>
  <c r="E586" i="9"/>
  <c r="D586" i="9"/>
  <c r="E585" i="9"/>
  <c r="D585" i="9"/>
  <c r="E584" i="9"/>
  <c r="D584" i="9"/>
  <c r="E583" i="9"/>
  <c r="D583" i="9"/>
  <c r="E582" i="9"/>
  <c r="D582" i="9"/>
  <c r="E581" i="9"/>
  <c r="D581" i="9"/>
  <c r="E580" i="9"/>
  <c r="D580" i="9"/>
  <c r="E579" i="9"/>
  <c r="D579" i="9"/>
  <c r="E578" i="9"/>
  <c r="D578" i="9"/>
  <c r="E577" i="9"/>
  <c r="D577" i="9"/>
  <c r="E576" i="9"/>
  <c r="D576" i="9"/>
  <c r="E575" i="9"/>
  <c r="D575" i="9"/>
  <c r="E574" i="9"/>
  <c r="D574" i="9"/>
  <c r="E573" i="9"/>
  <c r="D573" i="9"/>
  <c r="E572" i="9"/>
  <c r="D572" i="9"/>
  <c r="E571" i="9"/>
  <c r="D571" i="9"/>
  <c r="E570" i="9"/>
  <c r="D570" i="9"/>
  <c r="D569" i="9"/>
  <c r="D568" i="9"/>
  <c r="D567" i="9"/>
  <c r="D566" i="9"/>
  <c r="D565" i="9"/>
  <c r="D564" i="9"/>
  <c r="D563" i="9"/>
  <c r="D562" i="9"/>
  <c r="D561" i="9"/>
  <c r="D560" i="9"/>
  <c r="D559" i="9"/>
  <c r="D558" i="9"/>
  <c r="D557" i="9"/>
  <c r="D556" i="9"/>
  <c r="D555" i="9"/>
  <c r="D554" i="9"/>
  <c r="D553" i="9"/>
  <c r="D552" i="9"/>
  <c r="D551" i="9"/>
  <c r="D550" i="9"/>
  <c r="D549" i="9"/>
  <c r="D548" i="9"/>
  <c r="D547" i="9"/>
  <c r="D546" i="9"/>
  <c r="D545" i="9"/>
  <c r="D544" i="9"/>
  <c r="D543" i="9"/>
  <c r="D542" i="9"/>
  <c r="D541" i="9"/>
  <c r="D540" i="9"/>
  <c r="D539" i="9"/>
  <c r="D538" i="9"/>
  <c r="D537" i="9"/>
  <c r="D536" i="9"/>
  <c r="D535" i="9"/>
  <c r="D534" i="9"/>
  <c r="D533" i="9"/>
  <c r="D532" i="9"/>
  <c r="D531" i="9"/>
  <c r="D530" i="9"/>
  <c r="D529" i="9"/>
  <c r="D528" i="9"/>
  <c r="D527" i="9"/>
  <c r="D526" i="9"/>
  <c r="D525" i="9"/>
  <c r="E524" i="9"/>
  <c r="D524" i="9"/>
  <c r="E523" i="9"/>
  <c r="D523" i="9"/>
  <c r="E522" i="9"/>
  <c r="D522" i="9"/>
  <c r="E521" i="9"/>
  <c r="D521" i="9"/>
  <c r="E520" i="9"/>
  <c r="D520" i="9"/>
  <c r="E519" i="9"/>
  <c r="D519" i="9"/>
  <c r="E518" i="9"/>
  <c r="D518" i="9"/>
  <c r="E517" i="9"/>
  <c r="D517" i="9"/>
  <c r="E516" i="9"/>
  <c r="D516" i="9"/>
  <c r="E515" i="9"/>
  <c r="D515" i="9"/>
  <c r="E514" i="9"/>
  <c r="D514" i="9"/>
  <c r="E513" i="9"/>
  <c r="D513" i="9"/>
  <c r="E512" i="9"/>
  <c r="D512" i="9"/>
  <c r="E511" i="9"/>
  <c r="D511" i="9"/>
  <c r="E510" i="9"/>
  <c r="D510" i="9"/>
  <c r="E509" i="9"/>
  <c r="D509" i="9"/>
  <c r="E508" i="9"/>
  <c r="D508" i="9"/>
  <c r="E507" i="9"/>
  <c r="D507" i="9"/>
  <c r="E506" i="9"/>
  <c r="D506" i="9"/>
  <c r="E505" i="9"/>
  <c r="D505" i="9"/>
  <c r="E504" i="9"/>
  <c r="D504" i="9"/>
  <c r="E503" i="9"/>
  <c r="D503" i="9"/>
  <c r="E502" i="9"/>
  <c r="D502" i="9"/>
  <c r="E501" i="9"/>
  <c r="D501" i="9"/>
  <c r="E500" i="9"/>
  <c r="D500" i="9"/>
  <c r="E499" i="9"/>
  <c r="D499" i="9"/>
  <c r="E498" i="9"/>
  <c r="D498" i="9"/>
  <c r="E497" i="9"/>
  <c r="D497" i="9"/>
  <c r="E496" i="9"/>
  <c r="D496" i="9"/>
  <c r="E495" i="9"/>
  <c r="D495" i="9"/>
  <c r="E494" i="9"/>
  <c r="D494" i="9"/>
  <c r="E493" i="9"/>
  <c r="D493" i="9"/>
  <c r="E492" i="9"/>
  <c r="D492" i="9"/>
  <c r="D491" i="9"/>
  <c r="D490" i="9"/>
  <c r="D489" i="9"/>
  <c r="D488" i="9"/>
  <c r="D487" i="9"/>
  <c r="D486" i="9"/>
  <c r="D485" i="9"/>
  <c r="D484" i="9"/>
  <c r="D483" i="9"/>
  <c r="D482" i="9"/>
  <c r="D481" i="9"/>
  <c r="D480" i="9"/>
  <c r="D479" i="9"/>
  <c r="D478" i="9"/>
  <c r="D477" i="9"/>
  <c r="D476" i="9"/>
  <c r="D475" i="9"/>
  <c r="D474" i="9"/>
  <c r="D473" i="9"/>
  <c r="D472" i="9"/>
  <c r="D471" i="9"/>
  <c r="D470" i="9"/>
  <c r="D469" i="9"/>
  <c r="D468" i="9"/>
  <c r="D467" i="9"/>
  <c r="D466" i="9"/>
  <c r="D465" i="9"/>
  <c r="D464" i="9"/>
  <c r="D463" i="9"/>
  <c r="D462" i="9"/>
  <c r="D461" i="9"/>
  <c r="D460" i="9"/>
  <c r="D459" i="9"/>
  <c r="D458" i="9"/>
  <c r="D457" i="9"/>
  <c r="D456" i="9"/>
  <c r="D455" i="9"/>
  <c r="D454" i="9"/>
  <c r="D453" i="9"/>
  <c r="D452" i="9"/>
  <c r="D451" i="9"/>
  <c r="D450" i="9"/>
  <c r="D449" i="9"/>
  <c r="D448" i="9"/>
  <c r="D447" i="9"/>
  <c r="E446" i="9"/>
  <c r="D446" i="9"/>
  <c r="E445" i="9"/>
  <c r="D445" i="9"/>
  <c r="E444" i="9"/>
  <c r="D444" i="9"/>
  <c r="E443" i="9"/>
  <c r="D443" i="9"/>
  <c r="E442" i="9"/>
  <c r="D442" i="9"/>
  <c r="E441" i="9"/>
  <c r="D441" i="9"/>
  <c r="E440" i="9"/>
  <c r="D440" i="9"/>
  <c r="E439" i="9"/>
  <c r="D439" i="9"/>
  <c r="E438" i="9"/>
  <c r="D438" i="9"/>
  <c r="E437" i="9"/>
  <c r="D437" i="9"/>
  <c r="E436" i="9"/>
  <c r="D436" i="9"/>
  <c r="E435" i="9"/>
  <c r="D435" i="9"/>
  <c r="E434" i="9"/>
  <c r="D434" i="9"/>
  <c r="E433" i="9"/>
  <c r="D433" i="9"/>
  <c r="E432" i="9"/>
  <c r="D432" i="9"/>
  <c r="E431" i="9"/>
  <c r="D431" i="9"/>
  <c r="E430" i="9"/>
  <c r="D430" i="9"/>
  <c r="E429" i="9"/>
  <c r="D429" i="9"/>
  <c r="E428" i="9"/>
  <c r="D428" i="9"/>
  <c r="E427" i="9"/>
  <c r="D427" i="9"/>
  <c r="E426" i="9"/>
  <c r="D426" i="9"/>
  <c r="E425" i="9"/>
  <c r="D425" i="9"/>
  <c r="E424" i="9"/>
  <c r="D424" i="9"/>
  <c r="E423" i="9"/>
  <c r="D423" i="9"/>
  <c r="E422" i="9"/>
  <c r="D422" i="9"/>
  <c r="E421" i="9"/>
  <c r="D421" i="9"/>
  <c r="E420" i="9"/>
  <c r="D420" i="9"/>
  <c r="E419" i="9"/>
  <c r="D419" i="9"/>
  <c r="E418" i="9"/>
  <c r="D418" i="9"/>
  <c r="E417" i="9"/>
  <c r="D417" i="9"/>
  <c r="E416" i="9"/>
  <c r="D416" i="9"/>
  <c r="E415" i="9"/>
  <c r="D415" i="9"/>
  <c r="E414" i="9"/>
  <c r="D414" i="9"/>
  <c r="D413" i="9"/>
  <c r="D412" i="9"/>
  <c r="D411" i="9"/>
  <c r="D410" i="9"/>
  <c r="D409" i="9"/>
  <c r="D408" i="9"/>
  <c r="D407" i="9"/>
  <c r="D406" i="9"/>
  <c r="D405" i="9"/>
  <c r="D404" i="9"/>
  <c r="D403" i="9"/>
  <c r="D402" i="9"/>
  <c r="D401" i="9"/>
  <c r="D400" i="9"/>
  <c r="D399" i="9"/>
  <c r="D398" i="9"/>
  <c r="D397" i="9"/>
  <c r="D396" i="9"/>
  <c r="D395" i="9"/>
  <c r="D394" i="9"/>
  <c r="D393" i="9"/>
  <c r="D392" i="9"/>
  <c r="D391" i="9"/>
  <c r="D390" i="9"/>
  <c r="D389" i="9"/>
  <c r="D388" i="9"/>
  <c r="D387" i="9"/>
  <c r="D386" i="9"/>
  <c r="D385" i="9"/>
  <c r="D384" i="9"/>
  <c r="D383" i="9"/>
  <c r="D382" i="9"/>
  <c r="D381" i="9"/>
  <c r="D380" i="9"/>
  <c r="D379" i="9"/>
  <c r="D378" i="9"/>
  <c r="D377" i="9"/>
  <c r="D376" i="9"/>
  <c r="D375" i="9"/>
  <c r="D374" i="9"/>
  <c r="D373" i="9"/>
  <c r="D372" i="9"/>
  <c r="D371" i="9"/>
  <c r="D370" i="9"/>
  <c r="D369" i="9"/>
  <c r="E368" i="9"/>
  <c r="D368" i="9"/>
  <c r="E367" i="9"/>
  <c r="D367" i="9"/>
  <c r="E366" i="9"/>
  <c r="D366" i="9"/>
  <c r="E365" i="9"/>
  <c r="D365" i="9"/>
  <c r="E364" i="9"/>
  <c r="D364" i="9"/>
  <c r="E363" i="9"/>
  <c r="D363" i="9"/>
  <c r="E362" i="9"/>
  <c r="D362" i="9"/>
  <c r="E361" i="9"/>
  <c r="D361" i="9"/>
  <c r="E360" i="9"/>
  <c r="D360" i="9"/>
  <c r="E359" i="9"/>
  <c r="D359" i="9"/>
  <c r="E358" i="9"/>
  <c r="D358" i="9"/>
  <c r="E357" i="9"/>
  <c r="D357" i="9"/>
  <c r="E356" i="9"/>
  <c r="D356" i="9"/>
  <c r="E355" i="9"/>
  <c r="D355" i="9"/>
  <c r="E354" i="9"/>
  <c r="D354" i="9"/>
  <c r="E353" i="9"/>
  <c r="D353" i="9"/>
  <c r="E352" i="9"/>
  <c r="D352" i="9"/>
  <c r="E351" i="9"/>
  <c r="D351" i="9"/>
  <c r="E350" i="9"/>
  <c r="D350" i="9"/>
  <c r="E349" i="9"/>
  <c r="D349" i="9"/>
  <c r="E348" i="9"/>
  <c r="D348" i="9"/>
  <c r="E347" i="9"/>
  <c r="D347" i="9"/>
  <c r="E346" i="9"/>
  <c r="D346" i="9"/>
  <c r="E345" i="9"/>
  <c r="D345" i="9"/>
  <c r="E344" i="9"/>
  <c r="D344" i="9"/>
  <c r="E343" i="9"/>
  <c r="D343" i="9"/>
  <c r="E342" i="9"/>
  <c r="D342" i="9"/>
  <c r="E341" i="9"/>
  <c r="D341" i="9"/>
  <c r="E340" i="9"/>
  <c r="D340" i="9"/>
  <c r="E339" i="9"/>
  <c r="D339" i="9"/>
  <c r="E338" i="9"/>
  <c r="D338" i="9"/>
  <c r="E337" i="9"/>
  <c r="D337" i="9"/>
  <c r="E336" i="9"/>
  <c r="D336" i="9"/>
  <c r="D335" i="9"/>
  <c r="D334" i="9"/>
  <c r="D333" i="9"/>
  <c r="D332" i="9"/>
  <c r="D331" i="9"/>
  <c r="D330" i="9"/>
  <c r="D329" i="9"/>
  <c r="D328" i="9"/>
  <c r="D327" i="9"/>
  <c r="D326" i="9"/>
  <c r="D325" i="9"/>
  <c r="D324" i="9"/>
  <c r="D323" i="9"/>
  <c r="D322" i="9"/>
  <c r="D321" i="9"/>
  <c r="D320" i="9"/>
  <c r="D319" i="9"/>
  <c r="D318" i="9"/>
  <c r="D317" i="9"/>
  <c r="D316" i="9"/>
  <c r="D315" i="9"/>
  <c r="D314" i="9"/>
  <c r="D313" i="9"/>
  <c r="D312" i="9"/>
  <c r="D311" i="9"/>
  <c r="D310" i="9"/>
  <c r="D309" i="9"/>
  <c r="D308" i="9"/>
  <c r="D307" i="9"/>
  <c r="D306" i="9"/>
  <c r="D305" i="9"/>
  <c r="D304" i="9"/>
  <c r="D303" i="9"/>
  <c r="D302" i="9"/>
  <c r="D301" i="9"/>
  <c r="D300" i="9"/>
  <c r="D299" i="9"/>
  <c r="D298" i="9"/>
  <c r="D297" i="9"/>
  <c r="D296" i="9"/>
  <c r="D295" i="9"/>
  <c r="D294" i="9"/>
  <c r="D293" i="9"/>
  <c r="D292" i="9"/>
  <c r="D291" i="9"/>
  <c r="E290" i="9"/>
  <c r="D290" i="9"/>
  <c r="E289" i="9"/>
  <c r="D289" i="9"/>
  <c r="E288" i="9"/>
  <c r="D288" i="9"/>
  <c r="E287" i="9"/>
  <c r="D287" i="9"/>
  <c r="E286" i="9"/>
  <c r="D286" i="9"/>
  <c r="E285" i="9"/>
  <c r="D285" i="9"/>
  <c r="E284" i="9"/>
  <c r="D284" i="9"/>
  <c r="E283" i="9"/>
  <c r="D283" i="9"/>
  <c r="E282" i="9"/>
  <c r="D282" i="9"/>
  <c r="E281" i="9"/>
  <c r="D281" i="9"/>
  <c r="E280" i="9"/>
  <c r="D280" i="9"/>
  <c r="E279" i="9"/>
  <c r="D279" i="9"/>
  <c r="E278" i="9"/>
  <c r="D278" i="9"/>
  <c r="E277" i="9"/>
  <c r="D277" i="9"/>
  <c r="E276" i="9"/>
  <c r="D276" i="9"/>
  <c r="E275" i="9"/>
  <c r="D275" i="9"/>
  <c r="E274" i="9"/>
  <c r="D274" i="9"/>
  <c r="E273" i="9"/>
  <c r="D273" i="9"/>
  <c r="E272" i="9"/>
  <c r="D272" i="9"/>
  <c r="E271" i="9"/>
  <c r="D271" i="9"/>
  <c r="E270" i="9"/>
  <c r="D270" i="9"/>
  <c r="E269" i="9"/>
  <c r="D269" i="9"/>
  <c r="E268" i="9"/>
  <c r="D268" i="9"/>
  <c r="E267" i="9"/>
  <c r="D267" i="9"/>
  <c r="E266" i="9"/>
  <c r="D266" i="9"/>
  <c r="E265" i="9"/>
  <c r="D265" i="9"/>
  <c r="E264" i="9"/>
  <c r="D264" i="9"/>
  <c r="E263" i="9"/>
  <c r="D263" i="9"/>
  <c r="E262" i="9"/>
  <c r="D262" i="9"/>
  <c r="E261" i="9"/>
  <c r="D261" i="9"/>
  <c r="E260" i="9"/>
  <c r="D260" i="9"/>
  <c r="E259" i="9"/>
  <c r="D259" i="9"/>
  <c r="E258" i="9"/>
  <c r="D258" i="9"/>
  <c r="D257" i="9"/>
  <c r="D256" i="9"/>
  <c r="D255" i="9"/>
  <c r="D254" i="9"/>
  <c r="D253" i="9"/>
  <c r="D252" i="9"/>
  <c r="D251" i="9"/>
  <c r="D250" i="9"/>
  <c r="D249" i="9"/>
  <c r="D248" i="9"/>
  <c r="D247" i="9"/>
  <c r="D246" i="9"/>
  <c r="D245" i="9"/>
  <c r="D244" i="9"/>
  <c r="D243" i="9"/>
  <c r="D242" i="9"/>
  <c r="D241" i="9"/>
  <c r="D240" i="9"/>
  <c r="D239" i="9"/>
  <c r="D238" i="9"/>
  <c r="D237" i="9"/>
  <c r="D236" i="9"/>
  <c r="D235" i="9"/>
  <c r="D234" i="9"/>
  <c r="D233" i="9"/>
  <c r="D232" i="9"/>
  <c r="D231" i="9"/>
  <c r="D230" i="9"/>
  <c r="D229" i="9"/>
  <c r="D228" i="9"/>
  <c r="D227" i="9"/>
  <c r="D226" i="9"/>
  <c r="D225" i="9"/>
  <c r="D224" i="9"/>
  <c r="D223" i="9"/>
  <c r="D222" i="9"/>
  <c r="D221" i="9"/>
  <c r="D220" i="9"/>
  <c r="D219" i="9"/>
  <c r="D218" i="9"/>
  <c r="D217" i="9"/>
  <c r="D216" i="9"/>
  <c r="D215" i="9"/>
  <c r="D214" i="9"/>
  <c r="D213" i="9"/>
  <c r="E212" i="9"/>
  <c r="D212" i="9"/>
  <c r="E211" i="9"/>
  <c r="D211" i="9"/>
  <c r="E210" i="9"/>
  <c r="D210" i="9"/>
  <c r="E209" i="9"/>
  <c r="D209" i="9"/>
  <c r="E208" i="9"/>
  <c r="D208" i="9"/>
  <c r="E207" i="9"/>
  <c r="D207" i="9"/>
  <c r="E206" i="9"/>
  <c r="D206" i="9"/>
  <c r="E205" i="9"/>
  <c r="D205" i="9"/>
  <c r="E204" i="9"/>
  <c r="D204" i="9"/>
  <c r="E203" i="9"/>
  <c r="D203" i="9"/>
  <c r="E202" i="9"/>
  <c r="D202" i="9"/>
  <c r="E201" i="9"/>
  <c r="D201" i="9"/>
  <c r="E200" i="9"/>
  <c r="D200" i="9"/>
  <c r="E199" i="9"/>
  <c r="D199" i="9"/>
  <c r="E198" i="9"/>
  <c r="D198" i="9"/>
  <c r="E197" i="9"/>
  <c r="D197" i="9"/>
  <c r="E196" i="9"/>
  <c r="D196" i="9"/>
  <c r="E195" i="9"/>
  <c r="D195" i="9"/>
  <c r="E194" i="9"/>
  <c r="D194" i="9"/>
  <c r="E193" i="9"/>
  <c r="D193" i="9"/>
  <c r="E192" i="9"/>
  <c r="D192" i="9"/>
  <c r="E191" i="9"/>
  <c r="D191" i="9"/>
  <c r="E190" i="9"/>
  <c r="D190" i="9"/>
  <c r="E189" i="9"/>
  <c r="D189" i="9"/>
  <c r="E188" i="9"/>
  <c r="D188" i="9"/>
  <c r="E187" i="9"/>
  <c r="D187" i="9"/>
  <c r="E186" i="9"/>
  <c r="D186" i="9"/>
  <c r="E185" i="9"/>
  <c r="D185" i="9"/>
  <c r="E184" i="9"/>
  <c r="D184" i="9"/>
  <c r="E183" i="9"/>
  <c r="D183" i="9"/>
  <c r="E182" i="9"/>
  <c r="D182" i="9"/>
  <c r="E181" i="9"/>
  <c r="D181" i="9"/>
  <c r="E180" i="9"/>
  <c r="D180" i="9"/>
  <c r="D179" i="9"/>
  <c r="D178" i="9"/>
  <c r="D177" i="9"/>
  <c r="D176" i="9"/>
  <c r="D175" i="9"/>
  <c r="D174" i="9"/>
  <c r="D173" i="9"/>
  <c r="D172" i="9"/>
  <c r="D171" i="9"/>
  <c r="D170" i="9"/>
  <c r="D169" i="9"/>
  <c r="D168" i="9"/>
  <c r="D167" i="9"/>
  <c r="D166" i="9"/>
  <c r="D165" i="9"/>
  <c r="D164" i="9"/>
  <c r="D163" i="9"/>
  <c r="D162" i="9"/>
  <c r="D161" i="9"/>
  <c r="D160" i="9"/>
  <c r="D159" i="9"/>
  <c r="D158" i="9"/>
  <c r="D157" i="9"/>
  <c r="D156" i="9"/>
  <c r="D155" i="9"/>
  <c r="D154" i="9"/>
  <c r="D153" i="9"/>
  <c r="D152" i="9"/>
  <c r="D151" i="9"/>
  <c r="D150" i="9"/>
  <c r="D149" i="9"/>
  <c r="D148" i="9"/>
  <c r="D147" i="9"/>
  <c r="D146" i="9"/>
  <c r="D145" i="9"/>
  <c r="D144" i="9"/>
  <c r="D143" i="9"/>
  <c r="D142" i="9"/>
  <c r="D141" i="9"/>
  <c r="D140" i="9"/>
  <c r="D139" i="9"/>
  <c r="D138" i="9"/>
  <c r="D137" i="9"/>
  <c r="D136" i="9"/>
  <c r="D135" i="9"/>
  <c r="E134" i="9"/>
  <c r="D134" i="9"/>
  <c r="E133" i="9"/>
  <c r="D133" i="9"/>
  <c r="E132" i="9"/>
  <c r="D132" i="9"/>
  <c r="E131" i="9"/>
  <c r="D131" i="9"/>
  <c r="E130" i="9"/>
  <c r="D130" i="9"/>
  <c r="E129" i="9"/>
  <c r="D129" i="9"/>
  <c r="E128" i="9"/>
  <c r="D128" i="9"/>
  <c r="E127" i="9"/>
  <c r="D127" i="9"/>
  <c r="E126" i="9"/>
  <c r="D126" i="9"/>
  <c r="E125" i="9"/>
  <c r="D125" i="9"/>
  <c r="E124" i="9"/>
  <c r="D124" i="9"/>
  <c r="E123" i="9"/>
  <c r="D123" i="9"/>
  <c r="E122" i="9"/>
  <c r="D122" i="9"/>
  <c r="E121" i="9"/>
  <c r="D121" i="9"/>
  <c r="E120" i="9"/>
  <c r="D120" i="9"/>
  <c r="E119" i="9"/>
  <c r="D119" i="9"/>
  <c r="E118" i="9"/>
  <c r="D118" i="9"/>
  <c r="E117" i="9"/>
  <c r="D117" i="9"/>
  <c r="E116" i="9"/>
  <c r="D116" i="9"/>
  <c r="E115" i="9"/>
  <c r="D115" i="9"/>
  <c r="E114" i="9"/>
  <c r="D114" i="9"/>
  <c r="E113" i="9"/>
  <c r="D113" i="9"/>
  <c r="E112" i="9"/>
  <c r="D112" i="9"/>
  <c r="E111" i="9"/>
  <c r="D111" i="9"/>
  <c r="E110" i="9"/>
  <c r="D110" i="9"/>
  <c r="E109" i="9"/>
  <c r="D109" i="9"/>
  <c r="E108" i="9"/>
  <c r="D108" i="9"/>
  <c r="E107" i="9"/>
  <c r="D107" i="9"/>
  <c r="E106" i="9"/>
  <c r="D106" i="9"/>
  <c r="E105" i="9"/>
  <c r="D105" i="9"/>
  <c r="E104" i="9"/>
  <c r="D104" i="9"/>
  <c r="E103" i="9"/>
  <c r="D103" i="9"/>
  <c r="E102" i="9"/>
  <c r="D102" i="9"/>
  <c r="D101" i="9"/>
  <c r="D100" i="9"/>
  <c r="D99" i="9"/>
  <c r="D98" i="9"/>
  <c r="D97" i="9"/>
  <c r="D96" i="9"/>
  <c r="D95" i="9"/>
  <c r="D94" i="9"/>
  <c r="D93" i="9"/>
  <c r="D92" i="9"/>
  <c r="D91" i="9"/>
  <c r="D90" i="9"/>
  <c r="D89" i="9"/>
  <c r="D88" i="9"/>
  <c r="D87" i="9"/>
  <c r="D86" i="9"/>
  <c r="D85" i="9"/>
  <c r="D84" i="9"/>
  <c r="D83" i="9"/>
  <c r="D82" i="9"/>
  <c r="D81" i="9"/>
  <c r="D80" i="9"/>
  <c r="D79" i="9"/>
  <c r="D78" i="9"/>
  <c r="D77" i="9"/>
  <c r="D76" i="9"/>
  <c r="D75" i="9"/>
  <c r="D74" i="9"/>
  <c r="D73" i="9"/>
  <c r="D72" i="9"/>
  <c r="D71" i="9"/>
  <c r="D70" i="9"/>
  <c r="D69" i="9"/>
  <c r="D68" i="9"/>
  <c r="D67" i="9"/>
  <c r="D66" i="9"/>
  <c r="D65" i="9"/>
  <c r="D64" i="9"/>
  <c r="D63" i="9"/>
  <c r="D62" i="9"/>
  <c r="D61" i="9"/>
  <c r="D60" i="9"/>
  <c r="D59" i="9"/>
  <c r="D58" i="9"/>
  <c r="D57" i="9"/>
  <c r="E56" i="9"/>
  <c r="D56" i="9"/>
  <c r="E55" i="9"/>
  <c r="D55" i="9"/>
  <c r="E54" i="9"/>
  <c r="D54" i="9"/>
  <c r="E53" i="9"/>
  <c r="D53" i="9"/>
  <c r="E52" i="9"/>
  <c r="D52" i="9"/>
  <c r="E51" i="9"/>
  <c r="D51" i="9"/>
  <c r="E50" i="9"/>
  <c r="D50" i="9"/>
  <c r="E49" i="9"/>
  <c r="D49" i="9"/>
  <c r="E48" i="9"/>
  <c r="D48" i="9"/>
  <c r="E47" i="9"/>
  <c r="D47" i="9"/>
  <c r="E46" i="9"/>
  <c r="D46" i="9"/>
  <c r="E45" i="9"/>
  <c r="D45" i="9"/>
  <c r="E44" i="9"/>
  <c r="D44" i="9"/>
  <c r="E43" i="9"/>
  <c r="D43" i="9"/>
  <c r="E42" i="9"/>
  <c r="D42" i="9"/>
  <c r="E41" i="9"/>
  <c r="D41" i="9"/>
  <c r="E40" i="9"/>
  <c r="D40" i="9"/>
  <c r="E39" i="9"/>
  <c r="D39" i="9"/>
  <c r="E38" i="9"/>
  <c r="D38" i="9"/>
  <c r="E37" i="9"/>
  <c r="D37" i="9"/>
  <c r="E36" i="9"/>
  <c r="D36" i="9"/>
  <c r="E35" i="9"/>
  <c r="D35" i="9"/>
  <c r="E34" i="9"/>
  <c r="D34" i="9"/>
  <c r="E33" i="9"/>
  <c r="D33" i="9"/>
  <c r="E32" i="9"/>
  <c r="D32" i="9"/>
  <c r="E31" i="9"/>
  <c r="D31" i="9"/>
  <c r="E30" i="9"/>
  <c r="D30" i="9"/>
  <c r="E29" i="9"/>
  <c r="D29" i="9"/>
  <c r="E28" i="9"/>
  <c r="D28" i="9"/>
  <c r="E27" i="9"/>
  <c r="D27" i="9"/>
  <c r="E26" i="9"/>
  <c r="D26" i="9"/>
  <c r="E25" i="9"/>
  <c r="D25" i="9"/>
  <c r="E24" i="9"/>
  <c r="D24" i="9"/>
  <c r="D23" i="9"/>
  <c r="D22" i="9"/>
  <c r="D21" i="9"/>
  <c r="D20" i="9"/>
  <c r="D19" i="9"/>
  <c r="D18" i="9"/>
  <c r="D17" i="9"/>
  <c r="D16" i="9"/>
  <c r="D15" i="9"/>
  <c r="D14" i="9"/>
  <c r="D13" i="9"/>
  <c r="D12" i="9"/>
  <c r="D11" i="9"/>
  <c r="D10" i="9"/>
  <c r="D9" i="9"/>
  <c r="D8" i="9"/>
  <c r="D7" i="9"/>
  <c r="D6" i="9"/>
  <c r="D5" i="9"/>
  <c r="D4" i="9"/>
  <c r="D3" i="9"/>
  <c r="D2" i="9"/>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E151" i="8"/>
  <c r="D151" i="8"/>
  <c r="E150" i="8"/>
  <c r="D150" i="8"/>
  <c r="E149" i="8"/>
  <c r="D149" i="8"/>
  <c r="E148" i="8"/>
  <c r="D148" i="8"/>
  <c r="E147" i="8"/>
  <c r="D147" i="8"/>
  <c r="E146" i="8"/>
  <c r="D146" i="8"/>
  <c r="E145" i="8"/>
  <c r="D145" i="8"/>
  <c r="E144" i="8"/>
  <c r="D144" i="8"/>
  <c r="E143" i="8"/>
  <c r="D143" i="8"/>
  <c r="E142" i="8"/>
  <c r="D142" i="8"/>
  <c r="E141" i="8"/>
  <c r="D141" i="8"/>
  <c r="E140" i="8"/>
  <c r="D140" i="8"/>
  <c r="J139" i="8"/>
  <c r="I139" i="8"/>
  <c r="H139" i="8"/>
  <c r="G139" i="8"/>
  <c r="F139" i="8"/>
  <c r="E139" i="8"/>
  <c r="D139" i="8"/>
  <c r="J138" i="8"/>
  <c r="I138" i="8"/>
  <c r="H138" i="8"/>
  <c r="G138" i="8"/>
  <c r="F138" i="8"/>
  <c r="E138" i="8"/>
  <c r="D138" i="8"/>
  <c r="J137" i="8"/>
  <c r="I137" i="8"/>
  <c r="H137" i="8"/>
  <c r="G137" i="8"/>
  <c r="F137" i="8"/>
  <c r="E137" i="8"/>
  <c r="D137" i="8"/>
  <c r="J136" i="8"/>
  <c r="I136" i="8"/>
  <c r="H136" i="8"/>
  <c r="G136" i="8"/>
  <c r="F136" i="8"/>
  <c r="E136" i="8"/>
  <c r="D136" i="8"/>
  <c r="J135" i="8"/>
  <c r="I135" i="8"/>
  <c r="H135" i="8"/>
  <c r="G135" i="8"/>
  <c r="F135" i="8"/>
  <c r="E135" i="8"/>
  <c r="D135" i="8"/>
  <c r="J134" i="8"/>
  <c r="I134" i="8"/>
  <c r="H134" i="8"/>
  <c r="G134" i="8"/>
  <c r="F134" i="8"/>
  <c r="E134" i="8"/>
  <c r="D134" i="8"/>
  <c r="J133" i="8"/>
  <c r="F133" i="8"/>
  <c r="J132" i="8"/>
  <c r="I132" i="8"/>
  <c r="H132" i="8"/>
  <c r="G132" i="8"/>
  <c r="F132" i="8"/>
  <c r="E132" i="8"/>
  <c r="D132" i="8"/>
  <c r="J131" i="8"/>
  <c r="I131" i="8"/>
  <c r="H131" i="8"/>
  <c r="G131" i="8"/>
  <c r="F131" i="8"/>
  <c r="E131" i="8"/>
  <c r="D131" i="8"/>
  <c r="E130" i="8"/>
  <c r="D130" i="8"/>
  <c r="E129" i="8"/>
  <c r="D129" i="8"/>
  <c r="E128" i="8"/>
  <c r="D128" i="8"/>
  <c r="E127" i="8"/>
  <c r="D127" i="8"/>
  <c r="E126" i="8"/>
  <c r="D126" i="8"/>
  <c r="E125" i="8"/>
  <c r="D125" i="8"/>
  <c r="E124" i="8"/>
  <c r="D124" i="8"/>
  <c r="E123" i="8"/>
  <c r="D123" i="8"/>
  <c r="E122" i="8"/>
  <c r="D122" i="8"/>
  <c r="E121" i="8"/>
  <c r="D121" i="8"/>
  <c r="E120" i="8"/>
  <c r="D120" i="8"/>
  <c r="E119" i="8"/>
  <c r="D119" i="8"/>
  <c r="E118" i="8"/>
  <c r="D118" i="8"/>
  <c r="E117" i="8"/>
  <c r="D117" i="8"/>
  <c r="E116" i="8"/>
  <c r="D116" i="8"/>
  <c r="E115" i="8"/>
  <c r="D115" i="8"/>
  <c r="E114" i="8"/>
  <c r="D114" i="8"/>
  <c r="E113" i="8"/>
  <c r="D113" i="8"/>
  <c r="E112" i="8"/>
  <c r="D112" i="8"/>
  <c r="E111" i="8"/>
  <c r="D111" i="8"/>
  <c r="O110" i="8"/>
  <c r="N110" i="8"/>
  <c r="M110" i="8"/>
  <c r="L110" i="8"/>
  <c r="K110" i="8"/>
  <c r="J110" i="8"/>
  <c r="I110" i="8"/>
  <c r="H110" i="8"/>
  <c r="G110" i="8"/>
  <c r="F110" i="8"/>
  <c r="E110" i="8"/>
  <c r="D110" i="8"/>
  <c r="O109" i="8"/>
  <c r="N109" i="8"/>
  <c r="M109" i="8"/>
  <c r="L109" i="8"/>
  <c r="K109" i="8"/>
  <c r="J109" i="8"/>
  <c r="I109" i="8"/>
  <c r="H109" i="8"/>
  <c r="G109" i="8"/>
  <c r="F109" i="8"/>
  <c r="E109" i="8"/>
  <c r="D109" i="8"/>
  <c r="O108" i="8"/>
  <c r="N108" i="8"/>
  <c r="M108" i="8"/>
  <c r="L108" i="8"/>
  <c r="K108" i="8"/>
  <c r="J108" i="8"/>
  <c r="I108" i="8"/>
  <c r="H108" i="8"/>
  <c r="G108" i="8"/>
  <c r="F108" i="8"/>
  <c r="E108" i="8"/>
  <c r="D108" i="8"/>
  <c r="O107" i="8"/>
  <c r="N107" i="8"/>
  <c r="M107" i="8"/>
  <c r="L107" i="8"/>
  <c r="K107" i="8"/>
  <c r="J107" i="8"/>
  <c r="I107" i="8"/>
  <c r="H107" i="8"/>
  <c r="G107" i="8"/>
  <c r="F107" i="8"/>
  <c r="E107" i="8"/>
  <c r="D107" i="8"/>
  <c r="O106" i="8"/>
  <c r="N106" i="8"/>
  <c r="M106" i="8"/>
  <c r="L106" i="8"/>
  <c r="K106" i="8"/>
  <c r="J106" i="8"/>
  <c r="I106" i="8"/>
  <c r="H106" i="8"/>
  <c r="G106" i="8"/>
  <c r="F106" i="8"/>
  <c r="E106" i="8"/>
  <c r="D106" i="8"/>
  <c r="O105" i="8"/>
  <c r="N105" i="8"/>
  <c r="M105" i="8"/>
  <c r="L105" i="8"/>
  <c r="K105" i="8"/>
  <c r="J105" i="8"/>
  <c r="I105" i="8"/>
  <c r="H105" i="8"/>
  <c r="G105" i="8"/>
  <c r="F105" i="8"/>
  <c r="E105" i="8"/>
  <c r="D105" i="8"/>
  <c r="O104" i="8"/>
  <c r="N104" i="8"/>
  <c r="M104" i="8"/>
  <c r="L104" i="8"/>
  <c r="K104" i="8"/>
  <c r="J104" i="8"/>
  <c r="I104" i="8"/>
  <c r="H104" i="8"/>
  <c r="G104" i="8"/>
  <c r="F104" i="8"/>
  <c r="E104" i="8"/>
  <c r="D104" i="8"/>
  <c r="O103" i="8"/>
  <c r="N103" i="8"/>
  <c r="M103" i="8"/>
  <c r="L103" i="8"/>
  <c r="K103" i="8"/>
  <c r="J103" i="8"/>
  <c r="I103" i="8"/>
  <c r="H103" i="8"/>
  <c r="G103" i="8"/>
  <c r="F103" i="8"/>
  <c r="E103" i="8"/>
  <c r="D103" i="8"/>
  <c r="O102" i="8"/>
  <c r="N102" i="8"/>
  <c r="M102" i="8"/>
  <c r="L102" i="8"/>
  <c r="K102" i="8"/>
  <c r="J102" i="8"/>
  <c r="I102" i="8"/>
  <c r="H102" i="8"/>
  <c r="G102" i="8"/>
  <c r="F102" i="8"/>
  <c r="E102" i="8"/>
  <c r="D102" i="8"/>
  <c r="O101" i="8"/>
  <c r="N101" i="8"/>
  <c r="M101" i="8"/>
  <c r="L101" i="8"/>
  <c r="K101" i="8"/>
  <c r="J101" i="8"/>
  <c r="I101" i="8"/>
  <c r="H101" i="8"/>
  <c r="G101" i="8"/>
  <c r="F101" i="8"/>
  <c r="E101" i="8"/>
  <c r="D101" i="8"/>
  <c r="O100" i="8"/>
  <c r="N100" i="8"/>
  <c r="M100" i="8"/>
  <c r="L100" i="8"/>
  <c r="K100" i="8"/>
  <c r="J100" i="8"/>
  <c r="I100" i="8"/>
  <c r="H100" i="8"/>
  <c r="G100" i="8"/>
  <c r="F100" i="8"/>
  <c r="E100" i="8"/>
  <c r="D100" i="8"/>
  <c r="O99" i="8"/>
  <c r="N99" i="8"/>
  <c r="M99" i="8"/>
  <c r="L99" i="8"/>
  <c r="K99" i="8"/>
  <c r="J99" i="8"/>
  <c r="I99" i="8"/>
  <c r="H99" i="8"/>
  <c r="G99" i="8"/>
  <c r="F99" i="8"/>
  <c r="E99" i="8"/>
  <c r="D99" i="8"/>
  <c r="O98" i="8"/>
  <c r="N98" i="8"/>
  <c r="M98" i="8"/>
  <c r="L98" i="8"/>
  <c r="K98" i="8"/>
  <c r="J98" i="8"/>
  <c r="I98" i="8"/>
  <c r="H98" i="8"/>
  <c r="G98" i="8"/>
  <c r="F98" i="8"/>
  <c r="E98" i="8"/>
  <c r="D98" i="8"/>
  <c r="O97" i="8"/>
  <c r="N97" i="8"/>
  <c r="M97" i="8"/>
  <c r="L97" i="8"/>
  <c r="K97" i="8"/>
  <c r="J97" i="8"/>
  <c r="I97" i="8"/>
  <c r="H97" i="8"/>
  <c r="G97" i="8"/>
  <c r="F97" i="8"/>
  <c r="E97" i="8"/>
  <c r="D97" i="8"/>
  <c r="O96" i="8"/>
  <c r="N96" i="8"/>
  <c r="M96" i="8"/>
  <c r="L96" i="8"/>
  <c r="K96" i="8"/>
  <c r="J96" i="8"/>
  <c r="I96" i="8"/>
  <c r="H96" i="8"/>
  <c r="G96" i="8"/>
  <c r="F96" i="8"/>
  <c r="E96" i="8"/>
  <c r="D96" i="8"/>
  <c r="O95" i="8"/>
  <c r="N95" i="8"/>
  <c r="M95" i="8"/>
  <c r="L95" i="8"/>
  <c r="K95" i="8"/>
  <c r="J95" i="8"/>
  <c r="I95" i="8"/>
  <c r="H95" i="8"/>
  <c r="G95" i="8"/>
  <c r="F95" i="8"/>
  <c r="E95" i="8"/>
  <c r="D95" i="8"/>
  <c r="O94" i="8"/>
  <c r="N94" i="8"/>
  <c r="M94" i="8"/>
  <c r="L94" i="8"/>
  <c r="K94" i="8"/>
  <c r="J94" i="8"/>
  <c r="I94" i="8"/>
  <c r="H94" i="8"/>
  <c r="G94" i="8"/>
  <c r="F94" i="8"/>
  <c r="E94" i="8"/>
  <c r="D94" i="8"/>
  <c r="O93" i="8"/>
  <c r="N93" i="8"/>
  <c r="M93" i="8"/>
  <c r="L93" i="8"/>
  <c r="K93" i="8"/>
  <c r="J93" i="8"/>
  <c r="I93" i="8"/>
  <c r="H93" i="8"/>
  <c r="G93" i="8"/>
  <c r="F93" i="8"/>
  <c r="E93" i="8"/>
  <c r="D93" i="8"/>
  <c r="O92" i="8"/>
  <c r="N92" i="8"/>
  <c r="M92" i="8"/>
  <c r="L92" i="8"/>
  <c r="K92" i="8"/>
  <c r="J92" i="8"/>
  <c r="I92" i="8"/>
  <c r="H92" i="8"/>
  <c r="G92" i="8"/>
  <c r="F92" i="8"/>
  <c r="E92" i="8"/>
  <c r="D92" i="8"/>
  <c r="O91" i="8"/>
  <c r="N91" i="8"/>
  <c r="M91" i="8"/>
  <c r="L91" i="8"/>
  <c r="K91" i="8"/>
  <c r="J91" i="8"/>
  <c r="I91" i="8"/>
  <c r="H91" i="8"/>
  <c r="G91" i="8"/>
  <c r="F91" i="8"/>
  <c r="E91" i="8"/>
  <c r="D91" i="8"/>
  <c r="O90" i="8"/>
  <c r="N90" i="8"/>
  <c r="M90" i="8"/>
  <c r="L90" i="8"/>
  <c r="K90" i="8"/>
  <c r="J90" i="8"/>
  <c r="I90" i="8"/>
  <c r="H90" i="8"/>
  <c r="G90" i="8"/>
  <c r="F90" i="8"/>
  <c r="E90" i="8"/>
  <c r="D90" i="8"/>
  <c r="O89" i="8"/>
  <c r="N89" i="8"/>
  <c r="M89" i="8"/>
  <c r="L89" i="8"/>
  <c r="K89" i="8"/>
  <c r="J89" i="8"/>
  <c r="I89" i="8"/>
  <c r="H89" i="8"/>
  <c r="G89" i="8"/>
  <c r="F89" i="8"/>
  <c r="E89" i="8"/>
  <c r="D89" i="8"/>
  <c r="O88" i="8"/>
  <c r="N88" i="8"/>
  <c r="M88" i="8"/>
  <c r="L88" i="8"/>
  <c r="K88" i="8"/>
  <c r="J88" i="8"/>
  <c r="I88" i="8"/>
  <c r="H88" i="8"/>
  <c r="G88" i="8"/>
  <c r="F88" i="8"/>
  <c r="E88" i="8"/>
  <c r="D88" i="8"/>
  <c r="O87" i="8"/>
  <c r="N87" i="8"/>
  <c r="M87" i="8"/>
  <c r="L87" i="8"/>
  <c r="K87" i="8"/>
  <c r="J87" i="8"/>
  <c r="I87" i="8"/>
  <c r="H87" i="8"/>
  <c r="G87" i="8"/>
  <c r="F87" i="8"/>
  <c r="E87" i="8"/>
  <c r="D87" i="8"/>
  <c r="O86" i="8"/>
  <c r="N86" i="8"/>
  <c r="M86" i="8"/>
  <c r="L86" i="8"/>
  <c r="K86" i="8"/>
  <c r="J86" i="8"/>
  <c r="I86" i="8"/>
  <c r="H86" i="8"/>
  <c r="G86" i="8"/>
  <c r="F86" i="8"/>
  <c r="E86" i="8"/>
  <c r="D86" i="8"/>
  <c r="O85" i="8"/>
  <c r="N85" i="8"/>
  <c r="M85" i="8"/>
  <c r="L85" i="8"/>
  <c r="K85" i="8"/>
  <c r="J85" i="8"/>
  <c r="I85" i="8"/>
  <c r="H85" i="8"/>
  <c r="G85" i="8"/>
  <c r="F85" i="8"/>
  <c r="E85" i="8"/>
  <c r="D85" i="8"/>
  <c r="O84" i="8"/>
  <c r="N84" i="8"/>
  <c r="M84" i="8"/>
  <c r="L84" i="8"/>
  <c r="K84" i="8"/>
  <c r="J84" i="8"/>
  <c r="I84" i="8"/>
  <c r="H84" i="8"/>
  <c r="G84" i="8"/>
  <c r="F84" i="8"/>
  <c r="E84" i="8"/>
  <c r="D84" i="8"/>
  <c r="O83" i="8"/>
  <c r="N83" i="8"/>
  <c r="M83" i="8"/>
  <c r="L83" i="8"/>
  <c r="K83" i="8"/>
  <c r="J83" i="8"/>
  <c r="I83" i="8"/>
  <c r="H83" i="8"/>
  <c r="G83" i="8"/>
  <c r="F83" i="8"/>
  <c r="E83" i="8"/>
  <c r="D83" i="8"/>
  <c r="O82" i="8"/>
  <c r="N82" i="8"/>
  <c r="M82" i="8"/>
  <c r="L82" i="8"/>
  <c r="K82" i="8"/>
  <c r="J82" i="8"/>
  <c r="I82" i="8"/>
  <c r="H82" i="8"/>
  <c r="G82" i="8"/>
  <c r="F82" i="8"/>
  <c r="E82" i="8"/>
  <c r="D82" i="8"/>
  <c r="O81" i="8"/>
  <c r="N81" i="8"/>
  <c r="M81" i="8"/>
  <c r="L81" i="8"/>
  <c r="K81" i="8"/>
  <c r="J81" i="8"/>
  <c r="I81" i="8"/>
  <c r="H81" i="8"/>
  <c r="G81" i="8"/>
  <c r="F81" i="8"/>
  <c r="E81" i="8"/>
  <c r="D81" i="8"/>
  <c r="O80" i="8"/>
  <c r="N80" i="8"/>
  <c r="M80" i="8"/>
  <c r="L80" i="8"/>
  <c r="K80" i="8"/>
  <c r="J80" i="8"/>
  <c r="I80" i="8"/>
  <c r="H80" i="8"/>
  <c r="G80" i="8"/>
  <c r="F80" i="8"/>
  <c r="E80" i="8"/>
  <c r="D80" i="8"/>
  <c r="O79" i="8"/>
  <c r="N79" i="8"/>
  <c r="M79" i="8"/>
  <c r="L79" i="8"/>
  <c r="K79" i="8"/>
  <c r="J79" i="8"/>
  <c r="I79" i="8"/>
  <c r="H79" i="8"/>
  <c r="G79" i="8"/>
  <c r="F79" i="8"/>
  <c r="E79" i="8"/>
  <c r="D79" i="8"/>
  <c r="O78" i="8"/>
  <c r="N78" i="8"/>
  <c r="M78" i="8"/>
  <c r="L78" i="8"/>
  <c r="K78" i="8"/>
  <c r="J78" i="8"/>
  <c r="I78" i="8"/>
  <c r="H78" i="8"/>
  <c r="G78" i="8"/>
  <c r="F78" i="8"/>
  <c r="E78" i="8"/>
  <c r="D78" i="8"/>
  <c r="O77" i="8"/>
  <c r="N77" i="8"/>
  <c r="M77" i="8"/>
  <c r="L77" i="8"/>
  <c r="K77" i="8"/>
  <c r="J77" i="8"/>
  <c r="I77" i="8"/>
  <c r="H77" i="8"/>
  <c r="G77" i="8"/>
  <c r="F77" i="8"/>
  <c r="E77" i="8"/>
  <c r="D77" i="8"/>
  <c r="O76" i="8"/>
  <c r="N76" i="8"/>
  <c r="M76" i="8"/>
  <c r="L76" i="8"/>
  <c r="K76" i="8"/>
  <c r="J76" i="8"/>
  <c r="I76" i="8"/>
  <c r="H76" i="8"/>
  <c r="G76" i="8"/>
  <c r="F76" i="8"/>
  <c r="E76" i="8"/>
  <c r="D76" i="8"/>
  <c r="O75" i="8"/>
  <c r="N75" i="8"/>
  <c r="M75" i="8"/>
  <c r="L75" i="8"/>
  <c r="K75" i="8"/>
  <c r="J75" i="8"/>
  <c r="I75" i="8"/>
  <c r="H75" i="8"/>
  <c r="G75" i="8"/>
  <c r="F75" i="8"/>
  <c r="E75" i="8"/>
  <c r="D75" i="8"/>
  <c r="O74" i="8"/>
  <c r="N74" i="8"/>
  <c r="M74" i="8"/>
  <c r="L74" i="8"/>
  <c r="K74" i="8"/>
  <c r="J74" i="8"/>
  <c r="I74" i="8"/>
  <c r="H74" i="8"/>
  <c r="G74" i="8"/>
  <c r="F74" i="8"/>
  <c r="E74" i="8"/>
  <c r="D74" i="8"/>
  <c r="O73" i="8"/>
  <c r="N73" i="8"/>
  <c r="M73" i="8"/>
  <c r="L73" i="8"/>
  <c r="K73" i="8"/>
  <c r="J73" i="8"/>
  <c r="I73" i="8"/>
  <c r="H73" i="8"/>
  <c r="G73" i="8"/>
  <c r="F73" i="8"/>
  <c r="E73" i="8"/>
  <c r="D73" i="8"/>
  <c r="O72" i="8"/>
  <c r="N72" i="8"/>
  <c r="M72" i="8"/>
  <c r="L72" i="8"/>
  <c r="K72" i="8"/>
  <c r="J72" i="8"/>
  <c r="I72" i="8"/>
  <c r="H72" i="8"/>
  <c r="G72" i="8"/>
  <c r="F72" i="8"/>
  <c r="E72" i="8"/>
  <c r="D72" i="8"/>
  <c r="O71" i="8"/>
  <c r="N71" i="8"/>
  <c r="M71" i="8"/>
  <c r="L71" i="8"/>
  <c r="K71" i="8"/>
  <c r="J71" i="8"/>
  <c r="I71" i="8"/>
  <c r="H71" i="8"/>
  <c r="G71" i="8"/>
  <c r="F71" i="8"/>
  <c r="E71" i="8"/>
  <c r="D71" i="8"/>
  <c r="O70" i="8"/>
  <c r="N70" i="8"/>
  <c r="M70" i="8"/>
  <c r="L70" i="8"/>
  <c r="K70" i="8"/>
  <c r="J70" i="8"/>
  <c r="I70" i="8"/>
  <c r="H70" i="8"/>
  <c r="G70" i="8"/>
  <c r="F70" i="8"/>
  <c r="E70" i="8"/>
  <c r="D70" i="8"/>
  <c r="O69" i="8"/>
  <c r="N69" i="8"/>
  <c r="M69" i="8"/>
  <c r="L69" i="8"/>
  <c r="K69" i="8"/>
  <c r="J69" i="8"/>
  <c r="I69" i="8"/>
  <c r="H69" i="8"/>
  <c r="G69" i="8"/>
  <c r="F69" i="8"/>
  <c r="E69" i="8"/>
  <c r="D69" i="8"/>
  <c r="M68" i="8"/>
  <c r="L68" i="8"/>
  <c r="I68" i="8"/>
  <c r="H68" i="8"/>
  <c r="E68" i="8"/>
  <c r="D68" i="8"/>
  <c r="O67" i="8"/>
  <c r="N67" i="8"/>
  <c r="M67" i="8"/>
  <c r="L67" i="8"/>
  <c r="K67" i="8"/>
  <c r="J67" i="8"/>
  <c r="I67" i="8"/>
  <c r="H67" i="8"/>
  <c r="G67" i="8"/>
  <c r="F67" i="8"/>
  <c r="E67" i="8"/>
  <c r="D67" i="8"/>
  <c r="O66" i="8"/>
  <c r="N66" i="8"/>
  <c r="M66" i="8"/>
  <c r="L66" i="8"/>
  <c r="K66" i="8"/>
  <c r="J66" i="8"/>
  <c r="I66" i="8"/>
  <c r="H66" i="8"/>
  <c r="G66" i="8"/>
  <c r="F66" i="8"/>
  <c r="E66" i="8"/>
  <c r="D66" i="8"/>
  <c r="O65" i="8"/>
  <c r="N65" i="8"/>
  <c r="M65" i="8"/>
  <c r="L65" i="8"/>
  <c r="K65" i="8"/>
  <c r="J65" i="8"/>
  <c r="I65" i="8"/>
  <c r="H65" i="8"/>
  <c r="G65" i="8"/>
  <c r="F65" i="8"/>
  <c r="E65" i="8"/>
  <c r="D65" i="8"/>
  <c r="I62" i="8"/>
  <c r="H62" i="8"/>
  <c r="G62" i="8"/>
  <c r="F62" i="8"/>
  <c r="E62" i="8"/>
  <c r="D62" i="8"/>
  <c r="I61" i="8"/>
  <c r="H61" i="8"/>
  <c r="G61" i="8"/>
  <c r="F61" i="8"/>
  <c r="E61" i="8"/>
  <c r="D61" i="8"/>
  <c r="I60" i="8"/>
  <c r="H60" i="8"/>
  <c r="G60" i="8"/>
  <c r="F60" i="8"/>
  <c r="E60" i="8"/>
  <c r="D60" i="8"/>
  <c r="I59" i="8"/>
  <c r="H59" i="8"/>
  <c r="G59" i="8"/>
  <c r="F59" i="8"/>
  <c r="E59" i="8"/>
  <c r="D59" i="8"/>
  <c r="I58" i="8"/>
  <c r="H58" i="8"/>
  <c r="G58" i="8"/>
  <c r="F58" i="8"/>
  <c r="E58" i="8"/>
  <c r="D58" i="8"/>
  <c r="I57" i="8"/>
  <c r="H57" i="8"/>
  <c r="G57" i="8"/>
  <c r="F57" i="8"/>
  <c r="E57" i="8"/>
  <c r="D57" i="8"/>
  <c r="I56" i="8"/>
  <c r="H56" i="8"/>
  <c r="G56" i="8"/>
  <c r="F56" i="8"/>
  <c r="E56" i="8"/>
  <c r="D56" i="8"/>
  <c r="K55" i="8"/>
  <c r="J55" i="8"/>
  <c r="G55" i="8"/>
  <c r="F55" i="8"/>
  <c r="K54" i="8"/>
  <c r="J54" i="8"/>
  <c r="I54" i="8"/>
  <c r="H54" i="8"/>
  <c r="G54" i="8"/>
  <c r="F54" i="8"/>
  <c r="E54" i="8"/>
  <c r="D54" i="8"/>
  <c r="K53" i="8"/>
  <c r="J53" i="8"/>
  <c r="I53" i="8"/>
  <c r="H53" i="8"/>
  <c r="G53" i="8"/>
  <c r="F53" i="8"/>
  <c r="E53" i="8"/>
  <c r="D53" i="8"/>
  <c r="K52" i="8"/>
  <c r="J52" i="8"/>
  <c r="I52" i="8"/>
  <c r="H52" i="8"/>
  <c r="G52" i="8"/>
  <c r="F52" i="8"/>
  <c r="E52" i="8"/>
  <c r="D52" i="8"/>
  <c r="K51" i="8"/>
  <c r="J51" i="8"/>
  <c r="I51" i="8"/>
  <c r="H51" i="8"/>
  <c r="G51" i="8"/>
  <c r="F51" i="8"/>
  <c r="E51" i="8"/>
  <c r="D51" i="8"/>
  <c r="K50" i="8"/>
  <c r="J50" i="8"/>
  <c r="I50" i="8"/>
  <c r="H50" i="8"/>
  <c r="G50" i="8"/>
  <c r="F50" i="8"/>
  <c r="E50" i="8"/>
  <c r="D50" i="8"/>
  <c r="K49" i="8"/>
  <c r="J49" i="8"/>
  <c r="I49" i="8"/>
  <c r="H49" i="8"/>
  <c r="G49" i="8"/>
  <c r="F49" i="8"/>
  <c r="E49" i="8"/>
  <c r="D49" i="8"/>
  <c r="K48" i="8"/>
  <c r="J48" i="8"/>
  <c r="I48" i="8"/>
  <c r="H48" i="8"/>
  <c r="G48" i="8"/>
  <c r="F48" i="8"/>
  <c r="E48" i="8"/>
  <c r="D48" i="8"/>
  <c r="K47" i="8"/>
  <c r="J47" i="8"/>
  <c r="I47" i="8"/>
  <c r="H47" i="8"/>
  <c r="G47" i="8"/>
  <c r="F47" i="8"/>
  <c r="E47" i="8"/>
  <c r="D47" i="8"/>
  <c r="K46" i="8"/>
  <c r="J46" i="8"/>
  <c r="I46" i="8"/>
  <c r="H46" i="8"/>
  <c r="G46" i="8"/>
  <c r="F46" i="8"/>
  <c r="E46" i="8"/>
  <c r="D46" i="8"/>
  <c r="K45" i="8"/>
  <c r="J45" i="8"/>
  <c r="I45" i="8"/>
  <c r="H45" i="8"/>
  <c r="G45" i="8"/>
  <c r="F45" i="8"/>
  <c r="E45" i="8"/>
  <c r="D45" i="8"/>
  <c r="K44" i="8"/>
  <c r="J44" i="8"/>
  <c r="I44" i="8"/>
  <c r="H44" i="8"/>
  <c r="G44" i="8"/>
  <c r="F44" i="8"/>
  <c r="E44" i="8"/>
  <c r="D44" i="8"/>
  <c r="K43" i="8"/>
  <c r="J43" i="8"/>
  <c r="I43" i="8"/>
  <c r="H43" i="8"/>
  <c r="G43" i="8"/>
  <c r="F43" i="8"/>
  <c r="E43" i="8"/>
  <c r="D43" i="8"/>
  <c r="D42" i="8"/>
  <c r="D41" i="8"/>
  <c r="D40" i="8"/>
  <c r="D39" i="8"/>
  <c r="D38" i="8"/>
  <c r="D37" i="8"/>
  <c r="D36" i="8"/>
  <c r="D35" i="8"/>
  <c r="D34" i="8"/>
  <c r="D33" i="8"/>
  <c r="D32" i="8"/>
  <c r="D31" i="8"/>
  <c r="D30" i="8"/>
  <c r="D29" i="8"/>
  <c r="G28" i="8"/>
  <c r="F28" i="8"/>
  <c r="E28" i="8"/>
  <c r="D28" i="8"/>
  <c r="G27" i="8"/>
  <c r="F27" i="8"/>
  <c r="E27" i="8"/>
  <c r="D27" i="8"/>
  <c r="D26" i="8"/>
  <c r="J25" i="8"/>
  <c r="I25" i="8"/>
  <c r="H25" i="8"/>
  <c r="G25" i="8"/>
  <c r="F25" i="8"/>
  <c r="E25" i="8"/>
  <c r="D25" i="8"/>
  <c r="J24" i="8"/>
  <c r="I24" i="8"/>
  <c r="H24" i="8"/>
  <c r="G24" i="8"/>
  <c r="F24" i="8"/>
  <c r="E24" i="8"/>
  <c r="D24" i="8"/>
  <c r="J23" i="8"/>
  <c r="I23" i="8"/>
  <c r="H23" i="8"/>
  <c r="G23" i="8"/>
  <c r="F23" i="8"/>
  <c r="E23" i="8"/>
  <c r="D23" i="8"/>
  <c r="J22" i="8"/>
  <c r="I22" i="8"/>
  <c r="H22" i="8"/>
  <c r="G22" i="8"/>
  <c r="F22" i="8"/>
  <c r="E22" i="8"/>
  <c r="D22" i="8"/>
  <c r="J21" i="8"/>
  <c r="I21" i="8"/>
  <c r="H21" i="8"/>
  <c r="G21" i="8"/>
  <c r="F21" i="8"/>
  <c r="E21" i="8"/>
  <c r="D21" i="8"/>
  <c r="J20" i="8"/>
  <c r="I20" i="8"/>
  <c r="H20" i="8"/>
  <c r="G20" i="8"/>
  <c r="F20" i="8"/>
  <c r="E20" i="8"/>
  <c r="D20" i="8"/>
  <c r="J19" i="8"/>
  <c r="I19" i="8"/>
  <c r="H19" i="8"/>
  <c r="G19" i="8"/>
  <c r="F19" i="8"/>
  <c r="E19" i="8"/>
  <c r="D19" i="8"/>
  <c r="I18" i="8"/>
  <c r="E18" i="8"/>
  <c r="J17" i="8"/>
  <c r="I17" i="8"/>
  <c r="H17" i="8"/>
  <c r="G17" i="8"/>
  <c r="F17" i="8"/>
  <c r="E17" i="8"/>
  <c r="D17" i="8"/>
  <c r="J15" i="8"/>
  <c r="I15" i="8"/>
  <c r="H15" i="8"/>
  <c r="G15" i="8"/>
  <c r="F15" i="8"/>
  <c r="E15" i="8"/>
  <c r="D15" i="8"/>
  <c r="J14" i="8"/>
  <c r="I14" i="8"/>
  <c r="H14" i="8"/>
  <c r="G14" i="8"/>
  <c r="F14" i="8"/>
  <c r="E14" i="8"/>
  <c r="D14" i="8"/>
  <c r="O13" i="8"/>
  <c r="N13" i="8"/>
  <c r="M13" i="8"/>
  <c r="L13" i="8"/>
  <c r="K13" i="8"/>
  <c r="J13" i="8"/>
  <c r="I13" i="8"/>
  <c r="H13" i="8"/>
  <c r="G13" i="8"/>
  <c r="F13" i="8"/>
  <c r="E13" i="8"/>
  <c r="D13" i="8"/>
  <c r="O12" i="8"/>
  <c r="N12" i="8"/>
  <c r="M12" i="8"/>
  <c r="L12" i="8"/>
  <c r="K12" i="8"/>
  <c r="J12" i="8"/>
  <c r="I12" i="8"/>
  <c r="H12" i="8"/>
  <c r="G12" i="8"/>
  <c r="F12" i="8"/>
  <c r="E12" i="8"/>
  <c r="D12" i="8"/>
  <c r="O11" i="8"/>
  <c r="N11" i="8"/>
  <c r="M11" i="8"/>
  <c r="L11" i="8"/>
  <c r="K11" i="8"/>
  <c r="J11" i="8"/>
  <c r="I11" i="8"/>
  <c r="H11" i="8"/>
  <c r="G11" i="8"/>
  <c r="F11" i="8"/>
  <c r="E11" i="8"/>
  <c r="D11" i="8"/>
  <c r="O10" i="8"/>
  <c r="N10" i="8"/>
  <c r="M10" i="8"/>
  <c r="L10" i="8"/>
  <c r="K10" i="8"/>
  <c r="J10" i="8"/>
  <c r="I10" i="8"/>
  <c r="H10" i="8"/>
  <c r="G10" i="8"/>
  <c r="F10" i="8"/>
  <c r="E10" i="8"/>
  <c r="D10" i="8"/>
  <c r="O9" i="8"/>
  <c r="N9" i="8"/>
  <c r="M9" i="8"/>
  <c r="L9" i="8"/>
  <c r="K9" i="8"/>
  <c r="J9" i="8"/>
  <c r="I9" i="8"/>
  <c r="H9" i="8"/>
  <c r="G9" i="8"/>
  <c r="F9" i="8"/>
  <c r="E9" i="8"/>
  <c r="D9" i="8"/>
  <c r="O8" i="8"/>
  <c r="N8" i="8"/>
  <c r="M8" i="8"/>
  <c r="L8" i="8"/>
  <c r="K8" i="8"/>
  <c r="J8" i="8"/>
  <c r="I8" i="8"/>
  <c r="H8" i="8"/>
  <c r="G8" i="8"/>
  <c r="F8" i="8"/>
  <c r="E8" i="8"/>
  <c r="D8" i="8"/>
  <c r="O7" i="8"/>
  <c r="N7" i="8"/>
  <c r="M7" i="8"/>
  <c r="L7" i="8"/>
  <c r="K7" i="8"/>
  <c r="J7" i="8"/>
  <c r="I7" i="8"/>
  <c r="G7" i="8"/>
  <c r="F7" i="8"/>
  <c r="E7" i="8"/>
  <c r="D7" i="8"/>
  <c r="O6" i="8"/>
  <c r="N6" i="8"/>
  <c r="M6" i="8"/>
  <c r="L6" i="8"/>
  <c r="K6" i="8"/>
  <c r="J6" i="8"/>
  <c r="I6" i="8"/>
  <c r="H6" i="8"/>
  <c r="G6" i="8"/>
  <c r="F6" i="8"/>
  <c r="E6" i="8"/>
  <c r="D6" i="8"/>
  <c r="O5" i="8"/>
  <c r="N5" i="8"/>
  <c r="M5" i="8"/>
  <c r="L5" i="8"/>
  <c r="K5" i="8"/>
  <c r="J5" i="8"/>
  <c r="I5" i="8"/>
  <c r="H5" i="8"/>
  <c r="G5" i="8"/>
  <c r="F5" i="8"/>
  <c r="E5" i="8"/>
  <c r="D5" i="8"/>
  <c r="N4" i="8"/>
  <c r="M4" i="8"/>
  <c r="J4" i="8"/>
  <c r="I4" i="8"/>
  <c r="F4" i="8"/>
  <c r="E4" i="8"/>
  <c r="O3" i="8"/>
  <c r="N3" i="8"/>
  <c r="M3" i="8"/>
  <c r="L3" i="8"/>
  <c r="K3" i="8"/>
  <c r="J3" i="8"/>
  <c r="I3" i="8"/>
  <c r="H3" i="8"/>
  <c r="G3" i="8"/>
  <c r="F3" i="8"/>
  <c r="E3" i="8"/>
  <c r="D3" i="8"/>
  <c r="O2" i="8"/>
  <c r="N2" i="8"/>
  <c r="M2" i="8"/>
  <c r="L2" i="8"/>
  <c r="K2" i="8"/>
  <c r="J2" i="8"/>
  <c r="I2" i="8"/>
  <c r="H2" i="8"/>
  <c r="G2" i="8"/>
  <c r="F2" i="8"/>
  <c r="E2" i="8"/>
  <c r="D2" i="8"/>
  <c r="D49" i="7"/>
  <c r="C49" i="7"/>
  <c r="D48" i="7"/>
  <c r="C48" i="7"/>
  <c r="D47" i="7"/>
  <c r="C47" i="7"/>
  <c r="D46" i="7"/>
  <c r="C46" i="7"/>
  <c r="D45" i="7"/>
  <c r="C45" i="7"/>
  <c r="D44" i="7"/>
  <c r="C44" i="7"/>
  <c r="D43" i="7"/>
  <c r="C43" i="7"/>
  <c r="D42" i="7"/>
  <c r="C42" i="7"/>
  <c r="D41" i="7"/>
  <c r="C41" i="7"/>
  <c r="D40" i="7"/>
  <c r="C40" i="7"/>
  <c r="D39" i="7"/>
  <c r="C39" i="7"/>
  <c r="D38" i="7"/>
  <c r="C38" i="7"/>
  <c r="D37" i="7"/>
  <c r="C37" i="7"/>
  <c r="D36" i="7"/>
  <c r="C36" i="7"/>
  <c r="D35" i="7"/>
  <c r="C35" i="7"/>
  <c r="D34" i="7"/>
  <c r="C34" i="7"/>
  <c r="D33" i="7"/>
  <c r="C33" i="7"/>
  <c r="C32" i="7"/>
  <c r="C31" i="7"/>
  <c r="C30" i="7"/>
  <c r="C29" i="7"/>
  <c r="C28" i="7"/>
  <c r="C27" i="7"/>
  <c r="C26" i="7"/>
  <c r="C25" i="7"/>
  <c r="C24" i="7"/>
  <c r="C23" i="7"/>
  <c r="C22" i="7"/>
  <c r="C21" i="7"/>
  <c r="C20" i="7"/>
  <c r="C18" i="7"/>
  <c r="C17" i="7"/>
  <c r="C16" i="7"/>
  <c r="C15" i="7"/>
  <c r="C14" i="7"/>
  <c r="C13" i="7"/>
  <c r="C12" i="7"/>
  <c r="C11" i="7"/>
  <c r="C10" i="7"/>
  <c r="C9" i="7"/>
  <c r="C8" i="7"/>
  <c r="C7" i="7"/>
  <c r="C6" i="7"/>
  <c r="C5" i="7"/>
  <c r="C4" i="7"/>
  <c r="C3" i="7"/>
  <c r="C2" i="7"/>
  <c r="C20" i="5"/>
  <c r="C19" i="7" s="1"/>
  <c r="R3" i="5"/>
  <c r="Q3" i="5"/>
  <c r="P3" i="5"/>
  <c r="O3" i="5"/>
  <c r="N3" i="5"/>
  <c r="M3" i="5"/>
  <c r="L3" i="5"/>
  <c r="K3" i="5"/>
  <c r="J3" i="5"/>
  <c r="I3" i="5"/>
  <c r="H3" i="5"/>
  <c r="X18" i="4"/>
  <c r="W18" i="4"/>
  <c r="V18" i="4"/>
  <c r="U18" i="4"/>
  <c r="T18" i="4"/>
  <c r="R18" i="4"/>
  <c r="H28" i="8" s="1"/>
  <c r="X17" i="4"/>
  <c r="W17" i="4"/>
  <c r="V17" i="4"/>
  <c r="U17" i="4"/>
  <c r="T17" i="4"/>
  <c r="R17" i="4"/>
  <c r="I28" i="8" s="1"/>
  <c r="X16" i="4"/>
  <c r="W16" i="4"/>
  <c r="V16" i="4"/>
  <c r="U16" i="4"/>
  <c r="T16" i="4"/>
  <c r="R16" i="4"/>
  <c r="J28" i="8" s="1"/>
  <c r="X15" i="4"/>
  <c r="R15" i="4" s="1"/>
  <c r="K28" i="8" s="1"/>
  <c r="W15" i="4"/>
  <c r="V15" i="4"/>
  <c r="U15" i="4"/>
  <c r="T15" i="4"/>
  <c r="X14" i="4"/>
  <c r="W14" i="4"/>
  <c r="V14" i="4"/>
  <c r="U14" i="4"/>
  <c r="T14" i="4"/>
  <c r="R14" i="4"/>
  <c r="L28" i="8" s="1"/>
  <c r="X13" i="4"/>
  <c r="W13" i="4"/>
  <c r="V13" i="4"/>
  <c r="U13" i="4"/>
  <c r="T13" i="4"/>
  <c r="R13" i="4"/>
  <c r="M28" i="8" s="1"/>
  <c r="X12" i="4"/>
  <c r="W12" i="4"/>
  <c r="V12" i="4"/>
  <c r="U12" i="4"/>
  <c r="T12" i="4"/>
  <c r="R12" i="4"/>
  <c r="N28" i="8" s="1"/>
  <c r="X11" i="4"/>
  <c r="R11" i="4" s="1"/>
  <c r="O28" i="8" s="1"/>
  <c r="W11" i="4"/>
  <c r="V11" i="4"/>
  <c r="U11" i="4"/>
  <c r="T11" i="4"/>
  <c r="X10" i="4"/>
  <c r="W10" i="4"/>
  <c r="V10" i="4"/>
  <c r="U10" i="4"/>
  <c r="T10" i="4"/>
  <c r="R10" i="4"/>
  <c r="P28" i="8" s="1"/>
  <c r="X9" i="4"/>
  <c r="W9" i="4"/>
  <c r="V9" i="4"/>
  <c r="U9" i="4"/>
  <c r="T9" i="4"/>
  <c r="R9" i="4"/>
  <c r="Q28" i="8" s="1"/>
  <c r="X8" i="4"/>
  <c r="W8" i="4"/>
  <c r="V8" i="4"/>
  <c r="U8" i="4"/>
  <c r="T8" i="4"/>
  <c r="R8" i="4"/>
  <c r="R28" i="8" s="1"/>
  <c r="X7" i="4"/>
  <c r="R7" i="4" s="1"/>
  <c r="S28" i="8" s="1"/>
  <c r="W7" i="4"/>
  <c r="V7" i="4"/>
  <c r="U7" i="4"/>
  <c r="T7" i="4"/>
  <c r="C7" i="4"/>
  <c r="C6" i="4"/>
  <c r="Q18" i="4" s="1"/>
  <c r="H27" i="8" s="1"/>
  <c r="J152" i="3"/>
  <c r="I64" i="8" s="1"/>
  <c r="I152" i="3"/>
  <c r="H64" i="8" s="1"/>
  <c r="H152" i="3"/>
  <c r="G64" i="8" s="1"/>
  <c r="G152" i="3"/>
  <c r="F64" i="8" s="1"/>
  <c r="F152" i="3"/>
  <c r="E64" i="8" s="1"/>
  <c r="E152" i="3"/>
  <c r="D64" i="8" s="1"/>
  <c r="J151" i="3"/>
  <c r="I63" i="8" s="1"/>
  <c r="I151" i="3"/>
  <c r="H63" i="8" s="1"/>
  <c r="H151" i="3"/>
  <c r="G63" i="8" s="1"/>
  <c r="G151" i="3"/>
  <c r="F63" i="8" s="1"/>
  <c r="F151" i="3"/>
  <c r="E63" i="8" s="1"/>
  <c r="E151" i="3"/>
  <c r="D63" i="8" s="1"/>
  <c r="L141" i="3"/>
  <c r="K141" i="3"/>
  <c r="J141" i="3"/>
  <c r="I55" i="8" s="1"/>
  <c r="I141" i="3"/>
  <c r="H55" i="8" s="1"/>
  <c r="H141" i="3"/>
  <c r="G141" i="3"/>
  <c r="F141" i="3"/>
  <c r="E55" i="8" s="1"/>
  <c r="E141" i="3"/>
  <c r="D55" i="8" s="1"/>
  <c r="K68" i="3"/>
  <c r="J16" i="8" s="1"/>
  <c r="J68" i="3"/>
  <c r="I133" i="8" s="1"/>
  <c r="I68" i="3"/>
  <c r="H133" i="8" s="1"/>
  <c r="H68" i="3"/>
  <c r="G133" i="8" s="1"/>
  <c r="G68" i="3"/>
  <c r="F16" i="8" s="1"/>
  <c r="F68" i="3"/>
  <c r="E133" i="8" s="1"/>
  <c r="E68" i="3"/>
  <c r="D133" i="8" s="1"/>
  <c r="P4" i="3"/>
  <c r="O68" i="8" s="1"/>
  <c r="O4" i="3"/>
  <c r="N68" i="8" s="1"/>
  <c r="N4" i="3"/>
  <c r="M4" i="3"/>
  <c r="L4" i="8" s="1"/>
  <c r="L4" i="3"/>
  <c r="K68" i="8" s="1"/>
  <c r="K4" i="3"/>
  <c r="J68" i="8" s="1"/>
  <c r="J4" i="3"/>
  <c r="I4" i="3"/>
  <c r="H4" i="8" s="1"/>
  <c r="H4" i="3"/>
  <c r="G68" i="8" s="1"/>
  <c r="G4" i="3"/>
  <c r="F68" i="8" s="1"/>
  <c r="F4" i="3"/>
  <c r="E4" i="3"/>
  <c r="D4" i="8" s="1"/>
  <c r="Q9" i="4" l="1"/>
  <c r="Q27" i="8" s="1"/>
  <c r="Q13" i="4"/>
  <c r="M27" i="8" s="1"/>
  <c r="Q17" i="4"/>
  <c r="I27" i="8" s="1"/>
  <c r="G16" i="8"/>
  <c r="Q8" i="4"/>
  <c r="R27" i="8" s="1"/>
  <c r="F18" i="8"/>
  <c r="J18" i="8"/>
  <c r="Q12" i="4"/>
  <c r="N27" i="8" s="1"/>
  <c r="Q16" i="4"/>
  <c r="J27" i="8" s="1"/>
  <c r="D16" i="8"/>
  <c r="H16" i="8"/>
  <c r="Q7" i="4"/>
  <c r="S27" i="8" s="1"/>
  <c r="Q11" i="4"/>
  <c r="O27" i="8" s="1"/>
  <c r="Q15" i="4"/>
  <c r="K27" i="8" s="1"/>
  <c r="G4" i="8"/>
  <c r="K4" i="8"/>
  <c r="O4" i="8"/>
  <c r="E16" i="8"/>
  <c r="I16" i="8"/>
  <c r="G18" i="8"/>
  <c r="Q10" i="4"/>
  <c r="P27" i="8" s="1"/>
  <c r="Q14" i="4"/>
  <c r="L27" i="8" s="1"/>
  <c r="D18"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Qualcomm User</author>
  </authors>
  <commentList>
    <comment ref="I4" authorId="0" shapeId="0" xr:uid="{00000000-0006-0000-0400-000001000000}">
      <text>
        <r>
          <rPr>
            <sz val="11"/>
            <color theme="1"/>
            <rFont val="Calibri"/>
            <family val="2"/>
            <scheme val="minor"/>
          </rPr>
          <t>WARNING
Do not disable this frequency unless DDRSS power collapse is also disabled</t>
        </r>
      </text>
    </comment>
    <comment ref="Q4" authorId="0" shapeId="0" xr:uid="{00000000-0006-0000-0400-000002000000}">
      <text>
        <r>
          <rPr>
            <sz val="11"/>
            <color theme="1"/>
            <rFont val="Calibri"/>
            <family val="2"/>
            <scheme val="minor"/>
          </rPr>
          <t>WARNING
Do not disable this frequency without also disabling 1804.8MHz</t>
        </r>
      </text>
    </comment>
    <comment ref="H17" authorId="0" shapeId="0" xr:uid="{00000000-0006-0000-0400-000003000000}">
      <text>
        <r>
          <rPr>
            <sz val="11"/>
            <color theme="1"/>
            <rFont val="Calibri"/>
            <family val="2"/>
            <scheme val="minor"/>
          </rPr>
          <t>WARNING
Only intended for failure debug.  Extended logging may impact power and performance</t>
        </r>
      </text>
    </comment>
    <comment ref="H18" authorId="0" shapeId="0" xr:uid="{00000000-0006-0000-0400-000004000000}">
      <text>
        <r>
          <rPr>
            <sz val="11"/>
            <color theme="1"/>
            <rFont val="Calibri"/>
            <family val="2"/>
            <scheme val="minor"/>
          </rPr>
          <t>WARNING
Only intended for failure debug.  Extended logging may impact power and performance</t>
        </r>
      </text>
    </comment>
    <comment ref="H19" authorId="0" shapeId="0" xr:uid="{00000000-0006-0000-0400-000005000000}">
      <text>
        <r>
          <rPr>
            <sz val="11"/>
            <color theme="1"/>
            <rFont val="Calibri"/>
            <family val="2"/>
            <scheme val="minor"/>
          </rPr>
          <t>WARNING
Only intended for failure debug.  Extended logging may impact power and performance</t>
        </r>
      </text>
    </comment>
  </commentList>
</comments>
</file>

<file path=xl/sharedStrings.xml><?xml version="1.0" encoding="utf-8"?>
<sst xmlns="http://schemas.openxmlformats.org/spreadsheetml/2006/main" count="59816" uniqueCount="13402">
  <si>
    <t>Qualcomm</t>
  </si>
  <si>
    <t>Qualcomm Technologies, Inc.</t>
  </si>
  <si>
    <t>DSF XL File</t>
  </si>
  <si>
    <t>Confidential and Proprietary – Qualcomm Technologies, Inc.</t>
  </si>
  <si>
    <t>NO PUBLIC DISCLOSURE PERMITTED: Please report postings of this document on public servers or websites to: DocCtrlAgent@qualcomm.com</t>
  </si>
  <si>
    <t>Restricted Distribution: Not to be distributed to anyone who is not an employee of either Qualcomm Technologies, Inc. or its affiliated companies without the express approval of Qualcomm Configuration Management.</t>
  </si>
  <si>
    <t>Not to be used, copied, reproduced, or modified in whole or in part, nor its contents revealed in any manner to others without the express written permission of Qualcomm Technologies, Inc.</t>
  </si>
  <si>
    <t xml:space="preserve">Qualcomm is a trademark of Qualcomm Incorporated, registered in the United States and other countries. Other product and brand names may be trademarks or registered trademarks of their respective owners. </t>
  </si>
  <si>
    <t>This technical data may be subject to U.S. and international export, re-export, or transfer (“export”) laws. Diversion contrary to U.S. and international law is strictly prohibited.</t>
  </si>
  <si>
    <t>5775 Morehouse Drive</t>
  </si>
  <si>
    <t>San Diego, CA 92121</t>
  </si>
  <si>
    <t>U.S.A.</t>
  </si>
  <si>
    <t>© 2017 Qualcomm Technologies, Inc. All rights reserved.</t>
  </si>
  <si>
    <t>Block Name</t>
  </si>
  <si>
    <t>Design Count</t>
  </si>
  <si>
    <t>Coverage</t>
  </si>
  <si>
    <t>Excluded</t>
  </si>
  <si>
    <t>LLCC_PERFMON</t>
  </si>
  <si>
    <t>LLCC_COMMON</t>
  </si>
  <si>
    <t>DDR_SS_REGS</t>
  </si>
  <si>
    <t>GLOBAL_SEC</t>
  </si>
  <si>
    <t>LLCC_FERC</t>
  </si>
  <si>
    <t>LLCC_BERC</t>
  </si>
  <si>
    <t>INTERRUPT</t>
  </si>
  <si>
    <t>LLCC_FEWC</t>
  </si>
  <si>
    <t>LLCC_PMGR</t>
  </si>
  <si>
    <t>LLCC_BEAC</t>
  </si>
  <si>
    <t>MCCC_MSTR</t>
  </si>
  <si>
    <t>LLCC_AMON</t>
  </si>
  <si>
    <t>LLCC_FEAC</t>
  </si>
  <si>
    <t>LLCC_BIST</t>
  </si>
  <si>
    <t>LLCC_MPU</t>
  </si>
  <si>
    <t>LLCC_DRP</t>
  </si>
  <si>
    <t>SHRM_CSR</t>
  </si>
  <si>
    <t>DPCC_REG</t>
  </si>
  <si>
    <t>LLCC_TRP</t>
  </si>
  <si>
    <t>MCCC_SLV</t>
  </si>
  <si>
    <t>CBU_TOP</t>
  </si>
  <si>
    <t>MEM_NOC</t>
  </si>
  <si>
    <t>DQ_PHY</t>
  </si>
  <si>
    <t>CA_PHY</t>
  </si>
  <si>
    <t>GLOBAL</t>
  </si>
  <si>
    <t>DDR_CC</t>
  </si>
  <si>
    <t>SHKE</t>
  </si>
  <si>
    <t>DTC</t>
  </si>
  <si>
    <t>OSU</t>
  </si>
  <si>
    <t>MPE</t>
  </si>
  <si>
    <t>ISU</t>
  </si>
  <si>
    <t>Frequency</t>
  </si>
  <si>
    <t>Absolute Address</t>
  </si>
  <si>
    <t>Register</t>
  </si>
  <si>
    <t>Recommended Settings</t>
  </si>
  <si>
    <t>PoR Source</t>
  </si>
  <si>
    <t>Read Value</t>
  </si>
  <si>
    <t>Delta</t>
  </si>
  <si>
    <t>Field</t>
  </si>
  <si>
    <t>Structure/Array</t>
  </si>
  <si>
    <t>Member/Index</t>
  </si>
  <si>
    <t>NA</t>
  </si>
  <si>
    <t>clock_plan</t>
  </si>
  <si>
    <t>index</t>
  </si>
  <si>
    <t>frequency</t>
  </si>
  <si>
    <t>768</t>
  </si>
  <si>
    <t>clk_period_in_psec</t>
  </si>
  <si>
    <t>mc_states</t>
  </si>
  <si>
    <t>freq_enable</t>
  </si>
  <si>
    <t>INPUT SHEET</t>
  </si>
  <si>
    <t>clk_mode</t>
  </si>
  <si>
    <t>GHS</t>
  </si>
  <si>
    <t>D2N</t>
  </si>
  <si>
    <t>vddcx</t>
  </si>
  <si>
    <t>VDD_OFF</t>
  </si>
  <si>
    <t>vddmx</t>
  </si>
  <si>
    <t>vdda</t>
  </si>
  <si>
    <t>pmic_mode_cfg</t>
  </si>
  <si>
    <t>max_up_idx</t>
  </si>
  <si>
    <t>min_down_idx</t>
  </si>
  <si>
    <t>double_freq_switch</t>
  </si>
  <si>
    <t>DTC_COL_TIMING_DR_EXTEND_CFG</t>
  </si>
  <si>
    <t>TWTR_DR</t>
  </si>
  <si>
    <t>mc_timing_extend</t>
  </si>
  <si>
    <t>dr_extend</t>
  </si>
  <si>
    <t>2</t>
  </si>
  <si>
    <t>TRTW_DR</t>
  </si>
  <si>
    <t>TWTW_DR</t>
  </si>
  <si>
    <t>TRTR_DR</t>
  </si>
  <si>
    <t>DTC_COL_TIMING_SR_EXTEND_CFG</t>
  </si>
  <si>
    <t>TWTR_SR</t>
  </si>
  <si>
    <t>sr_extend</t>
  </si>
  <si>
    <t>1</t>
  </si>
  <si>
    <t>Add one more cycle with Auto-precharge enabled when frequency &gt; 800MHz</t>
  </si>
  <si>
    <t>TRTW_SR</t>
  </si>
  <si>
    <t>TWTW_SR</t>
  </si>
  <si>
    <t>TRTR_SR</t>
  </si>
  <si>
    <t>OSU_TIMING_CFG_QFI_2P0_RD_OPCODE_OFFSET_n_&lt;0&gt;</t>
  </si>
  <si>
    <t>IN_CK</t>
  </si>
  <si>
    <t>mc_rd_opcode_offset</t>
  </si>
  <si>
    <t>0</t>
  </si>
  <si>
    <t>IN_PS</t>
  </si>
  <si>
    <t>OSU_TIMING_CFG_QFI_2P0_RD_OPCODE_OFFSET_n_&lt;1&gt;</t>
  </si>
  <si>
    <t>OSU_TIMING_CFG_QFI_2P0_WR_OPCODE_OFFSET_n_&lt;0&gt;</t>
  </si>
  <si>
    <t>mc_wr_opcode_offset</t>
  </si>
  <si>
    <t>OSU_TIMING_CFG_QFI_2P0_WR_OPCODE_OFFSET_n_&lt;1&gt;</t>
  </si>
  <si>
    <t>OSU_PWRS_TRANS_LAT_CFG_CPWRS_m_NPWRS_n_&lt;0&gt;&lt;0&gt;</t>
  </si>
  <si>
    <t>LATENCY</t>
  </si>
  <si>
    <t>mc_pwrs_latency_cycle</t>
  </si>
  <si>
    <t>0_0</t>
  </si>
  <si>
    <t>OSU_PWRS_TRANS_LAT_CFG_CPWRS_m_NPWRS_n_&lt;0&gt;&lt;1&gt;</t>
  </si>
  <si>
    <t>0_1</t>
  </si>
  <si>
    <t>OSU_PWRS_TRANS_LAT_CFG_CPWRS_m_NPWRS_n_&lt;0&gt;&lt;2&gt;</t>
  </si>
  <si>
    <t>0_2</t>
  </si>
  <si>
    <t>29</t>
  </si>
  <si>
    <t>OSU_PWRS_TRANS_LAT_CFG_CPWRS_m_NPWRS_n_&lt;0&gt;&lt;3&gt;</t>
  </si>
  <si>
    <t>0_3</t>
  </si>
  <si>
    <t>OSU_PWRS_TRANS_LAT_CFG_CPWRS_m_NPWRS_n_&lt;1&gt;&lt;0&gt;</t>
  </si>
  <si>
    <t>1_0</t>
  </si>
  <si>
    <t>OSU_PWRS_TRANS_LAT_CFG_CPWRS_m_NPWRS_n_&lt;1&gt;&lt;1&gt;</t>
  </si>
  <si>
    <t>1_1</t>
  </si>
  <si>
    <t>OSU_PWRS_TRANS_LAT_CFG_CPWRS_m_NPWRS_n_&lt;1&gt;&lt;2&gt;</t>
  </si>
  <si>
    <t>1_2</t>
  </si>
  <si>
    <t>OSU_PWRS_TRANS_LAT_CFG_CPWRS_m_NPWRS_n_&lt;1&gt;&lt;3&gt;</t>
  </si>
  <si>
    <t>1_3</t>
  </si>
  <si>
    <t>OSU_PWRS_TRANS_LAT_CFG_CPWRS_m_NPWRS_n_&lt;2&gt;&lt;0&gt;</t>
  </si>
  <si>
    <t>2_0</t>
  </si>
  <si>
    <t>62</t>
  </si>
  <si>
    <t>OSU_PWRS_TRANS_LAT_CFG_CPWRS_m_NPWRS_n_&lt;2&gt;&lt;1&gt;</t>
  </si>
  <si>
    <t>2_1</t>
  </si>
  <si>
    <t>OSU_PWRS_TRANS_LAT_CFG_CPWRS_m_NPWRS_n_&lt;2&gt;&lt;2&gt;</t>
  </si>
  <si>
    <t>2_2</t>
  </si>
  <si>
    <t>OSU_PWRS_TRANS_LAT_CFG_CPWRS_m_NPWRS_n_&lt;2&gt;&lt;3&gt;</t>
  </si>
  <si>
    <t>2_3</t>
  </si>
  <si>
    <t>OSU_PWRS_TRANS_LAT_CFG_CPWRS_m_NPWRS_n_&lt;3&gt;&lt;0&gt;</t>
  </si>
  <si>
    <t>3_0</t>
  </si>
  <si>
    <t>OSU_PWRS_TRANS_LAT_CFG_CPWRS_m_NPWRS_n_&lt;3&gt;&lt;1&gt;</t>
  </si>
  <si>
    <t>3_1</t>
  </si>
  <si>
    <t>OSU_PWRS_TRANS_LAT_CFG_CPWRS_m_NPWRS_n_&lt;3&gt;&lt;2&gt;</t>
  </si>
  <si>
    <t>3_2</t>
  </si>
  <si>
    <t>OSU_PWRS_TRANS_LAT_CFG_CPWRS_m_NPWRS_n_&lt;3&gt;&lt;3&gt;</t>
  </si>
  <si>
    <t>3_3</t>
  </si>
  <si>
    <t>OSU_PWRS_m_n_CFG_&lt;0&gt;&lt;0&gt;</t>
  </si>
  <si>
    <t>PWRS_ENABLE</t>
  </si>
  <si>
    <t>mc_pwr_cfg</t>
  </si>
  <si>
    <t>OSU_PWRS_m_n_CFG_&lt;0&gt;&lt;1&gt;</t>
  </si>
  <si>
    <t>OSU_PWRS_m_n_CFG_&lt;0&gt;&lt;2&gt;</t>
  </si>
  <si>
    <t>OSU_PWRS_m_n_CFG_&lt;0&gt;&lt;3&gt;</t>
  </si>
  <si>
    <t>OSU_PWRS_m_n_CFG_&lt;1&gt;&lt;0&gt;</t>
  </si>
  <si>
    <t>OSU_PWRS_m_n_CFG_&lt;1&gt;&lt;1&gt;</t>
  </si>
  <si>
    <t>OSU_PWRS_m_n_CFG_&lt;1&gt;&lt;2&gt;</t>
  </si>
  <si>
    <t>OSU_PWRS_m_n_CFG_&lt;1&gt;&lt;3&gt;</t>
  </si>
  <si>
    <t>OSU_PWRS_m_n_CFG_&lt;2&gt;&lt;0&gt;</t>
  </si>
  <si>
    <t>OSU_PWRS_m_n_CFG_&lt;2&gt;&lt;1&gt;</t>
  </si>
  <si>
    <t>OSU_PWRS_m_n_CFG_&lt;2&gt;&lt;2&gt;</t>
  </si>
  <si>
    <t>OSU_PWRS_m_n_CFG_&lt;2&gt;&lt;3&gt;</t>
  </si>
  <si>
    <t>OSU_PWRS_m_n_CFG_&lt;3&gt;&lt;0&gt;</t>
  </si>
  <si>
    <t>OSU_PWRS_m_n_CFG_&lt;3&gt;&lt;1&gt;</t>
  </si>
  <si>
    <t>OSU_PWRS_m_n_CFG_&lt;3&gt;&lt;2&gt;</t>
  </si>
  <si>
    <t>OSU_PWRS_m_n_CFG_&lt;3&gt;&lt;3&gt;</t>
  </si>
  <si>
    <t>OSU_QFI_CLK_CTRL</t>
  </si>
  <si>
    <t>PWRS_EXTEND_CYCLES</t>
  </si>
  <si>
    <t>mc_pwrs_extend_cycle</t>
  </si>
  <si>
    <t>pwrs_extend</t>
  </si>
  <si>
    <t>OPCODE_EXTEND_CYCLES</t>
  </si>
  <si>
    <t>opcode_extend</t>
  </si>
  <si>
    <t>OSU_PWRS_TIMERS_CTRL</t>
  </si>
  <si>
    <t>CA_ACT_PWRS_EXTEND_CYCLES</t>
  </si>
  <si>
    <t>ca_act_pwrs_extend</t>
  </si>
  <si>
    <t>DQ_ACT_PWRS_EXTEND_CYCLES</t>
  </si>
  <si>
    <t>dq_act_pwrs_extend</t>
  </si>
  <si>
    <t>shub_clock_plan</t>
  </si>
  <si>
    <t>466.5</t>
  </si>
  <si>
    <t>600</t>
  </si>
  <si>
    <t>806</t>
  </si>
  <si>
    <t>933</t>
  </si>
  <si>
    <t>shub_clk_period_in_psec</t>
  </si>
  <si>
    <t>shub_states</t>
  </si>
  <si>
    <t>mode</t>
  </si>
  <si>
    <t>MIN_SVS</t>
  </si>
  <si>
    <t>LOW_SVS</t>
  </si>
  <si>
    <t>SVS</t>
  </si>
  <si>
    <t>SVS_L1</t>
  </si>
  <si>
    <t>NOMINAL</t>
  </si>
  <si>
    <t>LLCC_DRP_RAM_TIMING0</t>
  </si>
  <si>
    <t>TPD4</t>
  </si>
  <si>
    <t>llcc_ram_timing</t>
  </si>
  <si>
    <t>TPD3</t>
  </si>
  <si>
    <t>TPD2</t>
  </si>
  <si>
    <t>TPD1</t>
  </si>
  <si>
    <t>LLCC_DRP_RAM_TIMING1</t>
  </si>
  <si>
    <t>OVERLAP_TH1_TPD4</t>
  </si>
  <si>
    <t>TH3_DUMMY</t>
  </si>
  <si>
    <t>TPD1_PRE</t>
  </si>
  <si>
    <t>TH1</t>
  </si>
  <si>
    <t>LLCC_DRP_RAM_TIMING2</t>
  </si>
  <si>
    <t>TPD2_NRET_TO_ACTIVE</t>
  </si>
  <si>
    <t>LLCC_PMGR_RAM_TIMING0</t>
  </si>
  <si>
    <t>3</t>
  </si>
  <si>
    <t>LLCC_PMGR_RAM_TIMING1</t>
  </si>
  <si>
    <t>LLCC_PMGR_RAM_TIMING2</t>
  </si>
  <si>
    <t>LLCC_BEAC_CMD_CREDIT_THRESHOLD0_CFG0</t>
  </si>
  <si>
    <t>PROMOTION</t>
  </si>
  <si>
    <t>llcc_credit_th0_cfg</t>
  </si>
  <si>
    <t>WR_BUFFER</t>
  </si>
  <si>
    <t>LLCC_BEAC_CMD_CREDIT_THRESHOLD0_CFG1</t>
  </si>
  <si>
    <t>LP_WR</t>
  </si>
  <si>
    <t>LP_RD</t>
  </si>
  <si>
    <t>HP_WR</t>
  </si>
  <si>
    <t>HP_RD</t>
  </si>
  <si>
    <t>LLCC_BEAC_WR_CREDIT_THRESHOLD0_CFG</t>
  </si>
  <si>
    <t>INTERFACE</t>
  </si>
  <si>
    <t>LLCC_BEAC_CMD_CREDIT_THRESHOLD1_CFG0</t>
  </si>
  <si>
    <t>llcc_credit_th1_cfg</t>
  </si>
  <si>
    <t>LLCC_BEAC_CMD_CREDIT_THRESHOLD1_CFG1</t>
  </si>
  <si>
    <t>LLCC_BEAC_WR_CREDIT_THRESHOLD1_CFG</t>
  </si>
  <si>
    <t>LLCC_BEAC_CMD_CREDIT_THRESHOLD2_CFG0</t>
  </si>
  <si>
    <t>llcc_credit_th2_cfg</t>
  </si>
  <si>
    <t>LLCC_BEAC_CMD_CREDIT_THRESHOLD2_CFG1</t>
  </si>
  <si>
    <t>LLCC_BEAC_WR_CREDIT_THRESHOLD2_CFG</t>
  </si>
  <si>
    <t>LLCC_BEAC_CMD_CREDIT_THRESHOLD3_CFG0</t>
  </si>
  <si>
    <t>llcc_credit_th3_cfg</t>
  </si>
  <si>
    <t>LLCC_BEAC_CMD_CREDIT_THRESHOLD3_CFG1</t>
  </si>
  <si>
    <t>LLCC_BEAC_WR_CREDIT_THRESHOLD3_CFG</t>
  </si>
  <si>
    <t>dram_latency</t>
  </si>
  <si>
    <t>RL_DBI_Off_x16</t>
  </si>
  <si>
    <t>RL_DBI_On_x16</t>
  </si>
  <si>
    <t>RL_DBI_Off_x8</t>
  </si>
  <si>
    <t>RL_DBI_On_x8</t>
  </si>
  <si>
    <t>WL</t>
  </si>
  <si>
    <t>nWR_x16</t>
  </si>
  <si>
    <t>nWR_x8</t>
  </si>
  <si>
    <t>nRTP</t>
  </si>
  <si>
    <t>OTTLon</t>
  </si>
  <si>
    <t>ODTLoff</t>
  </si>
  <si>
    <t>MR2 (HEX)</t>
  </si>
  <si>
    <t>00</t>
  </si>
  <si>
    <t>09</t>
  </si>
  <si>
    <t>12</t>
  </si>
  <si>
    <t>1B</t>
  </si>
  <si>
    <t>24</t>
  </si>
  <si>
    <t>2D</t>
  </si>
  <si>
    <t>36</t>
  </si>
  <si>
    <t>3F</t>
  </si>
  <si>
    <t>clk_in_ps</t>
  </si>
  <si>
    <t>mc_freq_switch</t>
  </si>
  <si>
    <t>rd_dbi</t>
  </si>
  <si>
    <t>odt</t>
  </si>
  <si>
    <t>fsp</t>
  </si>
  <si>
    <t>wr_pre</t>
  </si>
  <si>
    <t>rd_pre</t>
  </si>
  <si>
    <t>rpst</t>
  </si>
  <si>
    <t>MR3 (HEX)</t>
  </si>
  <si>
    <t>B0</t>
  </si>
  <si>
    <t>B2</t>
  </si>
  <si>
    <t>MR11 (HEX)</t>
  </si>
  <si>
    <t>CBU_TOP_RD_BATCH_CFG_m_&lt;0&gt;</t>
  </si>
  <si>
    <t>OCCUP_THR_MIN</t>
  </si>
  <si>
    <t>mc_rd_batch_cfg</t>
  </si>
  <si>
    <t>OCCUP_THR_MAX</t>
  </si>
  <si>
    <t>BATCH_SIZE_MIN</t>
  </si>
  <si>
    <t>BATCH_SIZE_MAX</t>
  </si>
  <si>
    <t>CBU_TOP_RD_BATCH_CFG_m_&lt;1&gt;</t>
  </si>
  <si>
    <t>CBU_TOP_RD_BATCH_CFG_m_&lt;2&gt;</t>
  </si>
  <si>
    <t>CBU_TOP_RD_BATCH_CFG_m_&lt;3&gt;</t>
  </si>
  <si>
    <t>CBU_TOP_WR_BATCH_CFG_m_&lt;0&gt;</t>
  </si>
  <si>
    <t>mc_wr_batch_cfg</t>
  </si>
  <si>
    <t>CBU_TOP_WR_BATCH_CFG_m_&lt;1&gt;</t>
  </si>
  <si>
    <t>CBU_TOP_WR_BATCH_CFG_m_&lt;2&gt;</t>
  </si>
  <si>
    <t>CBU_TOP_WR_BATCH_CFG_m_&lt;3&gt;</t>
  </si>
  <si>
    <t>CBU_TOP_RD_CMDQ_CFG2_n_&lt;0&gt;</t>
  </si>
  <si>
    <t>AREQP7_TOUT</t>
  </si>
  <si>
    <t>mr_rd_timeout_cfg</t>
  </si>
  <si>
    <t>AREQP6_TOUT</t>
  </si>
  <si>
    <t>AREQP5_TOUT</t>
  </si>
  <si>
    <t>AREQP4_TOUT</t>
  </si>
  <si>
    <t>CBU_TOP_RD_CMDQ_CFG1_n_&lt;0&gt;</t>
  </si>
  <si>
    <t>AREQP3_TOUT</t>
  </si>
  <si>
    <t>AREQP2_TOUT</t>
  </si>
  <si>
    <t>AREQP1_TOUT</t>
  </si>
  <si>
    <t>AREQP0_TOUT</t>
  </si>
  <si>
    <t>CBU_TOP_RD_CMDQ_CFG2_n_&lt;1&gt;</t>
  </si>
  <si>
    <t>CBU_TOP_RD_CMDQ_CFG1_n_&lt;1&gt;</t>
  </si>
  <si>
    <t>CBU_TOP_RD_CMDQ_CFG2_n_&lt;2&gt;</t>
  </si>
  <si>
    <t>CBU_TOP_RD_CMDQ_CFG1_n_&lt;2&gt;</t>
  </si>
  <si>
    <t>CBU_TOP_RD_CMDQ_CFG2_n_&lt;3&gt;</t>
  </si>
  <si>
    <t>CBU_TOP_RD_CMDQ_CFG1_n_&lt;3&gt;</t>
  </si>
  <si>
    <t>CBU_TOP_RWOPT_CFG_m_&lt;0&gt;</t>
  </si>
  <si>
    <t>AUTO_PRECHRG_EN</t>
  </si>
  <si>
    <t>mr_auto_precharge</t>
  </si>
  <si>
    <t>CBU_TOP_RWOPT_CFG_m_&lt;1&gt;</t>
  </si>
  <si>
    <t>CBU_TOP_RWOPT_CFG_m_&lt;2&gt;</t>
  </si>
  <si>
    <t>CBU_TOP_RWOPT_CFG_m_&lt;3&gt;</t>
  </si>
  <si>
    <t>hw_self_refresh_enable</t>
  </si>
  <si>
    <t>ddr_runtime</t>
  </si>
  <si>
    <t>MR4_polling_enable</t>
  </si>
  <si>
    <t>periodic_zq_calibration_enable</t>
  </si>
  <si>
    <t>periodic_training_enable</t>
  </si>
  <si>
    <t>DPCC_REG_PHY_XO_CBCR</t>
  </si>
  <si>
    <t>CLK_ENABLE</t>
  </si>
  <si>
    <t>phy_xoclk</t>
  </si>
  <si>
    <t>base_logging_enable</t>
  </si>
  <si>
    <t>llcc_extended_logging_enable</t>
  </si>
  <si>
    <t>mc_extended_logging_enable</t>
  </si>
  <si>
    <t>phy_extended_logging_enable</t>
  </si>
  <si>
    <t>page_close_timer</t>
  </si>
  <si>
    <t>lpddr4y_support</t>
  </si>
  <si>
    <t>ddr_num_clock_levels</t>
  </si>
  <si>
    <t>max_ddr_frequency</t>
  </si>
  <si>
    <t>aop_params</t>
  </si>
  <si>
    <t>default_alc_policy</t>
  </si>
  <si>
    <t>dcc</t>
  </si>
  <si>
    <t>training_params</t>
  </si>
  <si>
    <t>max_loopcnt</t>
  </si>
  <si>
    <t>dit</t>
  </si>
  <si>
    <t>8</t>
  </si>
  <si>
    <t>ca_vref</t>
  </si>
  <si>
    <t>5</t>
  </si>
  <si>
    <t>cdc_training_enable</t>
  </si>
  <si>
    <t>vref_start_value</t>
  </si>
  <si>
    <t>vref_max_value</t>
  </si>
  <si>
    <t>80</t>
  </si>
  <si>
    <t>cover both range0 and range1</t>
  </si>
  <si>
    <t>vref_step</t>
  </si>
  <si>
    <t>step size of 1 would violate array size of 0x32</t>
  </si>
  <si>
    <t>coarse_cdc_start_value</t>
  </si>
  <si>
    <t>set to 0 if cdc_training_enable = 0</t>
  </si>
  <si>
    <t>coarse_cdc_max_value</t>
  </si>
  <si>
    <t>coarse_cdc_step</t>
  </si>
  <si>
    <t>fine_cdc_max_value</t>
  </si>
  <si>
    <t>fine_perbit_start_value</t>
  </si>
  <si>
    <t>wrlvl</t>
  </si>
  <si>
    <t>max_coarse_cdc</t>
  </si>
  <si>
    <t>max_fine_cdc</t>
  </si>
  <si>
    <t>fine_cdc_step</t>
  </si>
  <si>
    <t>feedback_percent</t>
  </si>
  <si>
    <t>100</t>
  </si>
  <si>
    <t>rcw</t>
  </si>
  <si>
    <t>6</t>
  </si>
  <si>
    <t>max_num_cycle</t>
  </si>
  <si>
    <t>4</t>
  </si>
  <si>
    <t>60</t>
  </si>
  <si>
    <t>9</t>
  </si>
  <si>
    <t>rd_dqdqs</t>
  </si>
  <si>
    <t>coarse_vref_start_mprx</t>
  </si>
  <si>
    <t>31</t>
  </si>
  <si>
    <t>Used to init. the Vref for 1st CDC search</t>
  </si>
  <si>
    <t>coarse_vref_min_mprx</t>
  </si>
  <si>
    <t>25</t>
  </si>
  <si>
    <t>Used for Min search limit in Plots</t>
  </si>
  <si>
    <t>coarse_vref_max_mprx</t>
  </si>
  <si>
    <t>48</t>
  </si>
  <si>
    <t>coarse_vref_start_hprx</t>
  </si>
  <si>
    <t>coarse_vref_min_hprx</t>
  </si>
  <si>
    <t>coarse_vref_max_hprx</t>
  </si>
  <si>
    <t>17</t>
  </si>
  <si>
    <t>55</t>
  </si>
  <si>
    <t>fine_cdc_start_value</t>
  </si>
  <si>
    <t>15</t>
  </si>
  <si>
    <t>cdc_step_2D</t>
  </si>
  <si>
    <t>min_eye_width_mask_top_enable</t>
  </si>
  <si>
    <t>FALSE</t>
  </si>
  <si>
    <t>enable</t>
  </si>
  <si>
    <t>min_eye_width_mask_top</t>
  </si>
  <si>
    <t>steps</t>
  </si>
  <si>
    <t>min_eye_width_mask_bottom_enable</t>
  </si>
  <si>
    <t>min_eye_width_mask_bottom</t>
  </si>
  <si>
    <t>min_eye_height_enable</t>
  </si>
  <si>
    <t>min_eye_height</t>
  </si>
  <si>
    <t>min_eye_width_enable</t>
  </si>
  <si>
    <t>min_eye_width</t>
  </si>
  <si>
    <t>max_dq_dcc_enable</t>
  </si>
  <si>
    <t>max_dq_dcc</t>
  </si>
  <si>
    <t>wr_dqdqs</t>
  </si>
  <si>
    <t>dbi_offset</t>
  </si>
  <si>
    <t>TRUE</t>
  </si>
  <si>
    <t>max_dqs_io_dcc_enable</t>
  </si>
  <si>
    <t>max_dqs_io_dcc</t>
  </si>
  <si>
    <t>Fixed Values</t>
  </si>
  <si>
    <t>Modifiable Values</t>
  </si>
  <si>
    <t>AOP Inputs</t>
  </si>
  <si>
    <t>MC_CLK</t>
  </si>
  <si>
    <t>MC Policy</t>
  </si>
  <si>
    <t>CSPD</t>
  </si>
  <si>
    <t>IPT</t>
  </si>
  <si>
    <t>ABSR</t>
  </si>
  <si>
    <t>S3.n</t>
  </si>
  <si>
    <t>Entry</t>
  </si>
  <si>
    <t>Exit</t>
  </si>
  <si>
    <t>Mapping</t>
  </si>
  <si>
    <t>Deepest
S3 State</t>
  </si>
  <si>
    <t>Longest</t>
  </si>
  <si>
    <t>Calculation Inputs</t>
  </si>
  <si>
    <t>[MIN,MAX]</t>
  </si>
  <si>
    <t>[MHz]</t>
  </si>
  <si>
    <t>[#]</t>
  </si>
  <si>
    <t>[#mc_clk]</t>
  </si>
  <si>
    <t>[#xo_clk]</t>
  </si>
  <si>
    <t>ALC</t>
  </si>
  <si>
    <t>MIN</t>
  </si>
  <si>
    <t>[us]</t>
  </si>
  <si>
    <t>MAX</t>
  </si>
  <si>
    <t>changed to</t>
  </si>
  <si>
    <t>to match SWC</t>
  </si>
  <si>
    <t>AC Timing</t>
  </si>
  <si>
    <t>ns</t>
  </si>
  <si>
    <t>nCK</t>
  </si>
  <si>
    <t>Derate</t>
  </si>
  <si>
    <t>Clock Plan</t>
  </si>
  <si>
    <t>tZQLAT</t>
  </si>
  <si>
    <t>Frequency (MHz)</t>
  </si>
  <si>
    <t>tSR</t>
  </si>
  <si>
    <t>Frequency Enabled</t>
  </si>
  <si>
    <t>tXSR</t>
  </si>
  <si>
    <t>Minimum Voltage for VDDCX Rail (plan)</t>
  </si>
  <si>
    <t>TURBO</t>
  </si>
  <si>
    <t>tXSR_abort</t>
  </si>
  <si>
    <t>Minimum Voltage for VDDMX Rail (plan)</t>
  </si>
  <si>
    <t>tXP</t>
  </si>
  <si>
    <t>Minimum Voltage for VDDA (plan)</t>
  </si>
  <si>
    <t>tCCD</t>
  </si>
  <si>
    <t>tRTP</t>
  </si>
  <si>
    <t>Safe Mode</t>
  </si>
  <si>
    <t>Comments</t>
  </si>
  <si>
    <t>tRCD</t>
  </si>
  <si>
    <t>Enable Self Refresh Mode</t>
  </si>
  <si>
    <t>Disabling here will not prevent Self Refresh mode from being used when changing frequency</t>
  </si>
  <si>
    <t>tRPpb</t>
  </si>
  <si>
    <t>Enable Refresh Rate Polling</t>
  </si>
  <si>
    <t>Disabling here will provide a fixed refresh interval based on tREFI</t>
  </si>
  <si>
    <t>tRPab</t>
  </si>
  <si>
    <t>Enable Periodic ZQ Calibration</t>
  </si>
  <si>
    <t>Disabling here does not impact frequency switch ZQ calibration</t>
  </si>
  <si>
    <t>tRAS</t>
  </si>
  <si>
    <t>Enable Periodic Training</t>
  </si>
  <si>
    <t>Disabling here stops correction of write DQS timing for tDQS2DQ changes</t>
  </si>
  <si>
    <t>tRRD</t>
  </si>
  <si>
    <t>Enable LPDDR4Y Low Power CA Buffer Support</t>
  </si>
  <si>
    <t>Disabling here stops this LPDDR4Y feature from being enabled when supported</t>
  </si>
  <si>
    <t>tPPD</t>
  </si>
  <si>
    <t>Enable LPDDR4Y Single-Ended Clock Support</t>
  </si>
  <si>
    <t>tFAW</t>
  </si>
  <si>
    <t>Enable Base Logging</t>
  </si>
  <si>
    <t>Watchdog timeout register dump, RSI command timestamp logging</t>
  </si>
  <si>
    <t>tDQSCK (min)</t>
  </si>
  <si>
    <t>Enable Extended LLCC Logging</t>
  </si>
  <si>
    <t>LLCC datapath checkpoints</t>
  </si>
  <si>
    <t>tDQSCK (max)</t>
  </si>
  <si>
    <t>Enable Extended MC Logging</t>
  </si>
  <si>
    <t>Slow clock switch register dump</t>
  </si>
  <si>
    <t>tFC</t>
  </si>
  <si>
    <t>Enable Extended PHY Logging</t>
  </si>
  <si>
    <t>Read FIFO underflow detection, RCW beat counter</t>
  </si>
  <si>
    <t>tREFI</t>
  </si>
  <si>
    <t>tMRR</t>
  </si>
  <si>
    <t>tMRW</t>
  </si>
  <si>
    <t>tMRD</t>
  </si>
  <si>
    <t>tODTon (min)</t>
  </si>
  <si>
    <t>tODTon (max)</t>
  </si>
  <si>
    <t>tODToff (min)</t>
  </si>
  <si>
    <t>tODToff (max)</t>
  </si>
  <si>
    <t>tCKE</t>
  </si>
  <si>
    <t>tCMDCKE</t>
  </si>
  <si>
    <t>tCKELCK</t>
  </si>
  <si>
    <t>tCKCKEH</t>
  </si>
  <si>
    <t>tMRWCKEL</t>
  </si>
  <si>
    <t>ddr_phy_3.2.xlsm</t>
  </si>
  <si>
    <t>mem_noc_hm_V2_SWC.xlsx</t>
  </si>
  <si>
    <t>LLCC_NapaliQ_SWSettings.xlsx</t>
  </si>
  <si>
    <t>ddr_cc_3.2.xlsm</t>
  </si>
  <si>
    <t>CABO_Napali_V2_SWSettings.xlsx</t>
  </si>
  <si>
    <t>DDRSS_Napali_V1.0_Swsettings.xlsx</t>
  </si>
  <si>
    <t>MCCC_SWSettings_Warlock1.0.xlsx</t>
  </si>
  <si>
    <t>SHRM_Napali_V1_SWSettings.xlsx</t>
  </si>
  <si>
    <t>Relative Address</t>
  </si>
  <si>
    <t>Default</t>
  </si>
  <si>
    <t>Compare flag</t>
  </si>
  <si>
    <t>Notes</t>
  </si>
  <si>
    <t>Comment</t>
  </si>
  <si>
    <t>Clock Switch Hang</t>
  </si>
  <si>
    <t>Traffic Stall</t>
  </si>
  <si>
    <t>Trained</t>
  </si>
  <si>
    <t>0000000c</t>
  </si>
  <si>
    <t>DDRPHY_TOP_TEST_CFG</t>
  </si>
  <si>
    <t>0x00C30000</t>
  </si>
  <si>
    <t>0xFFFFFFFF</t>
  </si>
  <si>
    <t>00000010</t>
  </si>
  <si>
    <t>DDRPHY_TOP_CTRL_0_CFG</t>
  </si>
  <si>
    <t>0x000E0110</t>
  </si>
  <si>
    <t>0x080E1990</t>
  </si>
  <si>
    <t>00000014</t>
  </si>
  <si>
    <t>DDRPHY_TOP_CTRL_1_CFG</t>
  </si>
  <si>
    <t>0x0000180B</t>
  </si>
  <si>
    <t>0x000018EB</t>
  </si>
  <si>
    <t>00000018</t>
  </si>
  <si>
    <t>DDRPHY_TOP_CTRL_2_CFG</t>
  </si>
  <si>
    <t>0x00000000</t>
  </si>
  <si>
    <t>0000001c</t>
  </si>
  <si>
    <t>DDRPHY_TOP_CTRL_3_CFG</t>
  </si>
  <si>
    <t>00000020</t>
  </si>
  <si>
    <t>DDRPHY_TOP_CTRL_4_CFG</t>
  </si>
  <si>
    <t>00000040</t>
  </si>
  <si>
    <t>DDRPHY_TOP_TESTBUS_CTRL</t>
  </si>
  <si>
    <t>00000044</t>
  </si>
  <si>
    <t>DDRPHY_TOP_HW_EVENT_TEST_CTRL</t>
  </si>
  <si>
    <t>00000050</t>
  </si>
  <si>
    <t>DDRPHY_PAD_CNTL_0_CFG</t>
  </si>
  <si>
    <t>0x00100001</t>
  </si>
  <si>
    <t>0x00200001</t>
  </si>
  <si>
    <t>00000054</t>
  </si>
  <si>
    <t>DDRPHY_PAD_CNTL_1_CFG</t>
  </si>
  <si>
    <t>0x00007700</t>
  </si>
  <si>
    <t>0x00006677</t>
  </si>
  <si>
    <t>00000058</t>
  </si>
  <si>
    <t>DDRPHY_PAD_CNTL_2_CFG</t>
  </si>
  <si>
    <t>0x00000011</t>
  </si>
  <si>
    <t>0x00000055</t>
  </si>
  <si>
    <t>0000005c</t>
  </si>
  <si>
    <t>DDRPHY_PAD_CNTL_3_CFG</t>
  </si>
  <si>
    <t>0x0220087F</t>
  </si>
  <si>
    <t>0x00000837</t>
  </si>
  <si>
    <t>00000060</t>
  </si>
  <si>
    <t>DDRPHY_PAD_CNTL_4_CFG</t>
  </si>
  <si>
    <t>0x0000087F</t>
  </si>
  <si>
    <t>00000064</t>
  </si>
  <si>
    <t>DDRPHY_PAD_DQ_0_CFG</t>
  </si>
  <si>
    <t>00000068</t>
  </si>
  <si>
    <t>DDRPHY_PAD_DQ_1_CFG</t>
  </si>
  <si>
    <t>0000006c</t>
  </si>
  <si>
    <t>DDRPHY_PAD_DQ_2_CFG</t>
  </si>
  <si>
    <t>00000070</t>
  </si>
  <si>
    <t>DDRPHY_PAD_DQ_3_CFG</t>
  </si>
  <si>
    <t>00000074</t>
  </si>
  <si>
    <t>DDRPHY_PAD_DQS_0_CFG</t>
  </si>
  <si>
    <t>00000078</t>
  </si>
  <si>
    <t>DDRPHY_PAD_DQS_1_CFG</t>
  </si>
  <si>
    <t>0000007c</t>
  </si>
  <si>
    <t>DDRPHY_PAD_GLOBAL_VREF_TRIM_CFG</t>
  </si>
  <si>
    <t>00000080</t>
  </si>
  <si>
    <t>DDRPHY_PAD_VREF_CFG</t>
  </si>
  <si>
    <t>00000084</t>
  </si>
  <si>
    <t>DDRPHY_PAD_CAL_CFG</t>
  </si>
  <si>
    <t>0x00000200</t>
  </si>
  <si>
    <t>00000088</t>
  </si>
  <si>
    <t>DDRPHY_PAD_FPM_CNTL0_CFG</t>
  </si>
  <si>
    <t>0000008c</t>
  </si>
  <si>
    <t>DDRPHY_PAD_FPM_CNTL1_CFG</t>
  </si>
  <si>
    <t>00000090</t>
  </si>
  <si>
    <t>DDRPHY_IOCS_DQ_CFG</t>
  </si>
  <si>
    <t>0x80000000</t>
  </si>
  <si>
    <t>0x10100000</t>
  </si>
  <si>
    <t>00000098</t>
  </si>
  <si>
    <t>DDRPHY_IOCS_DQS_CFG</t>
  </si>
  <si>
    <t>000000b0</t>
  </si>
  <si>
    <t>DDRPHY_IOCTLR_COMP_AUTO_OFF_CFG</t>
  </si>
  <si>
    <t>0x00000033</t>
  </si>
  <si>
    <t>000000b4</t>
  </si>
  <si>
    <t>DDRPHY_IOCTLR_BYP_CFG</t>
  </si>
  <si>
    <t>000000b8</t>
  </si>
  <si>
    <t>DDRPHY_IOCTLR_TIMERS_CFG</t>
  </si>
  <si>
    <t>0x10000013</t>
  </si>
  <si>
    <t>000000bc</t>
  </si>
  <si>
    <t>DDRPHY_IOCTLR_PNCNT_INIT_CFG</t>
  </si>
  <si>
    <t>0x00001010</t>
  </si>
  <si>
    <t>000000c0</t>
  </si>
  <si>
    <t>DDRPHY_IOCTLR_CTRL_CFG</t>
  </si>
  <si>
    <t>0x0E038080</t>
  </si>
  <si>
    <t>0x0E000000</t>
  </si>
  <si>
    <t>000000e0</t>
  </si>
  <si>
    <t>DDRPHY_CMCDCWRLVL_CTL_CFG</t>
  </si>
  <si>
    <t>000000e4</t>
  </si>
  <si>
    <t>DDRPHY_CMCDCWRLVL_MODE_CFG</t>
  </si>
  <si>
    <t>0x00000300</t>
  </si>
  <si>
    <t>000000e8</t>
  </si>
  <si>
    <t>DDRPHY_CMCDCWRLVL_TOP_CFG</t>
  </si>
  <si>
    <t>0x00200004</t>
  </si>
  <si>
    <t>0x00A00004</t>
  </si>
  <si>
    <t>000000ec</t>
  </si>
  <si>
    <t>DDRPHY_CMCDCWRLVL_SYNC_CFG</t>
  </si>
  <si>
    <t>0x000002DD</t>
  </si>
  <si>
    <t>00000100</t>
  </si>
  <si>
    <t>DDRPHY_CMCDCWR_CTL_CFG</t>
  </si>
  <si>
    <t>0x29466198</t>
  </si>
  <si>
    <t>00000104</t>
  </si>
  <si>
    <t>DDRPHY_CMCDCWR_MODE_CFG</t>
  </si>
  <si>
    <t>00000108</t>
  </si>
  <si>
    <t>DDRPHY_CMCDCWR_TOP_CFG</t>
  </si>
  <si>
    <t>0x04400004</t>
  </si>
  <si>
    <t>0x01400004</t>
  </si>
  <si>
    <t>0000010c</t>
  </si>
  <si>
    <t>DDRPHY_CMCDCWR_TRAFFIC_BYP_CFG</t>
  </si>
  <si>
    <t>00000110</t>
  </si>
  <si>
    <t>DDRPHY_CMCDCWR_TMIN_DCC_CFG</t>
  </si>
  <si>
    <t>0000011c</t>
  </si>
  <si>
    <t>DDRPHY_CMCDCRD_CTL_CFG</t>
  </si>
  <si>
    <t>0x1EF4E138</t>
  </si>
  <si>
    <t>00000120</t>
  </si>
  <si>
    <t>DDRPHY_CMCDCRD_MODE_CFG</t>
  </si>
  <si>
    <t>00000124</t>
  </si>
  <si>
    <t>DDRPHY_CMCDCRD_TOP_CFG</t>
  </si>
  <si>
    <t>0xFFFFF00F</t>
  </si>
  <si>
    <t>00000128</t>
  </si>
  <si>
    <t>DDRPHY_CMCDCRD_TOP_1_CFG</t>
  </si>
  <si>
    <t>0xFFFFFF00</t>
  </si>
  <si>
    <t>00000130</t>
  </si>
  <si>
    <t>DDRPHY_CMCDCCT2RD_CTL_CFG</t>
  </si>
  <si>
    <t>00000134</t>
  </si>
  <si>
    <t>DDRPHY_CMCDCCT2RD_MODE_CFG</t>
  </si>
  <si>
    <t>0x00000301</t>
  </si>
  <si>
    <t>00000138</t>
  </si>
  <si>
    <t>DDRPHY_CMCDCCT2RD_TOP_CFG</t>
  </si>
  <si>
    <t>0x00200002</t>
  </si>
  <si>
    <t>0x00A00002</t>
  </si>
  <si>
    <t>00000158</t>
  </si>
  <si>
    <t>DDRPHY_CMCDCRCW_CTL_CFG</t>
  </si>
  <si>
    <t>0000015c</t>
  </si>
  <si>
    <t>DDRPHY_CMCDCRCW_MODE_CFG</t>
  </si>
  <si>
    <t>00000160</t>
  </si>
  <si>
    <t>DDRPHY_CMCDCRCW_TOP_CFG</t>
  </si>
  <si>
    <t>0000016c</t>
  </si>
  <si>
    <t>DDRPHY_CMCDCMSTR_CTL_CFG</t>
  </si>
  <si>
    <t>0x000001CD</t>
  </si>
  <si>
    <t>0x001801F2</t>
  </si>
  <si>
    <t>00000170</t>
  </si>
  <si>
    <t>DDRPHY_CMCDCMSTR_TOP_CFG</t>
  </si>
  <si>
    <t>0x00000002</t>
  </si>
  <si>
    <t>00000174</t>
  </si>
  <si>
    <t>DDRPHY_CMCDCMSTR_CTL2_CFG</t>
  </si>
  <si>
    <t>00000178</t>
  </si>
  <si>
    <t>DDRPHY_CMSLICE0_PBIT_CTL_DQ_0_RXTX_CFG</t>
  </si>
  <si>
    <t>0x06000000</t>
  </si>
  <si>
    <t>0x06C00000</t>
  </si>
  <si>
    <t>0xFFF00000</t>
  </si>
  <si>
    <t>0000017c</t>
  </si>
  <si>
    <t>DDRPHY_CMSLICE1_PBIT_CTL_DQ_1_RXTX_CFG</t>
  </si>
  <si>
    <t>00000180</t>
  </si>
  <si>
    <t>DDRPHY_CMSLICE2_PBIT_CTL_DQ_2_RXTX_CFG</t>
  </si>
  <si>
    <t>00000184</t>
  </si>
  <si>
    <t>DDRPHY_CMSLICE3_PBIT_CTL_DQ_3_RXTX_CFG</t>
  </si>
  <si>
    <t>00000188</t>
  </si>
  <si>
    <t>DDRPHY_CMSLICE4_PBIT_CTL_DQ_4_RXTX_CFG</t>
  </si>
  <si>
    <t>0000018c</t>
  </si>
  <si>
    <t>DDRPHY_CMSLICE5_PBIT_CTL_DQ_5_RXTX_CFG</t>
  </si>
  <si>
    <t>00000190</t>
  </si>
  <si>
    <t>DDRPHY_CMSLICE6_PBIT_CTL_DQ_6_RXTX_CFG</t>
  </si>
  <si>
    <t>00000194</t>
  </si>
  <si>
    <t>DDRPHY_CMSLICE7_PBIT_CTL_DQ_7_RXTX_CFG</t>
  </si>
  <si>
    <t>00000198</t>
  </si>
  <si>
    <t>DDRPHY_CMSLICE8_PBIT_CTL_DQ_8_RXTX_CFG</t>
  </si>
  <si>
    <t>0000019c</t>
  </si>
  <si>
    <t>DDRPHY_CMSLICE9_PBIT_CTL_DQ_9_RXTX_CFG</t>
  </si>
  <si>
    <t>000001a0</t>
  </si>
  <si>
    <t>DDRPHY_CMSLICE10_PBIT_CTL_DQS_CFG</t>
  </si>
  <si>
    <t>000001b0</t>
  </si>
  <si>
    <t>DDRPHY_CMSLICE0_DQ_LOCAL_VREF_CFG</t>
  </si>
  <si>
    <t>0xFFFF0000</t>
  </si>
  <si>
    <t>000001b4</t>
  </si>
  <si>
    <t>DDRPHY_CMSLICE1_DQ_LOCAL_VREF_CFG</t>
  </si>
  <si>
    <t>000001b8</t>
  </si>
  <si>
    <t>DDRPHY_CMSLICE2_DQ_LOCAL_VREF_CFG</t>
  </si>
  <si>
    <t>000001bc</t>
  </si>
  <si>
    <t>DDRPHY_CMSLICE3_DQ_LOCAL_VREF_CFG</t>
  </si>
  <si>
    <t>000001c0</t>
  </si>
  <si>
    <t>DDRPHY_CMSLICE4_DQ_LOCAL_VREF_CFG</t>
  </si>
  <si>
    <t>000001c4</t>
  </si>
  <si>
    <t>DDRPHY_CMSLICE5_DQ_LOCAL_VREF_CFG</t>
  </si>
  <si>
    <t>000001c8</t>
  </si>
  <si>
    <t>DDRPHY_CMSLICE6_DQ_LOCAL_VREF_CFG</t>
  </si>
  <si>
    <t>000001cc</t>
  </si>
  <si>
    <t>DDRPHY_CMSLICE7_DQ_LOCAL_VREF_CFG</t>
  </si>
  <si>
    <t>000001d0</t>
  </si>
  <si>
    <t>DDRPHY_CMSLICE8_DQ_LOCAL_VREF_CFG</t>
  </si>
  <si>
    <t>000001d4</t>
  </si>
  <si>
    <t>DDRPHY_CMSLICE9_DQ_LOCAL_VREF_CFG</t>
  </si>
  <si>
    <t>000001d8</t>
  </si>
  <si>
    <t>DDRPHY_CMSLICE10_DQS_LOCAL_VREF_CFG</t>
  </si>
  <si>
    <t>000001f0</t>
  </si>
  <si>
    <t>DDRPHY_CMLDO_TOP_CFG</t>
  </si>
  <si>
    <t>0x00000068</t>
  </si>
  <si>
    <t>00000200</t>
  </si>
  <si>
    <t>DDRPHY_CMIO_PAD_OE_CFG</t>
  </si>
  <si>
    <t>00000204</t>
  </si>
  <si>
    <t>DDRPHY_CMIO_PAD_IE_CFG</t>
  </si>
  <si>
    <t>0x00200000</t>
  </si>
  <si>
    <t>00000208</t>
  </si>
  <si>
    <t>DDRPHY_CMIO_PAD_MODE_CFG</t>
  </si>
  <si>
    <t>0x00000400</t>
  </si>
  <si>
    <t>0000020c</t>
  </si>
  <si>
    <t>DDRPHY_CMIO_TOP_0_CFG</t>
  </si>
  <si>
    <t>00000240</t>
  </si>
  <si>
    <t>DDRPHY_CMHUB_TOP_0_CFG</t>
  </si>
  <si>
    <t>0x00000800</t>
  </si>
  <si>
    <t>00000244</t>
  </si>
  <si>
    <t>DDRPHY_CMHUB_TOP_1_CFG</t>
  </si>
  <si>
    <t>0x03020302</t>
  </si>
  <si>
    <t>00000248</t>
  </si>
  <si>
    <t>DDRPHY_CMHUB_TOP_2_CFG</t>
  </si>
  <si>
    <t>0x00002020</t>
  </si>
  <si>
    <t>0000024c</t>
  </si>
  <si>
    <t>DDRPHY_CMHUB_TOP_3_CFG</t>
  </si>
  <si>
    <t>00000250</t>
  </si>
  <si>
    <t>DDRPHY_CMHUB_TOP_RD_RANK_EN_CFG</t>
  </si>
  <si>
    <t>0x02020202</t>
  </si>
  <si>
    <t>00000260</t>
  </si>
  <si>
    <t>DDRPHY_DCC_TOP_0_CFG</t>
  </si>
  <si>
    <t>0x40030468</t>
  </si>
  <si>
    <t>0xE002006A</t>
  </si>
  <si>
    <t>00000264</t>
  </si>
  <si>
    <t>DDRPHY_DCC_TOP_1_CFG</t>
  </si>
  <si>
    <t>0x1C00C11A</t>
  </si>
  <si>
    <t>0x1C00801A</t>
  </si>
  <si>
    <t>00000268</t>
  </si>
  <si>
    <t>DDRPHY_DCC_TOP_2_CFG</t>
  </si>
  <si>
    <t>0x18000000</t>
  </si>
  <si>
    <t>0000026c</t>
  </si>
  <si>
    <t>DDRPHY_DCC_TOP_3_CFG</t>
  </si>
  <si>
    <t>0x78000000</t>
  </si>
  <si>
    <t>0x78800000</t>
  </si>
  <si>
    <t>00000270</t>
  </si>
  <si>
    <t>DDRPHY_DCC_TOP_4_CFG</t>
  </si>
  <si>
    <t>0x00FFFFFC</t>
  </si>
  <si>
    <t>00000274</t>
  </si>
  <si>
    <t>DDRPHY_DCC_TOP_5_CFG</t>
  </si>
  <si>
    <t>00000278</t>
  </si>
  <si>
    <t>DDRPHY_DCC_TOP_6_CFG</t>
  </si>
  <si>
    <t>00000298</t>
  </si>
  <si>
    <t>DDRPHY_DCC_CM_ADJ_CTL_CFG</t>
  </si>
  <si>
    <t>0000029c</t>
  </si>
  <si>
    <t>DDRPHY_DCC_PAD_ADJ_CTL_CFG</t>
  </si>
  <si>
    <t>000002b0</t>
  </si>
  <si>
    <t>DDRPHY_CMRX_CONFIG_CFG</t>
  </si>
  <si>
    <t>0x00000080</t>
  </si>
  <si>
    <t>000002b4</t>
  </si>
  <si>
    <t>DDRPHY_CMRX_USER_CFG</t>
  </si>
  <si>
    <t>0x300000E0</t>
  </si>
  <si>
    <t>0x30010000</t>
  </si>
  <si>
    <t>000002b8</t>
  </si>
  <si>
    <t>DDRPHY_CMRX_TEST_CFG</t>
  </si>
  <si>
    <t>0x0000000C</t>
  </si>
  <si>
    <t>000002d0</t>
  </si>
  <si>
    <t>DDRPHY_FPM_FEA_WT_DEP_0_CFG</t>
  </si>
  <si>
    <t>0x00003F00</t>
  </si>
  <si>
    <t>000002d4</t>
  </si>
  <si>
    <t>DDRPHY_FPM_FEA_WT_DEP_1_CFG</t>
  </si>
  <si>
    <t>000002d8</t>
  </si>
  <si>
    <t>DDRPHY_FPM_FEA_WT_DEP_2_CFG</t>
  </si>
  <si>
    <t>0x0000DF00</t>
  </si>
  <si>
    <t>000002dc</t>
  </si>
  <si>
    <t>DDRPHY_FPM_FEA_WT_DEP_3_CFG</t>
  </si>
  <si>
    <t>000002e0</t>
  </si>
  <si>
    <t>DDRPHY_FPM_FEA_WT_DEP_4_CFG</t>
  </si>
  <si>
    <t>000002e4</t>
  </si>
  <si>
    <t>DDRPHY_FPM_FEA_WT_DEP_5_CFG</t>
  </si>
  <si>
    <t>000002e8</t>
  </si>
  <si>
    <t>DDRPHY_FPM_FEA_WT_DEP_6_CFG</t>
  </si>
  <si>
    <t>000002ec</t>
  </si>
  <si>
    <t>DDRPHY_FPM_FEA_WT_DEP_7_CFG</t>
  </si>
  <si>
    <t>0x0000C000</t>
  </si>
  <si>
    <t>000002f0</t>
  </si>
  <si>
    <t>DDRPHY_FPM_FEA_WT_DEP_8_CFG</t>
  </si>
  <si>
    <t>0x0000C100</t>
  </si>
  <si>
    <t>000002f4</t>
  </si>
  <si>
    <t>DDRPHY_FPM_FEA_WT_DEP_9_CFG</t>
  </si>
  <si>
    <t>000002f8</t>
  </si>
  <si>
    <t>DDRPHY_FPM_FEA_WT_DEP_10_CFG</t>
  </si>
  <si>
    <t>0x0000304F</t>
  </si>
  <si>
    <t>000002fc</t>
  </si>
  <si>
    <t>DDRPHY_FPM_FEA_WT_DEP_11_CFG</t>
  </si>
  <si>
    <t>00000300</t>
  </si>
  <si>
    <t>DDRPHY_FPM_FEA_WT_DEP_12_CFG</t>
  </si>
  <si>
    <t>0x00002900</t>
  </si>
  <si>
    <t>00000304</t>
  </si>
  <si>
    <t>DDRPHY_FPM_FEA_WT_DEP_13_CFG</t>
  </si>
  <si>
    <t>0x00002A00</t>
  </si>
  <si>
    <t>00000308</t>
  </si>
  <si>
    <t>DDRPHY_FPM_FEA_WT_DEP_14_CFG</t>
  </si>
  <si>
    <t>0000030c</t>
  </si>
  <si>
    <t>DDRPHY_FPM_FEA_WT_DEP_15_CFG</t>
  </si>
  <si>
    <t>00000310</t>
  </si>
  <si>
    <t>DDRPHY_FPM_FEA_WT_DEP_16_CFG</t>
  </si>
  <si>
    <t>00000314</t>
  </si>
  <si>
    <t>DDRPHY_FPM_FEA_WT_DEP_17_CFG</t>
  </si>
  <si>
    <t>0x00003F04</t>
  </si>
  <si>
    <t>00000318</t>
  </si>
  <si>
    <t>DDRPHY_FPM_FEA_WT_DEP_18_CFG</t>
  </si>
  <si>
    <t>0x00001F00</t>
  </si>
  <si>
    <t>00000350</t>
  </si>
  <si>
    <t>DDRPHY_FPM_PRFS_0_PWRS_0_CFG</t>
  </si>
  <si>
    <t>0x001D8104</t>
  </si>
  <si>
    <t>00000358</t>
  </si>
  <si>
    <t>DDRPHY_FPM_PRFS_1_PWRS_0_CFG</t>
  </si>
  <si>
    <t>0x001DA020</t>
  </si>
  <si>
    <t>00000360</t>
  </si>
  <si>
    <t>DDRPHY_FPM_PRFS_2_PWRS_0_CFG</t>
  </si>
  <si>
    <t>0x005DA020</t>
  </si>
  <si>
    <t>00000368</t>
  </si>
  <si>
    <t>DDRPHY_FPM_PRFS_3_PWRS_0_CFG</t>
  </si>
  <si>
    <t>00000370</t>
  </si>
  <si>
    <t>DDRPHY_FPM_PRFS_4_PWRS_0_CFG</t>
  </si>
  <si>
    <t>0x0075B4C8</t>
  </si>
  <si>
    <t>00000378</t>
  </si>
  <si>
    <t>DDRPHY_FPM_PRFS_5_PWRS_0_CFG</t>
  </si>
  <si>
    <t>00000380</t>
  </si>
  <si>
    <t>DDRPHY_FPM_PRFS_6_PWRS_0_CFG</t>
  </si>
  <si>
    <t>0x0075BCC8</t>
  </si>
  <si>
    <t>00000388</t>
  </si>
  <si>
    <t>DDRPHY_FPM_PRFS_7_PWRS_0_CFG</t>
  </si>
  <si>
    <t>00000390</t>
  </si>
  <si>
    <t>DDRPHY_FPM_PRFS_LUT0_CFG</t>
  </si>
  <si>
    <t>0x2BCA41D0</t>
  </si>
  <si>
    <t>00000394</t>
  </si>
  <si>
    <t>DDRPHY_FPM_PRFS_LUT1_CFG</t>
  </si>
  <si>
    <t>0xEE264DB2</t>
  </si>
  <si>
    <t>00000398</t>
  </si>
  <si>
    <t>DDRPHY_FPM_PRFS_HI_LUT0_CFG</t>
  </si>
  <si>
    <t>0x02020307</t>
  </si>
  <si>
    <t>0000039c</t>
  </si>
  <si>
    <t>DDRPHY_FPM_PRFS_HI_LUT1_CFG</t>
  </si>
  <si>
    <t>0x00010101</t>
  </si>
  <si>
    <t>000003a0</t>
  </si>
  <si>
    <t>DDRPHY_FPM_CNTRL_CFG</t>
  </si>
  <si>
    <t>0x10000000</t>
  </si>
  <si>
    <t>0x10000003</t>
  </si>
  <si>
    <t>000003a4</t>
  </si>
  <si>
    <t>DDRPHY_FPM_CNTRL_1_CFG</t>
  </si>
  <si>
    <t>000003a8</t>
  </si>
  <si>
    <t>DDRPHY_FPM_RD_BYPASS_CFG</t>
  </si>
  <si>
    <t>000003ac</t>
  </si>
  <si>
    <t>DDRPHY_FPM_FEATURE_SW_OVRRD_CFG</t>
  </si>
  <si>
    <t>000003c0</t>
  </si>
  <si>
    <t>DDRPHY_BIST_OPCODE_LUT_0_CFG</t>
  </si>
  <si>
    <t>000003c4</t>
  </si>
  <si>
    <t>DDRPHY_BIST_OPCODE_LUT_1_CFG</t>
  </si>
  <si>
    <t>000003c8</t>
  </si>
  <si>
    <t>DDRPHY_BIST_USR_DATA_LUT_0_CFG</t>
  </si>
  <si>
    <t>000003cc</t>
  </si>
  <si>
    <t>DDRPHY_BIST_USR_DATA_LUT_1_CFG</t>
  </si>
  <si>
    <t>000003d0</t>
  </si>
  <si>
    <t>DDRPHY_BIST_USR_DATA_LUT_2_CFG</t>
  </si>
  <si>
    <t>000003d4</t>
  </si>
  <si>
    <t>DDRPHY_BIST_USR_DATA_LUT_3_CFG</t>
  </si>
  <si>
    <t>000003d8</t>
  </si>
  <si>
    <t>DDRPHY_BIST_USR_DATA_LUT_4_CFG</t>
  </si>
  <si>
    <t>000003dc</t>
  </si>
  <si>
    <t>DDRPHY_BIST_USR_DATA_LUT_5_CFG</t>
  </si>
  <si>
    <t>000003e0</t>
  </si>
  <si>
    <t>DDRPHY_BIST_USR_DATA_LUT_6_CFG</t>
  </si>
  <si>
    <t>000003e4</t>
  </si>
  <si>
    <t>DDRPHY_BIST_USR_DATA_LUT_7_CFG</t>
  </si>
  <si>
    <t>000003e8</t>
  </si>
  <si>
    <t>DDRPHY_BIST_USR_DATA_LUT_8_CFG</t>
  </si>
  <si>
    <t>000003ec</t>
  </si>
  <si>
    <t>DDRPHY_BIST_USR_DATA_LUT_9_CFG</t>
  </si>
  <si>
    <t>000003f0</t>
  </si>
  <si>
    <t>DDRPHY_BIST_USR_DATA_LUT_10_CFG</t>
  </si>
  <si>
    <t>000003f4</t>
  </si>
  <si>
    <t>DDRPHY_BIST_USR_DATA_LUT_11_CFG</t>
  </si>
  <si>
    <t>000003f8</t>
  </si>
  <si>
    <t>DDRPHY_BIST_USR_DATA_LUT_12_CFG</t>
  </si>
  <si>
    <t>000003fc</t>
  </si>
  <si>
    <t>DDRPHY_BIST_USR_DATA_LUT_13_CFG</t>
  </si>
  <si>
    <t>00000400</t>
  </si>
  <si>
    <t>DDRPHY_BIST_USR_DATA_LUT_14_CFG</t>
  </si>
  <si>
    <t>00000404</t>
  </si>
  <si>
    <t>DDRPHY_BIST_USR_DATA_LUT_15_CFG</t>
  </si>
  <si>
    <t>00000408</t>
  </si>
  <si>
    <t>DDRPHY_BIST_CTRL_ACTIVE_CFG</t>
  </si>
  <si>
    <t>0000040c</t>
  </si>
  <si>
    <t>DDRPHY_BIST_CTRL_CFG</t>
  </si>
  <si>
    <t>0x07000000</t>
  </si>
  <si>
    <t>00000410</t>
  </si>
  <si>
    <t>DDRPHY_BIST_TOP_CGC_ACTIVE_CFG</t>
  </si>
  <si>
    <t>00000414</t>
  </si>
  <si>
    <t>DDRPHY_BIST_PRBS_SEED_CFG</t>
  </si>
  <si>
    <t>00000418</t>
  </si>
  <si>
    <t>DDRPHY_BIST_ERR_MASK_CFG</t>
  </si>
  <si>
    <t>0000041c</t>
  </si>
  <si>
    <t>DDRPHY_BIST_MISR_ISIG_CFG</t>
  </si>
  <si>
    <t>00000420</t>
  </si>
  <si>
    <t>DDRPHY_BIST_MISR_HI_ISIG_CFG</t>
  </si>
  <si>
    <t>00000434</t>
  </si>
  <si>
    <t>DDRPHY_BIST_WRLVL_CTRL_0_CFG</t>
  </si>
  <si>
    <t>00000438</t>
  </si>
  <si>
    <t>DDRPHY_BIST_WRLVL_TRIGGER_CFG</t>
  </si>
  <si>
    <t>00000460</t>
  </si>
  <si>
    <t>DDRPHY_CDCEXT_WRLVL_0_CTL_CFG</t>
  </si>
  <si>
    <t>0xC0000000</t>
  </si>
  <si>
    <t>00000464</t>
  </si>
  <si>
    <t>DDRPHY_CDCEXT_WRLVL_1_CTL_CFG</t>
  </si>
  <si>
    <t>00000468</t>
  </si>
  <si>
    <t>DDRPHY_CDCEXT_WRLVL_2_CTL_CFG</t>
  </si>
  <si>
    <t>0000046c</t>
  </si>
  <si>
    <t>DDRPHY_CDCEXT_WRLVL_3_CTL_CFG</t>
  </si>
  <si>
    <t>00000470</t>
  </si>
  <si>
    <t>DDRPHY_CDCEXT_WRLVL_4_CTL_CFG</t>
  </si>
  <si>
    <t>00000474</t>
  </si>
  <si>
    <t>DDRPHY_CDCEXT_WRLVL_5_CTL_CFG</t>
  </si>
  <si>
    <t>00000478</t>
  </si>
  <si>
    <t>DDRPHY_CDCEXT_WRLVL_6_CTL_CFG</t>
  </si>
  <si>
    <t>0x00000006</t>
  </si>
  <si>
    <t>0000047c</t>
  </si>
  <si>
    <t>DDRPHY_CDCEXT_WRLVL_7_CTL_CFG</t>
  </si>
  <si>
    <t>0x00000007</t>
  </si>
  <si>
    <t>00000480</t>
  </si>
  <si>
    <t>DDRPHY_CDCEXT_WR_0_CTL_CFG</t>
  </si>
  <si>
    <t>0x14A7D9F6</t>
  </si>
  <si>
    <t>00000484</t>
  </si>
  <si>
    <t>DDRPHY_CDCEXT_WR_1_CTL_CFG</t>
  </si>
  <si>
    <t>00000488</t>
  </si>
  <si>
    <t>DDRPHY_CDCEXT_WR_2_CTL_CFG</t>
  </si>
  <si>
    <t>0000048c</t>
  </si>
  <si>
    <t>DDRPHY_CDCEXT_WR_3_CTL_CFG</t>
  </si>
  <si>
    <t>00000490</t>
  </si>
  <si>
    <t>DDRPHY_CDCEXT_WR_4_CTL_CFG</t>
  </si>
  <si>
    <t>0x00000401</t>
  </si>
  <si>
    <t>00000494</t>
  </si>
  <si>
    <t>DDRPHY_CDCEXT_WR_5_CTL_CFG</t>
  </si>
  <si>
    <t>0x00000802</t>
  </si>
  <si>
    <t>00000498</t>
  </si>
  <si>
    <t>DDRPHY_CDCEXT_WR_6_CTL_CFG</t>
  </si>
  <si>
    <t>0x02100802</t>
  </si>
  <si>
    <t>0000049c</t>
  </si>
  <si>
    <t>DDRPHY_CDCEXT_WR_7_CTL_CFG</t>
  </si>
  <si>
    <t>0x02100C03</t>
  </si>
  <si>
    <t>000004a4</t>
  </si>
  <si>
    <t>DDRPHY_CDCEXT_RD_0_CTL_CFG</t>
  </si>
  <si>
    <t>0x0000300C</t>
  </si>
  <si>
    <t>000004a8</t>
  </si>
  <si>
    <t>DDRPHY_CDCEXT_RD_1_CTL_CFG</t>
  </si>
  <si>
    <t>0x0A521C87</t>
  </si>
  <si>
    <t>000004ac</t>
  </si>
  <si>
    <t>DDRPHY_CDCEXT_RD_2_CTL_CFG</t>
  </si>
  <si>
    <t>0x08409826</t>
  </si>
  <si>
    <t>000004b0</t>
  </si>
  <si>
    <t>DDRPHY_CDCEXT_RD_3_CTL_CFG</t>
  </si>
  <si>
    <t>0x06319465</t>
  </si>
  <si>
    <t>000004b4</t>
  </si>
  <si>
    <t>DDRPHY_CDCEXT_RD_4_CTL_CFG</t>
  </si>
  <si>
    <t>0x04209024</t>
  </si>
  <si>
    <t>000004b8</t>
  </si>
  <si>
    <t>DDRPHY_CDCEXT_RD_5_CTL_CFG</t>
  </si>
  <si>
    <t>0x04208C23</t>
  </si>
  <si>
    <t>000004bc</t>
  </si>
  <si>
    <t>DDRPHY_CDCEXT_RD_6_CTL_CFG</t>
  </si>
  <si>
    <t>0x042288A2</t>
  </si>
  <si>
    <t>000004c0</t>
  </si>
  <si>
    <t>DDRPHY_CDCEXT_RD_7_CTL_CFG</t>
  </si>
  <si>
    <t>0x02110842</t>
  </si>
  <si>
    <t>000004e4</t>
  </si>
  <si>
    <t>DDRPHY_CDCEXT_RDT2_0_CTL_CFG</t>
  </si>
  <si>
    <t>0x1EF7D9F6</t>
  </si>
  <si>
    <t>000004e8</t>
  </si>
  <si>
    <t>DDRPHY_CDCEXT_RDT2_1_CTL_CFG</t>
  </si>
  <si>
    <t>0x12913C4F</t>
  </si>
  <si>
    <t>000004ec</t>
  </si>
  <si>
    <t>DDRPHY_CDCEXT_RDT2_2_CTL_CFG</t>
  </si>
  <si>
    <t>0x0E71304C</t>
  </si>
  <si>
    <t>000004f0</t>
  </si>
  <si>
    <t>DDRPHY_CDCEXT_RDT2_3_CTL_CFG</t>
  </si>
  <si>
    <t>0x0E7328CA</t>
  </si>
  <si>
    <t>000004f4</t>
  </si>
  <si>
    <t>DDRPHY_CDCEXT_RDT2_4_CTL_CFG</t>
  </si>
  <si>
    <t>0x0A50A028</t>
  </si>
  <si>
    <t>000004f8</t>
  </si>
  <si>
    <t>DDRPHY_CDCEXT_RDT2_5_CTL_CFG</t>
  </si>
  <si>
    <t>000004fc</t>
  </si>
  <si>
    <t>DDRPHY_CDCEXT_RDT2_6_CTL_CFG</t>
  </si>
  <si>
    <t>0x06311445</t>
  </si>
  <si>
    <t>00000500</t>
  </si>
  <si>
    <t>DDRPHY_CDCEXT_RDT2_7_CTL_CFG</t>
  </si>
  <si>
    <t>0x06321084</t>
  </si>
  <si>
    <t>00000504</t>
  </si>
  <si>
    <t>DDRPHY_WRLVLEXT_CTL_0_CFG</t>
  </si>
  <si>
    <t>00000508</t>
  </si>
  <si>
    <t>DDRPHY_WRLVLEXT_CTL_1_CFG</t>
  </si>
  <si>
    <t>0x03120312</t>
  </si>
  <si>
    <t>0000050c</t>
  </si>
  <si>
    <t>DDRPHY_WRLVLEXT_CTL_2_CFG</t>
  </si>
  <si>
    <t>00000510</t>
  </si>
  <si>
    <t>DDRPHY_WRLVLEXT_CTL_3_CFG</t>
  </si>
  <si>
    <t>00000514</t>
  </si>
  <si>
    <t>DDRPHY_WRLVLEXT_CTL_4_CFG</t>
  </si>
  <si>
    <t>00000518</t>
  </si>
  <si>
    <t>DDRPHY_WRLVLEXT_CTL_5_CFG</t>
  </si>
  <si>
    <t>0000051c</t>
  </si>
  <si>
    <t>DDRPHY_WRLVLEXT_CTL_6_CFG</t>
  </si>
  <si>
    <t>00000520</t>
  </si>
  <si>
    <t>DDRPHY_WRLVLEXT_CTL_7_CFG</t>
  </si>
  <si>
    <t>00000524</t>
  </si>
  <si>
    <t>DDRPHY_RCWPREAMBEXT_TOP_0_CFG</t>
  </si>
  <si>
    <t>00000528</t>
  </si>
  <si>
    <t>DDRPHY_RCWPREAMBEXT_TOP_1_CFG</t>
  </si>
  <si>
    <t>0000052c</t>
  </si>
  <si>
    <t>DDRPHY_RCWPREAMBEXT_TOP_2_CFG</t>
  </si>
  <si>
    <t>00000530</t>
  </si>
  <si>
    <t>DDRPHY_RCWPREAMBEXT_TOP_3_CFG</t>
  </si>
  <si>
    <t>00000534</t>
  </si>
  <si>
    <t>DDRPHY_RCWPREAMBEXT_TOP_4_CFG</t>
  </si>
  <si>
    <t>0x00002022</t>
  </si>
  <si>
    <t>00000538</t>
  </si>
  <si>
    <t>DDRPHY_RCWPREAMBEXT_TOP_5_CFG</t>
  </si>
  <si>
    <t>0x00002026</t>
  </si>
  <si>
    <t>0000053c</t>
  </si>
  <si>
    <t>DDRPHY_RCWPREAMBEXT_TOP_6_CFG</t>
  </si>
  <si>
    <t>00000540</t>
  </si>
  <si>
    <t>DDRPHY_RCWPREAMBEXT_TOP_7_CFG</t>
  </si>
  <si>
    <t>00000550</t>
  </si>
  <si>
    <t>DDRPHY_TOPCTRL1EXT_PRFS_0_CFG</t>
  </si>
  <si>
    <t>0x000000EB</t>
  </si>
  <si>
    <t>0x00001BE1</t>
  </si>
  <si>
    <t>00000554</t>
  </si>
  <si>
    <t>DDRPHY_TOPCTRL1EXT_PRFS_1_CFG</t>
  </si>
  <si>
    <t>0x0000000B</t>
  </si>
  <si>
    <t>0x00001B01</t>
  </si>
  <si>
    <t>00000558</t>
  </si>
  <si>
    <t>DDRPHY_TOPCTRL1EXT_PRFS_2_CFG</t>
  </si>
  <si>
    <t>0x0000000A</t>
  </si>
  <si>
    <t>0000055c</t>
  </si>
  <si>
    <t>DDRPHY_TOPCTRL1EXT_PRFS_3_CFG</t>
  </si>
  <si>
    <t>0x00001800</t>
  </si>
  <si>
    <t>00000560</t>
  </si>
  <si>
    <t>DDRPHY_TOPCTRL1EXT_PRFS_4_CFG</t>
  </si>
  <si>
    <t>00000564</t>
  </si>
  <si>
    <t>DDRPHY_TOPCTRL1EXT_PRFS_5_CFG</t>
  </si>
  <si>
    <t>00000568</t>
  </si>
  <si>
    <t>DDRPHY_TOPCTRL1EXT_PRFS_6_CFG</t>
  </si>
  <si>
    <t>0x0000040A</t>
  </si>
  <si>
    <t>0000056c</t>
  </si>
  <si>
    <t>DDRPHY_TOPCTRL1EXT_PRFS_7_CFG</t>
  </si>
  <si>
    <t>00000570</t>
  </si>
  <si>
    <t>DDRPHY_GLOBALVREFEXT_PRFS_0_CFG</t>
  </si>
  <si>
    <t>0xFFFFFC00</t>
  </si>
  <si>
    <t>00000574</t>
  </si>
  <si>
    <t>DDRPHY_GLOBALVREFEXT_PRFS_1_CFG</t>
  </si>
  <si>
    <t>00000578</t>
  </si>
  <si>
    <t>DDRPHY_GLOBALVREFEXT_PRFS_2_CFG</t>
  </si>
  <si>
    <t>0000057c</t>
  </si>
  <si>
    <t>DDRPHY_GLOBALVREFEXT_PRFS_3_CFG</t>
  </si>
  <si>
    <t>00000580</t>
  </si>
  <si>
    <t>DDRPHY_GLOBALVREFEXT_PRFS_4_CFG</t>
  </si>
  <si>
    <t>00000584</t>
  </si>
  <si>
    <t>DDRPHY_GLOBALVREFEXT_PRFS_5_CFG</t>
  </si>
  <si>
    <t>00000588</t>
  </si>
  <si>
    <t>DDRPHY_GLOBALVREFEXT_PRFS_6_CFG</t>
  </si>
  <si>
    <t>0000058c</t>
  </si>
  <si>
    <t>DDRPHY_GLOBALVREFEXT_PRFS_7_CFG</t>
  </si>
  <si>
    <t>00000620</t>
  </si>
  <si>
    <t>DDRPHY_UPDATE_INTF_CFG</t>
  </si>
  <si>
    <t>00000654</t>
  </si>
  <si>
    <t>DDRPHY_CDCEXT_CT2RD_0_CTL_CFG</t>
  </si>
  <si>
    <t>0x29406018</t>
  </si>
  <si>
    <t>00000658</t>
  </si>
  <si>
    <t>DDRPHY_CDCEXT_CT2RD_1_CTL_CFG</t>
  </si>
  <si>
    <t>0000065c</t>
  </si>
  <si>
    <t>DDRPHY_CDCEXT_CT2RD_2_CTL_CFG</t>
  </si>
  <si>
    <t>00000660</t>
  </si>
  <si>
    <t>DDRPHY_CDCEXT_CT2RD_3_CTL_CFG</t>
  </si>
  <si>
    <t>00000664</t>
  </si>
  <si>
    <t>DDRPHY_CDCEXT_CT2RD_4_CTL_CFG</t>
  </si>
  <si>
    <t>00000668</t>
  </si>
  <si>
    <t>DDRPHY_CDCEXT_CT2RD_5_CTL_CFG</t>
  </si>
  <si>
    <t>0000066c</t>
  </si>
  <si>
    <t>DDRPHY_CDCEXT_CT2RD_6_CTL_CFG</t>
  </si>
  <si>
    <t>00000670</t>
  </si>
  <si>
    <t>DDRPHY_CDCEXT_CT2RD_7_CTL_CFG</t>
  </si>
  <si>
    <t>00000674</t>
  </si>
  <si>
    <t>DDRPHY_CDCEXT_MSTR_0_CTL_CFG</t>
  </si>
  <si>
    <t>0x00000001</t>
  </si>
  <si>
    <t>00000678</t>
  </si>
  <si>
    <t>DDRPHY_CDCEXT_MSTR_1_CTL_CFG</t>
  </si>
  <si>
    <t>0000067c</t>
  </si>
  <si>
    <t>DDRPHY_CDCEXT_MSTR_2_CTL_CFG</t>
  </si>
  <si>
    <t>00000680</t>
  </si>
  <si>
    <t>DDRPHY_CDCEXT_MSTR_3_CTL_CFG</t>
  </si>
  <si>
    <t>00000684</t>
  </si>
  <si>
    <t>DDRPHY_CDCEXT_MSTR_4_CTL_CFG</t>
  </si>
  <si>
    <t>00000688</t>
  </si>
  <si>
    <t>DDRPHY_CDCEXT_MSTR_5_CTL_CFG</t>
  </si>
  <si>
    <t>0000068c</t>
  </si>
  <si>
    <t>DDRPHY_CDCEXT_MSTR_6_CTL_CFG</t>
  </si>
  <si>
    <t>00000690</t>
  </si>
  <si>
    <t>DDRPHY_CDCEXT_MSTR_7_CTL_CFG</t>
  </si>
  <si>
    <t>00000694</t>
  </si>
  <si>
    <t>DDRPHY_DCCEXT_CMDCC_0_CTL_CFG</t>
  </si>
  <si>
    <t>00000698</t>
  </si>
  <si>
    <t>DDRPHY_DCCEXT_CMDCC_1_CTL_CFG</t>
  </si>
  <si>
    <t>0000069c</t>
  </si>
  <si>
    <t>DDRPHY_DCCEXT_CMDCC_2_CTL_CFG</t>
  </si>
  <si>
    <t>000006a0</t>
  </si>
  <si>
    <t>DDRPHY_DCCEXT_CMDCC_3_CTL_CFG</t>
  </si>
  <si>
    <t>000006a4</t>
  </si>
  <si>
    <t>DDRPHY_DCCEXT_CMDCC_4_CTL_CFG</t>
  </si>
  <si>
    <t>000006a8</t>
  </si>
  <si>
    <t>DDRPHY_DCCEXT_CMDCC_5_CTL_CFG</t>
  </si>
  <si>
    <t>000006ac</t>
  </si>
  <si>
    <t>DDRPHY_DCCEXT_CMDCC_6_CTL_CFG</t>
  </si>
  <si>
    <t>000006b0</t>
  </si>
  <si>
    <t>DDRPHY_DCCEXT_CMDCC_7_CTL_CFG</t>
  </si>
  <si>
    <t>000006b4</t>
  </si>
  <si>
    <t>DDRPHY_DCCEXT_PADDCC_0_CTL_CFG</t>
  </si>
  <si>
    <t>000006b8</t>
  </si>
  <si>
    <t>DDRPHY_DCCEXT_PADDCC_1_CTL_CFG</t>
  </si>
  <si>
    <t>000006bc</t>
  </si>
  <si>
    <t>DDRPHY_DCCEXT_PADDCC_2_CTL_CFG</t>
  </si>
  <si>
    <t>000006c0</t>
  </si>
  <si>
    <t>DDRPHY_DCCEXT_PADDCC_3_CTL_CFG</t>
  </si>
  <si>
    <t>000006c4</t>
  </si>
  <si>
    <t>DDRPHY_DCCEXT_PADDCC_4_CTL_CFG</t>
  </si>
  <si>
    <t>000006c8</t>
  </si>
  <si>
    <t>DDRPHY_DCCEXT_PADDCC_5_CTL_CFG</t>
  </si>
  <si>
    <t>000006cc</t>
  </si>
  <si>
    <t>DDRPHY_DCCEXT_PADDCC_6_CTL_CFG</t>
  </si>
  <si>
    <t>000006d0</t>
  </si>
  <si>
    <t>DDRPHY_DCCEXT_PADDCC_7_CTL_CFG</t>
  </si>
  <si>
    <t>000006e0</t>
  </si>
  <si>
    <t>DDRPHY_CDCEXT_WRLVL_0_MODE_CFG</t>
  </si>
  <si>
    <t>000006e4</t>
  </si>
  <si>
    <t>DDRPHY_CDCEXT_WRLVL_1_MODE_CFG</t>
  </si>
  <si>
    <t>000006e8</t>
  </si>
  <si>
    <t>DDRPHY_CDCEXT_WRLVL_2_MODE_CFG</t>
  </si>
  <si>
    <t>000006ec</t>
  </si>
  <si>
    <t>DDRPHY_CDCEXT_WRLVL_3_MODE_CFG</t>
  </si>
  <si>
    <t>000006f0</t>
  </si>
  <si>
    <t>DDRPHY_CDCEXT_WRLVL_4_MODE_CFG</t>
  </si>
  <si>
    <t>000006f4</t>
  </si>
  <si>
    <t>DDRPHY_CDCEXT_WRLVL_5_MODE_CFG</t>
  </si>
  <si>
    <t>000006f8</t>
  </si>
  <si>
    <t>DDRPHY_CDCEXT_WRLVL_6_MODE_CFG</t>
  </si>
  <si>
    <t>000006fc</t>
  </si>
  <si>
    <t>DDRPHY_CDCEXT_WRLVL_7_MODE_CFG</t>
  </si>
  <si>
    <t>00000720</t>
  </si>
  <si>
    <t>DDRPHY_QFI2_CNTL_0_CFG</t>
  </si>
  <si>
    <t>0x00500333</t>
  </si>
  <si>
    <t>0x00500000</t>
  </si>
  <si>
    <t>00000724</t>
  </si>
  <si>
    <t>DDRPHY_QFI2_CNTL_1_CFG</t>
  </si>
  <si>
    <t>00000728</t>
  </si>
  <si>
    <t>DDRPHY_QFI2_CNTL_2_CFG</t>
  </si>
  <si>
    <t>0x00001001</t>
  </si>
  <si>
    <t>0000072c</t>
  </si>
  <si>
    <t>DDRPHY_QFI2_CNTL_3_CFG</t>
  </si>
  <si>
    <t>0x0000F7F7</t>
  </si>
  <si>
    <t>00000730</t>
  </si>
  <si>
    <t>DDRPHY_QFI2_CNTL_4_CFG</t>
  </si>
  <si>
    <t>00000734</t>
  </si>
  <si>
    <t>DDRPHY_QFI2_CNTL_5_CFG</t>
  </si>
  <si>
    <t>0x00000100</t>
  </si>
  <si>
    <t>00000738</t>
  </si>
  <si>
    <t>DDRPHY_QFI2_CNTL_6_CFG</t>
  </si>
  <si>
    <t>00000760</t>
  </si>
  <si>
    <t>DDRPHY_DM_CFG0</t>
  </si>
  <si>
    <t>0x00000004</t>
  </si>
  <si>
    <t>0x00000008</t>
  </si>
  <si>
    <t>00000764</t>
  </si>
  <si>
    <t>DDRPHY_DM_CFG1</t>
  </si>
  <si>
    <t>0000076c</t>
  </si>
  <si>
    <t>DDRPHY_DM_FPM_CTRL_CFG</t>
  </si>
  <si>
    <t>0x00000003</t>
  </si>
  <si>
    <t>00000770</t>
  </si>
  <si>
    <t>DDRPHY_PADEXT_PRFS_0_FPM_CNTL0_CFG</t>
  </si>
  <si>
    <t>00000774</t>
  </si>
  <si>
    <t>DDRPHY_PADEXT_PRFS_1_FPM_CNTL0_CFG</t>
  </si>
  <si>
    <t>0x020816F6</t>
  </si>
  <si>
    <t>00000778</t>
  </si>
  <si>
    <t>DDRPHY_PADEXT_PRFS_2_FPM_CNTL0_CFG</t>
  </si>
  <si>
    <t>0000077c</t>
  </si>
  <si>
    <t>DDRPHY_PADEXT_PRFS_3_FPM_CNTL0_CFG</t>
  </si>
  <si>
    <t>00000780</t>
  </si>
  <si>
    <t>DDRPHY_PADEXT_PRFS_4_FPM_CNTL0_CFG</t>
  </si>
  <si>
    <t>0x6E491B76</t>
  </si>
  <si>
    <t>00000784</t>
  </si>
  <si>
    <t>DDRPHY_PADEXT_PRFS_5_FPM_CNTL0_CFG</t>
  </si>
  <si>
    <t>00000788</t>
  </si>
  <si>
    <t>DDRPHY_PADEXT_PRFS_6_FPM_CNTL0_CFG</t>
  </si>
  <si>
    <t>0000078c</t>
  </si>
  <si>
    <t>DDRPHY_PADEXT_PRFS_7_FPM_CNTL0_CFG</t>
  </si>
  <si>
    <t>00000790</t>
  </si>
  <si>
    <t>DDRPHY_PADEXT_PRFS_0_FPM_CNTL1_CFG</t>
  </si>
  <si>
    <t>00000794</t>
  </si>
  <si>
    <t>DDRPHY_PADEXT_PRFS_1_FPM_CNTL1_CFG</t>
  </si>
  <si>
    <t>00000798</t>
  </si>
  <si>
    <t>DDRPHY_PADEXT_PRFS_2_FPM_CNTL1_CFG</t>
  </si>
  <si>
    <t>0000079c</t>
  </si>
  <si>
    <t>DDRPHY_PADEXT_PRFS_3_FPM_CNTL1_CFG</t>
  </si>
  <si>
    <t>000007a0</t>
  </si>
  <si>
    <t>DDRPHY_PADEXT_PRFS_4_FPM_CNTL1_CFG</t>
  </si>
  <si>
    <t>0x000000E0</t>
  </si>
  <si>
    <t>000007a4</t>
  </si>
  <si>
    <t>DDRPHY_PADEXT_PRFS_5_FPM_CNTL1_CFG</t>
  </si>
  <si>
    <t>000007a8</t>
  </si>
  <si>
    <t>DDRPHY_PADEXT_PRFS_6_FPM_CNTL1_CFG</t>
  </si>
  <si>
    <t>0x000000C0</t>
  </si>
  <si>
    <t>000007ac</t>
  </si>
  <si>
    <t>DDRPHY_PADEXT_PRFS_7_FPM_CNTL1_CFG</t>
  </si>
  <si>
    <t>000007b0</t>
  </si>
  <si>
    <t>DDRPHY_DDRDMEXT_PRFS_0_FPM_CNTL_CFG</t>
  </si>
  <si>
    <t>000007b4</t>
  </si>
  <si>
    <t>DDRPHY_DDRDMEXT_PRFS_1_FPM_CNTL_CFG</t>
  </si>
  <si>
    <t>000007b8</t>
  </si>
  <si>
    <t>DDRPHY_DDRDMEXT_PRFS_2_FPM_CNTL_CFG</t>
  </si>
  <si>
    <t>000007bc</t>
  </si>
  <si>
    <t>DDRPHY_DDRDMEXT_PRFS_3_FPM_CNTL_CFG</t>
  </si>
  <si>
    <t>000007c0</t>
  </si>
  <si>
    <t>DDRPHY_DDRDMEXT_PRFS_4_FPM_CNTL_CFG</t>
  </si>
  <si>
    <t>000007c4</t>
  </si>
  <si>
    <t>DDRPHY_DDRDMEXT_PRFS_5_FPM_CNTL_CFG</t>
  </si>
  <si>
    <t>000007c8</t>
  </si>
  <si>
    <t>DDRPHY_DDRDMEXT_PRFS_6_FPM_CNTL_CFG</t>
  </si>
  <si>
    <t>000007cc</t>
  </si>
  <si>
    <t>DDRPHY_DDRDMEXT_PRFS_7_FPM_CNTL_CFG</t>
  </si>
  <si>
    <t>000007d0</t>
  </si>
  <si>
    <t>DDRPHY_QFI2EXT_PRFS_0_CNTL_0_CFG</t>
  </si>
  <si>
    <t>0x00100336</t>
  </si>
  <si>
    <t>000007d4</t>
  </si>
  <si>
    <t>DDRPHY_QFI2EXT_PRFS_1_CNTL_0_CFG</t>
  </si>
  <si>
    <t>000007d8</t>
  </si>
  <si>
    <t>DDRPHY_QFI2EXT_PRFS_2_CNTL_0_CFG</t>
  </si>
  <si>
    <t>000007dc</t>
  </si>
  <si>
    <t>DDRPHY_QFI2EXT_PRFS_3_CNTL_0_CFG</t>
  </si>
  <si>
    <t>0x00100334</t>
  </si>
  <si>
    <t>000007e0</t>
  </si>
  <si>
    <t>DDRPHY_QFI2EXT_PRFS_4_CNTL_0_CFG</t>
  </si>
  <si>
    <t>000007e4</t>
  </si>
  <si>
    <t>DDRPHY_QFI2EXT_PRFS_5_CNTL_0_CFG</t>
  </si>
  <si>
    <t>000007e8</t>
  </si>
  <si>
    <t>DDRPHY_QFI2EXT_PRFS_6_CNTL_0_CFG</t>
  </si>
  <si>
    <t>0x00100335</t>
  </si>
  <si>
    <t>000007ec</t>
  </si>
  <si>
    <t>DDRPHY_QFI2EXT_PRFS_7_CNTL_0_CFG</t>
  </si>
  <si>
    <t>0x00300335</t>
  </si>
  <si>
    <t>000007f0</t>
  </si>
  <si>
    <t>DDRPHY_QFI2EXT_PRFS_0_CNTL_1_CFG</t>
  </si>
  <si>
    <t>000007f4</t>
  </si>
  <si>
    <t>DDRPHY_QFI2EXT_PRFS_1_CNTL_1_CFG</t>
  </si>
  <si>
    <t>000007f8</t>
  </si>
  <si>
    <t>DDRPHY_QFI2EXT_PRFS_2_CNTL_1_CFG</t>
  </si>
  <si>
    <t>000007fc</t>
  </si>
  <si>
    <t>DDRPHY_QFI2EXT_PRFS_3_CNTL_1_CFG</t>
  </si>
  <si>
    <t>0x00000040</t>
  </si>
  <si>
    <t>00000800</t>
  </si>
  <si>
    <t>DDRPHY_QFI2EXT_PRFS_4_CNTL_1_CFG</t>
  </si>
  <si>
    <t>00000804</t>
  </si>
  <si>
    <t>DDRPHY_QFI2EXT_PRFS_5_CNTL_1_CFG</t>
  </si>
  <si>
    <t>0x00000041</t>
  </si>
  <si>
    <t>00000808</t>
  </si>
  <si>
    <t>DDRPHY_QFI2EXT_PRFS_6_CNTL_1_CFG</t>
  </si>
  <si>
    <t>0000080c</t>
  </si>
  <si>
    <t>DDRPHY_QFI2EXT_PRFS_7_CNTL_1_CFG</t>
  </si>
  <si>
    <t>0x00000141</t>
  </si>
  <si>
    <t>00000810</t>
  </si>
  <si>
    <t>DDRPHY_QFI2EXT_PRFS_0_CNTL_2_CFG</t>
  </si>
  <si>
    <t>00000814</t>
  </si>
  <si>
    <t>DDRPHY_QFI2EXT_PRFS_1_CNTL_2_CFG</t>
  </si>
  <si>
    <t>0x00002001</t>
  </si>
  <si>
    <t>00000818</t>
  </si>
  <si>
    <t>DDRPHY_QFI2EXT_PRFS_2_CNTL_2_CFG</t>
  </si>
  <si>
    <t>0000081c</t>
  </si>
  <si>
    <t>DDRPHY_QFI2EXT_PRFS_3_CNTL_2_CFG</t>
  </si>
  <si>
    <t>0x00007001</t>
  </si>
  <si>
    <t>00000820</t>
  </si>
  <si>
    <t>DDRPHY_QFI2EXT_PRFS_4_CNTL_2_CFG</t>
  </si>
  <si>
    <t>0x00007203</t>
  </si>
  <si>
    <t>00000824</t>
  </si>
  <si>
    <t>DDRPHY_QFI2EXT_PRFS_5_CNTL_2_CFG</t>
  </si>
  <si>
    <t>00000828</t>
  </si>
  <si>
    <t>DDRPHY_QFI2EXT_PRFS_6_CNTL_2_CFG</t>
  </si>
  <si>
    <t>0000082c</t>
  </si>
  <si>
    <t>DDRPHY_QFI2EXT_PRFS_7_CNTL_2_CFG</t>
  </si>
  <si>
    <t>0x000E0010</t>
  </si>
  <si>
    <t>0x0000184B</t>
  </si>
  <si>
    <t>0x0100FFFF</t>
  </si>
  <si>
    <t>0x0020087F</t>
  </si>
  <si>
    <t>0x00000009</t>
  </si>
  <si>
    <t>0x00001F05</t>
  </si>
  <si>
    <t>0x00000032</t>
  </si>
  <si>
    <t>0x00300000</t>
  </si>
  <si>
    <t>0x003FF800</t>
  </si>
  <si>
    <t>0x001D8004</t>
  </si>
  <si>
    <t>0x001D8002</t>
  </si>
  <si>
    <t>0x005D8002</t>
  </si>
  <si>
    <t>0x00758001</t>
  </si>
  <si>
    <t>0x0000004B</t>
  </si>
  <si>
    <t>0x0000004A</t>
  </si>
  <si>
    <t>0x00400033</t>
  </si>
  <si>
    <t>0x00000031</t>
  </si>
  <si>
    <t>0x01000300</t>
  </si>
  <si>
    <t>0x02081489</t>
  </si>
  <si>
    <t>0x020816DB</t>
  </si>
  <si>
    <t>0x02491B76</t>
  </si>
  <si>
    <t>0x00000036</t>
  </si>
  <si>
    <t>0x00000034</t>
  </si>
  <si>
    <t>0x00000035</t>
  </si>
  <si>
    <t>DDRCC_TOP_CTRL_CFG</t>
  </si>
  <si>
    <t>0x012C2510</t>
  </si>
  <si>
    <t>0x03681C00</t>
  </si>
  <si>
    <t>DDRCC_TOP_CTRL_CFG1</t>
  </si>
  <si>
    <t>0x00000682</t>
  </si>
  <si>
    <t>DDRCC_TOP_CTRL_CFG2</t>
  </si>
  <si>
    <t>DDRCC_TOP_CTRL_CFG3</t>
  </si>
  <si>
    <t>DDRCC_TOP_CTRL_CFG4</t>
  </si>
  <si>
    <t>00000024</t>
  </si>
  <si>
    <t>DDRCC_TOP_FPM_PERIOD</t>
  </si>
  <si>
    <t>0x03000000</t>
  </si>
  <si>
    <t>00000028</t>
  </si>
  <si>
    <t>DDRCC_TOP_DEBUG_SELECT</t>
  </si>
  <si>
    <t>0000002c</t>
  </si>
  <si>
    <t>DDRCC_TOP_TEST_CLOCK_SELECT</t>
  </si>
  <si>
    <t>00000030</t>
  </si>
  <si>
    <t>DDRCC_TOP_CGC_CTRL</t>
  </si>
  <si>
    <t>0x00000018</t>
  </si>
  <si>
    <t>00000034</t>
  </si>
  <si>
    <t>DDRCC_TOP_DEBUG_BUS_TEST</t>
  </si>
  <si>
    <t>00000038</t>
  </si>
  <si>
    <t>DDRCC_TOP_HW_EVENT_TEST_CTRL</t>
  </si>
  <si>
    <t>DDRCC_PLLCTRL_GCC_CTRL</t>
  </si>
  <si>
    <t>0x00001000</t>
  </si>
  <si>
    <t>DDRCC_PLLCTRL_CLK_SWITCH_CTRL</t>
  </si>
  <si>
    <t>0xE9840FAC</t>
  </si>
  <si>
    <t>0x499E69AC</t>
  </si>
  <si>
    <t>0000004c</t>
  </si>
  <si>
    <t>DDRCC_PLLCTRL_CTRL</t>
  </si>
  <si>
    <t>0x04001183</t>
  </si>
  <si>
    <t>0x18001183</t>
  </si>
  <si>
    <t>DDRCC_PLLCTRL_MC_FPM_PERIOD</t>
  </si>
  <si>
    <t>DDRCC_DLLCTRL_CTRL</t>
  </si>
  <si>
    <t>0x00700000</t>
  </si>
  <si>
    <t>DDRCC_TXPHYCTRL_CTRL</t>
  </si>
  <si>
    <t>0x6085B7E4</t>
  </si>
  <si>
    <t>0x43210A54</t>
  </si>
  <si>
    <t>DDRCC_TXMCCTRL_CTRL</t>
  </si>
  <si>
    <t>DDRCC_MCCC_TOP_CFG</t>
  </si>
  <si>
    <t>0x063A5229</t>
  </si>
  <si>
    <t>0x06425229</t>
  </si>
  <si>
    <t>DDRCC_MCCC_TOP_CFG1</t>
  </si>
  <si>
    <t>0x0000BE0B</t>
  </si>
  <si>
    <t>0x0000BFEB</t>
  </si>
  <si>
    <t>DDRCC_MCCC_TOP_CFG2</t>
  </si>
  <si>
    <t>0x0000000E</t>
  </si>
  <si>
    <t>DDRCC_TX0_CONFIG_CTRL</t>
  </si>
  <si>
    <t>DDRCC_TX0_USER_CTRL</t>
  </si>
  <si>
    <t>00000094</t>
  </si>
  <si>
    <t>DDRCC_TX0_TEST_CTRL</t>
  </si>
  <si>
    <t>000000a0</t>
  </si>
  <si>
    <t>DDRCC_TX1_CONFIG_CTRL</t>
  </si>
  <si>
    <t>000000a4</t>
  </si>
  <si>
    <t>DDRCC_TX1_USER_CTRL</t>
  </si>
  <si>
    <t>000000a8</t>
  </si>
  <si>
    <t>DDRCC_TX1_TEST_CTRL</t>
  </si>
  <si>
    <t>000000c8</t>
  </si>
  <si>
    <t>DDRCC_TXPHY_CONFIG_CTRL</t>
  </si>
  <si>
    <t>000000cc</t>
  </si>
  <si>
    <t>DDRCC_TXPHY_USER_CTRL</t>
  </si>
  <si>
    <t>000000d0</t>
  </si>
  <si>
    <t>DDRCC_TXPHY_TEST_CTRL</t>
  </si>
  <si>
    <t>000000fc</t>
  </si>
  <si>
    <t>DDRCC_TEST_CTRL</t>
  </si>
  <si>
    <t>00000114</t>
  </si>
  <si>
    <t>DDRCC_PLL0_MODE</t>
  </si>
  <si>
    <t>0x00000005</t>
  </si>
  <si>
    <t>DDRCC_PLL1_MODE</t>
  </si>
  <si>
    <t>DDRCC_PLLCTRL_GCC_CTRL_CH1_CFG</t>
  </si>
  <si>
    <t>DDRCC_PLLCTRL_CLK_SWITCH_CTRL_CH1_CFG</t>
  </si>
  <si>
    <t>00000168</t>
  </si>
  <si>
    <t>DDRCC_PLLCTRL_CTRL_CH1_CFG</t>
  </si>
  <si>
    <t>DDRCC_PLLCTRL_MC_FPM_PERIOD_CH1_CFG</t>
  </si>
  <si>
    <t>DDRCC_TXPHYCTRL_CTRL_CH1_CFG</t>
  </si>
  <si>
    <t>DDRCC_PHYTX1_CONFIG_CTRL_CH1_CFG</t>
  </si>
  <si>
    <t>DDRCC_TXPHY_CONFIG_CTRL_CH1_CFG</t>
  </si>
  <si>
    <t>DDRCC_TXPHY_USER_CTRL_CH1_CFG</t>
  </si>
  <si>
    <t>DDRCC_TXPHY_TEST_CTRL_CH1_CFG</t>
  </si>
  <si>
    <t>DDRCC_MCCC_TOP_CH1_CFG</t>
  </si>
  <si>
    <t>DDRCC_MCCC_TOP_CH1_CFG1</t>
  </si>
  <si>
    <t>DDRCC_MCCC_TOP_CH1_CFG2</t>
  </si>
  <si>
    <t>DDRCC_FPM_EXT_ADDR_CFG0</t>
  </si>
  <si>
    <t>DDRCC_FPM_EXT_ADDR_CFG1</t>
  </si>
  <si>
    <t>DDRCC_FPM_EXT_ADDR_CFG2</t>
  </si>
  <si>
    <t>DDRCC_UPDATE_INTF_CFG0</t>
  </si>
  <si>
    <t>0x00000330</t>
  </si>
  <si>
    <t>DDRCC_SPM_FEA_0_TRAIT_CFG</t>
  </si>
  <si>
    <t>DDRCC_SPM_FEA_1_TRAIT_CFG</t>
  </si>
  <si>
    <t>DDRCC_SPM_FEA_2_TRAIT_CFG</t>
  </si>
  <si>
    <t>DDRCC_SPM_FEA_3_TRAIT_CFG</t>
  </si>
  <si>
    <t>DDRCC_SPM_FEA_4_TRAIT_CFG</t>
  </si>
  <si>
    <t>DDRCC_SPM_FEA_5_TRAIT_CFG</t>
  </si>
  <si>
    <t>DDRCC_SPM_FEA_6_TRAIT_CFG</t>
  </si>
  <si>
    <t>DDRCC_SPM_FEA_7_TRAIT_CFG</t>
  </si>
  <si>
    <t>DDRCC_SPM_FEA_8_TRAIT_CFG</t>
  </si>
  <si>
    <t>DDRCC_SPM_FEA_9_TRAIT_CFG</t>
  </si>
  <si>
    <t>DDRCC_SPM_FEA_10_TRAIT_CFG</t>
  </si>
  <si>
    <t>DDRCC_SPM_FEA_11_TRAIT_CFG</t>
  </si>
  <si>
    <t>000004a0</t>
  </si>
  <si>
    <t>DDRCC_SPM_FEA_12_TRAIT_CFG</t>
  </si>
  <si>
    <t>DDRCC_SPM_FEA_13_TRAIT_CFG</t>
  </si>
  <si>
    <t>DDRCC_SPM_FEA_14_TRAIT_CFG</t>
  </si>
  <si>
    <t>DDRCC_SPM_FEA_15_TRAIT_CFG</t>
  </si>
  <si>
    <t>DDRCC_SPM_FEA_16_TRAIT_CFG</t>
  </si>
  <si>
    <t>DDRCC_SPM_FEA_17_TRAIT_CFG</t>
  </si>
  <si>
    <t>DDRCC_SPM_FEA_18_TRAIT_CFG</t>
  </si>
  <si>
    <t>DDRCC_SPM_FEA_19_TRAIT_CFG</t>
  </si>
  <si>
    <t>DDRCC_SPM_FEA_20_TRAIT_CFG</t>
  </si>
  <si>
    <t>000004c4</t>
  </si>
  <si>
    <t>DDRCC_SPM_FEA_21_TRAIT_CFG</t>
  </si>
  <si>
    <t>000004c8</t>
  </si>
  <si>
    <t>DDRCC_SPM_FEA_22_TRAIT_CFG</t>
  </si>
  <si>
    <t>000004cc</t>
  </si>
  <si>
    <t>DDRCC_SPM_FEA_23_TRAIT_CFG</t>
  </si>
  <si>
    <t>000004d0</t>
  </si>
  <si>
    <t>DDRCC_SPM_FEA_24_TRAIT_CFG</t>
  </si>
  <si>
    <t>000004d4</t>
  </si>
  <si>
    <t>DDRCC_SPM_FEA_25_TRAIT_CFG</t>
  </si>
  <si>
    <t>000004d8</t>
  </si>
  <si>
    <t>DDRCC_SPM_FEA_26_TRAIT_CFG</t>
  </si>
  <si>
    <t>000004dc</t>
  </si>
  <si>
    <t>DDRCC_SPM_FEA_27_TRAIT_CFG</t>
  </si>
  <si>
    <t>000004e0</t>
  </si>
  <si>
    <t>DDRCC_SPM_FEA_28_TRAIT_CFG</t>
  </si>
  <si>
    <t>DDRCC_SPM_FEA_29_TRAIT_CFG</t>
  </si>
  <si>
    <t>DDRCC_SPM_FEA_30_TRAIT_CFG</t>
  </si>
  <si>
    <t>DDRCC_SPM_FEA_31_TRAIT_CFG</t>
  </si>
  <si>
    <t>DDRCC_SPM_PWRS_0_FEA_VAL_MODE0_CFG</t>
  </si>
  <si>
    <t>0xFFC7FFFF</t>
  </si>
  <si>
    <t>0xFFE7FFFF</t>
  </si>
  <si>
    <t>DDRCC_SPM_PWRS_1_FEA_VAL_MODE0_CFG</t>
  </si>
  <si>
    <t>0xFFC7FFFE</t>
  </si>
  <si>
    <t>0xFFE7FFFE</t>
  </si>
  <si>
    <t>DDRCC_SPM_PWRS_2_FEA_VAL_MODE0_CFG</t>
  </si>
  <si>
    <t>0xFFC7EFFF</t>
  </si>
  <si>
    <t>0xFFE7EFFE</t>
  </si>
  <si>
    <t>DDRCC_SPM_PWRS_3_FEA_VAL_MODE0_CFG</t>
  </si>
  <si>
    <t>0xFFC7CFFF</t>
  </si>
  <si>
    <t>0xFFFFCFFF</t>
  </si>
  <si>
    <t>DDRCC_SPM_PWRS_4_FEA_VAL_MODE0_CFG</t>
  </si>
  <si>
    <t>0xFFC7C881</t>
  </si>
  <si>
    <t>DDRCC_SPM_PWRS_5_FEA_VAL_MODE0_CFG</t>
  </si>
  <si>
    <t>0xFFC7C001</t>
  </si>
  <si>
    <t>DDRCC_SPM_PWRS_6_FEA_VAL_MODE0_CFG</t>
  </si>
  <si>
    <t>DDRCC_SPM_PWRS_7_FEA_VAL_MODE0_CFG</t>
  </si>
  <si>
    <t>DDRCC_SPM_PWRS_0_FEA_VAL_MODE1_CFG</t>
  </si>
  <si>
    <t>DDRCC_SPM_PWRS_1_FEA_VAL_MODE1_CFG</t>
  </si>
  <si>
    <t>DDRCC_SPM_PWRS_2_FEA_VAL_MODE1_CFG</t>
  </si>
  <si>
    <t>DDRCC_SPM_PWRS_3_FEA_VAL_MODE1_CFG</t>
  </si>
  <si>
    <t>DDRCC_SPM_PWRS_4_FEA_VAL_MODE1_CFG</t>
  </si>
  <si>
    <t>0xFFE7F883</t>
  </si>
  <si>
    <t>00000544</t>
  </si>
  <si>
    <t>DDRCC_SPM_PWRS_5_FEA_VAL_MODE1_CFG</t>
  </si>
  <si>
    <t>0xFFE7F802</t>
  </si>
  <si>
    <t>00000548</t>
  </si>
  <si>
    <t>DDRCC_SPM_PWRS_6_FEA_VAL_MODE1_CFG</t>
  </si>
  <si>
    <t>0000054c</t>
  </si>
  <si>
    <t>DDRCC_SPM_PWRS_7_FEA_VAL_MODE1_CFG</t>
  </si>
  <si>
    <t>DDRCC_SPM_PWRS_BUS_DEC_CFG0</t>
  </si>
  <si>
    <t>0x30201000</t>
  </si>
  <si>
    <t>0x60402000</t>
  </si>
  <si>
    <t>DDRCC_SPM_PWRS_BUS_DEC_CFG1</t>
  </si>
  <si>
    <t>0x27263231</t>
  </si>
  <si>
    <t>0xF0C0A080</t>
  </si>
  <si>
    <t>DDRCC_SPM_CTRL_CFG0</t>
  </si>
  <si>
    <t>DDRCC_SPM_CTRL_CFG1</t>
  </si>
  <si>
    <t>0x00000020</t>
  </si>
  <si>
    <t>DDRCC_SPM_CTRL_CFG2</t>
  </si>
  <si>
    <t>0x00020000</t>
  </si>
  <si>
    <t>DDRCC_SPM_CTRL_CFG3</t>
  </si>
  <si>
    <t>DDRCC_SPM_CTRL_CFG4</t>
  </si>
  <si>
    <t>DDRCC_SPM_CTRL_CFG5</t>
  </si>
  <si>
    <t>0x00520000</t>
  </si>
  <si>
    <t>DDRCC_SPM_CTRL_CFG6</t>
  </si>
  <si>
    <t>DDRCC_SPM_CTRL_CFG7</t>
  </si>
  <si>
    <t>0x00030301</t>
  </si>
  <si>
    <t>0x00080601</t>
  </si>
  <si>
    <t>DDRCC_SPM_CTRL_CFG8</t>
  </si>
  <si>
    <t>DDRCC_SPM_CTRL_CFG9</t>
  </si>
  <si>
    <t>DDRCC_SPM_CTRL_CFG10</t>
  </si>
  <si>
    <t>DDRCC_SPM_CTRL_CFG11</t>
  </si>
  <si>
    <t>DDRCC_SPM_FAL_DEC_INDX_CFG0</t>
  </si>
  <si>
    <t>DDRCC_SPM_FAL_DEC_INDX_CFG1</t>
  </si>
  <si>
    <t>00000590</t>
  </si>
  <si>
    <t>DDRCC_SPM_FAL_DEC_OUT_CFG0</t>
  </si>
  <si>
    <t>00000594</t>
  </si>
  <si>
    <t>DDRCC_SPM_FAL_DEC_OUT_CFG1</t>
  </si>
  <si>
    <t>00000598</t>
  </si>
  <si>
    <t>DDRCC_SPM_FAL_INDX_TMR_CFG0</t>
  </si>
  <si>
    <t>0x05050505</t>
  </si>
  <si>
    <t>0000059c</t>
  </si>
  <si>
    <t>DDRCC_SPM_FAL_INDX_TMR_CFG1</t>
  </si>
  <si>
    <t>00000600</t>
  </si>
  <si>
    <t>DDRCC_SPM_FAL_INDX_STATE_CFG0</t>
  </si>
  <si>
    <t>00000604</t>
  </si>
  <si>
    <t>DDRCC_SPM_FAL_INDX_STATE_CFG1</t>
  </si>
  <si>
    <t>00000630</t>
  </si>
  <si>
    <t>DDRCC_SPM_CTRL_CFG12</t>
  </si>
  <si>
    <t>DDRCC_PCC_PC_CFG</t>
  </si>
  <si>
    <t>0x00060021</t>
  </si>
  <si>
    <t>0x00000A09</t>
  </si>
  <si>
    <t>DDRCC_PCC_HS_CFG0</t>
  </si>
  <si>
    <t>0x00003F03</t>
  </si>
  <si>
    <t>0x00003F02</t>
  </si>
  <si>
    <t>DDRCC_PCC_HS_CFG1</t>
  </si>
  <si>
    <t>DDRCC_PCC_HS_CFG2</t>
  </si>
  <si>
    <t>0x02000707</t>
  </si>
  <si>
    <t>DDRCC_PCC_TEST_CFG</t>
  </si>
  <si>
    <t>00000710</t>
  </si>
  <si>
    <t>DDRCC_QLINKPLL0_ANALOG_CONTROLS_ONE</t>
  </si>
  <si>
    <t>00000714</t>
  </si>
  <si>
    <t>DDRCC_QLINKPLL0_ANALOG_CONTROLS_TWO</t>
  </si>
  <si>
    <t>00000718</t>
  </si>
  <si>
    <t>DDRCC_QLINKPLL0_INT_LOOP_SETTINGS</t>
  </si>
  <si>
    <t>0x0000003F</t>
  </si>
  <si>
    <t>0000071c</t>
  </si>
  <si>
    <t>DDRCC_QLINKPLL0_INT_LOOP_SETTINGS_TWO</t>
  </si>
  <si>
    <t>DDRCC_QLINKPLL0_ANALOG_CONTROLS_THREE</t>
  </si>
  <si>
    <t>DDRCC_QLINKPLL0_ANALOG_CONTROLS_FOUR</t>
  </si>
  <si>
    <t>DDRCC_QLINKPLL0_INT_LOOP_CONTROLS</t>
  </si>
  <si>
    <t>DDRCC_QLINKPLL0_DSM_DIVIDER</t>
  </si>
  <si>
    <t>DDRCC_QLINKPLL0_FEEDBACK_DIVIDER</t>
  </si>
  <si>
    <t>0x0000004E</t>
  </si>
  <si>
    <t>DDRCC_QLINKPLL0_SYSTEM_MUXES</t>
  </si>
  <si>
    <t>DDRCC_QLINKPLL0_FREQ_UPDATE_CONTROL_OVERRIDES</t>
  </si>
  <si>
    <t>0000073c</t>
  </si>
  <si>
    <t>DDRCC_QLINKPLL0_CMODE</t>
  </si>
  <si>
    <t>00000740</t>
  </si>
  <si>
    <t>DDRCC_QLINKPLL0_CALIBRATION_SETTINGS</t>
  </si>
  <si>
    <t>0x00000044</t>
  </si>
  <si>
    <t>00000744</t>
  </si>
  <si>
    <t>DDRCC_QLINKPLL0_BAND_SEL_CAL_TIMER_LOW</t>
  </si>
  <si>
    <t>00000748</t>
  </si>
  <si>
    <t>DDRCC_QLINKPLL0_BAND_SEL_CAL_TIMER_HIGH</t>
  </si>
  <si>
    <t>0000074c</t>
  </si>
  <si>
    <t>DDRCC_QLINKPLL0_BAND_SEL_CAL_SETTINGS</t>
  </si>
  <si>
    <t>0x00000082</t>
  </si>
  <si>
    <t>00000750</t>
  </si>
  <si>
    <t>DDRCC_QLINKPLL0_BAND_SEL_MIN</t>
  </si>
  <si>
    <t>00000754</t>
  </si>
  <si>
    <t>DDRCC_QLINKPLL0_BAND_SEL_MAX</t>
  </si>
  <si>
    <t>0x000000FF</t>
  </si>
  <si>
    <t>00000758</t>
  </si>
  <si>
    <t>DDRCC_QLINKPLL0_BAND_SEL_PFILT</t>
  </si>
  <si>
    <t>0000075c</t>
  </si>
  <si>
    <t>DDRCC_QLINKPLL0_BAND_SEL_IFILT</t>
  </si>
  <si>
    <t>DDRCC_QLINKPLL0_BAND_SEL_CAL_SETTINGS_TWO</t>
  </si>
  <si>
    <t>0x00000025</t>
  </si>
  <si>
    <t>DDRCC_QLINKPLL0_BAND_SEL_CAL_SETTINGS_THREE</t>
  </si>
  <si>
    <t>0x000000BA</t>
  </si>
  <si>
    <t>00000768</t>
  </si>
  <si>
    <t>DDRCC_QLINKPLL0_BAND_SEL_CAL_SETTINGS_FOUR</t>
  </si>
  <si>
    <t>0x0000004F</t>
  </si>
  <si>
    <t>DDRCC_QLINKPLL0_BAND_SEL_ICODE_HIGH</t>
  </si>
  <si>
    <t>DDRCC_QLINKPLL0_BAND_SEL_ICODE_LOW</t>
  </si>
  <si>
    <t>DDRCC_QLINKPLL0_FREQ_DETECT_SETTINGS_ONE</t>
  </si>
  <si>
    <t>DDRCC_QLINKPLL0_FREQ_DETECT_THRESH</t>
  </si>
  <si>
    <t>DDRCC_QLINKPLL0_FREQ_DET_REFCLK_HIGH</t>
  </si>
  <si>
    <t>DDRCC_QLINKPLL0_FREQ_DET_REFCLK_LOW</t>
  </si>
  <si>
    <t>DDRCC_QLINKPLL0_FREQ_DET_PLLCLK_HIGH</t>
  </si>
  <si>
    <t>DDRCC_QLINKPLL0_FREQ_DET_PLLCLK_LOW</t>
  </si>
  <si>
    <t>DDRCC_QLINKPLL0_PFILT</t>
  </si>
  <si>
    <t>DDRCC_QLINKPLL0_IFILT</t>
  </si>
  <si>
    <t>0x00000010</t>
  </si>
  <si>
    <t>DDRCC_QLINKPLL0_PLL_GAIN</t>
  </si>
  <si>
    <t>0x00000042</t>
  </si>
  <si>
    <t>DDRCC_QLINKPLL0_ICODE_LOW</t>
  </si>
  <si>
    <t>DDRCC_QLINKPLL0_ICODE_HIGH</t>
  </si>
  <si>
    <t>DDRCC_QLINKPLL0_LOCKDET</t>
  </si>
  <si>
    <t>0x00000030</t>
  </si>
  <si>
    <t>DDRCC_QLINKPLL0_OUTDIV</t>
  </si>
  <si>
    <t>DDRCC_QLINKPLL0_FASTLOCK_CONTROL</t>
  </si>
  <si>
    <t>DDRCC_QLINKPLL0_PASS_OUT_OVERRIDE_ONE</t>
  </si>
  <si>
    <t>DDRCC_QLINKPLL0_PASS_OUT_OVERRIDE_TWO</t>
  </si>
  <si>
    <t>DDRCC_QLINKPLL0_CORE_OVERRIDE</t>
  </si>
  <si>
    <t>DDRCC_QLINKPLL0_CORE_INPUT_OVERRIDE</t>
  </si>
  <si>
    <t>DDRCC_QLINKPLL0_RATE_CHANGE</t>
  </si>
  <si>
    <t>DDRCC_QLINKPLL0_PLL_DIGITAL_TIMERS</t>
  </si>
  <si>
    <t>DDRCC_QLINKPLL0_PLL_DIGITAL_TIMERS_TWO</t>
  </si>
  <si>
    <t>DDRCC_QLINKPLL0_DECIMAL_DIV_START</t>
  </si>
  <si>
    <t>DDRCC_QLINKPLL0_FRAC_DIV_START_LOW</t>
  </si>
  <si>
    <t>DDRCC_QLINKPLL0_FRAC_DIV_START_MID</t>
  </si>
  <si>
    <t>DDRCC_QLINKPLL0_FRAC_DIV_START_HIGH</t>
  </si>
  <si>
    <t>DDRCC_QLINKPLL0_DEC_FRAC_MUXES</t>
  </si>
  <si>
    <t>DDRCC_QLINKPLL0_DECIMAL_DIV_START_1</t>
  </si>
  <si>
    <t>DDRCC_QLINKPLL0_FRAC_DIV_START_LOW_1</t>
  </si>
  <si>
    <t>DDRCC_QLINKPLL0_FRAC_DIV_START_MID_1</t>
  </si>
  <si>
    <t>DDRCC_QLINKPLL0_FRAC_DIV_START_HIGH_1</t>
  </si>
  <si>
    <t>DDRCC_QLINKPLL0_DECIMAL_DIV_START_2</t>
  </si>
  <si>
    <t>DDRCC_QLINKPLL0_FRAC_DIV_START_LOW_2</t>
  </si>
  <si>
    <t>DDRCC_QLINKPLL0_FRAC_DIV_START_MID_2</t>
  </si>
  <si>
    <t>DDRCC_QLINKPLL0_FRAC_DIV_START_HIGH_2</t>
  </si>
  <si>
    <t>DDRCC_QLINKPLL0_MASH_CONTROL</t>
  </si>
  <si>
    <t>DDRCC_QLINKPLL0_SSC_STEPSIZE_LOW</t>
  </si>
  <si>
    <t>DDRCC_QLINKPLL0_SSC_STEPSIZE_HIGH</t>
  </si>
  <si>
    <t>DDRCC_QLINKPLL0_SSC_DIV_PER_LOW</t>
  </si>
  <si>
    <t>DDRCC_QLINKPLL0_SSC_DIV_PER_HIGH</t>
  </si>
  <si>
    <t>DDRCC_QLINKPLL0_SSC_ADJPER_LOW</t>
  </si>
  <si>
    <t>DDRCC_QLINKPLL0_SSC_ADJPER_HIGH</t>
  </si>
  <si>
    <t>DDRCC_QLINKPLL0_SSC_MUX_CONTROL</t>
  </si>
  <si>
    <t>DDRCC_QLINKPLL0_SSC_STEPSIZE_LOW_1</t>
  </si>
  <si>
    <t>DDRCC_QLINKPLL0_SSC_STEPSIZE_HIGH_1</t>
  </si>
  <si>
    <t>DDRCC_QLINKPLL0_SSC_DIV_PER_LOW_1</t>
  </si>
  <si>
    <t>DDRCC_QLINKPLL0_SSC_DIV_PER_HIGH_1</t>
  </si>
  <si>
    <t>DDRCC_QLINKPLL0_SSC_ADJPER_LOW_1</t>
  </si>
  <si>
    <t>00000830</t>
  </si>
  <si>
    <t>DDRCC_QLINKPLL0_SSC_ADJPER_HIGH_1</t>
  </si>
  <si>
    <t>00000834</t>
  </si>
  <si>
    <t>DDRCC_QLINKPLL0_SSC_STEPSIZE_LOW_2</t>
  </si>
  <si>
    <t>00000838</t>
  </si>
  <si>
    <t>DDRCC_QLINKPLL0_SSC_STEPSIZE_HIGH_2</t>
  </si>
  <si>
    <t>0000083c</t>
  </si>
  <si>
    <t>DDRCC_QLINKPLL0_SSC_DIV_PER_LOW_2</t>
  </si>
  <si>
    <t>00000840</t>
  </si>
  <si>
    <t>DDRCC_QLINKPLL0_SSC_DIV_PER_HIGH_2</t>
  </si>
  <si>
    <t>00000844</t>
  </si>
  <si>
    <t>DDRCC_QLINKPLL0_SSC_ADJPER_LOW_2</t>
  </si>
  <si>
    <t>00000848</t>
  </si>
  <si>
    <t>DDRCC_QLINKPLL0_SSC_ADJPER_HIGH_2</t>
  </si>
  <si>
    <t>0000084c</t>
  </si>
  <si>
    <t>DDRCC_QLINKPLL0_SSC_CONTROL</t>
  </si>
  <si>
    <t>00000850</t>
  </si>
  <si>
    <t>DDRCC_QLINKPLL0_PLL_OUTDIV_RATE</t>
  </si>
  <si>
    <t>00000854</t>
  </si>
  <si>
    <t>DDRCC_QLINKPLL0_PLL_LOCKDET_RATE_1</t>
  </si>
  <si>
    <t>00000858</t>
  </si>
  <si>
    <t>DDRCC_QLINKPLL0_PLL_LOCKDET_RATE_2</t>
  </si>
  <si>
    <t>0000085c</t>
  </si>
  <si>
    <t>DDRCC_QLINKPLL0_PLL_PROP_GAIN_RATE_1</t>
  </si>
  <si>
    <t>00000860</t>
  </si>
  <si>
    <t>DDRCC_QLINKPLL0_PLL_PROP_GAIN_RATE_2</t>
  </si>
  <si>
    <t>00000864</t>
  </si>
  <si>
    <t>DDRCC_QLINKPLL0_PLL_BAND_SEL_RATE_1</t>
  </si>
  <si>
    <t>00000868</t>
  </si>
  <si>
    <t>DDRCC_QLINKPLL0_PLL_BAND_SEL_RATE_2</t>
  </si>
  <si>
    <t>0000086c</t>
  </si>
  <si>
    <t>DDRCC_QLINKPLL0_PLL_INT_GAIN_IFILT_BAND_1</t>
  </si>
  <si>
    <t>00000870</t>
  </si>
  <si>
    <t>DDRCC_QLINKPLL0_PLL_INT_GAIN_IFILT_BAND_2</t>
  </si>
  <si>
    <t>00000874</t>
  </si>
  <si>
    <t>DDRCC_QLINKPLL0_PLL_FL_INT_GAIN_PFILT_BAND_1</t>
  </si>
  <si>
    <t>0x0000004C</t>
  </si>
  <si>
    <t>00000878</t>
  </si>
  <si>
    <t>DDRCC_QLINKPLL0_PLL_FL_INT_GAIN_PFILT_BAND_2</t>
  </si>
  <si>
    <t>0000087c</t>
  </si>
  <si>
    <t>DDRCC_QLINKPLL0_PLL_FASTLOCK_EN_BAND</t>
  </si>
  <si>
    <t>00000880</t>
  </si>
  <si>
    <t>DDRCC_QLINKPLL0_FREQ_TUNE_ACCUM_INIT_LOW</t>
  </si>
  <si>
    <t>00000884</t>
  </si>
  <si>
    <t>DDRCC_QLINKPLL0_FREQ_TUNE_ACCUM_INIT_MID</t>
  </si>
  <si>
    <t>00000888</t>
  </si>
  <si>
    <t>DDRCC_QLINKPLL0_FREQ_TUNE_ACCUM_INIT_HIGH</t>
  </si>
  <si>
    <t>0000088c</t>
  </si>
  <si>
    <t>DDRCC_QLINKPLL0_FREQ_TUNE_ACCUM_INIT_MUX</t>
  </si>
  <si>
    <t>00000890</t>
  </si>
  <si>
    <t>DDRCC_QLINKPLL0_PLL_LOCK_OVERRIDE</t>
  </si>
  <si>
    <t>00000894</t>
  </si>
  <si>
    <t>DDRCC_QLINKPLL0_PLL_LOCK_DELAY</t>
  </si>
  <si>
    <t>00000898</t>
  </si>
  <si>
    <t>DDRCC_QLINKPLL0_PLL_LOCK_MIN_DELAY</t>
  </si>
  <si>
    <t>0x00000019</t>
  </si>
  <si>
    <t>0000089c</t>
  </si>
  <si>
    <t>DDRCC_QLINKPLL0_CLOCK_INVERTERS</t>
  </si>
  <si>
    <t>000008a0</t>
  </si>
  <si>
    <t>DDRCC_QLINKPLL0_SPARE_AND_JPC_OVERRIDES</t>
  </si>
  <si>
    <t>000008a4</t>
  </si>
  <si>
    <t>DDRCC_QLINKPLL0_BIAS_CONTROL_1</t>
  </si>
  <si>
    <t>000008a8</t>
  </si>
  <si>
    <t>DDRCC_QLINKPLL0_BIAS_CONTROL_2</t>
  </si>
  <si>
    <t>000008ac</t>
  </si>
  <si>
    <t>DDRCC_QLINKPLL0_ALOG_OBSV_BUS_CTRL_1</t>
  </si>
  <si>
    <t>000008e0</t>
  </si>
  <si>
    <t>DDRCC_QLINKPLL1_ANALOG_CONTROLS_ONE</t>
  </si>
  <si>
    <t>000008e4</t>
  </si>
  <si>
    <t>DDRCC_QLINKPLL1_ANALOG_CONTROLS_TWO</t>
  </si>
  <si>
    <t>000008e8</t>
  </si>
  <si>
    <t>DDRCC_QLINKPLL1_INT_LOOP_SETTINGS</t>
  </si>
  <si>
    <t>000008ec</t>
  </si>
  <si>
    <t>DDRCC_QLINKPLL1_INT_LOOP_SETTINGS_TWO</t>
  </si>
  <si>
    <t>000008f0</t>
  </si>
  <si>
    <t>DDRCC_QLINKPLL1_ANALOG_CONTROLS_THREE</t>
  </si>
  <si>
    <t>000008f4</t>
  </si>
  <si>
    <t>DDRCC_QLINKPLL1_ANALOG_CONTROLS_FOUR</t>
  </si>
  <si>
    <t>000008f8</t>
  </si>
  <si>
    <t>DDRCC_QLINKPLL1_INT_LOOP_CONTROLS</t>
  </si>
  <si>
    <t>000008fc</t>
  </si>
  <si>
    <t>DDRCC_QLINKPLL1_DSM_DIVIDER</t>
  </si>
  <si>
    <t>00000900</t>
  </si>
  <si>
    <t>DDRCC_QLINKPLL1_FEEDBACK_DIVIDER</t>
  </si>
  <si>
    <t>00000904</t>
  </si>
  <si>
    <t>DDRCC_QLINKPLL1_SYSTEM_MUXES</t>
  </si>
  <si>
    <t>00000908</t>
  </si>
  <si>
    <t>DDRCC_QLINKPLL1_FREQ_UPDATE_CONTROL_OVERRIDES</t>
  </si>
  <si>
    <t>0000090c</t>
  </si>
  <si>
    <t>DDRCC_QLINKPLL1_CMODE</t>
  </si>
  <si>
    <t>00000910</t>
  </si>
  <si>
    <t>DDRCC_QLINKPLL1_CALIBRATION_SETTINGS</t>
  </si>
  <si>
    <t>00000914</t>
  </si>
  <si>
    <t>DDRCC_QLINKPLL1_BAND_SEL_CAL_TIMER_LOW</t>
  </si>
  <si>
    <t>00000918</t>
  </si>
  <si>
    <t>DDRCC_QLINKPLL1_BAND_SEL_CAL_TIMER_HIGH</t>
  </si>
  <si>
    <t>0000091c</t>
  </si>
  <si>
    <t>DDRCC_QLINKPLL1_BAND_SEL_CAL_SETTINGS</t>
  </si>
  <si>
    <t>00000920</t>
  </si>
  <si>
    <t>DDRCC_QLINKPLL1_BAND_SEL_MIN</t>
  </si>
  <si>
    <t>00000924</t>
  </si>
  <si>
    <t>DDRCC_QLINKPLL1_BAND_SEL_MAX</t>
  </si>
  <si>
    <t>00000928</t>
  </si>
  <si>
    <t>DDRCC_QLINKPLL1_BAND_SEL_PFILT</t>
  </si>
  <si>
    <t>0000092c</t>
  </si>
  <si>
    <t>DDRCC_QLINKPLL1_BAND_SEL_IFILT</t>
  </si>
  <si>
    <t>00000930</t>
  </si>
  <si>
    <t>DDRCC_QLINKPLL1_BAND_SEL_CAL_SETTINGS_TWO</t>
  </si>
  <si>
    <t>00000934</t>
  </si>
  <si>
    <t>DDRCC_QLINKPLL1_BAND_SEL_CAL_SETTINGS_THREE</t>
  </si>
  <si>
    <t>00000938</t>
  </si>
  <si>
    <t>DDRCC_QLINKPLL1_BAND_SEL_CAL_SETTINGS_FOUR</t>
  </si>
  <si>
    <t>0000093c</t>
  </si>
  <si>
    <t>DDRCC_QLINKPLL1_BAND_SEL_ICODE_HIGH</t>
  </si>
  <si>
    <t>00000940</t>
  </si>
  <si>
    <t>DDRCC_QLINKPLL1_BAND_SEL_ICODE_LOW</t>
  </si>
  <si>
    <t>00000944</t>
  </si>
  <si>
    <t>DDRCC_QLINKPLL1_FREQ_DETECT_SETTINGS_ONE</t>
  </si>
  <si>
    <t>00000948</t>
  </si>
  <si>
    <t>DDRCC_QLINKPLL1_FREQ_DETECT_THRESH</t>
  </si>
  <si>
    <t>0000094c</t>
  </si>
  <si>
    <t>DDRCC_QLINKPLL1_FREQ_DET_REFCLK_HIGH</t>
  </si>
  <si>
    <t>00000950</t>
  </si>
  <si>
    <t>DDRCC_QLINKPLL1_FREQ_DET_REFCLK_LOW</t>
  </si>
  <si>
    <t>00000954</t>
  </si>
  <si>
    <t>DDRCC_QLINKPLL1_FREQ_DET_PLLCLK_HIGH</t>
  </si>
  <si>
    <t>00000958</t>
  </si>
  <si>
    <t>DDRCC_QLINKPLL1_FREQ_DET_PLLCLK_LOW</t>
  </si>
  <si>
    <t>0000095c</t>
  </si>
  <si>
    <t>DDRCC_QLINKPLL1_PFILT</t>
  </si>
  <si>
    <t>00000960</t>
  </si>
  <si>
    <t>DDRCC_QLINKPLL1_IFILT</t>
  </si>
  <si>
    <t>00000964</t>
  </si>
  <si>
    <t>DDRCC_QLINKPLL1_PLL_GAIN</t>
  </si>
  <si>
    <t>00000968</t>
  </si>
  <si>
    <t>DDRCC_QLINKPLL1_ICODE_LOW</t>
  </si>
  <si>
    <t>0000096c</t>
  </si>
  <si>
    <t>DDRCC_QLINKPLL1_ICODE_HIGH</t>
  </si>
  <si>
    <t>00000970</t>
  </si>
  <si>
    <t>DDRCC_QLINKPLL1_LOCKDET</t>
  </si>
  <si>
    <t>00000974</t>
  </si>
  <si>
    <t>DDRCC_QLINKPLL1_OUTDIV</t>
  </si>
  <si>
    <t>00000978</t>
  </si>
  <si>
    <t>DDRCC_QLINKPLL1_FASTLOCK_CONTROL</t>
  </si>
  <si>
    <t>0000097c</t>
  </si>
  <si>
    <t>DDRCC_QLINKPLL1_PASS_OUT_OVERRIDE_ONE</t>
  </si>
  <si>
    <t>00000980</t>
  </si>
  <si>
    <t>DDRCC_QLINKPLL1_PASS_OUT_OVERRIDE_TWO</t>
  </si>
  <si>
    <t>00000984</t>
  </si>
  <si>
    <t>DDRCC_QLINKPLL1_CORE_OVERRIDE</t>
  </si>
  <si>
    <t>00000988</t>
  </si>
  <si>
    <t>DDRCC_QLINKPLL1_CORE_INPUT_OVERRIDE</t>
  </si>
  <si>
    <t>0000098c</t>
  </si>
  <si>
    <t>DDRCC_QLINKPLL1_RATE_CHANGE</t>
  </si>
  <si>
    <t>00000990</t>
  </si>
  <si>
    <t>DDRCC_QLINKPLL1_PLL_DIGITAL_TIMERS</t>
  </si>
  <si>
    <t>00000994</t>
  </si>
  <si>
    <t>DDRCC_QLINKPLL1_PLL_DIGITAL_TIMERS_TWO</t>
  </si>
  <si>
    <t>00000998</t>
  </si>
  <si>
    <t>DDRCC_QLINKPLL1_DECIMAL_DIV_START</t>
  </si>
  <si>
    <t>0000099c</t>
  </si>
  <si>
    <t>DDRCC_QLINKPLL1_FRAC_DIV_START_LOW</t>
  </si>
  <si>
    <t>000009a0</t>
  </si>
  <si>
    <t>DDRCC_QLINKPLL1_FRAC_DIV_START_MID</t>
  </si>
  <si>
    <t>000009a4</t>
  </si>
  <si>
    <t>DDRCC_QLINKPLL1_FRAC_DIV_START_HIGH</t>
  </si>
  <si>
    <t>000009a8</t>
  </si>
  <si>
    <t>DDRCC_QLINKPLL1_DEC_FRAC_MUXES</t>
  </si>
  <si>
    <t>000009ac</t>
  </si>
  <si>
    <t>DDRCC_QLINKPLL1_DECIMAL_DIV_START_1</t>
  </si>
  <si>
    <t>000009b0</t>
  </si>
  <si>
    <t>DDRCC_QLINKPLL1_FRAC_DIV_START_LOW_1</t>
  </si>
  <si>
    <t>000009b4</t>
  </si>
  <si>
    <t>DDRCC_QLINKPLL1_FRAC_DIV_START_MID_1</t>
  </si>
  <si>
    <t>000009b8</t>
  </si>
  <si>
    <t>DDRCC_QLINKPLL1_FRAC_DIV_START_HIGH_1</t>
  </si>
  <si>
    <t>000009bc</t>
  </si>
  <si>
    <t>DDRCC_QLINKPLL1_DECIMAL_DIV_START_2</t>
  </si>
  <si>
    <t>000009c0</t>
  </si>
  <si>
    <t>DDRCC_QLINKPLL1_FRAC_DIV_START_LOW_2</t>
  </si>
  <si>
    <t>000009c4</t>
  </si>
  <si>
    <t>DDRCC_QLINKPLL1_FRAC_DIV_START_MID_2</t>
  </si>
  <si>
    <t>000009c8</t>
  </si>
  <si>
    <t>DDRCC_QLINKPLL1_FRAC_DIV_START_HIGH_2</t>
  </si>
  <si>
    <t>000009cc</t>
  </si>
  <si>
    <t>DDRCC_QLINKPLL1_MASH_CONTROL</t>
  </si>
  <si>
    <t>000009d0</t>
  </si>
  <si>
    <t>DDRCC_QLINKPLL1_SSC_STEPSIZE_LOW</t>
  </si>
  <si>
    <t>000009d4</t>
  </si>
  <si>
    <t>DDRCC_QLINKPLL1_SSC_STEPSIZE_HIGH</t>
  </si>
  <si>
    <t>000009d8</t>
  </si>
  <si>
    <t>DDRCC_QLINKPLL1_SSC_DIV_PER_LOW</t>
  </si>
  <si>
    <t>000009dc</t>
  </si>
  <si>
    <t>DDRCC_QLINKPLL1_SSC_DIV_PER_HIGH</t>
  </si>
  <si>
    <t>000009e0</t>
  </si>
  <si>
    <t>DDRCC_QLINKPLL1_SSC_ADJPER_LOW</t>
  </si>
  <si>
    <t>000009e4</t>
  </si>
  <si>
    <t>DDRCC_QLINKPLL1_SSC_ADJPER_HIGH</t>
  </si>
  <si>
    <t>000009e8</t>
  </si>
  <si>
    <t>DDRCC_QLINKPLL1_SSC_MUX_CONTROL</t>
  </si>
  <si>
    <t>000009ec</t>
  </si>
  <si>
    <t>DDRCC_QLINKPLL1_SSC_STEPSIZE_LOW_1</t>
  </si>
  <si>
    <t>000009f0</t>
  </si>
  <si>
    <t>DDRCC_QLINKPLL1_SSC_STEPSIZE_HIGH_1</t>
  </si>
  <si>
    <t>000009f4</t>
  </si>
  <si>
    <t>DDRCC_QLINKPLL1_SSC_DIV_PER_LOW_1</t>
  </si>
  <si>
    <t>000009f8</t>
  </si>
  <si>
    <t>DDRCC_QLINKPLL1_SSC_DIV_PER_HIGH_1</t>
  </si>
  <si>
    <t>000009fc</t>
  </si>
  <si>
    <t>DDRCC_QLINKPLL1_SSC_ADJPER_LOW_1</t>
  </si>
  <si>
    <t>00000a00</t>
  </si>
  <si>
    <t>DDRCC_QLINKPLL1_SSC_ADJPER_HIGH_1</t>
  </si>
  <si>
    <t>00000a04</t>
  </si>
  <si>
    <t>DDRCC_QLINKPLL1_SSC_STEPSIZE_LOW_2</t>
  </si>
  <si>
    <t>00000a08</t>
  </si>
  <si>
    <t>DDRCC_QLINKPLL1_SSC_STEPSIZE_HIGH_2</t>
  </si>
  <si>
    <t>00000a0c</t>
  </si>
  <si>
    <t>DDRCC_QLINKPLL1_SSC_DIV_PER_LOW_2</t>
  </si>
  <si>
    <t>00000a10</t>
  </si>
  <si>
    <t>DDRCC_QLINKPLL1_SSC_DIV_PER_HIGH_2</t>
  </si>
  <si>
    <t>00000a14</t>
  </si>
  <si>
    <t>DDRCC_QLINKPLL1_SSC_ADJPER_LOW_2</t>
  </si>
  <si>
    <t>00000a18</t>
  </si>
  <si>
    <t>DDRCC_QLINKPLL1_SSC_ADJPER_HIGH_2</t>
  </si>
  <si>
    <t>00000a1c</t>
  </si>
  <si>
    <t>DDRCC_QLINKPLL1_SSC_CONTROL</t>
  </si>
  <si>
    <t>00000a20</t>
  </si>
  <si>
    <t>DDRCC_QLINKPLL1_PLL_OUTDIV_RATE</t>
  </si>
  <si>
    <t>00000a24</t>
  </si>
  <si>
    <t>DDRCC_QLINKPLL1_PLL_LOCKDET_RATE_1</t>
  </si>
  <si>
    <t>00000a28</t>
  </si>
  <si>
    <t>DDRCC_QLINKPLL1_PLL_LOCKDET_RATE_2</t>
  </si>
  <si>
    <t>00000a2c</t>
  </si>
  <si>
    <t>DDRCC_QLINKPLL1_PLL_PROP_GAIN_RATE_1</t>
  </si>
  <si>
    <t>00000a30</t>
  </si>
  <si>
    <t>DDRCC_QLINKPLL1_PLL_PROP_GAIN_RATE_2</t>
  </si>
  <si>
    <t>00000a34</t>
  </si>
  <si>
    <t>DDRCC_QLINKPLL1_PLL_BAND_SEL_RATE_1</t>
  </si>
  <si>
    <t>00000a38</t>
  </si>
  <si>
    <t>DDRCC_QLINKPLL1_PLL_BAND_SEL_RATE_2</t>
  </si>
  <si>
    <t>00000a3c</t>
  </si>
  <si>
    <t>DDRCC_QLINKPLL1_PLL_INT_GAIN_IFILT_BAND_1</t>
  </si>
  <si>
    <t>00000a40</t>
  </si>
  <si>
    <t>DDRCC_QLINKPLL1_PLL_INT_GAIN_IFILT_BAND_2</t>
  </si>
  <si>
    <t>00000a44</t>
  </si>
  <si>
    <t>DDRCC_QLINKPLL1_PLL_FL_INT_GAIN_PFILT_BAND_1</t>
  </si>
  <si>
    <t>00000a48</t>
  </si>
  <si>
    <t>DDRCC_QLINKPLL1_PLL_FL_INT_GAIN_PFILT_BAND_2</t>
  </si>
  <si>
    <t>00000a4c</t>
  </si>
  <si>
    <t>DDRCC_QLINKPLL1_PLL_FASTLOCK_EN_BAND</t>
  </si>
  <si>
    <t>00000a50</t>
  </si>
  <si>
    <t>DDRCC_QLINKPLL1_FREQ_TUNE_ACCUM_INIT_LOW</t>
  </si>
  <si>
    <t>00000a54</t>
  </si>
  <si>
    <t>DDRCC_QLINKPLL1_FREQ_TUNE_ACCUM_INIT_MID</t>
  </si>
  <si>
    <t>00000a58</t>
  </si>
  <si>
    <t>DDRCC_QLINKPLL1_FREQ_TUNE_ACCUM_INIT_HIGH</t>
  </si>
  <si>
    <t>00000a5c</t>
  </si>
  <si>
    <t>DDRCC_QLINKPLL1_FREQ_TUNE_ACCUM_INIT_MUX</t>
  </si>
  <si>
    <t>00000a60</t>
  </si>
  <si>
    <t>DDRCC_QLINKPLL1_PLL_LOCK_OVERRIDE</t>
  </si>
  <si>
    <t>00000a64</t>
  </si>
  <si>
    <t>DDRCC_QLINKPLL1_PLL_LOCK_DELAY</t>
  </si>
  <si>
    <t>00000a68</t>
  </si>
  <si>
    <t>DDRCC_QLINKPLL1_PLL_LOCK_MIN_DELAY</t>
  </si>
  <si>
    <t>00000a6c</t>
  </si>
  <si>
    <t>DDRCC_QLINKPLL1_CLOCK_INVERTERS</t>
  </si>
  <si>
    <t>00000a70</t>
  </si>
  <si>
    <t>DDRCC_QLINKPLL1_SPARE_AND_JPC_OVERRIDES</t>
  </si>
  <si>
    <t>00000a74</t>
  </si>
  <si>
    <t>DDRCC_QLINKPLL1_BIAS_CONTROL_1</t>
  </si>
  <si>
    <t>00000a78</t>
  </si>
  <si>
    <t>DDRCC_QLINKPLL1_BIAS_CONTROL_2</t>
  </si>
  <si>
    <t>00000a7c</t>
  </si>
  <si>
    <t>DDRCC_QLINKPLL1_ALOG_OBSV_BUS_CTRL_1</t>
  </si>
  <si>
    <t>00000aa0</t>
  </si>
  <si>
    <t>DDRCC_FPM_FEA_WT_DEP_0_CFG</t>
  </si>
  <si>
    <t>00000aa4</t>
  </si>
  <si>
    <t>DDRCC_FPM_FEA_WT_DEP_1_CFG</t>
  </si>
  <si>
    <t>00000aa8</t>
  </si>
  <si>
    <t>DDRCC_FPM_FEA_WT_DEP_2_CFG</t>
  </si>
  <si>
    <t>00000aac</t>
  </si>
  <si>
    <t>DDRCC_FPM_FEA_WT_DEP_3_CFG</t>
  </si>
  <si>
    <t>0x0000C200</t>
  </si>
  <si>
    <t>00000ab0</t>
  </si>
  <si>
    <t>DDRCC_FPM_FEA_WT_DEP_4_CFG</t>
  </si>
  <si>
    <t>00000ab4</t>
  </si>
  <si>
    <t>DDRCC_FPM_FEA_WT_DEP_5_CFG</t>
  </si>
  <si>
    <t>00000ab8</t>
  </si>
  <si>
    <t>DDRCC_FPM_FEA_WT_DEP_6_CFG</t>
  </si>
  <si>
    <t>00000abc</t>
  </si>
  <si>
    <t>DDRCC_FPM_FEA_WT_DEP_7_CFG</t>
  </si>
  <si>
    <t>00000ac0</t>
  </si>
  <si>
    <t>DDRCC_FPM_FEA_WT_DEP_8_CFG</t>
  </si>
  <si>
    <t>00000ac4</t>
  </si>
  <si>
    <t>DDRCC_FPM_FEA_WT_DEP_9_CFG</t>
  </si>
  <si>
    <t>00000ac8</t>
  </si>
  <si>
    <t>DDRCC_FPM_FEA_WT_DEP_10_CFG</t>
  </si>
  <si>
    <t>00000acc</t>
  </si>
  <si>
    <t>DDRCC_FPM_FEA_WT_DEP_11_CFG</t>
  </si>
  <si>
    <t>00000ad0</t>
  </si>
  <si>
    <t>DDRCC_FPM_FEA_WT_DEP_12_CFG</t>
  </si>
  <si>
    <t>00000ad4</t>
  </si>
  <si>
    <t>DDRCC_FPM_FEA_WT_DEP_13_CFG</t>
  </si>
  <si>
    <t>00000ad8</t>
  </si>
  <si>
    <t>DDRCC_FPM_FEA_WT_DEP_14_CFG</t>
  </si>
  <si>
    <t>00000adc</t>
  </si>
  <si>
    <t>DDRCC_FPM_FEA_WT_DEP_15_CFG</t>
  </si>
  <si>
    <t>0x0000374F</t>
  </si>
  <si>
    <t>00000b0c</t>
  </si>
  <si>
    <t>DDRCC_FPM_PRFS_0_PWRS_0_LO_CFG</t>
  </si>
  <si>
    <t>0x00010002</t>
  </si>
  <si>
    <t>00000b10</t>
  </si>
  <si>
    <t>DDRCC_FPM_PRFS_0_PWRS_0_HI_CFG</t>
  </si>
  <si>
    <t>0x011C0000</t>
  </si>
  <si>
    <t>00000b14</t>
  </si>
  <si>
    <t>DDRCC_FPM_PRFS_0_PWRS_0_HI2_CFG</t>
  </si>
  <si>
    <t>00000b24</t>
  </si>
  <si>
    <t>DDRCC_FPM_PRFS_1_PWRS_0_LO_CFG</t>
  </si>
  <si>
    <t>0x12490000</t>
  </si>
  <si>
    <t>00000b28</t>
  </si>
  <si>
    <t>DDRCC_FPM_PRFS_1_PWRS_0_HI_CFG</t>
  </si>
  <si>
    <t>0x009C9000</t>
  </si>
  <si>
    <t>00000b34</t>
  </si>
  <si>
    <t>DDRCC_FPM_PRFS_1_PWRS_0_HI2_CFG</t>
  </si>
  <si>
    <t>0x00000249</t>
  </si>
  <si>
    <t>00000b3c</t>
  </si>
  <si>
    <t>DDRCC_FPM_PRFS_2_PWRS_0_LO_CFG</t>
  </si>
  <si>
    <t>0x24910000</t>
  </si>
  <si>
    <t>00000b40</t>
  </si>
  <si>
    <t>DDRCC_FPM_PRFS_2_PWRS_0_HI_CFG</t>
  </si>
  <si>
    <t>00000b4c</t>
  </si>
  <si>
    <t>DDRCC_FPM_PRFS_2_PWRS_0_HI2_CFG</t>
  </si>
  <si>
    <t>0x00000492</t>
  </si>
  <si>
    <t>00000b54</t>
  </si>
  <si>
    <t>DDRCC_FPM_PRFS_3_PWRS_0_LO_CFG</t>
  </si>
  <si>
    <t>0x36D90000</t>
  </si>
  <si>
    <t>00000b58</t>
  </si>
  <si>
    <t>DDRCC_FPM_PRFS_3_PWRS_0_HI_CFG</t>
  </si>
  <si>
    <t>0x009C9800</t>
  </si>
  <si>
    <t>00000b64</t>
  </si>
  <si>
    <t>DDRCC_FPM_PRFS_3_PWRS_0_HI2_CFG</t>
  </si>
  <si>
    <t>0x000006DB</t>
  </si>
  <si>
    <t>00000b6c</t>
  </si>
  <si>
    <t>DDRCC_FPM_PRFS_4_PWRS_0_LO_CFG</t>
  </si>
  <si>
    <t>0x49210000</t>
  </si>
  <si>
    <t>00000b70</t>
  </si>
  <si>
    <t>DDRCC_FPM_PRFS_4_PWRS_0_HI_CFG</t>
  </si>
  <si>
    <t>00000b7c</t>
  </si>
  <si>
    <t>DDRCC_FPM_PRFS_4_PWRS_0_HI2_CFG</t>
  </si>
  <si>
    <t>00000b84</t>
  </si>
  <si>
    <t>DDRCC_FPM_PRFS_5_PWRS_0_LO_CFG</t>
  </si>
  <si>
    <t>00000b88</t>
  </si>
  <si>
    <t>DDRCC_FPM_PRFS_5_PWRS_0_HI_CFG</t>
  </si>
  <si>
    <t>00000b94</t>
  </si>
  <si>
    <t>DDRCC_FPM_PRFS_5_PWRS_0_HI2_CFG</t>
  </si>
  <si>
    <t>0x00000924</t>
  </si>
  <si>
    <t>00000ba4</t>
  </si>
  <si>
    <t>DDRCC_FPM_PRFS_6_PWRS_0_LO_CFG</t>
  </si>
  <si>
    <t>00000ba8</t>
  </si>
  <si>
    <t>DDRCC_FPM_PRFS_6_PWRS_0_HI_CFG</t>
  </si>
  <si>
    <t>00000bb4</t>
  </si>
  <si>
    <t>DDRCC_FPM_PRFS_6_PWRS_0_HI2_CFG</t>
  </si>
  <si>
    <t>00000bbc</t>
  </si>
  <si>
    <t>DDRCC_FPM_PRFS_7_PWRS_0_LO_CFG</t>
  </si>
  <si>
    <t>00000bc0</t>
  </si>
  <si>
    <t>DDRCC_FPM_PRFS_7_PWRS_0_HI_CFG</t>
  </si>
  <si>
    <t>00000bcc</t>
  </si>
  <si>
    <t>DDRCC_FPM_PRFS_7_PWRS_0_HI2_CFG</t>
  </si>
  <si>
    <t>00000bd4</t>
  </si>
  <si>
    <t>DDRCC_FPM_PRFS_LUT0_CFG</t>
  </si>
  <si>
    <t>0xB030B12D</t>
  </si>
  <si>
    <t>0x07090D13</t>
  </si>
  <si>
    <t>00000bd8</t>
  </si>
  <si>
    <t>DDRCC_FPM_PRFS_LUT1_CFG</t>
  </si>
  <si>
    <t>0xF9295779</t>
  </si>
  <si>
    <t>0x03040506</t>
  </si>
  <si>
    <t>00000bdc</t>
  </si>
  <si>
    <t>DDRCC_FPM_PRFS_HI_LUT0_CFG</t>
  </si>
  <si>
    <t>0x01020203</t>
  </si>
  <si>
    <t>00000be0</t>
  </si>
  <si>
    <t>DDRCC_FPM_PRFS_HI_LUT1_CFG</t>
  </si>
  <si>
    <t>00000be4</t>
  </si>
  <si>
    <t>DDRCC_FPM_CNTRL_CFG</t>
  </si>
  <si>
    <t>0x00600003</t>
  </si>
  <si>
    <t>00000be8</t>
  </si>
  <si>
    <t>DDRCC_FPM_CNTRL_CFG1</t>
  </si>
  <si>
    <t>00000bec</t>
  </si>
  <si>
    <t>DDRCC_FPM_RD_BYPASS_CFG</t>
  </si>
  <si>
    <t>00000c08</t>
  </si>
  <si>
    <t>DDRCC_FPMEXT_PERF0_CTL_0_CFG</t>
  </si>
  <si>
    <t>00000c0c</t>
  </si>
  <si>
    <t>DDRCC_FPMEXT_PERF0_CTL_1_CFG</t>
  </si>
  <si>
    <t>00000c10</t>
  </si>
  <si>
    <t>DDRCC_FPMEXT_PERF0_CTL_2_CFG</t>
  </si>
  <si>
    <t>00000c14</t>
  </si>
  <si>
    <t>DDRCC_FPMEXT_PERF0_CTL_3_CFG</t>
  </si>
  <si>
    <t>0x0000001C</t>
  </si>
  <si>
    <t>00000c18</t>
  </si>
  <si>
    <t>DDRCC_FPMEXT_PERF0_CTL_4_CFG</t>
  </si>
  <si>
    <t>00000c1c</t>
  </si>
  <si>
    <t>DDRCC_FPMEXT_PERF0_CTL_5_CFG</t>
  </si>
  <si>
    <t>00000c20</t>
  </si>
  <si>
    <t>DDRCC_FPMEXT_PERF0_CTL_6_CFG</t>
  </si>
  <si>
    <t>00000c24</t>
  </si>
  <si>
    <t>DDRCC_FPMEXT_PERF0_CTL_7_CFG</t>
  </si>
  <si>
    <t>00000c28</t>
  </si>
  <si>
    <t>DDRCC_FPMEXT_PERF0_CTL_8_CFG</t>
  </si>
  <si>
    <t>00000c2c</t>
  </si>
  <si>
    <t>DDRCC_FPMEXT_PERF0_CTL_9_CFG</t>
  </si>
  <si>
    <t>00000c30</t>
  </si>
  <si>
    <t>DDRCC_FPMEXT_PERF0_CTL_10_CFG</t>
  </si>
  <si>
    <t>0x0000000F</t>
  </si>
  <si>
    <t>00000c34</t>
  </si>
  <si>
    <t>DDRCC_FPMEXT_PERF0_CTL_11_CFG</t>
  </si>
  <si>
    <t>00000c38</t>
  </si>
  <si>
    <t>DDRCC_FPMEXT_PERF0_CTL_12_CFG</t>
  </si>
  <si>
    <t>00000c3c</t>
  </si>
  <si>
    <t>DDRCC_FPMEXT_PERF0_CTL_13_CFG</t>
  </si>
  <si>
    <t>00000c40</t>
  </si>
  <si>
    <t>DDRCC_FPMEXT_PERF0_CTL_14_CFG</t>
  </si>
  <si>
    <t>00000c44</t>
  </si>
  <si>
    <t>DDRCC_FPMEXT_PERF1_CTL_0_CFG</t>
  </si>
  <si>
    <t>00000c48</t>
  </si>
  <si>
    <t>DDRCC_FPMEXT_PERF1_CTL_1_CFG</t>
  </si>
  <si>
    <t>00000c4c</t>
  </si>
  <si>
    <t>DDRCC_FPMEXT_PERF1_CTL_2_CFG</t>
  </si>
  <si>
    <t>00000c50</t>
  </si>
  <si>
    <t>DDRCC_FPMEXT_PERF1_CTL_3_CFG</t>
  </si>
  <si>
    <t>0x00000023</t>
  </si>
  <si>
    <t>00000c54</t>
  </si>
  <si>
    <t>DDRCC_FPMEXT_PERF1_CTL_4_CFG</t>
  </si>
  <si>
    <t>00000c58</t>
  </si>
  <si>
    <t>DDRCC_FPMEXT_PERF1_CTL_5_CFG</t>
  </si>
  <si>
    <t>0x000000F5</t>
  </si>
  <si>
    <t>00000c5c</t>
  </si>
  <si>
    <t>DDRCC_FPMEXT_PERF1_CTL_6_CFG</t>
  </si>
  <si>
    <t>00000c60</t>
  </si>
  <si>
    <t>DDRCC_FPMEXT_PERF1_CTL_7_CFG</t>
  </si>
  <si>
    <t>00000c64</t>
  </si>
  <si>
    <t>DDRCC_FPMEXT_PERF1_CTL_8_CFG</t>
  </si>
  <si>
    <t>00000c68</t>
  </si>
  <si>
    <t>DDRCC_FPMEXT_PERF1_CTL_9_CFG</t>
  </si>
  <si>
    <t>00000c6c</t>
  </si>
  <si>
    <t>DDRCC_FPMEXT_PERF1_CTL_10_CFG</t>
  </si>
  <si>
    <t>00000c70</t>
  </si>
  <si>
    <t>DDRCC_FPMEXT_PERF1_CTL_11_CFG</t>
  </si>
  <si>
    <t>00000c74</t>
  </si>
  <si>
    <t>DDRCC_FPMEXT_PERF1_CTL_12_CFG</t>
  </si>
  <si>
    <t>00000c78</t>
  </si>
  <si>
    <t>DDRCC_FPMEXT_PERF1_CTL_13_CFG</t>
  </si>
  <si>
    <t>00000c7c</t>
  </si>
  <si>
    <t>DDRCC_FPMEXT_PERF1_CTL_14_CFG</t>
  </si>
  <si>
    <t>00000c80</t>
  </si>
  <si>
    <t>DDRCC_FPMEXT_PERF2_CTL_0_CFG</t>
  </si>
  <si>
    <t>00000c84</t>
  </si>
  <si>
    <t>DDRCC_FPMEXT_PERF2_CTL_1_CFG</t>
  </si>
  <si>
    <t>00000c88</t>
  </si>
  <si>
    <t>DDRCC_FPMEXT_PERF2_CTL_2_CFG</t>
  </si>
  <si>
    <t>00000c8c</t>
  </si>
  <si>
    <t>DDRCC_FPMEXT_PERF2_CTL_3_CFG</t>
  </si>
  <si>
    <t>0x00000028</t>
  </si>
  <si>
    <t>0x00000029</t>
  </si>
  <si>
    <t>00000c90</t>
  </si>
  <si>
    <t>DDRCC_FPMEXT_PERF2_CTL_4_CFG</t>
  </si>
  <si>
    <t>00000c94</t>
  </si>
  <si>
    <t>DDRCC_FPMEXT_PERF2_CTL_5_CFG</t>
  </si>
  <si>
    <t>00000c98</t>
  </si>
  <si>
    <t>DDRCC_FPMEXT_PERF2_CTL_6_CFG</t>
  </si>
  <si>
    <t>00000c9c</t>
  </si>
  <si>
    <t>DDRCC_FPMEXT_PERF2_CTL_7_CFG</t>
  </si>
  <si>
    <t>00000ca0</t>
  </si>
  <si>
    <t>DDRCC_FPMEXT_PERF2_CTL_8_CFG</t>
  </si>
  <si>
    <t>00000ca4</t>
  </si>
  <si>
    <t>DDRCC_FPMEXT_PERF2_CTL_9_CFG</t>
  </si>
  <si>
    <t>00000ca8</t>
  </si>
  <si>
    <t>DDRCC_FPMEXT_PERF2_CTL_10_CFG</t>
  </si>
  <si>
    <t>00000cac</t>
  </si>
  <si>
    <t>DDRCC_FPMEXT_PERF2_CTL_11_CFG</t>
  </si>
  <si>
    <t>00000cb0</t>
  </si>
  <si>
    <t>DDRCC_FPMEXT_PERF2_CTL_12_CFG</t>
  </si>
  <si>
    <t>00000cb4</t>
  </si>
  <si>
    <t>DDRCC_FPMEXT_PERF2_CTL_13_CFG</t>
  </si>
  <si>
    <t>00000cb8</t>
  </si>
  <si>
    <t>DDRCC_FPMEXT_PERF2_CTL_14_CFG</t>
  </si>
  <si>
    <t>00000cbc</t>
  </si>
  <si>
    <t>DDRCC_FPMEXT_PERF3_CTL_0_CFG</t>
  </si>
  <si>
    <t>00000cc0</t>
  </si>
  <si>
    <t>DDRCC_FPMEXT_PERF3_CTL_1_CFG</t>
  </si>
  <si>
    <t>00000cc4</t>
  </si>
  <si>
    <t>DDRCC_FPMEXT_PERF3_CTL_2_CFG</t>
  </si>
  <si>
    <t>00000cc8</t>
  </si>
  <si>
    <t>DDRCC_FPMEXT_PERF3_CTL_3_CFG</t>
  </si>
  <si>
    <t>0x0000001A</t>
  </si>
  <si>
    <t>00000ccc</t>
  </si>
  <si>
    <t>DDRCC_FPMEXT_PERF3_CTL_4_CFG</t>
  </si>
  <si>
    <t>00000cd0</t>
  </si>
  <si>
    <t>DDRCC_FPMEXT_PERF3_CTL_5_CFG</t>
  </si>
  <si>
    <t>00000cd4</t>
  </si>
  <si>
    <t>DDRCC_FPMEXT_PERF3_CTL_6_CFG</t>
  </si>
  <si>
    <t>00000cd8</t>
  </si>
  <si>
    <t>DDRCC_FPMEXT_PERF3_CTL_7_CFG</t>
  </si>
  <si>
    <t>00000cdc</t>
  </si>
  <si>
    <t>DDRCC_FPMEXT_PERF3_CTL_8_CFG</t>
  </si>
  <si>
    <t>00000ce0</t>
  </si>
  <si>
    <t>DDRCC_FPMEXT_PERF3_CTL_9_CFG</t>
  </si>
  <si>
    <t>00000ce4</t>
  </si>
  <si>
    <t>DDRCC_FPMEXT_PERF3_CTL_10_CFG</t>
  </si>
  <si>
    <t>00000ce8</t>
  </si>
  <si>
    <t>DDRCC_FPMEXT_PERF3_CTL_11_CFG</t>
  </si>
  <si>
    <t>00000cec</t>
  </si>
  <si>
    <t>DDRCC_FPMEXT_PERF3_CTL_12_CFG</t>
  </si>
  <si>
    <t>00000cf0</t>
  </si>
  <si>
    <t>DDRCC_FPMEXT_PERF3_CTL_13_CFG</t>
  </si>
  <si>
    <t>00000cf4</t>
  </si>
  <si>
    <t>DDRCC_FPMEXT_PERF3_CTL_14_CFG</t>
  </si>
  <si>
    <t>00000cf8</t>
  </si>
  <si>
    <t>DDRCC_FPMEXT_PERF4_CTL_0_CFG</t>
  </si>
  <si>
    <t>00000cfc</t>
  </si>
  <si>
    <t>DDRCC_FPMEXT_PERF4_CTL_1_CFG</t>
  </si>
  <si>
    <t>00000d00</t>
  </si>
  <si>
    <t>DDRCC_FPMEXT_PERF4_CTL_2_CFG</t>
  </si>
  <si>
    <t>00000d04</t>
  </si>
  <si>
    <t>DDRCC_FPMEXT_PERF4_CTL_3_CFG</t>
  </si>
  <si>
    <t>0x00000021</t>
  </si>
  <si>
    <t>00000d08</t>
  </si>
  <si>
    <t>DDRCC_FPMEXT_PERF4_CTL_4_CFG</t>
  </si>
  <si>
    <t>00000d0c</t>
  </si>
  <si>
    <t>DDRCC_FPMEXT_PERF4_CTL_5_CFG</t>
  </si>
  <si>
    <t>00000d10</t>
  </si>
  <si>
    <t>DDRCC_FPMEXT_PERF4_CTL_6_CFG</t>
  </si>
  <si>
    <t>00000d14</t>
  </si>
  <si>
    <t>DDRCC_FPMEXT_PERF4_CTL_7_CFG</t>
  </si>
  <si>
    <t>00000d18</t>
  </si>
  <si>
    <t>DDRCC_FPMEXT_PERF4_CTL_8_CFG</t>
  </si>
  <si>
    <t>00000d1c</t>
  </si>
  <si>
    <t>DDRCC_FPMEXT_PERF4_CTL_9_CFG</t>
  </si>
  <si>
    <t>00000d20</t>
  </si>
  <si>
    <t>DDRCC_FPMEXT_PERF4_CTL_10_CFG</t>
  </si>
  <si>
    <t>00000d24</t>
  </si>
  <si>
    <t>DDRCC_FPMEXT_PERF4_CTL_11_CFG</t>
  </si>
  <si>
    <t>00000d28</t>
  </si>
  <si>
    <t>DDRCC_FPMEXT_PERF4_CTL_12_CFG</t>
  </si>
  <si>
    <t>00000d2c</t>
  </si>
  <si>
    <t>DDRCC_FPMEXT_PERF4_CTL_13_CFG</t>
  </si>
  <si>
    <t>00000d30</t>
  </si>
  <si>
    <t>DDRCC_FPMEXT_PERF4_CTL_14_CFG</t>
  </si>
  <si>
    <t>00000d34</t>
  </si>
  <si>
    <t>DDRCC_FPMEXT_PERF5_CTL_0_CFG</t>
  </si>
  <si>
    <t>00000d38</t>
  </si>
  <si>
    <t>DDRCC_FPMEXT_PERF5_CTL_1_CFG</t>
  </si>
  <si>
    <t>00000d3c</t>
  </si>
  <si>
    <t>DDRCC_FPMEXT_PERF5_CTL_2_CFG</t>
  </si>
  <si>
    <t>00000d40</t>
  </si>
  <si>
    <t>DDRCC_FPMEXT_PERF5_CTL_3_CFG</t>
  </si>
  <si>
    <t>00000d44</t>
  </si>
  <si>
    <t>DDRCC_FPMEXT_PERF5_CTL_4_CFG</t>
  </si>
  <si>
    <t>00000d48</t>
  </si>
  <si>
    <t>DDRCC_FPMEXT_PERF5_CTL_5_CFG</t>
  </si>
  <si>
    <t>00000d4c</t>
  </si>
  <si>
    <t>DDRCC_FPMEXT_PERF5_CTL_6_CFG</t>
  </si>
  <si>
    <t>00000d50</t>
  </si>
  <si>
    <t>DDRCC_FPMEXT_PERF5_CTL_7_CFG</t>
  </si>
  <si>
    <t>00000d54</t>
  </si>
  <si>
    <t>DDRCC_FPMEXT_PERF5_CTL_8_CFG</t>
  </si>
  <si>
    <t>00000d58</t>
  </si>
  <si>
    <t>DDRCC_FPMEXT_PERF5_CTL_9_CFG</t>
  </si>
  <si>
    <t>00000d5c</t>
  </si>
  <si>
    <t>DDRCC_FPMEXT_PERF5_CTL_10_CFG</t>
  </si>
  <si>
    <t>00000d60</t>
  </si>
  <si>
    <t>DDRCC_FPMEXT_PERF5_CTL_11_CFG</t>
  </si>
  <si>
    <t>00000d64</t>
  </si>
  <si>
    <t>DDRCC_FPMEXT_PERF5_CTL_12_CFG</t>
  </si>
  <si>
    <t>00000d68</t>
  </si>
  <si>
    <t>DDRCC_FPMEXT_PERF5_CTL_13_CFG</t>
  </si>
  <si>
    <t>00000d6c</t>
  </si>
  <si>
    <t>DDRCC_FPMEXT_PERF5_CTL_14_CFG</t>
  </si>
  <si>
    <t>00000d70</t>
  </si>
  <si>
    <t>DDRCC_FPMEXT_PERF6_CTL_0_CFG</t>
  </si>
  <si>
    <t>00000d74</t>
  </si>
  <si>
    <t>DDRCC_FPMEXT_PERF6_CTL_1_CFG</t>
  </si>
  <si>
    <t>00000d78</t>
  </si>
  <si>
    <t>DDRCC_FPMEXT_PERF6_CTL_2_CFG</t>
  </si>
  <si>
    <t>00000d7c</t>
  </si>
  <si>
    <t>DDRCC_FPMEXT_PERF6_CTL_3_CFG</t>
  </si>
  <si>
    <t>0x0000002A</t>
  </si>
  <si>
    <t>00000d80</t>
  </si>
  <si>
    <t>DDRCC_FPMEXT_PERF6_CTL_4_CFG</t>
  </si>
  <si>
    <t>00000d84</t>
  </si>
  <si>
    <t>DDRCC_FPMEXT_PERF6_CTL_5_CFG</t>
  </si>
  <si>
    <t>00000d88</t>
  </si>
  <si>
    <t>DDRCC_FPMEXT_PERF6_CTL_6_CFG</t>
  </si>
  <si>
    <t>00000d8c</t>
  </si>
  <si>
    <t>DDRCC_FPMEXT_PERF6_CTL_7_CFG</t>
  </si>
  <si>
    <t>00000d90</t>
  </si>
  <si>
    <t>DDRCC_FPMEXT_PERF6_CTL_8_CFG</t>
  </si>
  <si>
    <t>00000d94</t>
  </si>
  <si>
    <t>DDRCC_FPMEXT_PERF6_CTL_9_CFG</t>
  </si>
  <si>
    <t>00000d98</t>
  </si>
  <si>
    <t>DDRCC_FPMEXT_PERF6_CTL_10_CFG</t>
  </si>
  <si>
    <t>00000d9c</t>
  </si>
  <si>
    <t>DDRCC_FPMEXT_PERF6_CTL_11_CFG</t>
  </si>
  <si>
    <t>00000da0</t>
  </si>
  <si>
    <t>DDRCC_FPMEXT_PERF6_CTL_12_CFG</t>
  </si>
  <si>
    <t>00000da4</t>
  </si>
  <si>
    <t>DDRCC_FPMEXT_PERF6_CTL_13_CFG</t>
  </si>
  <si>
    <t>00000da8</t>
  </si>
  <si>
    <t>DDRCC_FPMEXT_PERF6_CTL_14_CFG</t>
  </si>
  <si>
    <t>00000dac</t>
  </si>
  <si>
    <t>DDRCC_FPMEXT_PERF7_CTL_0_CFG</t>
  </si>
  <si>
    <t>00000db0</t>
  </si>
  <si>
    <t>DDRCC_FPMEXT_PERF7_CTL_1_CFG</t>
  </si>
  <si>
    <t>00000db4</t>
  </si>
  <si>
    <t>DDRCC_FPMEXT_PERF7_CTL_2_CFG</t>
  </si>
  <si>
    <t>00000db8</t>
  </si>
  <si>
    <t>DDRCC_FPMEXT_PERF7_CTL_3_CFG</t>
  </si>
  <si>
    <t>0x0000002F</t>
  </si>
  <si>
    <t>00000dbc</t>
  </si>
  <si>
    <t>DDRCC_FPMEXT_PERF7_CTL_4_CFG</t>
  </si>
  <si>
    <t>00000dc0</t>
  </si>
  <si>
    <t>DDRCC_FPMEXT_PERF7_CTL_5_CFG</t>
  </si>
  <si>
    <t>00000dc4</t>
  </si>
  <si>
    <t>DDRCC_FPMEXT_PERF7_CTL_6_CFG</t>
  </si>
  <si>
    <t>00000dc8</t>
  </si>
  <si>
    <t>DDRCC_FPMEXT_PERF7_CTL_7_CFG</t>
  </si>
  <si>
    <t>00000dcc</t>
  </si>
  <si>
    <t>DDRCC_FPMEXT_PERF7_CTL_8_CFG</t>
  </si>
  <si>
    <t>00000dd0</t>
  </si>
  <si>
    <t>DDRCC_FPMEXT_PERF7_CTL_9_CFG</t>
  </si>
  <si>
    <t>00000dd4</t>
  </si>
  <si>
    <t>DDRCC_FPMEXT_PERF7_CTL_10_CFG</t>
  </si>
  <si>
    <t>00000dd8</t>
  </si>
  <si>
    <t>DDRCC_FPMEXT_PERF7_CTL_11_CFG</t>
  </si>
  <si>
    <t>00000ddc</t>
  </si>
  <si>
    <t>DDRCC_FPMEXT_PERF7_CTL_12_CFG</t>
  </si>
  <si>
    <t>00000de0</t>
  </si>
  <si>
    <t>DDRCC_FPMEXT_PERF7_CTL_13_CFG</t>
  </si>
  <si>
    <t>00000de4</t>
  </si>
  <si>
    <t>DDRCC_FPMEXT_PERF7_CTL_14_CFG</t>
  </si>
  <si>
    <t>MPE_LOAD_CONFIG</t>
  </si>
  <si>
    <t>00000000</t>
  </si>
  <si>
    <t>FFFFFFFF</t>
  </si>
  <si>
    <t>MPE_CLK_CTRL</t>
  </si>
  <si>
    <t>00003FFF</t>
  </si>
  <si>
    <t>MPE_IBU_OPT_CFG_0</t>
  </si>
  <si>
    <t>00000103</t>
  </si>
  <si>
    <t>00000048</t>
  </si>
  <si>
    <t>MPE_IBU_OPT_CFG_1</t>
  </si>
  <si>
    <t>MPE_IBU_OPT_CFG_2</t>
  </si>
  <si>
    <t>MPE_IBU_OPT_CFG_3</t>
  </si>
  <si>
    <t>MPE_FCS_OPT_CFG_0</t>
  </si>
  <si>
    <t>MPE_FCS_OPT_CFG_1</t>
  </si>
  <si>
    <t>MPE_FCS_OPT_CFG_2</t>
  </si>
  <si>
    <t>MPE_FCS_OPT_CFG_3</t>
  </si>
  <si>
    <t>MPE_CCP_OPT_CFG</t>
  </si>
  <si>
    <t>00000002</t>
  </si>
  <si>
    <t>MPE_HKS_OPT_CFG</t>
  </si>
  <si>
    <t>MPE_APM_OPT_CFG_0_CS_0</t>
  </si>
  <si>
    <t>FFFF00FF</t>
  </si>
  <si>
    <t>000000d4</t>
  </si>
  <si>
    <t>MPE_APM_OPT_CFG_0_CS_1</t>
  </si>
  <si>
    <t>000000d8</t>
  </si>
  <si>
    <t>MPE_APM_OPT_CFG_1_CS_0</t>
  </si>
  <si>
    <t>000000dc</t>
  </si>
  <si>
    <t>MPE_APM_OPT_CFG_1_CS_1</t>
  </si>
  <si>
    <t>MPE_APM_OPT_CFG_2_CS_0</t>
  </si>
  <si>
    <t>MPE_APM_OPT_CFG_2_CS_1</t>
  </si>
  <si>
    <t>MPE_APM_OPT_CFG_3_CS_0</t>
  </si>
  <si>
    <t>MPE_APM_OPT_CFG_3_CS_1</t>
  </si>
  <si>
    <t>MPE_APM_OPT_CTRL_0</t>
  </si>
  <si>
    <t>00001000</t>
  </si>
  <si>
    <t>MPE_APM_OPT_CTRL_1</t>
  </si>
  <si>
    <t>MPE_APM_OPT_CTRL_2</t>
  </si>
  <si>
    <t>0000012c</t>
  </si>
  <si>
    <t>MPE_APM_OPT_CTRL_3</t>
  </si>
  <si>
    <t>00000140</t>
  </si>
  <si>
    <t>MPE_RD_BEAT_CFG</t>
  </si>
  <si>
    <t>00000144</t>
  </si>
  <si>
    <t>MPE_RD_BKPR_CFG</t>
  </si>
  <si>
    <t>11103B3B</t>
  </si>
  <si>
    <t>11103A3A</t>
  </si>
  <si>
    <t>00000148</t>
  </si>
  <si>
    <t>MPE_RD_BKPR_TH_CFG</t>
  </si>
  <si>
    <t>6F6F1D1D</t>
  </si>
  <si>
    <t>0000014c</t>
  </si>
  <si>
    <t>MPE_RANK_STATE_CFG</t>
  </si>
  <si>
    <t>000003b0</t>
  </si>
  <si>
    <t>MPE_SPARE_CFG</t>
  </si>
  <si>
    <t>00000001</t>
  </si>
  <si>
    <t>MPE_IDLE_STATUS</t>
  </si>
  <si>
    <t>0003FFFF</t>
  </si>
  <si>
    <t>MPE_CMD_STATUS</t>
  </si>
  <si>
    <t>MPE_HKS_STATUS</t>
  </si>
  <si>
    <t>MPE_APM_STATUS</t>
  </si>
  <si>
    <t>08010133</t>
  </si>
  <si>
    <t>MPE_DPC_STATUS</t>
  </si>
  <si>
    <t>00010001</t>
  </si>
  <si>
    <t>GLOBAL_SEC_ADDR_BASE_CS_0</t>
  </si>
  <si>
    <t>GLOBAL_SEC_ADDR_BASE_CS_1</t>
  </si>
  <si>
    <t>GLOBAL_SEC_ADDR_MAP_CS_0</t>
  </si>
  <si>
    <t>GLOBAL_SEC_ADDR_MAP_CS_1</t>
  </si>
  <si>
    <t>GLOBAL_SEC_ADDR_MASK_CS_0</t>
  </si>
  <si>
    <t>GLOBAL_SEC_ADDR_MASK_CS_1</t>
  </si>
  <si>
    <t>GLOBAL_HW_VERSION</t>
  </si>
  <si>
    <t>10000000</t>
  </si>
  <si>
    <t>00000004</t>
  </si>
  <si>
    <t>GLOBAL_CORE_INFO</t>
  </si>
  <si>
    <t>00000008</t>
  </si>
  <si>
    <t>GLOBAL_HW_INFO</t>
  </si>
  <si>
    <t>01000500</t>
  </si>
  <si>
    <t>01000900</t>
  </si>
  <si>
    <t>GLOBAL_LOAD_CONFIG</t>
  </si>
  <si>
    <t>GLOBAL_CONFIGURATION_INFO_0</t>
  </si>
  <si>
    <t>00201007</t>
  </si>
  <si>
    <t>GLOBAL_CONFIGURATION_INFO_1</t>
  </si>
  <si>
    <t>00804000</t>
  </si>
  <si>
    <t>GLOBAL_CONFIGURATION_INFO_2</t>
  </si>
  <si>
    <t>04080080</t>
  </si>
  <si>
    <t>0000003c</t>
  </si>
  <si>
    <t>GLOBAL_CONFIGURATION_INFO_3</t>
  </si>
  <si>
    <t>00080028</t>
  </si>
  <si>
    <t>00080024</t>
  </si>
  <si>
    <t>GLOBAL_CONFIGURATION_INFO_4</t>
  </si>
  <si>
    <t>10002020</t>
  </si>
  <si>
    <t>GLOBAL_BANK_MAP_CFG_INFO_CBU_0</t>
  </si>
  <si>
    <t>0000FFFF</t>
  </si>
  <si>
    <t>GLOBAL_CLK_CTRL</t>
  </si>
  <si>
    <t>00000111</t>
  </si>
  <si>
    <t>GLOBAL_DDR_CLK_PERIOD_CFG</t>
  </si>
  <si>
    <t>0000CB73</t>
  </si>
  <si>
    <t>GLOBAL_CC_SW_CFG</t>
  </si>
  <si>
    <t>GLOBAL_QOS_POLICY_CFG</t>
  </si>
  <si>
    <t>GLOBAL_RTCG_CFG</t>
  </si>
  <si>
    <t>GLOBAL_RTCG_STABLE_CLK_TIMER_CFG</t>
  </si>
  <si>
    <t>0000000A</t>
  </si>
  <si>
    <t>GLOBAL_RTCG_IDLE_TIMER_CFG_0</t>
  </si>
  <si>
    <t>000800C8</t>
  </si>
  <si>
    <t>GLOBAL_RTCG_IDLE_TIMER_CFG_1</t>
  </si>
  <si>
    <t>00000118</t>
  </si>
  <si>
    <t>GLOBAL_RTCG_IDLE_TIMER_CFG_2</t>
  </si>
  <si>
    <t>GLOBAL_RTCG_IDLE_TIMER_CFG_3</t>
  </si>
  <si>
    <t>GLOBAL_DEBUG_CFG</t>
  </si>
  <si>
    <t>GLOBAL_SPARE_CFG</t>
  </si>
  <si>
    <t>GLOBAL_IDLE_STATUS</t>
  </si>
  <si>
    <t>8003FFFF</t>
  </si>
  <si>
    <t>GLOBAL_DEVICE_STATUS</t>
  </si>
  <si>
    <t>00000033</t>
  </si>
  <si>
    <t>GLOBAL_ISU_ACH_STATUS</t>
  </si>
  <si>
    <t>00000101</t>
  </si>
  <si>
    <t>GLOBAL_ISU_WCH_STATUS</t>
  </si>
  <si>
    <t>00010101</t>
  </si>
  <si>
    <t>GLOBAL_ISU_RCH_STATUS</t>
  </si>
  <si>
    <t>GLOBAL_ISU_CMDBUF_STATUS0</t>
  </si>
  <si>
    <t>00000424</t>
  </si>
  <si>
    <t>GLOBAL_ISU_CMDBUF_STATUS1</t>
  </si>
  <si>
    <t>00000430</t>
  </si>
  <si>
    <t>GLOBAL_ISU_WRBUF_STATUS</t>
  </si>
  <si>
    <t>00000440</t>
  </si>
  <si>
    <t>GLOBAL_CBU_0_RDCQ_STATUS</t>
  </si>
  <si>
    <t>00000448</t>
  </si>
  <si>
    <t>GLOBAL_CBU_0_WRCQ_STATUS</t>
  </si>
  <si>
    <t>GLOBAL_MPE_STATUS</t>
  </si>
  <si>
    <t>GLOBAL_SHKE_STATUS</t>
  </si>
  <si>
    <t>33000000</t>
  </si>
  <si>
    <t>GLOBAL_SHKE_BANK_UNAVAIL_STATUS</t>
  </si>
  <si>
    <t>GLOBAL_SHKE_FSW_STATUS</t>
  </si>
  <si>
    <t>GLOBAL_SHKE_WDOG_STATUS</t>
  </si>
  <si>
    <t>GLOBAL_OSU_STATUS</t>
  </si>
  <si>
    <t>GLOBAL_OSU_DQS_FIFO_STATUS</t>
  </si>
  <si>
    <t>000000FF</t>
  </si>
  <si>
    <t>GLOBAL_QOS_POLICY_STATUS</t>
  </si>
  <si>
    <t>ISU_LOAD_CONFIG</t>
  </si>
  <si>
    <t>ISU_CLK_CTRL</t>
  </si>
  <si>
    <t>7F0F0013</t>
  </si>
  <si>
    <t>ISU_RDP_CFG</t>
  </si>
  <si>
    <t>ISU_QCH_OVERRIDE_CFG_0</t>
  </si>
  <si>
    <t>ISU_UCH_OVERRIDE_CFG_0</t>
  </si>
  <si>
    <t>ISU_PL_CFG_0</t>
  </si>
  <si>
    <t>00000007</t>
  </si>
  <si>
    <t>ISU_QCH_OVERRIDE_CFG_1</t>
  </si>
  <si>
    <t>ISU_UCH_OVERRIDE_CFG_1</t>
  </si>
  <si>
    <t>ISU_PL_CFG_1</t>
  </si>
  <si>
    <t>ISU_QCH_OVERRIDE_CFG_2</t>
  </si>
  <si>
    <t>ISU_UCH_OVERRIDE_CFG_2</t>
  </si>
  <si>
    <t>ISU_PL_CFG_2</t>
  </si>
  <si>
    <t>ISU_QCH_OVERRIDE_CFG_3</t>
  </si>
  <si>
    <t>ISU_UCH_OVERRIDE_CFG_3</t>
  </si>
  <si>
    <t>ISU_PL_CFG_3</t>
  </si>
  <si>
    <t>ISU_RCH_FIFO_CFG</t>
  </si>
  <si>
    <t>ISU_SPARE_CFG</t>
  </si>
  <si>
    <t>ISU_IDLE_STATUS</t>
  </si>
  <si>
    <t>ISU_CMD_STATUS</t>
  </si>
  <si>
    <t>ISU_ACH_STATUS</t>
  </si>
  <si>
    <t>ISU_WCH_STATUS</t>
  </si>
  <si>
    <t>ISU_RCH_STATUS</t>
  </si>
  <si>
    <t>ISU_CMDBUF_STATUS0</t>
  </si>
  <si>
    <t>ISU_CMDBUF_STATUS1</t>
  </si>
  <si>
    <t>ISU_WRBUF_STATUS</t>
  </si>
  <si>
    <t>ISU_CBU0_CMDQ_STATUS</t>
  </si>
  <si>
    <t>CBU_TOP_LOAD_CONFIG</t>
  </si>
  <si>
    <t>CBU_TOP_CLK_CTRL</t>
  </si>
  <si>
    <t>000F0FFF</t>
  </si>
  <si>
    <t>CBU_TOP_RD_CMDQ_CFG0_0</t>
  </si>
  <si>
    <t>CBU_TOP_RD_CMDQ_CFG1_0</t>
  </si>
  <si>
    <t>9D9D9DFF</t>
  </si>
  <si>
    <t>14181C20</t>
  </si>
  <si>
    <t>CBU_TOP_RD_CMDQ_CFG2_0</t>
  </si>
  <si>
    <t>019D9D9D</t>
  </si>
  <si>
    <t>080A0C10</t>
  </si>
  <si>
    <t>CBU_TOP_RD_CMDQ_CFG0_1</t>
  </si>
  <si>
    <t>CBU_TOP_RD_CMDQ_CFG1_1</t>
  </si>
  <si>
    <t>CBU_TOP_RD_CMDQ_CFG2_1</t>
  </si>
  <si>
    <t>CBU_TOP_RD_CMDQ_CFG0_2</t>
  </si>
  <si>
    <t>CBU_TOP_RD_CMDQ_CFG1_2</t>
  </si>
  <si>
    <t>CBU_TOP_RD_CMDQ_CFG2_2</t>
  </si>
  <si>
    <t>CBU_TOP_RD_CMDQ_CFG0_3</t>
  </si>
  <si>
    <t>CBU_TOP_RD_CMDQ_CFG1_3</t>
  </si>
  <si>
    <t>CBU_TOP_RD_CMDQ_CFG2_3</t>
  </si>
  <si>
    <t>CBU_TOP_WR_CMDQ_CFG0_0</t>
  </si>
  <si>
    <t>00000011</t>
  </si>
  <si>
    <t>CBU_TOP_WR_CMDQ_CFG1_0</t>
  </si>
  <si>
    <t>CBU_TOP_WR_CMDQ_CFG2_0</t>
  </si>
  <si>
    <t>CBU_TOP_WR_CMDQ_CFG0_1</t>
  </si>
  <si>
    <t>000000c4</t>
  </si>
  <si>
    <t>CBU_TOP_WR_CMDQ_CFG1_1</t>
  </si>
  <si>
    <t>CBU_TOP_WR_CMDQ_CFG2_1</t>
  </si>
  <si>
    <t>CBU_TOP_WR_CMDQ_CFG0_2</t>
  </si>
  <si>
    <t>CBU_TOP_WR_CMDQ_CFG1_2</t>
  </si>
  <si>
    <t>CBU_TOP_WR_CMDQ_CFG2_2</t>
  </si>
  <si>
    <t>CBU_TOP_WR_CMDQ_CFG0_3</t>
  </si>
  <si>
    <t>CBU_TOP_WR_CMDQ_CFG1_3</t>
  </si>
  <si>
    <t>CBU_TOP_WR_CMDQ_CFG2_3</t>
  </si>
  <si>
    <t>CBU_TOP_RDOPT_CFG_0</t>
  </si>
  <si>
    <t>00670201</t>
  </si>
  <si>
    <t>00570210</t>
  </si>
  <si>
    <t>CBU_TOP_WROPT_CFG_0</t>
  </si>
  <si>
    <t>CBU_TOP_RWOPT_CFG_0</t>
  </si>
  <si>
    <t>FFFFFFBF</t>
  </si>
  <si>
    <t>CBU_TOP_RDOPT_CFG_1</t>
  </si>
  <si>
    <t>CBU_TOP_WROPT_CFG_1</t>
  </si>
  <si>
    <t>CBU_TOP_RWOPT_CFG_1</t>
  </si>
  <si>
    <t>00000150</t>
  </si>
  <si>
    <t>CBU_TOP_RDOPT_CFG_2</t>
  </si>
  <si>
    <t>00000154</t>
  </si>
  <si>
    <t>CBU_TOP_WROPT_CFG_2</t>
  </si>
  <si>
    <t>CBU_TOP_RWOPT_CFG_2</t>
  </si>
  <si>
    <t>CBU_TOP_RDOPT_CFG_3</t>
  </si>
  <si>
    <t>00000164</t>
  </si>
  <si>
    <t>CBU_TOP_WROPT_CFG_3</t>
  </si>
  <si>
    <t>CBU_TOP_RWOPT_CFG_3</t>
  </si>
  <si>
    <t>CBU_TOP_RD_BATCH_CFG_0</t>
  </si>
  <si>
    <t>10100101</t>
  </si>
  <si>
    <t>04100108</t>
  </si>
  <si>
    <t>CBU_TOP_WR_BATCH_CFG_0</t>
  </si>
  <si>
    <t>0A0A1818</t>
  </si>
  <si>
    <t>08100810</t>
  </si>
  <si>
    <t>CBU_TOP_RW_BATCH_CFG0_0</t>
  </si>
  <si>
    <t>00070070</t>
  </si>
  <si>
    <t>06465364</t>
  </si>
  <si>
    <t>CBU_TOP_RW_BATCH_CFG1_0</t>
  </si>
  <si>
    <t>CBU_TOP_RD_BATCH_CFG_1</t>
  </si>
  <si>
    <t>CBU_TOP_WR_BATCH_CFG_1</t>
  </si>
  <si>
    <t>CBU_TOP_RW_BATCH_CFG0_1</t>
  </si>
  <si>
    <t>CBU_TOP_RW_BATCH_CFG1_1</t>
  </si>
  <si>
    <t>CBU_TOP_RD_BATCH_CFG_2</t>
  </si>
  <si>
    <t>CBU_TOP_WR_BATCH_CFG_2</t>
  </si>
  <si>
    <t>CBU_TOP_RW_BATCH_CFG0_2</t>
  </si>
  <si>
    <t>000001dc</t>
  </si>
  <si>
    <t>CBU_TOP_RW_BATCH_CFG1_2</t>
  </si>
  <si>
    <t>000001e0</t>
  </si>
  <si>
    <t>CBU_TOP_RD_BATCH_CFG_3</t>
  </si>
  <si>
    <t>000001e4</t>
  </si>
  <si>
    <t>CBU_TOP_WR_BATCH_CFG_3</t>
  </si>
  <si>
    <t>000001e8</t>
  </si>
  <si>
    <t>CBU_TOP_RW_BATCH_CFG0_3</t>
  </si>
  <si>
    <t>000001ec</t>
  </si>
  <si>
    <t>CBU_TOP_RW_BATCH_CFG1_3</t>
  </si>
  <si>
    <t>00000230</t>
  </si>
  <si>
    <t>CBU_TOP_PG_MGMNT_CFG_0</t>
  </si>
  <si>
    <t>00040010</t>
  </si>
  <si>
    <t>007F0010</t>
  </si>
  <si>
    <t>F000FFFF</t>
  </si>
  <si>
    <t>00000234</t>
  </si>
  <si>
    <t>CBU_TOP_PG_MGMNT_CFG_1</t>
  </si>
  <si>
    <t>00000238</t>
  </si>
  <si>
    <t>CBU_TOP_PG_MGMNT_CFG_2</t>
  </si>
  <si>
    <t>0000023c</t>
  </si>
  <si>
    <t>CBU_TOP_PG_MGMNT_CFG_3</t>
  </si>
  <si>
    <t>CBU_TOP_RFRSH_RDYLVL_CFG_0</t>
  </si>
  <si>
    <t>00070007</t>
  </si>
  <si>
    <t>00000254</t>
  </si>
  <si>
    <t>CBU_TOP_RFRSH_RDYLVL_CFG_1</t>
  </si>
  <si>
    <t>00000258</t>
  </si>
  <si>
    <t>CBU_TOP_RFRSH_RDYLVL_CFG_2</t>
  </si>
  <si>
    <t>0000025c</t>
  </si>
  <si>
    <t>CBU_TOP_RFRSH_RDYLVL_CFG_3</t>
  </si>
  <si>
    <t>CBU_TOP_SPARE_CFG</t>
  </si>
  <si>
    <t>CBU_TOP_IDLE_STATUS</t>
  </si>
  <si>
    <t>CBU_TOP_CMD_STATUS</t>
  </si>
  <si>
    <t>CBU_TOP_CBU0_RDCQ_STATUS</t>
  </si>
  <si>
    <t>CBU_TOP_CBU0_WRCQ_STATUS</t>
  </si>
  <si>
    <t>DTC_SW_TRIGGER_CFG</t>
  </si>
  <si>
    <t>DTC_SW_TRIGGER_CORE</t>
  </si>
  <si>
    <t>DTC_CFG_TEMP_DERATE</t>
  </si>
  <si>
    <t>00000753</t>
  </si>
  <si>
    <t>DTC_CLK_CTRL</t>
  </si>
  <si>
    <t>00000003</t>
  </si>
  <si>
    <t>DTC_RANK_TIMING_CFG_TFAW</t>
  </si>
  <si>
    <t>00109C40</t>
  </si>
  <si>
    <t>DTC_RANK_TIMING_CFG_TMRD</t>
  </si>
  <si>
    <t>00A036B0</t>
  </si>
  <si>
    <t>DTC_RANK_TIMING_CFG_TMRR</t>
  </si>
  <si>
    <t>008036B0</t>
  </si>
  <si>
    <t>DTC_RANK_TIMING_CFG_TMRW</t>
  </si>
  <si>
    <t>00A02710</t>
  </si>
  <si>
    <t>DTC_RANK_TIMING_CFG_TPPD</t>
  </si>
  <si>
    <t>00400000</t>
  </si>
  <si>
    <t>DTC_RANK_TIMING_CFG_TRFC_AB_0</t>
  </si>
  <si>
    <t>0012BF20</t>
  </si>
  <si>
    <t>001445C0</t>
  </si>
  <si>
    <t>DTC_RANK_TIMING_CFG_TRFC_AB_1</t>
  </si>
  <si>
    <t>DTC_RANK_TIMING_CFG_TRFC_PB_0</t>
  </si>
  <si>
    <t>00115F90</t>
  </si>
  <si>
    <t>DTC_RANK_TIMING_CFG_TRFC_PB_1</t>
  </si>
  <si>
    <t>DTC_RANK_TIMING_CFG_TRP_AB</t>
  </si>
  <si>
    <t>10405208</t>
  </si>
  <si>
    <t>DTC_RANK_TIMING_CFG_TRRD</t>
  </si>
  <si>
    <t>10402710</t>
  </si>
  <si>
    <t>0000013c</t>
  </si>
  <si>
    <t>DTC_RANK_TIMING_CFG_TXSR</t>
  </si>
  <si>
    <t>00201D4C</t>
  </si>
  <si>
    <t>DTC_RANK_TIMING_CFG_TXSR_ABORT</t>
  </si>
  <si>
    <t>0010445C</t>
  </si>
  <si>
    <t>DTC_RANK_TIMING_CFG_TZQLAT</t>
  </si>
  <si>
    <t>00807530</t>
  </si>
  <si>
    <t>DTC_BANK_TIMING_CFG_NRTP</t>
  </si>
  <si>
    <t>00C00000</t>
  </si>
  <si>
    <t>01000000</t>
  </si>
  <si>
    <t>DTC_BANK_TIMING_CFG_NWR</t>
  </si>
  <si>
    <t>01E00000</t>
  </si>
  <si>
    <t>02800000</t>
  </si>
  <si>
    <t>DTC_BANK_TIMING_CFG_TRASMIN</t>
  </si>
  <si>
    <t>1030A410</t>
  </si>
  <si>
    <t>DTC_BANK_TIMING_CFG_TRCD</t>
  </si>
  <si>
    <t>10404650</t>
  </si>
  <si>
    <t>00000210</t>
  </si>
  <si>
    <t>DTC_BANK_TIMING_CFG_TRP_PB</t>
  </si>
  <si>
    <t>00000214</t>
  </si>
  <si>
    <t>DTC_BANK_TIMING_CFG_TRTP</t>
  </si>
  <si>
    <t>00801D4C</t>
  </si>
  <si>
    <t>00000218</t>
  </si>
  <si>
    <t>DTC_BANK_TIMING_CFG_TWR</t>
  </si>
  <si>
    <t>00604650</t>
  </si>
  <si>
    <t>DTC_COL_TIMING_CFG_ODTLOFF</t>
  </si>
  <si>
    <t>01800000</t>
  </si>
  <si>
    <t>02C00000</t>
  </si>
  <si>
    <t>DTC_COL_TIMING_CFG_ODTLON</t>
  </si>
  <si>
    <t>00600000</t>
  </si>
  <si>
    <t>DTC_COL_TIMING_CFG_RDAW</t>
  </si>
  <si>
    <t>04800000</t>
  </si>
  <si>
    <t>DTC_COL_TIMING_CFG_RL</t>
  </si>
  <si>
    <t>02000000</t>
  </si>
  <si>
    <t>DTC_COL_TIMING_CFG_TCCD</t>
  </si>
  <si>
    <t>00800000</t>
  </si>
  <si>
    <t>DTC_COL_TIMING_CFG_TDQS2DQ_MAX</t>
  </si>
  <si>
    <t>00100320</t>
  </si>
  <si>
    <t>DTC_COL_TIMING_CFG_TDQSCKMAX</t>
  </si>
  <si>
    <t>00100DAC</t>
  </si>
  <si>
    <t>0000031c</t>
  </si>
  <si>
    <t>DTC_COL_TIMING_CFG_TDQSCKMIN</t>
  </si>
  <si>
    <t>001005DC</t>
  </si>
  <si>
    <t>00000320</t>
  </si>
  <si>
    <t>DTC_COL_TIMING_CFG_TDQSS</t>
  </si>
  <si>
    <t>00100000</t>
  </si>
  <si>
    <t>00000324</t>
  </si>
  <si>
    <t>DTC_COL_TIMING_CFG_TODTOFF_MAX</t>
  </si>
  <si>
    <t>00000328</t>
  </si>
  <si>
    <t>DTC_COL_TIMING_CFG_TODTOFF_MIN</t>
  </si>
  <si>
    <t>0000032c</t>
  </si>
  <si>
    <t>DTC_COL_TIMING_CFG_TODTON_MAX</t>
  </si>
  <si>
    <t>00000330</t>
  </si>
  <si>
    <t>DTC_COL_TIMING_CFG_TODTON_MIN</t>
  </si>
  <si>
    <t>00000334</t>
  </si>
  <si>
    <t>DTC_COL_TIMING_CFG_TR2P</t>
  </si>
  <si>
    <t>00000338</t>
  </si>
  <si>
    <t>DTC_COL_TIMING_CFG_TRAP2A</t>
  </si>
  <si>
    <t>0000033c</t>
  </si>
  <si>
    <t>DTC_COL_TIMING_CFG_TRPRE</t>
  </si>
  <si>
    <t>00200000</t>
  </si>
  <si>
    <t>00000340</t>
  </si>
  <si>
    <t>DTC_COL_TIMING_CFG_TRPST</t>
  </si>
  <si>
    <t>00300000</t>
  </si>
  <si>
    <t>00000344</t>
  </si>
  <si>
    <t>DTC_COL_TIMING_CFG_TRTMRW</t>
  </si>
  <si>
    <t>00000348</t>
  </si>
  <si>
    <t>DTC_COL_TIMING_CFG_TRTRRD</t>
  </si>
  <si>
    <t>0000034c</t>
  </si>
  <si>
    <t>DTC_COL_TIMING_CFG_TW2P</t>
  </si>
  <si>
    <t>DTC_COL_TIMING_CFG_TWAP2A</t>
  </si>
  <si>
    <t>00000354</t>
  </si>
  <si>
    <t>DTC_COL_TIMING_CFG_TWPRE</t>
  </si>
  <si>
    <t>DTC_COL_TIMING_CFG_TWPST</t>
  </si>
  <si>
    <t>0000035c</t>
  </si>
  <si>
    <t>DTC_COL_TIMING_CFG_TWRWTR</t>
  </si>
  <si>
    <t>DTC_COL_TIMING_CFG_TWTMRW</t>
  </si>
  <si>
    <t>00000364</t>
  </si>
  <si>
    <t>DTC_COL_TIMING_CFG_TWTR</t>
  </si>
  <si>
    <t>00802710</t>
  </si>
  <si>
    <t>DTC_COL_TIMING_CFG_WL</t>
  </si>
  <si>
    <t>00E00000</t>
  </si>
  <si>
    <t>02200000</t>
  </si>
  <si>
    <t>DTC_PD_TIMING_CFG_TCKCKEH</t>
  </si>
  <si>
    <t>005006D6</t>
  </si>
  <si>
    <t>003006D6</t>
  </si>
  <si>
    <t>DTC_PD_TIMING_CFG_TCKE</t>
  </si>
  <si>
    <t>00401D4C</t>
  </si>
  <si>
    <t>DTC_PD_TIMING_CFG_TCKELCK</t>
  </si>
  <si>
    <t>00501D4C</t>
  </si>
  <si>
    <t>DTC_PD_TIMING_CFG_TCMDCKE</t>
  </si>
  <si>
    <t>DTC_PD_TIMING_CFG_TMRWCKEL</t>
  </si>
  <si>
    <t>DTC_PD_TIMING_CFG_TRDCKE</t>
  </si>
  <si>
    <t>DTC_PD_TIMING_CFG_TWRCKE</t>
  </si>
  <si>
    <t>DTC_PD_TIMING_CFG_TXP</t>
  </si>
  <si>
    <t>DTC_SHKE_TIMING_CFG_TFC</t>
  </si>
  <si>
    <t>0013D090</t>
  </si>
  <si>
    <t>DTC_SHKE_TIMING_CFG_TSR</t>
  </si>
  <si>
    <t>00303A98</t>
  </si>
  <si>
    <t>DTC_SHKE_TIMING_CFG_TVRCG_DIS</t>
  </si>
  <si>
    <t>001186A0</t>
  </si>
  <si>
    <t>DTC_SHKE_TIMING_CFG_TVRCG_EN</t>
  </si>
  <si>
    <t>00130D40</t>
  </si>
  <si>
    <t>DTC_OSU_TIMING_CFG_QFI_1P0_RD_OE_END_0</t>
  </si>
  <si>
    <t>DTC_OSU_TIMING_CFG_QFI_1P0_RD_OE_END_1</t>
  </si>
  <si>
    <t>00000610</t>
  </si>
  <si>
    <t>DTC_OSU_TIMING_CFG_QFI_1P0_RD_OE_START_0</t>
  </si>
  <si>
    <t>00000614</t>
  </si>
  <si>
    <t>DTC_OSU_TIMING_CFG_QFI_1P0_RD_OE_START_1</t>
  </si>
  <si>
    <t>DTC_OSU_TIMING_CFG_QFI_1P0_RD_RDDATA_EN_END_0</t>
  </si>
  <si>
    <t>00000624</t>
  </si>
  <si>
    <t>DTC_OSU_TIMING_CFG_QFI_1P0_RD_RDDATA_EN_END_1</t>
  </si>
  <si>
    <t>DTC_OSU_TIMING_CFG_QFI_1P0_RD_RDDATA_EN_START_0</t>
  </si>
  <si>
    <t>00000634</t>
  </si>
  <si>
    <t>DTC_OSU_TIMING_CFG_QFI_1P0_RD_RDDATA_EN_START_1</t>
  </si>
  <si>
    <t>00000640</t>
  </si>
  <si>
    <t>DTC_OSU_TIMING_CFG_QFI_1P0_RD_TRAFFIC_EN_END_0</t>
  </si>
  <si>
    <t>00000644</t>
  </si>
  <si>
    <t>DTC_OSU_TIMING_CFG_QFI_1P0_RD_TRAFFIC_EN_END_1</t>
  </si>
  <si>
    <t>00000650</t>
  </si>
  <si>
    <t>DTC_OSU_TIMING_CFG_QFI_1P0_RD_TRAFFIC_EN_START_0</t>
  </si>
  <si>
    <t>DTC_OSU_TIMING_CFG_QFI_1P0_RD_TRAFFIC_EN_START_1</t>
  </si>
  <si>
    <t>DTC_OSU_TIMING_CFG_QFI_1P0_WR_OE_END_0</t>
  </si>
  <si>
    <t>DTC_OSU_TIMING_CFG_QFI_1P0_WR_OE_END_1</t>
  </si>
  <si>
    <t>DTC_OSU_TIMING_CFG_QFI_1P0_WR_OE_START_0</t>
  </si>
  <si>
    <t>DTC_OSU_TIMING_CFG_QFI_1P0_WR_OE_START_1</t>
  </si>
  <si>
    <t>DTC_OSU_TIMING_CFG_QFI_1P0_WR_TRAFFIC_EN_END_0</t>
  </si>
  <si>
    <t>DTC_OSU_TIMING_CFG_QFI_1P0_WR_TRAFFIC_EN_END_1</t>
  </si>
  <si>
    <t>DTC_OSU_TIMING_CFG_QFI_1P0_WR_TRAFFIC_EN_START_0</t>
  </si>
  <si>
    <t>DTC_OSU_TIMING_CFG_QFI_1P0_WR_TRAFFIC_EN_START_1</t>
  </si>
  <si>
    <t>DTC_OSU_TIMING_CFG_QFI_1P0_WR_WRDATA_EN_END_0</t>
  </si>
  <si>
    <t>DTC_OSU_TIMING_CFG_QFI_1P0_WR_WRDATA_EN_END_1</t>
  </si>
  <si>
    <t>DTC_OSU_TIMING_CFG_QFI_1P0_WR_WRDATA_EN_START_0</t>
  </si>
  <si>
    <t>DTC_OSU_TIMING_CFG_QFI_1P0_WR_WRDATA_EN_START_1</t>
  </si>
  <si>
    <t>DTC_OSU_TIMING_CFG_QFI_2P0_RD_OPCODE_OFFSET_0</t>
  </si>
  <si>
    <t>DTC_OSU_TIMING_CFG_QFI_2P0_RD_OPCODE_OFFSET_1</t>
  </si>
  <si>
    <t>DTC_OSU_TIMING_CFG_QFI_2P0_WR_OPCODE_OFFSET_0</t>
  </si>
  <si>
    <t>000006d4</t>
  </si>
  <si>
    <t>DTC_OSU_TIMING_CFG_QFI_2P0_WR_OPCODE_OFFSET_1</t>
  </si>
  <si>
    <t>00000700</t>
  </si>
  <si>
    <t>DTC_TIMER_PIPE_OFFSET_CFG</t>
  </si>
  <si>
    <t>03020003</t>
  </si>
  <si>
    <t>DTC_ODT_CFG</t>
  </si>
  <si>
    <t>DTC_DBI_CFG</t>
  </si>
  <si>
    <t>DTC_RDAW_CFG</t>
  </si>
  <si>
    <t>DTC_WRAW_CFG</t>
  </si>
  <si>
    <t>DTC_COL_TIMING_CTPA_EXTEND_CFG</t>
  </si>
  <si>
    <t>DTC_COL_TIMING_HKE_EXTEND_CFG</t>
  </si>
  <si>
    <t>DTC_PD_TIMING_PD_EXTEND_CFG</t>
  </si>
  <si>
    <t>DTC_PD_TIMING_CSPD_EXTEND_CFG</t>
  </si>
  <si>
    <t>DTC_TXPD_CFG</t>
  </si>
  <si>
    <t>00020201</t>
  </si>
  <si>
    <t>DTC_TCMD_EXTEND_CFG</t>
  </si>
  <si>
    <t>02020002</t>
  </si>
  <si>
    <t>DTC_RANK_TIMING_CFG_TFAW_ACT</t>
  </si>
  <si>
    <t>DTC_RANK_TIMING_CFG_TMRD_ACT</t>
  </si>
  <si>
    <t>DTC_RANK_TIMING_CFG_TMRR_ACT</t>
  </si>
  <si>
    <t>DTC_RANK_TIMING_CFG_TMRW_ACT</t>
  </si>
  <si>
    <t>DTC_RANK_TIMING_CFG_TRFC_AB_ACT_0</t>
  </si>
  <si>
    <t>DTC_RANK_TIMING_CFG_TRFC_AB_ACT_1</t>
  </si>
  <si>
    <t>DTC_RANK_TIMING_CFG_TRFC_PB_ACT_0</t>
  </si>
  <si>
    <t>DTC_RANK_TIMING_CFG_TRFC_PB_ACT_1</t>
  </si>
  <si>
    <t>DTC_RANK_TIMING_CFG_TRP_AB_ACT</t>
  </si>
  <si>
    <t>DTC_RANK_TIMING_CFG_TRRD_ACT</t>
  </si>
  <si>
    <t>DTC_RANK_TIMING_CFG_TXSR_ACT</t>
  </si>
  <si>
    <t>DTC_RANK_TIMING_CFG_TXSR_ABORT_ACT</t>
  </si>
  <si>
    <t>DTC_RANK_TIMING_CFG_TZQLAT_ACT</t>
  </si>
  <si>
    <t>DTC_BANK_TIMING_CFG_TRASMIN_ACT</t>
  </si>
  <si>
    <t>DTC_BANK_TIMING_CFG_TRCD_ACT</t>
  </si>
  <si>
    <t>DTC_BANK_TIMING_CFG_TRP_PB_ACT</t>
  </si>
  <si>
    <t>DTC_BANK_TIMING_CFG_TRTP_ACT</t>
  </si>
  <si>
    <t>DTC_BANK_TIMING_CFG_TWR_ACT</t>
  </si>
  <si>
    <t>DTC_COL_TIMING_CFG_RDAW_ACT</t>
  </si>
  <si>
    <t>DTC_COL_TIMING_CFG_TDQS2DQ_MAX_ACT</t>
  </si>
  <si>
    <t>DTC_COL_TIMING_CFG_TDQSCKMAX_ACT</t>
  </si>
  <si>
    <t>DTC_COL_TIMING_CFG_TDQSCKMIN_ACT</t>
  </si>
  <si>
    <t>DTC_COL_TIMING_CFG_TODTOFF_MAX_ACT</t>
  </si>
  <si>
    <t>DTC_COL_TIMING_CFG_TODTOFF_MIN_ACT</t>
  </si>
  <si>
    <t>DTC_COL_TIMING_CFG_TODTON_MAX_ACT</t>
  </si>
  <si>
    <t>DTC_COL_TIMING_CFG_TODTON_MIN_ACT</t>
  </si>
  <si>
    <t>DTC_COL_TIMING_CFG_TRTMRW_ACT</t>
  </si>
  <si>
    <t>DTC_COL_TIMING_CFG_TRTRRD_ACT</t>
  </si>
  <si>
    <t>DTC_COL_TIMING_CFG_TWRWTR_ACT</t>
  </si>
  <si>
    <t>DTC_COL_TIMING_CFG_TWTMRW_ACT</t>
  </si>
  <si>
    <t>DTC_COL_TIMING_CFG_TWTR_ACT</t>
  </si>
  <si>
    <t>00000b00</t>
  </si>
  <si>
    <t>DTC_PD_TIMING_CFG_TCKCKEH_ACT</t>
  </si>
  <si>
    <t>00000b04</t>
  </si>
  <si>
    <t>DTC_PD_TIMING_CFG_TCKE_ACT</t>
  </si>
  <si>
    <t>00000b08</t>
  </si>
  <si>
    <t>DTC_PD_TIMING_CFG_TCKELCK_ACT</t>
  </si>
  <si>
    <t>DTC_PD_TIMING_CFG_TCMDCKE_ACT</t>
  </si>
  <si>
    <t>DTC_PD_TIMING_CFG_TMRWCKEL_ACT</t>
  </si>
  <si>
    <t>DTC_PD_TIMING_CFG_TXP_ACT</t>
  </si>
  <si>
    <t>00000c00</t>
  </si>
  <si>
    <t>DTC_SHKE_TIMING_CFG_TFC_ACT</t>
  </si>
  <si>
    <t>00000c04</t>
  </si>
  <si>
    <t>DTC_SHKE_TIMING_CFG_TSR_ACT</t>
  </si>
  <si>
    <t>DTC_SHKE_TIMING_CFG_TVRCG_DIS_ACT</t>
  </si>
  <si>
    <t>DTC_SHKE_TIMING_CFG_TVRCG_EN_ACT</t>
  </si>
  <si>
    <t>SHKE_LOAD_CONFIG</t>
  </si>
  <si>
    <t>SHKE_CLK_CTRL</t>
  </si>
  <si>
    <t>000005FB</t>
  </si>
  <si>
    <t>000007FF</t>
  </si>
  <si>
    <t>SHKE_CONFIG</t>
  </si>
  <si>
    <t>SHKE_INIT_CONFIG</t>
  </si>
  <si>
    <t>SHKE_DQ_BYTE_MAP</t>
  </si>
  <si>
    <t>00003210</t>
  </si>
  <si>
    <t>SHKE_MRR_SAMPLE_INDEX</t>
  </si>
  <si>
    <t>SHKE_FINITE_STALL_CFG</t>
  </si>
  <si>
    <t>20202020</t>
  </si>
  <si>
    <t>SHKE_FINITE_STALL_CTRL</t>
  </si>
  <si>
    <t>SHKE_TEMP_DERATE_CTRL</t>
  </si>
  <si>
    <t>SHKE_DT_REQ_CTRL</t>
  </si>
  <si>
    <t>SHKE_INTERVAL_TIMER_CTRL_0</t>
  </si>
  <si>
    <t>00110C80</t>
  </si>
  <si>
    <t>00010000</t>
  </si>
  <si>
    <t>SHKE_INTERVAL_EVENT_CTRL_0</t>
  </si>
  <si>
    <t>00007110</t>
  </si>
  <si>
    <t>SHKE_INTERVAL_EVENT_STAGGER_CTRL_0</t>
  </si>
  <si>
    <t>06400001</t>
  </si>
  <si>
    <t>SHKE_INTERVAL_EVENT_STATUS_0</t>
  </si>
  <si>
    <t>SHKE_INTERVAL_TIMER_CTRL_1</t>
  </si>
  <si>
    <t>SHKE_INTERVAL_EVENT_CTRL_1</t>
  </si>
  <si>
    <t>SHKE_INTERVAL_EVENT_STAGGER_CTRL_1</t>
  </si>
  <si>
    <t>SHKE_INTERVAL_EVENT_STATUS_1</t>
  </si>
  <si>
    <t>SHKE_INTERVAL_TIMER_CTRL_2</t>
  </si>
  <si>
    <t>SHKE_INTERVAL_EVENT_CTRL_2</t>
  </si>
  <si>
    <t>SHKE_INTERVAL_EVENT_STAGGER_CTRL_2</t>
  </si>
  <si>
    <t>SHKE_INTERVAL_EVENT_STATUS_2</t>
  </si>
  <si>
    <t>SHKE_INTERVAL_TIMER_CTRL_3</t>
  </si>
  <si>
    <t>SHKE_INTERVAL_EVENT_CTRL_3</t>
  </si>
  <si>
    <t>SHKE_INTERVAL_EVENT_STAGGER_CTRL_3</t>
  </si>
  <si>
    <t>SHKE_INTERVAL_EVENT_STATUS_3</t>
  </si>
  <si>
    <t>SHKE_INTERVAL_TIMER_CTRL_4</t>
  </si>
  <si>
    <t>SHKE_INTERVAL_EVENT_CTRL_4</t>
  </si>
  <si>
    <t>SHKE_INTERVAL_EVENT_STAGGER_CTRL_4</t>
  </si>
  <si>
    <t>SHKE_INTERVAL_EVENT_STATUS_4</t>
  </si>
  <si>
    <t>SHKE_ZQSTART_TIMER_CTRL</t>
  </si>
  <si>
    <t>00110800</t>
  </si>
  <si>
    <t>SHKE_ZQSTART_EVENT_CTRL</t>
  </si>
  <si>
    <t>SHKE_ZQSTART_STAGGER_CTRL</t>
  </si>
  <si>
    <t>04000001</t>
  </si>
  <si>
    <t>SHKE_ZQSTART_STATUS</t>
  </si>
  <si>
    <t>00000220</t>
  </si>
  <si>
    <t>SHKE_ZQLATCH_TIMER_CTRL</t>
  </si>
  <si>
    <t>01000014</t>
  </si>
  <si>
    <t>00000228</t>
  </si>
  <si>
    <t>SHKE_ZQLATCH_EVENT_CTRL</t>
  </si>
  <si>
    <t>00300010</t>
  </si>
  <si>
    <t>0000022c</t>
  </si>
  <si>
    <t>SHKE_ZQLATCH_STAGGER_CTRL</t>
  </si>
  <si>
    <t>SHKE_ZQLATCH_STATUS</t>
  </si>
  <si>
    <t>SHKE_REFRESH_TIMER_CTRL_RANK_0</t>
  </si>
  <si>
    <t>FFFF0000</t>
  </si>
  <si>
    <t>SHKE_REFRESH_TIMER_CTRL_RANK_1</t>
  </si>
  <si>
    <t>SHKE_REFRESH_EVENT_CTRL</t>
  </si>
  <si>
    <t>03100000</t>
  </si>
  <si>
    <t>SHKE_REFRESH_STAGGER_CTRL</t>
  </si>
  <si>
    <t>00000021</t>
  </si>
  <si>
    <t>00000041</t>
  </si>
  <si>
    <t>SHKE_REFRESH_DEBIT_CTRL_0</t>
  </si>
  <si>
    <t>007E4210</t>
  </si>
  <si>
    <t>003E4210</t>
  </si>
  <si>
    <t>SHKE_REFRESH_DEBIT_CTRL_1</t>
  </si>
  <si>
    <t>SHKE_REFRESH_DEBIT_CTRL_2</t>
  </si>
  <si>
    <t>SHKE_REFRESH_DEBIT_CTRL_3</t>
  </si>
  <si>
    <t>SHKE_REFRESH_AB_SWITCH_CTRL</t>
  </si>
  <si>
    <t>31027101</t>
  </si>
  <si>
    <t>00009C40</t>
  </si>
  <si>
    <t>SHKE_REFRESH_BURST_CTRL</t>
  </si>
  <si>
    <t>00753011</t>
  </si>
  <si>
    <t>10138810</t>
  </si>
  <si>
    <t>00000280</t>
  </si>
  <si>
    <t>SHKE_REFRESH_TEMP_UPDATE_TIMER_CFG</t>
  </si>
  <si>
    <t>00000284</t>
  </si>
  <si>
    <t>SHKE_REFRESH_TEMP_ERR_CFG</t>
  </si>
  <si>
    <t>SHKE_HW_SELF_REFRESH_TIMER_CTRL_0</t>
  </si>
  <si>
    <t>00000032</t>
  </si>
  <si>
    <t>SHKE_HW_SELF_REFRESH_TIMER_CTRL_1</t>
  </si>
  <si>
    <t>SHKE_HW_SELF_REFRESH_TIMER_CTRL_2</t>
  </si>
  <si>
    <t>SHKE_HW_SELF_REFRESH_TIMER_CTRL_3</t>
  </si>
  <si>
    <t>SHKE_HW_SELF_REFRESH_CTRL</t>
  </si>
  <si>
    <t>SHKE_PDT_ACQ_TIMER_CTRL</t>
  </si>
  <si>
    <t>SHKE_PDT_ACQ_EVENT_CTRL</t>
  </si>
  <si>
    <t>0000A000</t>
  </si>
  <si>
    <t>SHKE_PDT_ACQ_STAGGER_CTRL</t>
  </si>
  <si>
    <t>SHKE_PDT_TRAC_TIMER_CTRL</t>
  </si>
  <si>
    <t>00010400</t>
  </si>
  <si>
    <t>SHKE_PDT_TRAC_EVENT_CTRL</t>
  </si>
  <si>
    <t>0000036c</t>
  </si>
  <si>
    <t>SHKE_PDT_TRAC_STAGGER_CTRL</t>
  </si>
  <si>
    <t>SHKE_PDT_TRAC_THRESHOLD_CFG</t>
  </si>
  <si>
    <t>000022A1</t>
  </si>
  <si>
    <t>SHKE_PDT_MRR_TIMER_CTRL</t>
  </si>
  <si>
    <t>00000019</t>
  </si>
  <si>
    <t>SHKE_PDT_DIT_EVENT_CFG</t>
  </si>
  <si>
    <t>SHKE_PDT_DIT_FILTER_THRESHOLD_CFG</t>
  </si>
  <si>
    <t>SHKE_PDT_DIT_STATUS</t>
  </si>
  <si>
    <t>000003b4</t>
  </si>
  <si>
    <t>SHKE_PDT_DIT_EVENT_STATUS</t>
  </si>
  <si>
    <t>SHKE_PDT_DIT_CNT_RNK0_BYTE_0</t>
  </si>
  <si>
    <t>SHKE_PDT_DIT_CNT_RNK0_BYTE_1</t>
  </si>
  <si>
    <t>SHKE_PDT_DIT_CNT_RNK1_BYTE_0</t>
  </si>
  <si>
    <t>SHKE_PDT_DIT_CNT_RNK1_BYTE_1</t>
  </si>
  <si>
    <t>SHKE_PDT_DIT_SAMPLES_RNK0_BYTE_0</t>
  </si>
  <si>
    <t>SHKE_PDT_DIT_ACCU_RNK0_BYTE_0</t>
  </si>
  <si>
    <t>SHKE_PDT_DIT_MAX_RNK0_BYTE_0</t>
  </si>
  <si>
    <t>SHKE_PDT_DIT_MIN_RNK0_BYTE_0</t>
  </si>
  <si>
    <t>SHKE_PDT_DIT_SAMPLES_RNK0_BYTE_1</t>
  </si>
  <si>
    <t>SHKE_PDT_DIT_ACCU_RNK0_BYTE_1</t>
  </si>
  <si>
    <t>SHKE_PDT_DIT_MAX_RNK0_BYTE_1</t>
  </si>
  <si>
    <t>SHKE_PDT_DIT_MIN_RNK0_BYTE_1</t>
  </si>
  <si>
    <t>SHKE_PDT_DIT_SAMPLES_RNK1_BYTE_0</t>
  </si>
  <si>
    <t>SHKE_PDT_DIT_ACCU_RNK1_BYTE_0</t>
  </si>
  <si>
    <t>SHKE_PDT_DIT_MAX_RNK1_BYTE_0</t>
  </si>
  <si>
    <t>SHKE_PDT_DIT_MIN_RNK1_BYTE_0</t>
  </si>
  <si>
    <t>SHKE_PDT_DIT_SAMPLES_RNK1_BYTE_1</t>
  </si>
  <si>
    <t>SHKE_PDT_DIT_ACCU_RNK1_BYTE_1</t>
  </si>
  <si>
    <t>SHKE_PDT_DIT_MAX_RNK1_BYTE_1</t>
  </si>
  <si>
    <t>SHKE_PDT_DIT_MIN_RNK1_BYTE_1</t>
  </si>
  <si>
    <t>SHKE_PDT_DIT_ACCU_SCALED_RNK0_BYTE_0</t>
  </si>
  <si>
    <t>SHKE_PDT_DIT_MAX_SCALED_RNK0_BYTE_0</t>
  </si>
  <si>
    <t>SHKE_PDT_DIT_MIN_SCALED_RNK0_BYTE_0</t>
  </si>
  <si>
    <t>SHKE_PDT_DIT_ACCU_SCALED_RNK0_BYTE_1</t>
  </si>
  <si>
    <t>SHKE_PDT_DIT_MAX_SCALED_RNK0_BYTE_1</t>
  </si>
  <si>
    <t>SHKE_PDT_DIT_MIN_SCALED_RNK0_BYTE_1</t>
  </si>
  <si>
    <t>SHKE_PDT_DIT_ACCU_SCALED_RNK1_BYTE_0</t>
  </si>
  <si>
    <t>SHKE_PDT_DIT_MAX_SCALED_RNK1_BYTE_0</t>
  </si>
  <si>
    <t>SHKE_PDT_DIT_MIN_SCALED_RNK1_BYTE_0</t>
  </si>
  <si>
    <t>SHKE_PDT_DIT_ACCU_SCALED_RNK1_BYTE_1</t>
  </si>
  <si>
    <t>SHKE_PDT_DIT_MAX_SCALED_RNK1_BYTE_1</t>
  </si>
  <si>
    <t>SHKE_PDT_DIT_MIN_SCALED_RNK1_BYTE_1</t>
  </si>
  <si>
    <t>SHKE_FSW_TASK_CFG_0</t>
  </si>
  <si>
    <t>SHKE_FSW_TASK_DEPENDENCY_0</t>
  </si>
  <si>
    <t>00000608</t>
  </si>
  <si>
    <t>SHKE_FSW_TASK_CFG_1</t>
  </si>
  <si>
    <t>00040301</t>
  </si>
  <si>
    <t>0000060c</t>
  </si>
  <si>
    <t>SHKE_FSW_TASK_DEPENDENCY_1</t>
  </si>
  <si>
    <t>SHKE_FSW_TASK_CFG_2</t>
  </si>
  <si>
    <t>SHKE_FSW_TASK_DEPENDENCY_2</t>
  </si>
  <si>
    <t>00000618</t>
  </si>
  <si>
    <t>SHKE_FSW_TASK_CFG_3</t>
  </si>
  <si>
    <t>0000061c</t>
  </si>
  <si>
    <t>SHKE_FSW_TASK_DEPENDENCY_3</t>
  </si>
  <si>
    <t>SHKE_FSW_TASK_CFG_4</t>
  </si>
  <si>
    <t>00040401</t>
  </si>
  <si>
    <t>SHKE_FSW_TASK_DEPENDENCY_4</t>
  </si>
  <si>
    <t>00000628</t>
  </si>
  <si>
    <t>SHKE_FSW_TASK_CFG_5</t>
  </si>
  <si>
    <t>0000062c</t>
  </si>
  <si>
    <t>SHKE_FSW_TASK_DEPENDENCY_5</t>
  </si>
  <si>
    <t>SHKE_FSW_TASK_CFG_6</t>
  </si>
  <si>
    <t>SHKE_FSW_TASK_DEPENDENCY_6</t>
  </si>
  <si>
    <t>00000638</t>
  </si>
  <si>
    <t>SHKE_FSW_TASK_CFG_7</t>
  </si>
  <si>
    <t>0000063c</t>
  </si>
  <si>
    <t>SHKE_FSW_TASK_DEPENDENCY_7</t>
  </si>
  <si>
    <t>SHKE_FSW_TASK_CFG_8</t>
  </si>
  <si>
    <t>000C0C01</t>
  </si>
  <si>
    <t>SHKE_FSW_TASK_DEPENDENCY_8</t>
  </si>
  <si>
    <t>000000C0</t>
  </si>
  <si>
    <t>00000648</t>
  </si>
  <si>
    <t>SHKE_FSW_TASK_CFG_9</t>
  </si>
  <si>
    <t>000B0B01</t>
  </si>
  <si>
    <t>0000064c</t>
  </si>
  <si>
    <t>SHKE_FSW_TASK_DEPENDENCY_9</t>
  </si>
  <si>
    <t>SHKE_FSW_TASK_CFG_10</t>
  </si>
  <si>
    <t>SHKE_FSW_TASK_DEPENDENCY_10</t>
  </si>
  <si>
    <t>SHKE_FSW_TASK_CFG_11</t>
  </si>
  <si>
    <t>SHKE_FSW_TASK_DEPENDENCY_11</t>
  </si>
  <si>
    <t>SHKE_FSW_TASK_CFG_12</t>
  </si>
  <si>
    <t>SHKE_FSW_TASK_DEPENDENCY_12</t>
  </si>
  <si>
    <t>00000E00</t>
  </si>
  <si>
    <t>SHKE_FSW_TASK_CFG_13</t>
  </si>
  <si>
    <t>SHKE_FSW_TASK_DEPENDENCY_13</t>
  </si>
  <si>
    <t>00001E00</t>
  </si>
  <si>
    <t>SHKE_FSW_TASK_CFG_14</t>
  </si>
  <si>
    <t>00090901</t>
  </si>
  <si>
    <t>SHKE_FSW_TASK_DEPENDENCY_14</t>
  </si>
  <si>
    <t>SHKE_FSW_TASK_CFG_15</t>
  </si>
  <si>
    <t>SHKE_FSW_TASK_DEPENDENCY_15</t>
  </si>
  <si>
    <t>SHKE_FSW_END_STATE_CFG</t>
  </si>
  <si>
    <t>SHKE_FSW_DT_CFG</t>
  </si>
  <si>
    <t>SHKE_FSW_ZQCAL_CFG</t>
  </si>
  <si>
    <t>SHKE_FSW_MRW_BF_ZQCAL</t>
  </si>
  <si>
    <t>SHKE_FSW_MRW_BF_STALL</t>
  </si>
  <si>
    <t>SHKE_FSW_MRW_DUR_STALL</t>
  </si>
  <si>
    <t>SHKE_FSW_MRW_BF_UNSTALL</t>
  </si>
  <si>
    <t>SHKE_CMD_SET_CFG_0</t>
  </si>
  <si>
    <t>00000704</t>
  </si>
  <si>
    <t>SHKE_CMD_SET_STAGGER_CFG_0</t>
  </si>
  <si>
    <t>00000708</t>
  </si>
  <si>
    <t>SHKE_CMD_SET_CFG_1</t>
  </si>
  <si>
    <t>0000070c</t>
  </si>
  <si>
    <t>SHKE_CMD_SET_STAGGER_CFG_1</t>
  </si>
  <si>
    <t>SHKE_CMD_SET_CFG_2</t>
  </si>
  <si>
    <t>SHKE_CMD_SET_STAGGER_CFG_2</t>
  </si>
  <si>
    <t>SHKE_CMD_SET_CFG_3</t>
  </si>
  <si>
    <t>SHKE_CMD_SET_STAGGER_CFG_3</t>
  </si>
  <si>
    <t>SHKE_CMD_SET_CFG_4</t>
  </si>
  <si>
    <t>SHKE_CMD_SET_STAGGER_CFG_4</t>
  </si>
  <si>
    <t>SHKE_CMD_SET_CFG_5</t>
  </si>
  <si>
    <t>SHKE_CMD_SET_STAGGER_CFG_5</t>
  </si>
  <si>
    <t>SHKE_CMD_SET_CFG_6</t>
  </si>
  <si>
    <t>SHKE_CMD_SET_STAGGER_CFG_6</t>
  </si>
  <si>
    <t>SHKE_CMD_SET_CFG_7</t>
  </si>
  <si>
    <t>SHKE_CMD_SET_STAGGER_CFG_7</t>
  </si>
  <si>
    <t>SHKE_CMD_SET_CFG_8</t>
  </si>
  <si>
    <t>SHKE_CMD_SET_STAGGER_CFG_8</t>
  </si>
  <si>
    <t>SHKE_CMD_SET_CFG_9</t>
  </si>
  <si>
    <t>SHKE_CMD_SET_STAGGER_CFG_9</t>
  </si>
  <si>
    <t>SHKE_CMD_SET_CFG_10</t>
  </si>
  <si>
    <t>SHKE_CMD_SET_STAGGER_CFG_10</t>
  </si>
  <si>
    <t>SHKE_CMD_SET_CFG_11</t>
  </si>
  <si>
    <t>SHKE_CMD_SET_STAGGER_CFG_11</t>
  </si>
  <si>
    <t>SHKE_CMD_SET_CFG_12</t>
  </si>
  <si>
    <t>SHKE_CMD_SET_STAGGER_CFG_12</t>
  </si>
  <si>
    <t>00100014</t>
  </si>
  <si>
    <t>SHKE_CMD_SET_CFG_13</t>
  </si>
  <si>
    <t>0000008C</t>
  </si>
  <si>
    <t>SHKE_CMD_SET_STAGGER_CFG_13</t>
  </si>
  <si>
    <t>SHKE_CMD_SET_CFG_14</t>
  </si>
  <si>
    <t>00000071</t>
  </si>
  <si>
    <t>SHKE_CMD_SET_STAGGER_CFG_14</t>
  </si>
  <si>
    <t>SHKE_CMD_SET_CFG_15</t>
  </si>
  <si>
    <t>SHKE_CMD_SET_STAGGER_CFG_15</t>
  </si>
  <si>
    <t>SHKE_CMD_SET_CFG_16</t>
  </si>
  <si>
    <t>SHKE_CMD_SET_STAGGER_CFG_16</t>
  </si>
  <si>
    <t>SHKE_CMD_SET_CFG_17</t>
  </si>
  <si>
    <t>SHKE_CMD_SET_STAGGER_CFG_17</t>
  </si>
  <si>
    <t>SHKE_CMD_SET_CFG_18</t>
  </si>
  <si>
    <t>SHKE_CMD_SET_STAGGER_CFG_18</t>
  </si>
  <si>
    <t>SHKE_CMD_SET_CFG_19</t>
  </si>
  <si>
    <t>SHKE_CMD_SET_STAGGER_CFG_19</t>
  </si>
  <si>
    <t>SHKE_CMD_SET_CFG_20</t>
  </si>
  <si>
    <t>SHKE_CMD_SET_STAGGER_CFG_20</t>
  </si>
  <si>
    <t>SHKE_CMD_SET_CFG_21</t>
  </si>
  <si>
    <t>SHKE_CMD_SET_STAGGER_CFG_21</t>
  </si>
  <si>
    <t>SHKE_CMD_SET_CFG_22</t>
  </si>
  <si>
    <t>SHKE_CMD_SET_STAGGER_CFG_22</t>
  </si>
  <si>
    <t>SHKE_CMD_SET_CFG_23</t>
  </si>
  <si>
    <t>SHKE_CMD_SET_STAGGER_CFG_23</t>
  </si>
  <si>
    <t>SHKE_SW_CMD_SEQ</t>
  </si>
  <si>
    <t>SHKE_SW_CMD_TRIGGER</t>
  </si>
  <si>
    <t>SHKE_SW_STALL_CTRL</t>
  </si>
  <si>
    <t>SHKE_SW_SELF_REFRESH_VOTE</t>
  </si>
  <si>
    <t>SHKE_WDOG_CMD_SEQ</t>
  </si>
  <si>
    <t>SHKE_WDOG_DIT_CTRL</t>
  </si>
  <si>
    <t>SHKE_FSP_OP_OVERRIDE</t>
  </si>
  <si>
    <t>SHKE_MR_RDATA_TIMEOUT_STATUS</t>
  </si>
  <si>
    <t>SHKE_MR_RDATA_RANK0</t>
  </si>
  <si>
    <t>SHKE_MR_RDATA_RANK1</t>
  </si>
  <si>
    <t>SHKE_CUSTOM_CA_CTRL</t>
  </si>
  <si>
    <t>SHKE_CUSTOM_CS_CKE_CTRL</t>
  </si>
  <si>
    <t>33330000</t>
  </si>
  <si>
    <t>SHKE_CUSTOM_DQ_CTRL</t>
  </si>
  <si>
    <t>SHKE_DQ_PATTERN0</t>
  </si>
  <si>
    <t>SHKE_DQ_PATTERN1</t>
  </si>
  <si>
    <t>SHKE_DQ_PATTERN_CTRL</t>
  </si>
  <si>
    <t>SHKE_DQ_PATTERN_INV_CTRL</t>
  </si>
  <si>
    <t>SHKE_RD_BEAT_STATUS</t>
  </si>
  <si>
    <t>SHKE_RD_COMPARE_STATUS</t>
  </si>
  <si>
    <t>SHKE_RD_BEAT_STATUS_1</t>
  </si>
  <si>
    <t>SHKE_RD_COMPARE_STATUS_1</t>
  </si>
  <si>
    <t>SHKE_MPC_RWFIFO_CTRL</t>
  </si>
  <si>
    <t>SHKE_ARB_GLOBAL_TIMER_MASK</t>
  </si>
  <si>
    <t>000000FC</t>
  </si>
  <si>
    <t>SHKE_ARB_GLOBAL_TIMER_MATCH</t>
  </si>
  <si>
    <t>SHKE_ARB_GLOBAL_TIMER_HP_MASK</t>
  </si>
  <si>
    <t>000000E0</t>
  </si>
  <si>
    <t>SHKE_ARB_GLOBAL_TIMER_HP_MATCH</t>
  </si>
  <si>
    <t>SHKE_SPARE_REG</t>
  </si>
  <si>
    <t>SHKE_IDLE_STATUS</t>
  </si>
  <si>
    <t>80030000</t>
  </si>
  <si>
    <t>SHKE_BANK_UNAVAIL_STATUS</t>
  </si>
  <si>
    <t>SHKE_SELF_REFRESH_STATUS</t>
  </si>
  <si>
    <t>SHKE_FSW_STATUS</t>
  </si>
  <si>
    <t>SHKE_FSP_STATUS</t>
  </si>
  <si>
    <t>SHKE_DT_REQ_ACK_STATUS</t>
  </si>
  <si>
    <t>00000b18</t>
  </si>
  <si>
    <t>SHKE_ZQCAL_STATUS</t>
  </si>
  <si>
    <t>00000b1c</t>
  </si>
  <si>
    <t>SHKE_REFRESH_STATUS</t>
  </si>
  <si>
    <t>00000b20</t>
  </si>
  <si>
    <t>SHKE_MR4_RDATA_RANK1</t>
  </si>
  <si>
    <t>SHKE_MR4_RDATA_RANK0</t>
  </si>
  <si>
    <t>SHKE_WDOG_STATUS</t>
  </si>
  <si>
    <t>00000b2c</t>
  </si>
  <si>
    <t>SHKE_SW_CMD_STATUS</t>
  </si>
  <si>
    <t>00000b30</t>
  </si>
  <si>
    <t>SHKE_STALL_STATUS</t>
  </si>
  <si>
    <t>SHKE_DTC_CTRL_STATUS</t>
  </si>
  <si>
    <t>00000b38</t>
  </si>
  <si>
    <t>SHKE_SR_STATUS</t>
  </si>
  <si>
    <t>OSU_LOAD_CONFIG</t>
  </si>
  <si>
    <t>OSU_CLK_CTRL</t>
  </si>
  <si>
    <t>00011133</t>
  </si>
  <si>
    <t>OSU_SSP_CLK_CTRL</t>
  </si>
  <si>
    <t>0003000E</t>
  </si>
  <si>
    <t>FF00FF00</t>
  </si>
  <si>
    <t>OSU_TIMESTAMP_CFG</t>
  </si>
  <si>
    <t>OSU_DQS_FIFO_CFG</t>
  </si>
  <si>
    <t>OSU_PWRS_CTRL</t>
  </si>
  <si>
    <t>00000202</t>
  </si>
  <si>
    <t>00090009</t>
  </si>
  <si>
    <t>OSU_PWRS_0_0_CFG</t>
  </si>
  <si>
    <t>OSU_PWRS_0_1_CFG</t>
  </si>
  <si>
    <t>OSU_PWRS_0_2_CFG</t>
  </si>
  <si>
    <t>OSU_PWRS_0_3_CFG</t>
  </si>
  <si>
    <t>OSU_PWRS_1_0_CFG</t>
  </si>
  <si>
    <t>OSU_PWRS_1_1_CFG</t>
  </si>
  <si>
    <t>OSU_PWRS_1_2_CFG</t>
  </si>
  <si>
    <t>OSU_PWRS_1_3_CFG</t>
  </si>
  <si>
    <t>OSU_PWRS_2_0_CFG</t>
  </si>
  <si>
    <t>OSU_PWRS_2_1_CFG</t>
  </si>
  <si>
    <t>OSU_PWRS_2_2_CFG</t>
  </si>
  <si>
    <t>OSU_PWRS_2_3_CFG</t>
  </si>
  <si>
    <t>OSU_PWRS_3_0_CFG</t>
  </si>
  <si>
    <t>OSU_PWRS_3_1_CFG</t>
  </si>
  <si>
    <t>OSU_PWRS_3_2_CFG</t>
  </si>
  <si>
    <t>OSU_PWRS_3_3_CFG</t>
  </si>
  <si>
    <t>OSU_PWRS_TRANS_LAT_CFG_CPWRS_0_NPWRS_0</t>
  </si>
  <si>
    <t>OSU_PWRS_TRANS_LAT_CFG_CPWRS_0_NPWRS_1</t>
  </si>
  <si>
    <t>00000035</t>
  </si>
  <si>
    <t>OSU_PWRS_TRANS_LAT_CFG_CPWRS_0_NPWRS_2</t>
  </si>
  <si>
    <t>0000000F</t>
  </si>
  <si>
    <t>0000021c</t>
  </si>
  <si>
    <t>OSU_PWRS_TRANS_LAT_CFG_CPWRS_0_NPWRS_3</t>
  </si>
  <si>
    <t>OSU_PWRS_TRANS_LAT_CFG_CPWRS_1_NPWRS_0</t>
  </si>
  <si>
    <t>0000005B</t>
  </si>
  <si>
    <t>00000224</t>
  </si>
  <si>
    <t>OSU_PWRS_TRANS_LAT_CFG_CPWRS_1_NPWRS_1</t>
  </si>
  <si>
    <t>OSU_PWRS_TRANS_LAT_CFG_CPWRS_1_NPWRS_2</t>
  </si>
  <si>
    <t>OSU_PWRS_TRANS_LAT_CFG_CPWRS_1_NPWRS_3</t>
  </si>
  <si>
    <t>OSU_PWRS_TRANS_LAT_CFG_CPWRS_2_NPWRS_0</t>
  </si>
  <si>
    <t>OSU_PWRS_TRANS_LAT_CFG_CPWRS_2_NPWRS_1</t>
  </si>
  <si>
    <t>OSU_PWRS_TRANS_LAT_CFG_CPWRS_2_NPWRS_2</t>
  </si>
  <si>
    <t>OSU_PWRS_TRANS_LAT_CFG_CPWRS_2_NPWRS_3</t>
  </si>
  <si>
    <t>OSU_PWRS_TRANS_LAT_CFG_CPWRS_3_NPWRS_0</t>
  </si>
  <si>
    <t>OSU_PWRS_TRANS_LAT_CFG_CPWRS_3_NPWRS_1</t>
  </si>
  <si>
    <t>OSU_PWRS_TRANS_LAT_CFG_CPWRS_3_NPWRS_2</t>
  </si>
  <si>
    <t>OSU_PWRS_TRANS_LAT_CFG_CPWRS_3_NPWRS_3</t>
  </si>
  <si>
    <t>OSU_PWRS_0_ENCODING</t>
  </si>
  <si>
    <t>OSU_PWRS_1_ENCODING</t>
  </si>
  <si>
    <t>OSU_PWRS_2_ENCODING</t>
  </si>
  <si>
    <t>OSU_PWRS_3_ENCODING</t>
  </si>
  <si>
    <t>OSU_TGU_CFG</t>
  </si>
  <si>
    <t>OSU_TGU_START_ADDR_CFG0</t>
  </si>
  <si>
    <t>OSU_TGU_START_ADDR_CFG1</t>
  </si>
  <si>
    <t>OSU_TGU_END_ADDR_CFG0</t>
  </si>
  <si>
    <t>OSU_TGU_END_ADDR_CFG1</t>
  </si>
  <si>
    <t>OSU_SPARE_CFG</t>
  </si>
  <si>
    <t>OSU_SPARE_CFG_1</t>
  </si>
  <si>
    <t>OSU_IDLE_STATUS</t>
  </si>
  <si>
    <t>OSU_TIMESTAMP_STATUS</t>
  </si>
  <si>
    <t>OSU_DQS_FIFO_STATUS</t>
  </si>
  <si>
    <t>OSU_PWRS_STATUS</t>
  </si>
  <si>
    <t>INTERRUPT_INTERRUPT_STATUS_0</t>
  </si>
  <si>
    <t>INTERRUPT_INTERRUPT_CLEAR_0</t>
  </si>
  <si>
    <t>INTERRUPT_INTERRUPT_ENABLE_0</t>
  </si>
  <si>
    <t>INTERRUPT_INTERRUPT_STATUS_1</t>
  </si>
  <si>
    <t>INTERRUPT_INTERRUPT_CLEAR_1</t>
  </si>
  <si>
    <t>INTERRUPT_INTERRUPT_ENABLE_1</t>
  </si>
  <si>
    <t>INTERRUPT_INTERRUPT_STATUS_2</t>
  </si>
  <si>
    <t>INTERRUPT_INTERRUPT_CLEAR_2</t>
  </si>
  <si>
    <t>INTERRUPT_INTERRUPT_ENABLE_2</t>
  </si>
  <si>
    <t>INTERRUPT_ADDR_DECERR_ESYN_0</t>
  </si>
  <si>
    <t>INTERRUPT_ADDR_DECERR_ESYN_1</t>
  </si>
  <si>
    <t>INTERRUPT_MEM_BUSHANG_ERR_ESYN</t>
  </si>
  <si>
    <t>INTERRUPT_RDQS_ERR_ESYN</t>
  </si>
  <si>
    <t>INTERRUPT_REFRESH_ERR_ESYN</t>
  </si>
  <si>
    <t>INTERRUPT_SPARE_CFG</t>
  </si>
  <si>
    <t>MCCC_SLV_MC_CLK_CBCR</t>
  </si>
  <si>
    <t>80000000</t>
  </si>
  <si>
    <t>MCCC_SLV_CLK_RST_CTL</t>
  </si>
  <si>
    <t>MCCC_SLV_RX0_USER_CTL</t>
  </si>
  <si>
    <t>MCCC_SLV_RX0_CONFIG_CTL</t>
  </si>
  <si>
    <t>MCCC_SLV_RX0_TEST_CTL</t>
  </si>
  <si>
    <t>0000000C</t>
  </si>
  <si>
    <t>MCCC_SLV_RX1_USER_CTL</t>
  </si>
  <si>
    <t>MCCC_SLV_RX1_CONFIG_CTL</t>
  </si>
  <si>
    <t>MCCC_SLV_RX1_TEST_CTL</t>
  </si>
  <si>
    <t>MCCC_SLV_PDM_FSC_TIMER_ENABLE</t>
  </si>
  <si>
    <t>MCCC_SLV_PDM_FSC_TIMER_CFG</t>
  </si>
  <si>
    <t>MCCC_SLV_PDM_FSC_TIMER0_CFG</t>
  </si>
  <si>
    <t>MCCC_SLV_PDM_FSC_TIMER1_CFG</t>
  </si>
  <si>
    <t>MCCC_SLV_PDM_FSC_TIMER2_CFG</t>
  </si>
  <si>
    <t>MCCC_SLV_PDM_FSC_TIMER3_CFG</t>
  </si>
  <si>
    <t>MCCC_SLV_PDM_FSC_MAX_TIMER_MASK</t>
  </si>
  <si>
    <t>MCCC_SLV_PDM_STM_CFG</t>
  </si>
  <si>
    <t>MCCC_SLV_SPARE0</t>
  </si>
  <si>
    <t>MCCC_SLV_SPARE1</t>
  </si>
  <si>
    <t>MCCC_SLV_SW_OVERRIDE0</t>
  </si>
  <si>
    <t>MCCC_SLV_SW_OVERRIDE1</t>
  </si>
  <si>
    <t>MCCC_SLV_SW_OVERRIDE2</t>
  </si>
  <si>
    <t>000000f0</t>
  </si>
  <si>
    <t>MCCC_SLV_SW_OVERRIDE3</t>
  </si>
  <si>
    <t>000000f4</t>
  </si>
  <si>
    <t>MCCC_SLV_SW_OVERRIDE4</t>
  </si>
  <si>
    <t>MCCC_SLV_TEST_CLOCK_CFG</t>
  </si>
  <si>
    <t>MCCC_SLV_CRG_STATUS</t>
  </si>
  <si>
    <t>MCCC_SLV_FSC_STATUS0</t>
  </si>
  <si>
    <t>MCCC_SLV_FSC_STATUS1</t>
  </si>
  <si>
    <t>00111111</t>
  </si>
  <si>
    <t>MCCC_SLV_FSC_STATUS2</t>
  </si>
  <si>
    <t>MCCC_SLV_TCS_STATUS</t>
  </si>
  <si>
    <t>MCCC_SLV_STC_STATUS0</t>
  </si>
  <si>
    <t>MCCC_SLV_STC_STATUS1</t>
  </si>
  <si>
    <t>MCCC_SLV_RTC_STATUS</t>
  </si>
  <si>
    <t>MCCC_SLV_RX0_STATUS</t>
  </si>
  <si>
    <t>MCCC_SLV_RX1_STATUS</t>
  </si>
  <si>
    <t>MCCC_SLV_PDM_FSC_TIMER0_STATUS</t>
  </si>
  <si>
    <t>MCCC_SLV_PDM_FSC_TIMER1_STATUS</t>
  </si>
  <si>
    <t>MCCC_SLV_PDM_FSC_TIMER2_STATUS</t>
  </si>
  <si>
    <t>MCCC_SLV_PDM_FSC_TIMER3_STATUS</t>
  </si>
  <si>
    <t>MCCC_SLV_PDM_FSC_MAX_TIMER_STATUS</t>
  </si>
  <si>
    <t>MCCC_SLV_PDM_FSC_STATUS0</t>
  </si>
  <si>
    <t>MCCC_SLV_PDM_FSC_STATUS1</t>
  </si>
  <si>
    <t>MCCC_SLV_PDM_FSC_STATUS2</t>
  </si>
  <si>
    <t>MCCC_SLV_PDM_FSC_STATUS3</t>
  </si>
  <si>
    <t>MCCC_MSTR_FREQ_SWITCH_UPDATE</t>
  </si>
  <si>
    <t>MCCC_MSTR_FREQ_SWITCH_FSM_CFG</t>
  </si>
  <si>
    <t>00100D07</t>
  </si>
  <si>
    <t>001F1F1F</t>
  </si>
  <si>
    <t>MCCC_MSTR_FSC_STATE_TIMER_CFG</t>
  </si>
  <si>
    <t>MCCC_MSTR_FSC_STATE_APPEND_TIMER_SEL0</t>
  </si>
  <si>
    <t>00004000</t>
  </si>
  <si>
    <t>MCCC_MSTR_FSC_STATE_APPEND_TIMER_SEL1</t>
  </si>
  <si>
    <t>MCCC_MSTR_FSC_STATE_EXIT_COND_CFG0</t>
  </si>
  <si>
    <t>5C53FFCF</t>
  </si>
  <si>
    <t>MCCC_MSTR_FSC_STATE_EXIT_COND_CFG1</t>
  </si>
  <si>
    <t>MCCC_MSTR_CLK_PERIOD</t>
  </si>
  <si>
    <t>00001388</t>
  </si>
  <si>
    <t>MCCC_MSTR_BAND0_UPPER_FREQ_THRESHOLD</t>
  </si>
  <si>
    <t>0000065C</t>
  </si>
  <si>
    <t>MCCC_MSTR_BAND1_UPPER_FREQ_THRESHOLD</t>
  </si>
  <si>
    <t>MCCC_MSTR_BAND2_UPPER_FREQ_THRESHOLD</t>
  </si>
  <si>
    <t>MCCC_MSTR_BAND3_UPPER_FREQ_THRESHOLD</t>
  </si>
  <si>
    <t>MCCC_MSTR_BAND4_UPPER_FREQ_THRESHOLD</t>
  </si>
  <si>
    <t>MCCC_MSTR_BAND0_CFG0</t>
  </si>
  <si>
    <t>MCCC_MSTR_BAND0_CFG1</t>
  </si>
  <si>
    <t>00002005</t>
  </si>
  <si>
    <t>00002102</t>
  </si>
  <si>
    <t>MCCC_MSTR_BAND1_CFG0</t>
  </si>
  <si>
    <t>00001111</t>
  </si>
  <si>
    <t>MCCC_MSTR_BAND1_CFG1</t>
  </si>
  <si>
    <t>00013004</t>
  </si>
  <si>
    <t>MCCC_MSTR_BAND2_CFG0</t>
  </si>
  <si>
    <t>MCCC_MSTR_BAND2_CFG1</t>
  </si>
  <si>
    <t>MCCC_MSTR_BAND3_CFG0</t>
  </si>
  <si>
    <t>MCCC_MSTR_BAND3_CFG1</t>
  </si>
  <si>
    <t>MCCC_MSTR_BAND4_CFG0</t>
  </si>
  <si>
    <t>MCCC_MSTR_BAND4_CFG1</t>
  </si>
  <si>
    <t>MCCC_MSTR_BAND5_CFG0</t>
  </si>
  <si>
    <t>0000009c</t>
  </si>
  <si>
    <t>MCCC_MSTR_BAND5_CFG1</t>
  </si>
  <si>
    <t>MCCC_MSTR_SSP_WR_POLARITY_CFG0</t>
  </si>
  <si>
    <t>00000155</t>
  </si>
  <si>
    <t>00005555</t>
  </si>
  <si>
    <t>MCCC_MSTR_SSP_WR_POLARITY_CFG1</t>
  </si>
  <si>
    <t>MCCC_MSTR_SSP_WR_BYPASS_CFG0</t>
  </si>
  <si>
    <t>MCCC_MSTR_SSP_WR_BYPASS_CFG1</t>
  </si>
  <si>
    <t>MCCC_MSTR_SSP_RD_BYPASS_CFG0</t>
  </si>
  <si>
    <t>MCCC_MSTR_SSP_RD_BYPASS_CFG1</t>
  </si>
  <si>
    <t>MCCC_MSTR_TASK0_RX_ENABLE_CFG</t>
  </si>
  <si>
    <t>07000000</t>
  </si>
  <si>
    <t>1F000000</t>
  </si>
  <si>
    <t>MCCC_MSTR_TASK1_RX_CLKON_CFG</t>
  </si>
  <si>
    <t>07000011</t>
  </si>
  <si>
    <t>MCCC_MSTR_TASK2_GFCM_SWITCH_CFG</t>
  </si>
  <si>
    <t>0A000088</t>
  </si>
  <si>
    <t>MCCC_MSTR_TASK3_SSP_CFG</t>
  </si>
  <si>
    <t>0A000020</t>
  </si>
  <si>
    <t>MCCC_MSTR_TASK4_RX_DISABLE_CFG</t>
  </si>
  <si>
    <t>0E000000</t>
  </si>
  <si>
    <t>MCCC_MSTR_TASK_DEP_VEC_CFG0</t>
  </si>
  <si>
    <t>00040100</t>
  </si>
  <si>
    <t>MCCC_MSTR_TASK_DEP_VEC_CFG1</t>
  </si>
  <si>
    <t>MCCC_MSTR_TASK_DEP_VEC_CFG2</t>
  </si>
  <si>
    <t>MCCC_MSTR_TASK_MASK_CFG0</t>
  </si>
  <si>
    <t>MCCC_MSTR_TASK_MASK_CFG1</t>
  </si>
  <si>
    <t>MCCC_MSTR_SINGLE_TASK_ENGINE_UPDATE</t>
  </si>
  <si>
    <t>MCCC_MSTR_SINGLE_TASK_ENGINE_CFG</t>
  </si>
  <si>
    <t>MCCC_MSTR_GCC_MC_CLKON_OVERRIDE_CFG</t>
  </si>
  <si>
    <t>00010D08</t>
  </si>
  <si>
    <t>00001F1F</t>
  </si>
  <si>
    <t>MCCC_MSTR_MC_CLKON_CFG</t>
  </si>
  <si>
    <t>00000031</t>
  </si>
  <si>
    <t>000001F0</t>
  </si>
  <si>
    <t>MCCC_MSTR_DDRCC0_GCC_SRC0_BYP_CLK_CGCR</t>
  </si>
  <si>
    <t>MCCC_MSTR_DDRCC0_GCC_SRC1_BYP_CLK_CGCR</t>
  </si>
  <si>
    <t>MCCC_MSTR_DDRCC1_GCC_SRC0_BYP_CLK_CGCR</t>
  </si>
  <si>
    <t>MCCC_MSTR_DDRCC1_GCC_SRC1_BYP_CLK_CGCR</t>
  </si>
  <si>
    <t>MCCC_MSTR_MISC_FEATURE_CFG</t>
  </si>
  <si>
    <t>MCCC_MSTR_CLOCK_GATE_CFG</t>
  </si>
  <si>
    <t>MCCC_MSTR_FREQ_SWITCH_DISABLE</t>
  </si>
  <si>
    <t>MCCC_MSTR_CHANNEL_DISABLE</t>
  </si>
  <si>
    <t>MCCC_MSTR_SPARE0</t>
  </si>
  <si>
    <t>MCCC_MSTR_SPARE1</t>
  </si>
  <si>
    <t>MCCC_MSTR_SW_CTL0</t>
  </si>
  <si>
    <t>MCCC_MSTR_SW_CTL1</t>
  </si>
  <si>
    <t>MCCC_MSTR_SW_OVERRIDE_UPDATE</t>
  </si>
  <si>
    <t>MCCC_MSTR_SW_OVERRIDE0</t>
  </si>
  <si>
    <t>MCCC_MSTR_SW_OVERRIDE1</t>
  </si>
  <si>
    <t>MCCC_MSTR_SW_OVERRIDE2</t>
  </si>
  <si>
    <t>MCCC_MSTR_TEST_CLOCK_CFG</t>
  </si>
  <si>
    <t>MCCC_MSTR_CRG_STATUS</t>
  </si>
  <si>
    <t>00000288</t>
  </si>
  <si>
    <t>MCCC_MSTR_FSC_STATUS0</t>
  </si>
  <si>
    <t>01110000</t>
  </si>
  <si>
    <t>0000028c</t>
  </si>
  <si>
    <t>MCCC_MSTR_FSC_STATUS1</t>
  </si>
  <si>
    <t>00000290</t>
  </si>
  <si>
    <t>MCCC_MSTR_FSC_STATUS2</t>
  </si>
  <si>
    <t>00000294</t>
  </si>
  <si>
    <t>MCCC_MSTR_FSC_STATUS3</t>
  </si>
  <si>
    <t>MCCC_MSTR_FSC_STATUS4</t>
  </si>
  <si>
    <t>MCCC_MSTR_FSC_STATUS5</t>
  </si>
  <si>
    <t>000002a0</t>
  </si>
  <si>
    <t>MCCC_MSTR_FSC_STATUS6</t>
  </si>
  <si>
    <t>MEM_NOC_MEM_NOC_ERRORLOGGER_SWID_LOW</t>
  </si>
  <si>
    <t>0001E93B</t>
  </si>
  <si>
    <t>MEM_NOC_MEM_NOC_ERRORLOGGER_SWID_HIGH</t>
  </si>
  <si>
    <t>00000C94</t>
  </si>
  <si>
    <t>MEM_NOC_MEM_NOC_ERRORLOGGER_MAINCTL_LOW</t>
  </si>
  <si>
    <t>MEM_NOC_MEM_NOC_ERRORLOGGER_ERRVLD_LOW</t>
  </si>
  <si>
    <t>MEM_NOC_MEM_NOC_ERRORLOGGER_ERRCLR_LOW</t>
  </si>
  <si>
    <t>MEM_NOC_MEM_NOC_ERRORLOGGER_ERRLOG0_LOW</t>
  </si>
  <si>
    <t>MEM_NOC_MEM_NOC_ERRORLOGGER_ERRLOG0_HIGH</t>
  </si>
  <si>
    <t>MEM_NOC_MEM_NOC_ERRORLOGGER_ERRLOG1_LOW</t>
  </si>
  <si>
    <t>MEM_NOC_MEM_NOC_ERRORLOGGER_ERRLOG1_HIGH</t>
  </si>
  <si>
    <t>MEM_NOC_MEM_NOC_ERRORLOGGER_ERRLOG2_LOW</t>
  </si>
  <si>
    <t>MEM_NOC_MEM_NOC_ERRORLOGGER_ERRLOG2_HIGH</t>
  </si>
  <si>
    <t>MEM_NOC_MEM_NOC_ERRORLOGGER_ERRLOG3_LOW</t>
  </si>
  <si>
    <t>MEM_NOC_MEM_NOC_ERRORLOGGER_ERRLOG3_HIGH</t>
  </si>
  <si>
    <t>MEM_NOC_MEM_NOC_OBS_SWID_LOW</t>
  </si>
  <si>
    <t>000CE93B</t>
  </si>
  <si>
    <t>MEM_NOC_MEM_NOC_OBS_SWID_HIGH</t>
  </si>
  <si>
    <t>MEM_NOC_MEM_NOC_OBS_ATBEN_LOW</t>
  </si>
  <si>
    <t>MEM_NOC_MEM_NOC_OBS_ATBID_LOW</t>
  </si>
  <si>
    <t>MEM_NOC_MEM_NOC_SBM_SWID_LOW</t>
  </si>
  <si>
    <t>000E3E6C</t>
  </si>
  <si>
    <t>MEM_NOC_MEM_NOC_SBM_SWID_HIGH</t>
  </si>
  <si>
    <t>MEM_NOC_MEM_NOC_SBM_FAULTINEN0_LOW</t>
  </si>
  <si>
    <t>MEM_NOC_MEM_NOC_SBM_FAULTINSTATUS0_LOW</t>
  </si>
  <si>
    <t>MEM_NOC_MEM_NOC_DEBUG_MASTER_SWID_LOW</t>
  </si>
  <si>
    <t>000EC82B</t>
  </si>
  <si>
    <t>MEM_NOC_MEM_NOC_DEBUG_MASTER_SWID_HIGH</t>
  </si>
  <si>
    <t>MEM_NOC_MEM_NOC_DEBUG_MASTER_FLAGOUTCLR0_LOW</t>
  </si>
  <si>
    <t>MEM_NOC_MEM_NOC_DEBUG_MASTER_FLAGOUTCLR0_HIGH</t>
  </si>
  <si>
    <t>MEM_NOC_MEM_NOC_DEBUG_MASTER_FLAGOUTSET0_LOW</t>
  </si>
  <si>
    <t>MEM_NOC_MEM_NOC_DEBUG_MASTER_FLAGOUTSET0_HIGH</t>
  </si>
  <si>
    <t>MEM_NOC_MEM_NOC_DEBUG_MASTER_FLAGOUTSTATUS0_LOW</t>
  </si>
  <si>
    <t>MEM_NOC_MEM_NOC_DEBUG_MASTER_FLAGOUTSTATUS0_HIGH</t>
  </si>
  <si>
    <t>MEM_NOC_MEM_NOC_DEBUG_MASTER_SENSEIN0_LOW</t>
  </si>
  <si>
    <t>MEM_NOC_MEM_NOC_DEBUG_MASTER_SENSEIN0_HIGH</t>
  </si>
  <si>
    <t>MEM_NOC_MEM_NOC_DEBUG_MASTER_SENSEIN1_LOW</t>
  </si>
  <si>
    <t>MEM_NOC_MEM_NOC_DEBUG_MASTER_SENSEIN1_HIGH</t>
  </si>
  <si>
    <t>MEM_NOC_MEM_NOC_DEBUG_MASTER_SENSEIN2_LOW</t>
  </si>
  <si>
    <t>MEM_NOC_MEM_NOC_DEBUG_MASTER_SENSEIN2_HIGH</t>
  </si>
  <si>
    <t>MEM_NOC_MEM_NOC_DEBUG_MASTER_SENSEIN3_LOW</t>
  </si>
  <si>
    <t>MEM_NOC_MEM_NOC_DEBUG_MASTER_SENSEIN3_HIGH</t>
  </si>
  <si>
    <t>MEM_NOC_MEM_NOC_DEBUG_SLAVE_SWID_LOW</t>
  </si>
  <si>
    <t>000EACC8</t>
  </si>
  <si>
    <t>MEM_NOC_MEM_NOC_DEBUG_SLAVE_SWID_HIGH</t>
  </si>
  <si>
    <t>MEM_NOC_MEM_NOC_DEBUG_SLAVE_FLAGOUTCLR0_LOW</t>
  </si>
  <si>
    <t>MEM_NOC_MEM_NOC_DEBUG_SLAVE_FLAGOUTSET0_LOW</t>
  </si>
  <si>
    <t>MEM_NOC_MEM_NOC_DEBUG_SLAVE_FLAGOUTSTATUS0_LOW</t>
  </si>
  <si>
    <t>MEM_NOC_MEM_NOC_DEBUG_SLAVE_SENSEIN0_LOW</t>
  </si>
  <si>
    <t>MEM_NOC_MEM_NOC_DEBUG_SLAVE_SENSEIN0_HIGH</t>
  </si>
  <si>
    <t>MEM_NOC_MEM_NOC_DEBUG_SLAVE_SENSEIN1_LOW</t>
  </si>
  <si>
    <t>MEM_NOC_MEM_NOC_DEBUG_SLAVE_SENSEIN1_HIGH</t>
  </si>
  <si>
    <t>MEM_NOC_MEM_NOC_DEBUG_SLAVE_SENSEIN2_LOW</t>
  </si>
  <si>
    <t>MEM_NOC_TCU_TPRB_SWID_LOW</t>
  </si>
  <si>
    <t>000338E2</t>
  </si>
  <si>
    <t>00001004</t>
  </si>
  <si>
    <t>MEM_NOC_TCU_TPRB_SWID_HIGH</t>
  </si>
  <si>
    <t>00001008</t>
  </si>
  <si>
    <t>MEM_NOC_TCU_TPRB_MAINCTL_LOW</t>
  </si>
  <si>
    <t>00001010</t>
  </si>
  <si>
    <t>MEM_NOC_TCU_TPRB_DUMPGO_LOW</t>
  </si>
  <si>
    <t>00001018</t>
  </si>
  <si>
    <t>MEM_NOC_TCU_TPRB_DUMPTHR_LOW</t>
  </si>
  <si>
    <t>00001020</t>
  </si>
  <si>
    <t>MEM_NOC_TCU_TPRB_BIN_LOW</t>
  </si>
  <si>
    <t>00001028</t>
  </si>
  <si>
    <t>MEM_NOC_TCU_TPRB_AVLATENCY_LOW</t>
  </si>
  <si>
    <t>0000102c</t>
  </si>
  <si>
    <t>MEM_NOC_TCU_TPRB_AVLATENCY_HIGH</t>
  </si>
  <si>
    <t>00001040</t>
  </si>
  <si>
    <t>MEM_NOC_TCU_TPRB_HISTBIN0_LOW</t>
  </si>
  <si>
    <t>00001048</t>
  </si>
  <si>
    <t>MEM_NOC_TCU_TPRB_HISTBIN1_LOW</t>
  </si>
  <si>
    <t>00001050</t>
  </si>
  <si>
    <t>MEM_NOC_TCU_TPRB_HISTBIN2_LOW</t>
  </si>
  <si>
    <t>00001058</t>
  </si>
  <si>
    <t>MEM_NOC_TCU_TPRB_HISTBIN3_LOW</t>
  </si>
  <si>
    <t>00001060</t>
  </si>
  <si>
    <t>MEM_NOC_TCU_TPRB_HISTBIN4_LOW</t>
  </si>
  <si>
    <t>00001068</t>
  </si>
  <si>
    <t>MEM_NOC_TCU_TPRB_HISTBIN5_LOW</t>
  </si>
  <si>
    <t>00001070</t>
  </si>
  <si>
    <t>MEM_NOC_TCU_TPRB_HISTBIN6_LOW</t>
  </si>
  <si>
    <t>00001078</t>
  </si>
  <si>
    <t>MEM_NOC_TCU_TPRB_HISTBIN7_LOW</t>
  </si>
  <si>
    <t>00001120</t>
  </si>
  <si>
    <t>MEM_NOC_TCU_TPRB_FILTER_ADDR_MIN_LOW</t>
  </si>
  <si>
    <t>00001124</t>
  </si>
  <si>
    <t>MEM_NOC_TCU_TPRB_FILTER_ADDR_MIN_HIGH</t>
  </si>
  <si>
    <t>00001128</t>
  </si>
  <si>
    <t>MEM_NOC_TCU_TPRB_FILTER_ADDR_MAX_LOW</t>
  </si>
  <si>
    <t>0000112c</t>
  </si>
  <si>
    <t>MEM_NOC_TCU_TPRB_FILTER_ADDR_MAX_HIGH</t>
  </si>
  <si>
    <t>00001138</t>
  </si>
  <si>
    <t>MEM_NOC_TCU_TPRB_FILTER_OPCODE_LOW</t>
  </si>
  <si>
    <t>00001158</t>
  </si>
  <si>
    <t>MEM_NOC_TCU_TPRB_FILTER_LOGUSER_BASE_LOW</t>
  </si>
  <si>
    <t>00001160</t>
  </si>
  <si>
    <t>MEM_NOC_TCU_TPRB_FILTER_LOGUSER_MASK_LOW</t>
  </si>
  <si>
    <t>00001168</t>
  </si>
  <si>
    <t>MEM_NOC_TCU_TPRB_FILTER_DEVICE_BASE_LOW</t>
  </si>
  <si>
    <t>00001170</t>
  </si>
  <si>
    <t>MEM_NOC_TCU_TPRB_FILTER_DEVICE_MASK_LOW</t>
  </si>
  <si>
    <t>00001178</t>
  </si>
  <si>
    <t>MEM_NOC_TCU_TPRB_FILTER_EXTID_BASE_LOW</t>
  </si>
  <si>
    <t>00001180</t>
  </si>
  <si>
    <t>MEM_NOC_TCU_TPRB_FILTER_EXTID_MASK_LOW</t>
  </si>
  <si>
    <t>00001200</t>
  </si>
  <si>
    <t>MEM_NOC_APPS_RD_TPRB_SWID_LOW</t>
  </si>
  <si>
    <t>00036C63</t>
  </si>
  <si>
    <t>00001204</t>
  </si>
  <si>
    <t>MEM_NOC_APPS_RD_TPRB_SWID_HIGH</t>
  </si>
  <si>
    <t>00001208</t>
  </si>
  <si>
    <t>MEM_NOC_APPS_RD_TPRB_MAINCTL_LOW</t>
  </si>
  <si>
    <t>00001210</t>
  </si>
  <si>
    <t>MEM_NOC_APPS_RD_TPRB_DUMPGO_LOW</t>
  </si>
  <si>
    <t>00001218</t>
  </si>
  <si>
    <t>MEM_NOC_APPS_RD_TPRB_DUMPTHR_LOW</t>
  </si>
  <si>
    <t>00001220</t>
  </si>
  <si>
    <t>MEM_NOC_APPS_RD_TPRB_BIN_LOW</t>
  </si>
  <si>
    <t>00001228</t>
  </si>
  <si>
    <t>MEM_NOC_APPS_RD_TPRB_AVLATENCY_LOW</t>
  </si>
  <si>
    <t>0000122c</t>
  </si>
  <si>
    <t>MEM_NOC_APPS_RD_TPRB_AVLATENCY_HIGH</t>
  </si>
  <si>
    <t>00001240</t>
  </si>
  <si>
    <t>MEM_NOC_APPS_RD_TPRB_HISTBIN0_LOW</t>
  </si>
  <si>
    <t>00001248</t>
  </si>
  <si>
    <t>MEM_NOC_APPS_RD_TPRB_HISTBIN1_LOW</t>
  </si>
  <si>
    <t>00001250</t>
  </si>
  <si>
    <t>MEM_NOC_APPS_RD_TPRB_HISTBIN2_LOW</t>
  </si>
  <si>
    <t>00001258</t>
  </si>
  <si>
    <t>MEM_NOC_APPS_RD_TPRB_HISTBIN3_LOW</t>
  </si>
  <si>
    <t>00001260</t>
  </si>
  <si>
    <t>MEM_NOC_APPS_RD_TPRB_HISTBIN4_LOW</t>
  </si>
  <si>
    <t>00001268</t>
  </si>
  <si>
    <t>MEM_NOC_APPS_RD_TPRB_HISTBIN5_LOW</t>
  </si>
  <si>
    <t>00001270</t>
  </si>
  <si>
    <t>MEM_NOC_APPS_RD_TPRB_HISTBIN6_LOW</t>
  </si>
  <si>
    <t>00001278</t>
  </si>
  <si>
    <t>MEM_NOC_APPS_RD_TPRB_HISTBIN7_LOW</t>
  </si>
  <si>
    <t>00001320</t>
  </si>
  <si>
    <t>MEM_NOC_APPS_RD_TPRB_FILTER_ADDR_MIN_LOW</t>
  </si>
  <si>
    <t>00001324</t>
  </si>
  <si>
    <t>MEM_NOC_APPS_RD_TPRB_FILTER_ADDR_MIN_HIGH</t>
  </si>
  <si>
    <t>00001328</t>
  </si>
  <si>
    <t>MEM_NOC_APPS_RD_TPRB_FILTER_ADDR_MAX_LOW</t>
  </si>
  <si>
    <t>0000132c</t>
  </si>
  <si>
    <t>MEM_NOC_APPS_RD_TPRB_FILTER_ADDR_MAX_HIGH</t>
  </si>
  <si>
    <t>00001338</t>
  </si>
  <si>
    <t>MEM_NOC_APPS_RD_TPRB_FILTER_OPCODE_LOW</t>
  </si>
  <si>
    <t>00001358</t>
  </si>
  <si>
    <t>MEM_NOC_APPS_RD_TPRB_FILTER_LOGUSER_BASE_LOW</t>
  </si>
  <si>
    <t>00001360</t>
  </si>
  <si>
    <t>MEM_NOC_APPS_RD_TPRB_FILTER_LOGUSER_MASK_LOW</t>
  </si>
  <si>
    <t>00001368</t>
  </si>
  <si>
    <t>MEM_NOC_APPS_RD_TPRB_FILTER_DEVICE_BASE_LOW</t>
  </si>
  <si>
    <t>00001370</t>
  </si>
  <si>
    <t>MEM_NOC_APPS_RD_TPRB_FILTER_DEVICE_MASK_LOW</t>
  </si>
  <si>
    <t>00001378</t>
  </si>
  <si>
    <t>MEM_NOC_APPS_RD_TPRB_FILTER_EXTID_BASE_LOW</t>
  </si>
  <si>
    <t>00001380</t>
  </si>
  <si>
    <t>MEM_NOC_APPS_RD_TPRB_FILTER_EXTID_MASK_LOW</t>
  </si>
  <si>
    <t>00001400</t>
  </si>
  <si>
    <t>MEM_NOC_APPS_RDWR_TPRB_SWID_LOW</t>
  </si>
  <si>
    <t>0003B546</t>
  </si>
  <si>
    <t>00001404</t>
  </si>
  <si>
    <t>MEM_NOC_APPS_RDWR_TPRB_SWID_HIGH</t>
  </si>
  <si>
    <t>00001408</t>
  </si>
  <si>
    <t>MEM_NOC_APPS_RDWR_TPRB_MAINCTL_LOW</t>
  </si>
  <si>
    <t>00001410</t>
  </si>
  <si>
    <t>MEM_NOC_APPS_RDWR_TPRB_DUMPGO_LOW</t>
  </si>
  <si>
    <t>00001418</t>
  </si>
  <si>
    <t>MEM_NOC_APPS_RDWR_TPRB_DUMPTHR_LOW</t>
  </si>
  <si>
    <t>00001420</t>
  </si>
  <si>
    <t>MEM_NOC_APPS_RDWR_TPRB_BIN_LOW</t>
  </si>
  <si>
    <t>00001428</t>
  </si>
  <si>
    <t>MEM_NOC_APPS_RDWR_TPRB_AVLATENCY_LOW</t>
  </si>
  <si>
    <t>0000142c</t>
  </si>
  <si>
    <t>MEM_NOC_APPS_RDWR_TPRB_AVLATENCY_HIGH</t>
  </si>
  <si>
    <t>00001440</t>
  </si>
  <si>
    <t>MEM_NOC_APPS_RDWR_TPRB_HISTBIN0_LOW</t>
  </si>
  <si>
    <t>00001448</t>
  </si>
  <si>
    <t>MEM_NOC_APPS_RDWR_TPRB_HISTBIN1_LOW</t>
  </si>
  <si>
    <t>00001450</t>
  </si>
  <si>
    <t>MEM_NOC_APPS_RDWR_TPRB_HISTBIN2_LOW</t>
  </si>
  <si>
    <t>00001458</t>
  </si>
  <si>
    <t>MEM_NOC_APPS_RDWR_TPRB_HISTBIN3_LOW</t>
  </si>
  <si>
    <t>00001460</t>
  </si>
  <si>
    <t>MEM_NOC_APPS_RDWR_TPRB_HISTBIN4_LOW</t>
  </si>
  <si>
    <t>00001468</t>
  </si>
  <si>
    <t>MEM_NOC_APPS_RDWR_TPRB_HISTBIN5_LOW</t>
  </si>
  <si>
    <t>00001470</t>
  </si>
  <si>
    <t>MEM_NOC_APPS_RDWR_TPRB_HISTBIN6_LOW</t>
  </si>
  <si>
    <t>00001478</t>
  </si>
  <si>
    <t>MEM_NOC_APPS_RDWR_TPRB_HISTBIN7_LOW</t>
  </si>
  <si>
    <t>00001520</t>
  </si>
  <si>
    <t>MEM_NOC_APPS_RDWR_TPRB_FILTER_ADDR_MIN_LOW</t>
  </si>
  <si>
    <t>00001524</t>
  </si>
  <si>
    <t>MEM_NOC_APPS_RDWR_TPRB_FILTER_ADDR_MIN_HIGH</t>
  </si>
  <si>
    <t>00001528</t>
  </si>
  <si>
    <t>MEM_NOC_APPS_RDWR_TPRB_FILTER_ADDR_MAX_LOW</t>
  </si>
  <si>
    <t>0000152c</t>
  </si>
  <si>
    <t>MEM_NOC_APPS_RDWR_TPRB_FILTER_ADDR_MAX_HIGH</t>
  </si>
  <si>
    <t>00001538</t>
  </si>
  <si>
    <t>MEM_NOC_APPS_RDWR_TPRB_FILTER_OPCODE_LOW</t>
  </si>
  <si>
    <t>00001558</t>
  </si>
  <si>
    <t>MEM_NOC_APPS_RDWR_TPRB_FILTER_LOGUSER_BASE_LOW</t>
  </si>
  <si>
    <t>00001560</t>
  </si>
  <si>
    <t>MEM_NOC_APPS_RDWR_TPRB_FILTER_LOGUSER_MASK_LOW</t>
  </si>
  <si>
    <t>00001568</t>
  </si>
  <si>
    <t>MEM_NOC_APPS_RDWR_TPRB_FILTER_DEVICE_BASE_LOW</t>
  </si>
  <si>
    <t>00001570</t>
  </si>
  <si>
    <t>MEM_NOC_APPS_RDWR_TPRB_FILTER_DEVICE_MASK_LOW</t>
  </si>
  <si>
    <t>00001578</t>
  </si>
  <si>
    <t>MEM_NOC_APPS_RDWR_TPRB_FILTER_EXTID_BASE_LOW</t>
  </si>
  <si>
    <t>00001580</t>
  </si>
  <si>
    <t>MEM_NOC_APPS_RDWR_TPRB_FILTER_EXTID_MASK_LOW</t>
  </si>
  <si>
    <t>00001600</t>
  </si>
  <si>
    <t>MEM_NOC_CDSP_TPRB_SWID_LOW</t>
  </si>
  <si>
    <t>00035414</t>
  </si>
  <si>
    <t>00001604</t>
  </si>
  <si>
    <t>MEM_NOC_CDSP_TPRB_SWID_HIGH</t>
  </si>
  <si>
    <t>00001608</t>
  </si>
  <si>
    <t>MEM_NOC_CDSP_TPRB_MAINCTL_LOW</t>
  </si>
  <si>
    <t>00001610</t>
  </si>
  <si>
    <t>MEM_NOC_CDSP_TPRB_DUMPGO_LOW</t>
  </si>
  <si>
    <t>00001618</t>
  </si>
  <si>
    <t>MEM_NOC_CDSP_TPRB_DUMPTHR_LOW</t>
  </si>
  <si>
    <t>00001620</t>
  </si>
  <si>
    <t>MEM_NOC_CDSP_TPRB_BIN_LOW</t>
  </si>
  <si>
    <t>00001628</t>
  </si>
  <si>
    <t>MEM_NOC_CDSP_TPRB_AVLATENCY_LOW</t>
  </si>
  <si>
    <t>0000162c</t>
  </si>
  <si>
    <t>MEM_NOC_CDSP_TPRB_AVLATENCY_HIGH</t>
  </si>
  <si>
    <t>00001640</t>
  </si>
  <si>
    <t>MEM_NOC_CDSP_TPRB_HISTBIN0_LOW</t>
  </si>
  <si>
    <t>00001648</t>
  </si>
  <si>
    <t>MEM_NOC_CDSP_TPRB_HISTBIN1_LOW</t>
  </si>
  <si>
    <t>00001650</t>
  </si>
  <si>
    <t>MEM_NOC_CDSP_TPRB_HISTBIN2_LOW</t>
  </si>
  <si>
    <t>00001658</t>
  </si>
  <si>
    <t>MEM_NOC_CDSP_TPRB_HISTBIN3_LOW</t>
  </si>
  <si>
    <t>00001660</t>
  </si>
  <si>
    <t>MEM_NOC_CDSP_TPRB_HISTBIN4_LOW</t>
  </si>
  <si>
    <t>00001668</t>
  </si>
  <si>
    <t>MEM_NOC_CDSP_TPRB_HISTBIN5_LOW</t>
  </si>
  <si>
    <t>00001670</t>
  </si>
  <si>
    <t>MEM_NOC_CDSP_TPRB_HISTBIN6_LOW</t>
  </si>
  <si>
    <t>00001678</t>
  </si>
  <si>
    <t>MEM_NOC_CDSP_TPRB_HISTBIN7_LOW</t>
  </si>
  <si>
    <t>00001720</t>
  </si>
  <si>
    <t>MEM_NOC_CDSP_TPRB_FILTER_ADDR_MIN_LOW</t>
  </si>
  <si>
    <t>00001724</t>
  </si>
  <si>
    <t>MEM_NOC_CDSP_TPRB_FILTER_ADDR_MIN_HIGH</t>
  </si>
  <si>
    <t>00001728</t>
  </si>
  <si>
    <t>MEM_NOC_CDSP_TPRB_FILTER_ADDR_MAX_LOW</t>
  </si>
  <si>
    <t>0000172c</t>
  </si>
  <si>
    <t>MEM_NOC_CDSP_TPRB_FILTER_ADDR_MAX_HIGH</t>
  </si>
  <si>
    <t>00001738</t>
  </si>
  <si>
    <t>MEM_NOC_CDSP_TPRB_FILTER_OPCODE_LOW</t>
  </si>
  <si>
    <t>00001758</t>
  </si>
  <si>
    <t>MEM_NOC_CDSP_TPRB_FILTER_LOGUSER_BASE_LOW</t>
  </si>
  <si>
    <t>00001760</t>
  </si>
  <si>
    <t>MEM_NOC_CDSP_TPRB_FILTER_LOGUSER_MASK_LOW</t>
  </si>
  <si>
    <t>00001768</t>
  </si>
  <si>
    <t>MEM_NOC_CDSP_TPRB_FILTER_DEVICE_BASE_LOW</t>
  </si>
  <si>
    <t>00001770</t>
  </si>
  <si>
    <t>MEM_NOC_CDSP_TPRB_FILTER_DEVICE_MASK_LOW</t>
  </si>
  <si>
    <t>00001778</t>
  </si>
  <si>
    <t>MEM_NOC_CDSP_TPRB_FILTER_EXTID_BASE_LOW</t>
  </si>
  <si>
    <t>00001780</t>
  </si>
  <si>
    <t>MEM_NOC_CDSP_TPRB_FILTER_EXTID_MASK_LOW</t>
  </si>
  <si>
    <t>00001800</t>
  </si>
  <si>
    <t>MEM_NOC_MNOC_HF0_TPRB_SWID_LOW</t>
  </si>
  <si>
    <t>00034F61</t>
  </si>
  <si>
    <t>00001804</t>
  </si>
  <si>
    <t>MEM_NOC_MNOC_HF0_TPRB_SWID_HIGH</t>
  </si>
  <si>
    <t>00001808</t>
  </si>
  <si>
    <t>MEM_NOC_MNOC_HF0_TPRB_MAINCTL_LOW</t>
  </si>
  <si>
    <t>00001810</t>
  </si>
  <si>
    <t>MEM_NOC_MNOC_HF0_TPRB_DUMPGO_LOW</t>
  </si>
  <si>
    <t>00001818</t>
  </si>
  <si>
    <t>MEM_NOC_MNOC_HF0_TPRB_DUMPTHR_LOW</t>
  </si>
  <si>
    <t>00001820</t>
  </si>
  <si>
    <t>MEM_NOC_MNOC_HF0_TPRB_BIN_LOW</t>
  </si>
  <si>
    <t>00001828</t>
  </si>
  <si>
    <t>MEM_NOC_MNOC_HF0_TPRB_AVLATENCY_LOW</t>
  </si>
  <si>
    <t>0000182c</t>
  </si>
  <si>
    <t>MEM_NOC_MNOC_HF0_TPRB_AVLATENCY_HIGH</t>
  </si>
  <si>
    <t>00001840</t>
  </si>
  <si>
    <t>MEM_NOC_MNOC_HF0_TPRB_HISTBIN0_LOW</t>
  </si>
  <si>
    <t>00001848</t>
  </si>
  <si>
    <t>MEM_NOC_MNOC_HF0_TPRB_HISTBIN1_LOW</t>
  </si>
  <si>
    <t>00001850</t>
  </si>
  <si>
    <t>MEM_NOC_MNOC_HF0_TPRB_HISTBIN2_LOW</t>
  </si>
  <si>
    <t>00001858</t>
  </si>
  <si>
    <t>MEM_NOC_MNOC_HF0_TPRB_HISTBIN3_LOW</t>
  </si>
  <si>
    <t>00001860</t>
  </si>
  <si>
    <t>MEM_NOC_MNOC_HF0_TPRB_HISTBIN4_LOW</t>
  </si>
  <si>
    <t>00001868</t>
  </si>
  <si>
    <t>MEM_NOC_MNOC_HF0_TPRB_HISTBIN5_LOW</t>
  </si>
  <si>
    <t>00001870</t>
  </si>
  <si>
    <t>MEM_NOC_MNOC_HF0_TPRB_HISTBIN6_LOW</t>
  </si>
  <si>
    <t>00001878</t>
  </si>
  <si>
    <t>MEM_NOC_MNOC_HF0_TPRB_HISTBIN7_LOW</t>
  </si>
  <si>
    <t>00001920</t>
  </si>
  <si>
    <t>MEM_NOC_MNOC_HF0_TPRB_FILTER_ADDR_MIN_LOW</t>
  </si>
  <si>
    <t>00001924</t>
  </si>
  <si>
    <t>MEM_NOC_MNOC_HF0_TPRB_FILTER_ADDR_MIN_HIGH</t>
  </si>
  <si>
    <t>00001928</t>
  </si>
  <si>
    <t>MEM_NOC_MNOC_HF0_TPRB_FILTER_ADDR_MAX_LOW</t>
  </si>
  <si>
    <t>0000192c</t>
  </si>
  <si>
    <t>MEM_NOC_MNOC_HF0_TPRB_FILTER_ADDR_MAX_HIGH</t>
  </si>
  <si>
    <t>00001938</t>
  </si>
  <si>
    <t>MEM_NOC_MNOC_HF0_TPRB_FILTER_OPCODE_LOW</t>
  </si>
  <si>
    <t>00001958</t>
  </si>
  <si>
    <t>MEM_NOC_MNOC_HF0_TPRB_FILTER_LOGUSER_BASE_LOW</t>
  </si>
  <si>
    <t>00001960</t>
  </si>
  <si>
    <t>MEM_NOC_MNOC_HF0_TPRB_FILTER_LOGUSER_MASK_LOW</t>
  </si>
  <si>
    <t>00001968</t>
  </si>
  <si>
    <t>MEM_NOC_MNOC_HF0_TPRB_FILTER_DEVICE_BASE_LOW</t>
  </si>
  <si>
    <t>00001970</t>
  </si>
  <si>
    <t>MEM_NOC_MNOC_HF0_TPRB_FILTER_DEVICE_MASK_LOW</t>
  </si>
  <si>
    <t>00001978</t>
  </si>
  <si>
    <t>MEM_NOC_MNOC_HF0_TPRB_FILTER_EXTID_BASE_LOW</t>
  </si>
  <si>
    <t>00001980</t>
  </si>
  <si>
    <t>MEM_NOC_MNOC_HF0_TPRB_FILTER_EXTID_MASK_LOW</t>
  </si>
  <si>
    <t>00001a00</t>
  </si>
  <si>
    <t>MEM_NOC_MNOC_HF1_TPRB_SWID_LOW</t>
  </si>
  <si>
    <t>00001a04</t>
  </si>
  <si>
    <t>MEM_NOC_MNOC_HF1_TPRB_SWID_HIGH</t>
  </si>
  <si>
    <t>00001a08</t>
  </si>
  <si>
    <t>MEM_NOC_MNOC_HF1_TPRB_MAINCTL_LOW</t>
  </si>
  <si>
    <t>00001a10</t>
  </si>
  <si>
    <t>MEM_NOC_MNOC_HF1_TPRB_DUMPGO_LOW</t>
  </si>
  <si>
    <t>00001a18</t>
  </si>
  <si>
    <t>MEM_NOC_MNOC_HF1_TPRB_DUMPTHR_LOW</t>
  </si>
  <si>
    <t>00001a20</t>
  </si>
  <si>
    <t>MEM_NOC_MNOC_HF1_TPRB_BIN_LOW</t>
  </si>
  <si>
    <t>00001a28</t>
  </si>
  <si>
    <t>MEM_NOC_MNOC_HF1_TPRB_AVLATENCY_LOW</t>
  </si>
  <si>
    <t>00001a2c</t>
  </si>
  <si>
    <t>MEM_NOC_MNOC_HF1_TPRB_AVLATENCY_HIGH</t>
  </si>
  <si>
    <t>00001a40</t>
  </si>
  <si>
    <t>MEM_NOC_MNOC_HF1_TPRB_HISTBIN0_LOW</t>
  </si>
  <si>
    <t>00001a48</t>
  </si>
  <si>
    <t>MEM_NOC_MNOC_HF1_TPRB_HISTBIN1_LOW</t>
  </si>
  <si>
    <t>00001a50</t>
  </si>
  <si>
    <t>MEM_NOC_MNOC_HF1_TPRB_HISTBIN2_LOW</t>
  </si>
  <si>
    <t>00001a58</t>
  </si>
  <si>
    <t>MEM_NOC_MNOC_HF1_TPRB_HISTBIN3_LOW</t>
  </si>
  <si>
    <t>00001a60</t>
  </si>
  <si>
    <t>MEM_NOC_MNOC_HF1_TPRB_HISTBIN4_LOW</t>
  </si>
  <si>
    <t>00001a68</t>
  </si>
  <si>
    <t>MEM_NOC_MNOC_HF1_TPRB_HISTBIN5_LOW</t>
  </si>
  <si>
    <t>00001a70</t>
  </si>
  <si>
    <t>MEM_NOC_MNOC_HF1_TPRB_HISTBIN6_LOW</t>
  </si>
  <si>
    <t>00001a78</t>
  </si>
  <si>
    <t>MEM_NOC_MNOC_HF1_TPRB_HISTBIN7_LOW</t>
  </si>
  <si>
    <t>00001b20</t>
  </si>
  <si>
    <t>MEM_NOC_MNOC_HF1_TPRB_FILTER_ADDR_MIN_LOW</t>
  </si>
  <si>
    <t>00001b24</t>
  </si>
  <si>
    <t>MEM_NOC_MNOC_HF1_TPRB_FILTER_ADDR_MIN_HIGH</t>
  </si>
  <si>
    <t>00001b28</t>
  </si>
  <si>
    <t>MEM_NOC_MNOC_HF1_TPRB_FILTER_ADDR_MAX_LOW</t>
  </si>
  <si>
    <t>00001b2c</t>
  </si>
  <si>
    <t>MEM_NOC_MNOC_HF1_TPRB_FILTER_ADDR_MAX_HIGH</t>
  </si>
  <si>
    <t>00001b38</t>
  </si>
  <si>
    <t>MEM_NOC_MNOC_HF1_TPRB_FILTER_OPCODE_LOW</t>
  </si>
  <si>
    <t>00001b58</t>
  </si>
  <si>
    <t>MEM_NOC_MNOC_HF1_TPRB_FILTER_LOGUSER_BASE_LOW</t>
  </si>
  <si>
    <t>00001b60</t>
  </si>
  <si>
    <t>MEM_NOC_MNOC_HF1_TPRB_FILTER_LOGUSER_MASK_LOW</t>
  </si>
  <si>
    <t>00001b68</t>
  </si>
  <si>
    <t>MEM_NOC_MNOC_HF1_TPRB_FILTER_DEVICE_BASE_LOW</t>
  </si>
  <si>
    <t>00001b70</t>
  </si>
  <si>
    <t>MEM_NOC_MNOC_HF1_TPRB_FILTER_DEVICE_MASK_LOW</t>
  </si>
  <si>
    <t>00001b78</t>
  </si>
  <si>
    <t>MEM_NOC_MNOC_HF1_TPRB_FILTER_EXTID_BASE_LOW</t>
  </si>
  <si>
    <t>00001b80</t>
  </si>
  <si>
    <t>MEM_NOC_MNOC_HF1_TPRB_FILTER_EXTID_MASK_LOW</t>
  </si>
  <si>
    <t>00001c00</t>
  </si>
  <si>
    <t>MEM_NOC_MNOC_SF_TPRB_SWID_LOW</t>
  </si>
  <si>
    <t>00032A30</t>
  </si>
  <si>
    <t>00001c04</t>
  </si>
  <si>
    <t>MEM_NOC_MNOC_SF_TPRB_SWID_HIGH</t>
  </si>
  <si>
    <t>00001c08</t>
  </si>
  <si>
    <t>MEM_NOC_MNOC_SF_TPRB_MAINCTL_LOW</t>
  </si>
  <si>
    <t>00001c10</t>
  </si>
  <si>
    <t>MEM_NOC_MNOC_SF_TPRB_DUMPGO_LOW</t>
  </si>
  <si>
    <t>00001c18</t>
  </si>
  <si>
    <t>MEM_NOC_MNOC_SF_TPRB_DUMPTHR_LOW</t>
  </si>
  <si>
    <t>00001c20</t>
  </si>
  <si>
    <t>MEM_NOC_MNOC_SF_TPRB_BIN_LOW</t>
  </si>
  <si>
    <t>00001c28</t>
  </si>
  <si>
    <t>MEM_NOC_MNOC_SF_TPRB_AVLATENCY_LOW</t>
  </si>
  <si>
    <t>00001c2c</t>
  </si>
  <si>
    <t>MEM_NOC_MNOC_SF_TPRB_AVLATENCY_HIGH</t>
  </si>
  <si>
    <t>00001c40</t>
  </si>
  <si>
    <t>MEM_NOC_MNOC_SF_TPRB_HISTBIN0_LOW</t>
  </si>
  <si>
    <t>00001c48</t>
  </si>
  <si>
    <t>MEM_NOC_MNOC_SF_TPRB_HISTBIN1_LOW</t>
  </si>
  <si>
    <t>00001c50</t>
  </si>
  <si>
    <t>MEM_NOC_MNOC_SF_TPRB_HISTBIN2_LOW</t>
  </si>
  <si>
    <t>00001c58</t>
  </si>
  <si>
    <t>MEM_NOC_MNOC_SF_TPRB_HISTBIN3_LOW</t>
  </si>
  <si>
    <t>00001c60</t>
  </si>
  <si>
    <t>MEM_NOC_MNOC_SF_TPRB_HISTBIN4_LOW</t>
  </si>
  <si>
    <t>00001c68</t>
  </si>
  <si>
    <t>MEM_NOC_MNOC_SF_TPRB_HISTBIN5_LOW</t>
  </si>
  <si>
    <t>00001c70</t>
  </si>
  <si>
    <t>MEM_NOC_MNOC_SF_TPRB_HISTBIN6_LOW</t>
  </si>
  <si>
    <t>00001c78</t>
  </si>
  <si>
    <t>MEM_NOC_MNOC_SF_TPRB_HISTBIN7_LOW</t>
  </si>
  <si>
    <t>00001d20</t>
  </si>
  <si>
    <t>MEM_NOC_MNOC_SF_TPRB_FILTER_ADDR_MIN_LOW</t>
  </si>
  <si>
    <t>00001d24</t>
  </si>
  <si>
    <t>MEM_NOC_MNOC_SF_TPRB_FILTER_ADDR_MIN_HIGH</t>
  </si>
  <si>
    <t>00001d28</t>
  </si>
  <si>
    <t>MEM_NOC_MNOC_SF_TPRB_FILTER_ADDR_MAX_LOW</t>
  </si>
  <si>
    <t>00001d2c</t>
  </si>
  <si>
    <t>MEM_NOC_MNOC_SF_TPRB_FILTER_ADDR_MAX_HIGH</t>
  </si>
  <si>
    <t>00001d38</t>
  </si>
  <si>
    <t>MEM_NOC_MNOC_SF_TPRB_FILTER_OPCODE_LOW</t>
  </si>
  <si>
    <t>00001d58</t>
  </si>
  <si>
    <t>MEM_NOC_MNOC_SF_TPRB_FILTER_LOGUSER_BASE_LOW</t>
  </si>
  <si>
    <t>00001d60</t>
  </si>
  <si>
    <t>MEM_NOC_MNOC_SF_TPRB_FILTER_LOGUSER_MASK_LOW</t>
  </si>
  <si>
    <t>00001d68</t>
  </si>
  <si>
    <t>MEM_NOC_MNOC_SF_TPRB_FILTER_DEVICE_BASE_LOW</t>
  </si>
  <si>
    <t>00001d70</t>
  </si>
  <si>
    <t>MEM_NOC_MNOC_SF_TPRB_FILTER_DEVICE_MASK_LOW</t>
  </si>
  <si>
    <t>00001d78</t>
  </si>
  <si>
    <t>MEM_NOC_MNOC_SF_TPRB_FILTER_EXTID_BASE_LOW</t>
  </si>
  <si>
    <t>00001d80</t>
  </si>
  <si>
    <t>MEM_NOC_MNOC_SF_TPRB_FILTER_EXTID_MASK_LOW</t>
  </si>
  <si>
    <t>00001e00</t>
  </si>
  <si>
    <t>MEM_NOC_SNOC_GC_TPRB_SWID_LOW</t>
  </si>
  <si>
    <t>00037A3C</t>
  </si>
  <si>
    <t>00001e04</t>
  </si>
  <si>
    <t>MEM_NOC_SNOC_GC_TPRB_SWID_HIGH</t>
  </si>
  <si>
    <t>00001e08</t>
  </si>
  <si>
    <t>MEM_NOC_SNOC_GC_TPRB_MAINCTL_LOW</t>
  </si>
  <si>
    <t>00001e10</t>
  </si>
  <si>
    <t>MEM_NOC_SNOC_GC_TPRB_DUMPGO_LOW</t>
  </si>
  <si>
    <t>00001e18</t>
  </si>
  <si>
    <t>MEM_NOC_SNOC_GC_TPRB_DUMPTHR_LOW</t>
  </si>
  <si>
    <t>00001e20</t>
  </si>
  <si>
    <t>MEM_NOC_SNOC_GC_TPRB_BIN_LOW</t>
  </si>
  <si>
    <t>00001e28</t>
  </si>
  <si>
    <t>MEM_NOC_SNOC_GC_TPRB_AVLATENCY_LOW</t>
  </si>
  <si>
    <t>00001e2c</t>
  </si>
  <si>
    <t>MEM_NOC_SNOC_GC_TPRB_AVLATENCY_HIGH</t>
  </si>
  <si>
    <t>00001e40</t>
  </si>
  <si>
    <t>MEM_NOC_SNOC_GC_TPRB_HISTBIN0_LOW</t>
  </si>
  <si>
    <t>00001e48</t>
  </si>
  <si>
    <t>MEM_NOC_SNOC_GC_TPRB_HISTBIN1_LOW</t>
  </si>
  <si>
    <t>00001e50</t>
  </si>
  <si>
    <t>MEM_NOC_SNOC_GC_TPRB_HISTBIN2_LOW</t>
  </si>
  <si>
    <t>00001e58</t>
  </si>
  <si>
    <t>MEM_NOC_SNOC_GC_TPRB_HISTBIN3_LOW</t>
  </si>
  <si>
    <t>00001e60</t>
  </si>
  <si>
    <t>MEM_NOC_SNOC_GC_TPRB_HISTBIN4_LOW</t>
  </si>
  <si>
    <t>00001e68</t>
  </si>
  <si>
    <t>MEM_NOC_SNOC_GC_TPRB_HISTBIN5_LOW</t>
  </si>
  <si>
    <t>00001e70</t>
  </si>
  <si>
    <t>MEM_NOC_SNOC_GC_TPRB_HISTBIN6_LOW</t>
  </si>
  <si>
    <t>00001e78</t>
  </si>
  <si>
    <t>MEM_NOC_SNOC_GC_TPRB_HISTBIN7_LOW</t>
  </si>
  <si>
    <t>00001f20</t>
  </si>
  <si>
    <t>MEM_NOC_SNOC_GC_TPRB_FILTER_ADDR_MIN_LOW</t>
  </si>
  <si>
    <t>00001f24</t>
  </si>
  <si>
    <t>MEM_NOC_SNOC_GC_TPRB_FILTER_ADDR_MIN_HIGH</t>
  </si>
  <si>
    <t>00001f28</t>
  </si>
  <si>
    <t>MEM_NOC_SNOC_GC_TPRB_FILTER_ADDR_MAX_LOW</t>
  </si>
  <si>
    <t>00001f2c</t>
  </si>
  <si>
    <t>MEM_NOC_SNOC_GC_TPRB_FILTER_ADDR_MAX_HIGH</t>
  </si>
  <si>
    <t>00001f38</t>
  </si>
  <si>
    <t>MEM_NOC_SNOC_GC_TPRB_FILTER_OPCODE_LOW</t>
  </si>
  <si>
    <t>00001f58</t>
  </si>
  <si>
    <t>MEM_NOC_SNOC_GC_TPRB_FILTER_LOGUSER_BASE_LOW</t>
  </si>
  <si>
    <t>00001f60</t>
  </si>
  <si>
    <t>MEM_NOC_SNOC_GC_TPRB_FILTER_LOGUSER_MASK_LOW</t>
  </si>
  <si>
    <t>00001f68</t>
  </si>
  <si>
    <t>MEM_NOC_SNOC_GC_TPRB_FILTER_DEVICE_BASE_LOW</t>
  </si>
  <si>
    <t>00001f70</t>
  </si>
  <si>
    <t>MEM_NOC_SNOC_GC_TPRB_FILTER_DEVICE_MASK_LOW</t>
  </si>
  <si>
    <t>00001f78</t>
  </si>
  <si>
    <t>MEM_NOC_SNOC_GC_TPRB_FILTER_EXTID_BASE_LOW</t>
  </si>
  <si>
    <t>00001f80</t>
  </si>
  <si>
    <t>MEM_NOC_SNOC_GC_TPRB_FILTER_EXTID_MASK_LOW</t>
  </si>
  <si>
    <t>00002000</t>
  </si>
  <si>
    <t>MEM_NOC_GPU0_TPRB_SWID_LOW</t>
  </si>
  <si>
    <t>00037BC4</t>
  </si>
  <si>
    <t>00002004</t>
  </si>
  <si>
    <t>MEM_NOC_GPU0_TPRB_SWID_HIGH</t>
  </si>
  <si>
    <t>00002008</t>
  </si>
  <si>
    <t>MEM_NOC_GPU0_TPRB_MAINCTL_LOW</t>
  </si>
  <si>
    <t>00002010</t>
  </si>
  <si>
    <t>MEM_NOC_GPU0_TPRB_DUMPGO_LOW</t>
  </si>
  <si>
    <t>00002018</t>
  </si>
  <si>
    <t>MEM_NOC_GPU0_TPRB_DUMPTHR_LOW</t>
  </si>
  <si>
    <t>00002020</t>
  </si>
  <si>
    <t>MEM_NOC_GPU0_TPRB_BIN_LOW</t>
  </si>
  <si>
    <t>00002028</t>
  </si>
  <si>
    <t>MEM_NOC_GPU0_TPRB_AVLATENCY_LOW</t>
  </si>
  <si>
    <t>0000202c</t>
  </si>
  <si>
    <t>MEM_NOC_GPU0_TPRB_AVLATENCY_HIGH</t>
  </si>
  <si>
    <t>00002040</t>
  </si>
  <si>
    <t>MEM_NOC_GPU0_TPRB_HISTBIN0_LOW</t>
  </si>
  <si>
    <t>00002048</t>
  </si>
  <si>
    <t>MEM_NOC_GPU0_TPRB_HISTBIN1_LOW</t>
  </si>
  <si>
    <t>00002050</t>
  </si>
  <si>
    <t>MEM_NOC_GPU0_TPRB_HISTBIN2_LOW</t>
  </si>
  <si>
    <t>00002058</t>
  </si>
  <si>
    <t>MEM_NOC_GPU0_TPRB_HISTBIN3_LOW</t>
  </si>
  <si>
    <t>00002060</t>
  </si>
  <si>
    <t>MEM_NOC_GPU0_TPRB_HISTBIN4_LOW</t>
  </si>
  <si>
    <t>00002068</t>
  </si>
  <si>
    <t>MEM_NOC_GPU0_TPRB_HISTBIN5_LOW</t>
  </si>
  <si>
    <t>00002070</t>
  </si>
  <si>
    <t>MEM_NOC_GPU0_TPRB_HISTBIN6_LOW</t>
  </si>
  <si>
    <t>00002078</t>
  </si>
  <si>
    <t>MEM_NOC_GPU0_TPRB_HISTBIN7_LOW</t>
  </si>
  <si>
    <t>00002120</t>
  </si>
  <si>
    <t>MEM_NOC_GPU0_TPRB_FILTER_ADDR_MIN_LOW</t>
  </si>
  <si>
    <t>00002124</t>
  </si>
  <si>
    <t>MEM_NOC_GPU0_TPRB_FILTER_ADDR_MIN_HIGH</t>
  </si>
  <si>
    <t>00002128</t>
  </si>
  <si>
    <t>MEM_NOC_GPU0_TPRB_FILTER_ADDR_MAX_LOW</t>
  </si>
  <si>
    <t>0000212c</t>
  </si>
  <si>
    <t>MEM_NOC_GPU0_TPRB_FILTER_ADDR_MAX_HIGH</t>
  </si>
  <si>
    <t>00002138</t>
  </si>
  <si>
    <t>MEM_NOC_GPU0_TPRB_FILTER_OPCODE_LOW</t>
  </si>
  <si>
    <t>00002158</t>
  </si>
  <si>
    <t>MEM_NOC_GPU0_TPRB_FILTER_LOGUSER_BASE_LOW</t>
  </si>
  <si>
    <t>00002160</t>
  </si>
  <si>
    <t>MEM_NOC_GPU0_TPRB_FILTER_LOGUSER_MASK_LOW</t>
  </si>
  <si>
    <t>00002168</t>
  </si>
  <si>
    <t>MEM_NOC_GPU0_TPRB_FILTER_DEVICE_BASE_LOW</t>
  </si>
  <si>
    <t>00002170</t>
  </si>
  <si>
    <t>MEM_NOC_GPU0_TPRB_FILTER_DEVICE_MASK_LOW</t>
  </si>
  <si>
    <t>00002178</t>
  </si>
  <si>
    <t>MEM_NOC_GPU0_TPRB_FILTER_EXTID_BASE_LOW</t>
  </si>
  <si>
    <t>00002180</t>
  </si>
  <si>
    <t>MEM_NOC_GPU0_TPRB_FILTER_EXTID_MASK_LOW</t>
  </si>
  <si>
    <t>00002200</t>
  </si>
  <si>
    <t>MEM_NOC_GPU1_TPRB_SWID_LOW</t>
  </si>
  <si>
    <t>00002204</t>
  </si>
  <si>
    <t>MEM_NOC_GPU1_TPRB_SWID_HIGH</t>
  </si>
  <si>
    <t>00002208</t>
  </si>
  <si>
    <t>MEM_NOC_GPU1_TPRB_MAINCTL_LOW</t>
  </si>
  <si>
    <t>00002210</t>
  </si>
  <si>
    <t>MEM_NOC_GPU1_TPRB_DUMPGO_LOW</t>
  </si>
  <si>
    <t>00002218</t>
  </si>
  <si>
    <t>MEM_NOC_GPU1_TPRB_DUMPTHR_LOW</t>
  </si>
  <si>
    <t>00002220</t>
  </si>
  <si>
    <t>MEM_NOC_GPU1_TPRB_BIN_LOW</t>
  </si>
  <si>
    <t>00002228</t>
  </si>
  <si>
    <t>MEM_NOC_GPU1_TPRB_AVLATENCY_LOW</t>
  </si>
  <si>
    <t>0000222c</t>
  </si>
  <si>
    <t>MEM_NOC_GPU1_TPRB_AVLATENCY_HIGH</t>
  </si>
  <si>
    <t>00002240</t>
  </si>
  <si>
    <t>MEM_NOC_GPU1_TPRB_HISTBIN0_LOW</t>
  </si>
  <si>
    <t>00002248</t>
  </si>
  <si>
    <t>MEM_NOC_GPU1_TPRB_HISTBIN1_LOW</t>
  </si>
  <si>
    <t>00002250</t>
  </si>
  <si>
    <t>MEM_NOC_GPU1_TPRB_HISTBIN2_LOW</t>
  </si>
  <si>
    <t>00002258</t>
  </si>
  <si>
    <t>MEM_NOC_GPU1_TPRB_HISTBIN3_LOW</t>
  </si>
  <si>
    <t>00002260</t>
  </si>
  <si>
    <t>MEM_NOC_GPU1_TPRB_HISTBIN4_LOW</t>
  </si>
  <si>
    <t>00002268</t>
  </si>
  <si>
    <t>MEM_NOC_GPU1_TPRB_HISTBIN5_LOW</t>
  </si>
  <si>
    <t>00002270</t>
  </si>
  <si>
    <t>MEM_NOC_GPU1_TPRB_HISTBIN6_LOW</t>
  </si>
  <si>
    <t>00002278</t>
  </si>
  <si>
    <t>MEM_NOC_GPU1_TPRB_HISTBIN7_LOW</t>
  </si>
  <si>
    <t>00002320</t>
  </si>
  <si>
    <t>MEM_NOC_GPU1_TPRB_FILTER_ADDR_MIN_LOW</t>
  </si>
  <si>
    <t>00002324</t>
  </si>
  <si>
    <t>MEM_NOC_GPU1_TPRB_FILTER_ADDR_MIN_HIGH</t>
  </si>
  <si>
    <t>00002328</t>
  </si>
  <si>
    <t>MEM_NOC_GPU1_TPRB_FILTER_ADDR_MAX_LOW</t>
  </si>
  <si>
    <t>0000232c</t>
  </si>
  <si>
    <t>MEM_NOC_GPU1_TPRB_FILTER_ADDR_MAX_HIGH</t>
  </si>
  <si>
    <t>00002338</t>
  </si>
  <si>
    <t>MEM_NOC_GPU1_TPRB_FILTER_OPCODE_LOW</t>
  </si>
  <si>
    <t>00002358</t>
  </si>
  <si>
    <t>MEM_NOC_GPU1_TPRB_FILTER_LOGUSER_BASE_LOW</t>
  </si>
  <si>
    <t>00002360</t>
  </si>
  <si>
    <t>MEM_NOC_GPU1_TPRB_FILTER_LOGUSER_MASK_LOW</t>
  </si>
  <si>
    <t>00002368</t>
  </si>
  <si>
    <t>MEM_NOC_GPU1_TPRB_FILTER_DEVICE_BASE_LOW</t>
  </si>
  <si>
    <t>00002370</t>
  </si>
  <si>
    <t>MEM_NOC_GPU1_TPRB_FILTER_DEVICE_MASK_LOW</t>
  </si>
  <si>
    <t>00002378</t>
  </si>
  <si>
    <t>MEM_NOC_GPU1_TPRB_FILTER_EXTID_BASE_LOW</t>
  </si>
  <si>
    <t>00002380</t>
  </si>
  <si>
    <t>MEM_NOC_GPU1_TPRB_FILTER_EXTID_MASK_LOW</t>
  </si>
  <si>
    <t>00002400</t>
  </si>
  <si>
    <t>MEM_NOC_SNOC_SF_TPRB_SWID_LOW</t>
  </si>
  <si>
    <t>00033B6B</t>
  </si>
  <si>
    <t>00002404</t>
  </si>
  <si>
    <t>MEM_NOC_SNOC_SF_TPRB_SWID_HIGH</t>
  </si>
  <si>
    <t>00002408</t>
  </si>
  <si>
    <t>MEM_NOC_SNOC_SF_TPRB_MAINCTL_LOW</t>
  </si>
  <si>
    <t>00002410</t>
  </si>
  <si>
    <t>MEM_NOC_SNOC_SF_TPRB_DUMPGO_LOW</t>
  </si>
  <si>
    <t>00002418</t>
  </si>
  <si>
    <t>MEM_NOC_SNOC_SF_TPRB_DUMPTHR_LOW</t>
  </si>
  <si>
    <t>00002420</t>
  </si>
  <si>
    <t>MEM_NOC_SNOC_SF_TPRB_BIN_LOW</t>
  </si>
  <si>
    <t>00002428</t>
  </si>
  <si>
    <t>MEM_NOC_SNOC_SF_TPRB_AVLATENCY_LOW</t>
  </si>
  <si>
    <t>0000242c</t>
  </si>
  <si>
    <t>MEM_NOC_SNOC_SF_TPRB_AVLATENCY_HIGH</t>
  </si>
  <si>
    <t>00002440</t>
  </si>
  <si>
    <t>MEM_NOC_SNOC_SF_TPRB_HISTBIN0_LOW</t>
  </si>
  <si>
    <t>00002448</t>
  </si>
  <si>
    <t>MEM_NOC_SNOC_SF_TPRB_HISTBIN1_LOW</t>
  </si>
  <si>
    <t>00002450</t>
  </si>
  <si>
    <t>MEM_NOC_SNOC_SF_TPRB_HISTBIN2_LOW</t>
  </si>
  <si>
    <t>00002458</t>
  </si>
  <si>
    <t>MEM_NOC_SNOC_SF_TPRB_HISTBIN3_LOW</t>
  </si>
  <si>
    <t>00002460</t>
  </si>
  <si>
    <t>MEM_NOC_SNOC_SF_TPRB_HISTBIN4_LOW</t>
  </si>
  <si>
    <t>00002468</t>
  </si>
  <si>
    <t>MEM_NOC_SNOC_SF_TPRB_HISTBIN5_LOW</t>
  </si>
  <si>
    <t>00002470</t>
  </si>
  <si>
    <t>MEM_NOC_SNOC_SF_TPRB_HISTBIN6_LOW</t>
  </si>
  <si>
    <t>00002478</t>
  </si>
  <si>
    <t>MEM_NOC_SNOC_SF_TPRB_HISTBIN7_LOW</t>
  </si>
  <si>
    <t>00002520</t>
  </si>
  <si>
    <t>MEM_NOC_SNOC_SF_TPRB_FILTER_ADDR_MIN_LOW</t>
  </si>
  <si>
    <t>00002524</t>
  </si>
  <si>
    <t>MEM_NOC_SNOC_SF_TPRB_FILTER_ADDR_MIN_HIGH</t>
  </si>
  <si>
    <t>00002528</t>
  </si>
  <si>
    <t>MEM_NOC_SNOC_SF_TPRB_FILTER_ADDR_MAX_LOW</t>
  </si>
  <si>
    <t>0000252c</t>
  </si>
  <si>
    <t>MEM_NOC_SNOC_SF_TPRB_FILTER_ADDR_MAX_HIGH</t>
  </si>
  <si>
    <t>00002538</t>
  </si>
  <si>
    <t>MEM_NOC_SNOC_SF_TPRB_FILTER_OPCODE_LOW</t>
  </si>
  <si>
    <t>00002558</t>
  </si>
  <si>
    <t>MEM_NOC_SNOC_SF_TPRB_FILTER_LOGUSER_BASE_LOW</t>
  </si>
  <si>
    <t>00002560</t>
  </si>
  <si>
    <t>MEM_NOC_SNOC_SF_TPRB_FILTER_LOGUSER_MASK_LOW</t>
  </si>
  <si>
    <t>00002568</t>
  </si>
  <si>
    <t>MEM_NOC_SNOC_SF_TPRB_FILTER_DEVICE_BASE_LOW</t>
  </si>
  <si>
    <t>00002570</t>
  </si>
  <si>
    <t>MEM_NOC_SNOC_SF_TPRB_FILTER_DEVICE_MASK_LOW</t>
  </si>
  <si>
    <t>00002578</t>
  </si>
  <si>
    <t>MEM_NOC_SNOC_SF_TPRB_FILTER_EXTID_BASE_LOW</t>
  </si>
  <si>
    <t>00002580</t>
  </si>
  <si>
    <t>MEM_NOC_SNOC_SF_TPRB_FILTER_EXTID_MASK_LOW</t>
  </si>
  <si>
    <t>00002600</t>
  </si>
  <si>
    <t>MEM_NOC_MDSP_TPRB_SWID_LOW</t>
  </si>
  <si>
    <t>0003D8FC</t>
  </si>
  <si>
    <t>00002604</t>
  </si>
  <si>
    <t>MEM_NOC_MDSP_TPRB_SWID_HIGH</t>
  </si>
  <si>
    <t>00002608</t>
  </si>
  <si>
    <t>MEM_NOC_MDSP_TPRB_MAINCTL_LOW</t>
  </si>
  <si>
    <t>00002610</t>
  </si>
  <si>
    <t>MEM_NOC_MDSP_TPRB_DUMPGO_LOW</t>
  </si>
  <si>
    <t>00002618</t>
  </si>
  <si>
    <t>MEM_NOC_MDSP_TPRB_DUMPTHR_LOW</t>
  </si>
  <si>
    <t>00002620</t>
  </si>
  <si>
    <t>MEM_NOC_MDSP_TPRB_BIN_LOW</t>
  </si>
  <si>
    <t>00002628</t>
  </si>
  <si>
    <t>MEM_NOC_MDSP_TPRB_AVLATENCY_LOW</t>
  </si>
  <si>
    <t>0000262c</t>
  </si>
  <si>
    <t>MEM_NOC_MDSP_TPRB_AVLATENCY_HIGH</t>
  </si>
  <si>
    <t>00002640</t>
  </si>
  <si>
    <t>MEM_NOC_MDSP_TPRB_HISTBIN0_LOW</t>
  </si>
  <si>
    <t>00002648</t>
  </si>
  <si>
    <t>MEM_NOC_MDSP_TPRB_HISTBIN1_LOW</t>
  </si>
  <si>
    <t>00002650</t>
  </si>
  <si>
    <t>MEM_NOC_MDSP_TPRB_HISTBIN2_LOW</t>
  </si>
  <si>
    <t>00002658</t>
  </si>
  <si>
    <t>MEM_NOC_MDSP_TPRB_HISTBIN3_LOW</t>
  </si>
  <si>
    <t>00002660</t>
  </si>
  <si>
    <t>MEM_NOC_MDSP_TPRB_HISTBIN4_LOW</t>
  </si>
  <si>
    <t>00002668</t>
  </si>
  <si>
    <t>MEM_NOC_MDSP_TPRB_HISTBIN5_LOW</t>
  </si>
  <si>
    <t>00002670</t>
  </si>
  <si>
    <t>MEM_NOC_MDSP_TPRB_HISTBIN6_LOW</t>
  </si>
  <si>
    <t>00002678</t>
  </si>
  <si>
    <t>MEM_NOC_MDSP_TPRB_HISTBIN7_LOW</t>
  </si>
  <si>
    <t>00002720</t>
  </si>
  <si>
    <t>MEM_NOC_MDSP_TPRB_FILTER_ADDR_MIN_LOW</t>
  </si>
  <si>
    <t>00002724</t>
  </si>
  <si>
    <t>MEM_NOC_MDSP_TPRB_FILTER_ADDR_MIN_HIGH</t>
  </si>
  <si>
    <t>00002728</t>
  </si>
  <si>
    <t>MEM_NOC_MDSP_TPRB_FILTER_ADDR_MAX_LOW</t>
  </si>
  <si>
    <t>0000272c</t>
  </si>
  <si>
    <t>MEM_NOC_MDSP_TPRB_FILTER_ADDR_MAX_HIGH</t>
  </si>
  <si>
    <t>00002738</t>
  </si>
  <si>
    <t>MEM_NOC_MDSP_TPRB_FILTER_OPCODE_LOW</t>
  </si>
  <si>
    <t>00002758</t>
  </si>
  <si>
    <t>MEM_NOC_MDSP_TPRB_FILTER_LOGUSER_BASE_LOW</t>
  </si>
  <si>
    <t>00002760</t>
  </si>
  <si>
    <t>MEM_NOC_MDSP_TPRB_FILTER_LOGUSER_MASK_LOW</t>
  </si>
  <si>
    <t>00002768</t>
  </si>
  <si>
    <t>MEM_NOC_MDSP_TPRB_FILTER_DEVICE_BASE_LOW</t>
  </si>
  <si>
    <t>00002770</t>
  </si>
  <si>
    <t>MEM_NOC_MDSP_TPRB_FILTER_DEVICE_MASK_LOW</t>
  </si>
  <si>
    <t>00002778</t>
  </si>
  <si>
    <t>MEM_NOC_MDSP_TPRB_FILTER_EXTID_BASE_LOW</t>
  </si>
  <si>
    <t>00002780</t>
  </si>
  <si>
    <t>MEM_NOC_MDSP_TPRB_FILTER_EXTID_MASK_LOW</t>
  </si>
  <si>
    <t>00003000</t>
  </si>
  <si>
    <t>MEM_NOC_SNOC_EVENT_PROBE_SWID_LOW</t>
  </si>
  <si>
    <t>0012C5D7</t>
  </si>
  <si>
    <t>00003004</t>
  </si>
  <si>
    <t>MEM_NOC_SNOC_EVENT_PROBE_SWID_HIGH</t>
  </si>
  <si>
    <t>00003008</t>
  </si>
  <si>
    <t>MEM_NOC_SNOC_EVENT_PROBE_MAINCTL_LOW</t>
  </si>
  <si>
    <t>00003010</t>
  </si>
  <si>
    <t>MEM_NOC_SNOC_EVENT_PROBE_ALARM_EN_LOW</t>
  </si>
  <si>
    <t>00003018</t>
  </si>
  <si>
    <t>MEM_NOC_SNOC_EVENT_PROBE_ALARM_STATUS_LOW</t>
  </si>
  <si>
    <t>00003020</t>
  </si>
  <si>
    <t>MEM_NOC_SNOC_EVENT_PROBE_ALARM_CLR_LOW</t>
  </si>
  <si>
    <t>00003028</t>
  </si>
  <si>
    <t>MEM_NOC_SNOC_EVENT_PROBE_ANDINV_LOW</t>
  </si>
  <si>
    <t>00003100</t>
  </si>
  <si>
    <t>MEM_NOC_SNOC_EVENT_PROBE_FILTERS_0_PATH_BASE_LOW</t>
  </si>
  <si>
    <t>00003108</t>
  </si>
  <si>
    <t>MEM_NOC_SNOC_EVENT_PROBE_FILTERS_0_PATH_MASK_LOW</t>
  </si>
  <si>
    <t>00003120</t>
  </si>
  <si>
    <t>MEM_NOC_SNOC_EVENT_PROBE_FILTERS_0_ADDR_MIN_LOW</t>
  </si>
  <si>
    <t>00003124</t>
  </si>
  <si>
    <t>MEM_NOC_SNOC_EVENT_PROBE_FILTERS_0_ADDR_MIN_HIGH</t>
  </si>
  <si>
    <t>00003128</t>
  </si>
  <si>
    <t>MEM_NOC_SNOC_EVENT_PROBE_FILTERS_0_ADDR_MAX_LOW</t>
  </si>
  <si>
    <t>0000312c</t>
  </si>
  <si>
    <t>MEM_NOC_SNOC_EVENT_PROBE_FILTERS_0_ADDR_MAX_HIGH</t>
  </si>
  <si>
    <t>00003138</t>
  </si>
  <si>
    <t>MEM_NOC_SNOC_EVENT_PROBE_FILTERS_0_OPCODE_LOW</t>
  </si>
  <si>
    <t>00003140</t>
  </si>
  <si>
    <t>MEM_NOC_SNOC_EVENT_PROBE_FILTERS_0_STATUS_LOW</t>
  </si>
  <si>
    <t>00003158</t>
  </si>
  <si>
    <t>MEM_NOC_SNOC_EVENT_PROBE_FILTERS_0_LOGUSER_BASE_LOW</t>
  </si>
  <si>
    <t>00003160</t>
  </si>
  <si>
    <t>MEM_NOC_SNOC_EVENT_PROBE_FILTERS_0_LOGUSER_MASK_LOW</t>
  </si>
  <si>
    <t>00003168</t>
  </si>
  <si>
    <t>MEM_NOC_SNOC_EVENT_PROBE_FILTERS_0_DEVICE_BASE_LOW</t>
  </si>
  <si>
    <t>00003170</t>
  </si>
  <si>
    <t>MEM_NOC_SNOC_EVENT_PROBE_FILTERS_0_DEVICE_MASK_LOW</t>
  </si>
  <si>
    <t>00003178</t>
  </si>
  <si>
    <t>MEM_NOC_SNOC_EVENT_PROBE_FILTERS_0_EXTID_BASE_LOW</t>
  </si>
  <si>
    <t>00003180</t>
  </si>
  <si>
    <t>MEM_NOC_SNOC_EVENT_PROBE_FILTERS_0_EXTID_MASK_LOW</t>
  </si>
  <si>
    <t>00003188</t>
  </si>
  <si>
    <t>MEM_NOC_SNOC_EVENT_PROBE_FILTERS_0_LENGTH_LOW</t>
  </si>
  <si>
    <t>00003200</t>
  </si>
  <si>
    <t>MEM_NOC_SNOC_EVENT_PROBE_FILTERS_1_PATH_BASE_LOW</t>
  </si>
  <si>
    <t>00003208</t>
  </si>
  <si>
    <t>MEM_NOC_SNOC_EVENT_PROBE_FILTERS_1_PATH_MASK_LOW</t>
  </si>
  <si>
    <t>00003220</t>
  </si>
  <si>
    <t>MEM_NOC_SNOC_EVENT_PROBE_FILTERS_1_ADDR_MIN_LOW</t>
  </si>
  <si>
    <t>00003224</t>
  </si>
  <si>
    <t>MEM_NOC_SNOC_EVENT_PROBE_FILTERS_1_ADDR_MIN_HIGH</t>
  </si>
  <si>
    <t>00003228</t>
  </si>
  <si>
    <t>MEM_NOC_SNOC_EVENT_PROBE_FILTERS_1_ADDR_MAX_LOW</t>
  </si>
  <si>
    <t>0000322c</t>
  </si>
  <si>
    <t>MEM_NOC_SNOC_EVENT_PROBE_FILTERS_1_ADDR_MAX_HIGH</t>
  </si>
  <si>
    <t>00003238</t>
  </si>
  <si>
    <t>MEM_NOC_SNOC_EVENT_PROBE_FILTERS_1_OPCODE_LOW</t>
  </si>
  <si>
    <t>00003240</t>
  </si>
  <si>
    <t>MEM_NOC_SNOC_EVENT_PROBE_FILTERS_1_STATUS_LOW</t>
  </si>
  <si>
    <t>00003258</t>
  </si>
  <si>
    <t>MEM_NOC_SNOC_EVENT_PROBE_FILTERS_1_LOGUSER_BASE_LOW</t>
  </si>
  <si>
    <t>00003260</t>
  </si>
  <si>
    <t>MEM_NOC_SNOC_EVENT_PROBE_FILTERS_1_LOGUSER_MASK_LOW</t>
  </si>
  <si>
    <t>00003268</t>
  </si>
  <si>
    <t>MEM_NOC_SNOC_EVENT_PROBE_FILTERS_1_DEVICE_BASE_LOW</t>
  </si>
  <si>
    <t>00003270</t>
  </si>
  <si>
    <t>MEM_NOC_SNOC_EVENT_PROBE_FILTERS_1_DEVICE_MASK_LOW</t>
  </si>
  <si>
    <t>00003278</t>
  </si>
  <si>
    <t>MEM_NOC_SNOC_EVENT_PROBE_FILTERS_1_EXTID_BASE_LOW</t>
  </si>
  <si>
    <t>00003280</t>
  </si>
  <si>
    <t>MEM_NOC_SNOC_EVENT_PROBE_FILTERS_1_EXTID_MASK_LOW</t>
  </si>
  <si>
    <t>00003288</t>
  </si>
  <si>
    <t>MEM_NOC_SNOC_EVENT_PROBE_FILTERS_1_LENGTH_LOW</t>
  </si>
  <si>
    <t>00003300</t>
  </si>
  <si>
    <t>MEM_NOC_SNOC_EVENT_PROBE_FILTERS_2_PATH_BASE_LOW</t>
  </si>
  <si>
    <t>00003308</t>
  </si>
  <si>
    <t>MEM_NOC_SNOC_EVENT_PROBE_FILTERS_2_PATH_MASK_LOW</t>
  </si>
  <si>
    <t>00003320</t>
  </si>
  <si>
    <t>MEM_NOC_SNOC_EVENT_PROBE_FILTERS_2_ADDR_MIN_LOW</t>
  </si>
  <si>
    <t>00003324</t>
  </si>
  <si>
    <t>MEM_NOC_SNOC_EVENT_PROBE_FILTERS_2_ADDR_MIN_HIGH</t>
  </si>
  <si>
    <t>00003328</t>
  </si>
  <si>
    <t>MEM_NOC_SNOC_EVENT_PROBE_FILTERS_2_ADDR_MAX_LOW</t>
  </si>
  <si>
    <t>0000332c</t>
  </si>
  <si>
    <t>MEM_NOC_SNOC_EVENT_PROBE_FILTERS_2_ADDR_MAX_HIGH</t>
  </si>
  <si>
    <t>00003338</t>
  </si>
  <si>
    <t>MEM_NOC_SNOC_EVENT_PROBE_FILTERS_2_OPCODE_LOW</t>
  </si>
  <si>
    <t>00003340</t>
  </si>
  <si>
    <t>MEM_NOC_SNOC_EVENT_PROBE_FILTERS_2_STATUS_LOW</t>
  </si>
  <si>
    <t>00003358</t>
  </si>
  <si>
    <t>MEM_NOC_SNOC_EVENT_PROBE_FILTERS_2_LOGUSER_BASE_LOW</t>
  </si>
  <si>
    <t>00003360</t>
  </si>
  <si>
    <t>MEM_NOC_SNOC_EVENT_PROBE_FILTERS_2_LOGUSER_MASK_LOW</t>
  </si>
  <si>
    <t>00003368</t>
  </si>
  <si>
    <t>MEM_NOC_SNOC_EVENT_PROBE_FILTERS_2_DEVICE_BASE_LOW</t>
  </si>
  <si>
    <t>00003370</t>
  </si>
  <si>
    <t>MEM_NOC_SNOC_EVENT_PROBE_FILTERS_2_DEVICE_MASK_LOW</t>
  </si>
  <si>
    <t>00003378</t>
  </si>
  <si>
    <t>MEM_NOC_SNOC_EVENT_PROBE_FILTERS_2_EXTID_BASE_LOW</t>
  </si>
  <si>
    <t>00003380</t>
  </si>
  <si>
    <t>MEM_NOC_SNOC_EVENT_PROBE_FILTERS_2_EXTID_MASK_LOW</t>
  </si>
  <si>
    <t>00003388</t>
  </si>
  <si>
    <t>MEM_NOC_SNOC_EVENT_PROBE_FILTERS_2_LENGTH_LOW</t>
  </si>
  <si>
    <t>00003400</t>
  </si>
  <si>
    <t>MEM_NOC_SNOC_EVENT_PROBE_FILTERS_3_PATH_BASE_LOW</t>
  </si>
  <si>
    <t>00003408</t>
  </si>
  <si>
    <t>MEM_NOC_SNOC_EVENT_PROBE_FILTERS_3_PATH_MASK_LOW</t>
  </si>
  <si>
    <t>00003420</t>
  </si>
  <si>
    <t>MEM_NOC_SNOC_EVENT_PROBE_FILTERS_3_ADDR_MIN_LOW</t>
  </si>
  <si>
    <t>00003424</t>
  </si>
  <si>
    <t>MEM_NOC_SNOC_EVENT_PROBE_FILTERS_3_ADDR_MIN_HIGH</t>
  </si>
  <si>
    <t>00003428</t>
  </si>
  <si>
    <t>MEM_NOC_SNOC_EVENT_PROBE_FILTERS_3_ADDR_MAX_LOW</t>
  </si>
  <si>
    <t>0000342c</t>
  </si>
  <si>
    <t>MEM_NOC_SNOC_EVENT_PROBE_FILTERS_3_ADDR_MAX_HIGH</t>
  </si>
  <si>
    <t>00003438</t>
  </si>
  <si>
    <t>MEM_NOC_SNOC_EVENT_PROBE_FILTERS_3_OPCODE_LOW</t>
  </si>
  <si>
    <t>00003440</t>
  </si>
  <si>
    <t>MEM_NOC_SNOC_EVENT_PROBE_FILTERS_3_STATUS_LOW</t>
  </si>
  <si>
    <t>00003458</t>
  </si>
  <si>
    <t>MEM_NOC_SNOC_EVENT_PROBE_FILTERS_3_LOGUSER_BASE_LOW</t>
  </si>
  <si>
    <t>00003460</t>
  </si>
  <si>
    <t>MEM_NOC_SNOC_EVENT_PROBE_FILTERS_3_LOGUSER_MASK_LOW</t>
  </si>
  <si>
    <t>00003468</t>
  </si>
  <si>
    <t>MEM_NOC_SNOC_EVENT_PROBE_FILTERS_3_DEVICE_BASE_LOW</t>
  </si>
  <si>
    <t>00003470</t>
  </si>
  <si>
    <t>MEM_NOC_SNOC_EVENT_PROBE_FILTERS_3_DEVICE_MASK_LOW</t>
  </si>
  <si>
    <t>00003478</t>
  </si>
  <si>
    <t>MEM_NOC_SNOC_EVENT_PROBE_FILTERS_3_EXTID_BASE_LOW</t>
  </si>
  <si>
    <t>00003480</t>
  </si>
  <si>
    <t>MEM_NOC_SNOC_EVENT_PROBE_FILTERS_3_EXTID_MASK_LOW</t>
  </si>
  <si>
    <t>00003488</t>
  </si>
  <si>
    <t>MEM_NOC_SNOC_EVENT_PROBE_FILTERS_3_LENGTH_LOW</t>
  </si>
  <si>
    <t>00003800</t>
  </si>
  <si>
    <t>MEM_NOC_APPS_IO_EVENT_PROBE_SWID_LOW</t>
  </si>
  <si>
    <t>0012C297</t>
  </si>
  <si>
    <t>00003804</t>
  </si>
  <si>
    <t>MEM_NOC_APPS_IO_EVENT_PROBE_SWID_HIGH</t>
  </si>
  <si>
    <t>00003808</t>
  </si>
  <si>
    <t>MEM_NOC_APPS_IO_EVENT_PROBE_MAINCTL_LOW</t>
  </si>
  <si>
    <t>00003810</t>
  </si>
  <si>
    <t>MEM_NOC_APPS_IO_EVENT_PROBE_ALARM_EN_LOW</t>
  </si>
  <si>
    <t>00003818</t>
  </si>
  <si>
    <t>MEM_NOC_APPS_IO_EVENT_PROBE_ALARM_STATUS_LOW</t>
  </si>
  <si>
    <t>00003820</t>
  </si>
  <si>
    <t>MEM_NOC_APPS_IO_EVENT_PROBE_ALARM_CLR_LOW</t>
  </si>
  <si>
    <t>00003828</t>
  </si>
  <si>
    <t>MEM_NOC_APPS_IO_EVENT_PROBE_ANDINV_LOW</t>
  </si>
  <si>
    <t>00003900</t>
  </si>
  <si>
    <t>MEM_NOC_APPS_IO_EVENT_PROBE_FILTERS_0_PATH_BASE_LOW</t>
  </si>
  <si>
    <t>00003908</t>
  </si>
  <si>
    <t>MEM_NOC_APPS_IO_EVENT_PROBE_FILTERS_0_PATH_MASK_LOW</t>
  </si>
  <si>
    <t>00003920</t>
  </si>
  <si>
    <t>MEM_NOC_APPS_IO_EVENT_PROBE_FILTERS_0_ADDR_MIN_LOW</t>
  </si>
  <si>
    <t>00003924</t>
  </si>
  <si>
    <t>MEM_NOC_APPS_IO_EVENT_PROBE_FILTERS_0_ADDR_MIN_HIGH</t>
  </si>
  <si>
    <t>00003928</t>
  </si>
  <si>
    <t>MEM_NOC_APPS_IO_EVENT_PROBE_FILTERS_0_ADDR_MAX_LOW</t>
  </si>
  <si>
    <t>0000392c</t>
  </si>
  <si>
    <t>MEM_NOC_APPS_IO_EVENT_PROBE_FILTERS_0_ADDR_MAX_HIGH</t>
  </si>
  <si>
    <t>00003938</t>
  </si>
  <si>
    <t>MEM_NOC_APPS_IO_EVENT_PROBE_FILTERS_0_OPCODE_LOW</t>
  </si>
  <si>
    <t>00003940</t>
  </si>
  <si>
    <t>MEM_NOC_APPS_IO_EVENT_PROBE_FILTERS_0_STATUS_LOW</t>
  </si>
  <si>
    <t>00003958</t>
  </si>
  <si>
    <t>MEM_NOC_APPS_IO_EVENT_PROBE_FILTERS_0_LOGUSER_BASE_LOW</t>
  </si>
  <si>
    <t>00003960</t>
  </si>
  <si>
    <t>MEM_NOC_APPS_IO_EVENT_PROBE_FILTERS_0_LOGUSER_MASK_LOW</t>
  </si>
  <si>
    <t>00003978</t>
  </si>
  <si>
    <t>MEM_NOC_APPS_IO_EVENT_PROBE_FILTERS_0_EXTID_BASE_LOW</t>
  </si>
  <si>
    <t>00003980</t>
  </si>
  <si>
    <t>MEM_NOC_APPS_IO_EVENT_PROBE_FILTERS_0_EXTID_MASK_LOW</t>
  </si>
  <si>
    <t>00003988</t>
  </si>
  <si>
    <t>MEM_NOC_APPS_IO_EVENT_PROBE_FILTERS_0_LENGTH_LOW</t>
  </si>
  <si>
    <t>00003a00</t>
  </si>
  <si>
    <t>MEM_NOC_APPS_IO_EVENT_PROBE_FILTERS_1_PATH_BASE_LOW</t>
  </si>
  <si>
    <t>00003a08</t>
  </si>
  <si>
    <t>MEM_NOC_APPS_IO_EVENT_PROBE_FILTERS_1_PATH_MASK_LOW</t>
  </si>
  <si>
    <t>00003a20</t>
  </si>
  <si>
    <t>MEM_NOC_APPS_IO_EVENT_PROBE_FILTERS_1_ADDR_MIN_LOW</t>
  </si>
  <si>
    <t>00003a24</t>
  </si>
  <si>
    <t>MEM_NOC_APPS_IO_EVENT_PROBE_FILTERS_1_ADDR_MIN_HIGH</t>
  </si>
  <si>
    <t>00003a28</t>
  </si>
  <si>
    <t>MEM_NOC_APPS_IO_EVENT_PROBE_FILTERS_1_ADDR_MAX_LOW</t>
  </si>
  <si>
    <t>00003a2c</t>
  </si>
  <si>
    <t>MEM_NOC_APPS_IO_EVENT_PROBE_FILTERS_1_ADDR_MAX_HIGH</t>
  </si>
  <si>
    <t>00003a38</t>
  </si>
  <si>
    <t>MEM_NOC_APPS_IO_EVENT_PROBE_FILTERS_1_OPCODE_LOW</t>
  </si>
  <si>
    <t>00003a40</t>
  </si>
  <si>
    <t>MEM_NOC_APPS_IO_EVENT_PROBE_FILTERS_1_STATUS_LOW</t>
  </si>
  <si>
    <t>00003a58</t>
  </si>
  <si>
    <t>MEM_NOC_APPS_IO_EVENT_PROBE_FILTERS_1_LOGUSER_BASE_LOW</t>
  </si>
  <si>
    <t>00003a60</t>
  </si>
  <si>
    <t>MEM_NOC_APPS_IO_EVENT_PROBE_FILTERS_1_LOGUSER_MASK_LOW</t>
  </si>
  <si>
    <t>00003a78</t>
  </si>
  <si>
    <t>MEM_NOC_APPS_IO_EVENT_PROBE_FILTERS_1_EXTID_BASE_LOW</t>
  </si>
  <si>
    <t>00003a80</t>
  </si>
  <si>
    <t>MEM_NOC_APPS_IO_EVENT_PROBE_FILTERS_1_EXTID_MASK_LOW</t>
  </si>
  <si>
    <t>00003a88</t>
  </si>
  <si>
    <t>MEM_NOC_APPS_IO_EVENT_PROBE_FILTERS_1_LENGTH_LOW</t>
  </si>
  <si>
    <t>00003b00</t>
  </si>
  <si>
    <t>MEM_NOC_APPS_IO_EVENT_PROBE_FILTERS_2_PATH_BASE_LOW</t>
  </si>
  <si>
    <t>00003b08</t>
  </si>
  <si>
    <t>MEM_NOC_APPS_IO_EVENT_PROBE_FILTERS_2_PATH_MASK_LOW</t>
  </si>
  <si>
    <t>00003b20</t>
  </si>
  <si>
    <t>MEM_NOC_APPS_IO_EVENT_PROBE_FILTERS_2_ADDR_MIN_LOW</t>
  </si>
  <si>
    <t>00003b24</t>
  </si>
  <si>
    <t>MEM_NOC_APPS_IO_EVENT_PROBE_FILTERS_2_ADDR_MIN_HIGH</t>
  </si>
  <si>
    <t>00003b28</t>
  </si>
  <si>
    <t>MEM_NOC_APPS_IO_EVENT_PROBE_FILTERS_2_ADDR_MAX_LOW</t>
  </si>
  <si>
    <t>00003b2c</t>
  </si>
  <si>
    <t>MEM_NOC_APPS_IO_EVENT_PROBE_FILTERS_2_ADDR_MAX_HIGH</t>
  </si>
  <si>
    <t>00003b38</t>
  </si>
  <si>
    <t>MEM_NOC_APPS_IO_EVENT_PROBE_FILTERS_2_OPCODE_LOW</t>
  </si>
  <si>
    <t>00003b40</t>
  </si>
  <si>
    <t>MEM_NOC_APPS_IO_EVENT_PROBE_FILTERS_2_STATUS_LOW</t>
  </si>
  <si>
    <t>00003b58</t>
  </si>
  <si>
    <t>MEM_NOC_APPS_IO_EVENT_PROBE_FILTERS_2_LOGUSER_BASE_LOW</t>
  </si>
  <si>
    <t>00003b60</t>
  </si>
  <si>
    <t>MEM_NOC_APPS_IO_EVENT_PROBE_FILTERS_2_LOGUSER_MASK_LOW</t>
  </si>
  <si>
    <t>00003b78</t>
  </si>
  <si>
    <t>MEM_NOC_APPS_IO_EVENT_PROBE_FILTERS_2_EXTID_BASE_LOW</t>
  </si>
  <si>
    <t>00003b80</t>
  </si>
  <si>
    <t>MEM_NOC_APPS_IO_EVENT_PROBE_FILTERS_2_EXTID_MASK_LOW</t>
  </si>
  <si>
    <t>00003b88</t>
  </si>
  <si>
    <t>MEM_NOC_APPS_IO_EVENT_PROBE_FILTERS_2_LENGTH_LOW</t>
  </si>
  <si>
    <t>00003c00</t>
  </si>
  <si>
    <t>MEM_NOC_APPS_IO_EVENT_PROBE_FILTERS_3_PATH_BASE_LOW</t>
  </si>
  <si>
    <t>00003c08</t>
  </si>
  <si>
    <t>MEM_NOC_APPS_IO_EVENT_PROBE_FILTERS_3_PATH_MASK_LOW</t>
  </si>
  <si>
    <t>00003c20</t>
  </si>
  <si>
    <t>MEM_NOC_APPS_IO_EVENT_PROBE_FILTERS_3_ADDR_MIN_LOW</t>
  </si>
  <si>
    <t>00003c24</t>
  </si>
  <si>
    <t>MEM_NOC_APPS_IO_EVENT_PROBE_FILTERS_3_ADDR_MIN_HIGH</t>
  </si>
  <si>
    <t>00003c28</t>
  </si>
  <si>
    <t>MEM_NOC_APPS_IO_EVENT_PROBE_FILTERS_3_ADDR_MAX_LOW</t>
  </si>
  <si>
    <t>00003c2c</t>
  </si>
  <si>
    <t>MEM_NOC_APPS_IO_EVENT_PROBE_FILTERS_3_ADDR_MAX_HIGH</t>
  </si>
  <si>
    <t>00003c38</t>
  </si>
  <si>
    <t>MEM_NOC_APPS_IO_EVENT_PROBE_FILTERS_3_OPCODE_LOW</t>
  </si>
  <si>
    <t>00003c40</t>
  </si>
  <si>
    <t>MEM_NOC_APPS_IO_EVENT_PROBE_FILTERS_3_STATUS_LOW</t>
  </si>
  <si>
    <t>00003c58</t>
  </si>
  <si>
    <t>MEM_NOC_APPS_IO_EVENT_PROBE_FILTERS_3_LOGUSER_BASE_LOW</t>
  </si>
  <si>
    <t>00003c60</t>
  </si>
  <si>
    <t>MEM_NOC_APPS_IO_EVENT_PROBE_FILTERS_3_LOGUSER_MASK_LOW</t>
  </si>
  <si>
    <t>00003c78</t>
  </si>
  <si>
    <t>MEM_NOC_APPS_IO_EVENT_PROBE_FILTERS_3_EXTID_BASE_LOW</t>
  </si>
  <si>
    <t>00003c80</t>
  </si>
  <si>
    <t>MEM_NOC_APPS_IO_EVENT_PROBE_FILTERS_3_EXTID_MASK_LOW</t>
  </si>
  <si>
    <t>00003c88</t>
  </si>
  <si>
    <t>MEM_NOC_APPS_IO_EVENT_PROBE_FILTERS_3_LENGTH_LOW</t>
  </si>
  <si>
    <t>MEM_NOC_LLCC0_EVENT_PROBE_SWID_LOW</t>
  </si>
  <si>
    <t>0012E36E</t>
  </si>
  <si>
    <t>00004004</t>
  </si>
  <si>
    <t>MEM_NOC_LLCC0_EVENT_PROBE_SWID_HIGH</t>
  </si>
  <si>
    <t>00004008</t>
  </si>
  <si>
    <t>MEM_NOC_LLCC0_EVENT_PROBE_MAINCTL_LOW</t>
  </si>
  <si>
    <t>00004010</t>
  </si>
  <si>
    <t>MEM_NOC_LLCC0_EVENT_PROBE_ALARM_EN_LOW</t>
  </si>
  <si>
    <t>00004018</t>
  </si>
  <si>
    <t>MEM_NOC_LLCC0_EVENT_PROBE_ALARM_STATUS_LOW</t>
  </si>
  <si>
    <t>00004020</t>
  </si>
  <si>
    <t>MEM_NOC_LLCC0_EVENT_PROBE_ALARM_CLR_LOW</t>
  </si>
  <si>
    <t>00004028</t>
  </si>
  <si>
    <t>MEM_NOC_LLCC0_EVENT_PROBE_ANDINV_LOW</t>
  </si>
  <si>
    <t>00004120</t>
  </si>
  <si>
    <t>MEM_NOC_LLCC0_EVENT_PROBE_FILTERS_0_ADDR_MIN_LOW</t>
  </si>
  <si>
    <t>00004124</t>
  </si>
  <si>
    <t>MEM_NOC_LLCC0_EVENT_PROBE_FILTERS_0_ADDR_MIN_HIGH</t>
  </si>
  <si>
    <t>00004128</t>
  </si>
  <si>
    <t>MEM_NOC_LLCC0_EVENT_PROBE_FILTERS_0_ADDR_MAX_LOW</t>
  </si>
  <si>
    <t>0000412c</t>
  </si>
  <si>
    <t>MEM_NOC_LLCC0_EVENT_PROBE_FILTERS_0_ADDR_MAX_HIGH</t>
  </si>
  <si>
    <t>00004138</t>
  </si>
  <si>
    <t>MEM_NOC_LLCC0_EVENT_PROBE_FILTERS_0_OPCODE_LOW</t>
  </si>
  <si>
    <t>00004148</t>
  </si>
  <si>
    <t>MEM_NOC_LLCC0_EVENT_PROBE_FILTERS_0_REQUSER_BASE_LOW</t>
  </si>
  <si>
    <t>00004150</t>
  </si>
  <si>
    <t>MEM_NOC_LLCC0_EVENT_PROBE_FILTERS_0_REQUSER_MASK_LOW</t>
  </si>
  <si>
    <t>00004158</t>
  </si>
  <si>
    <t>MEM_NOC_LLCC0_EVENT_PROBE_FILTERS_0_LOGUSER_BASE_LOW</t>
  </si>
  <si>
    <t>00004160</t>
  </si>
  <si>
    <t>MEM_NOC_LLCC0_EVENT_PROBE_FILTERS_0_LOGUSER_MASK_LOW</t>
  </si>
  <si>
    <t>00004178</t>
  </si>
  <si>
    <t>MEM_NOC_LLCC0_EVENT_PROBE_FILTERS_0_EXTID_BASE_LOW</t>
  </si>
  <si>
    <t>00004180</t>
  </si>
  <si>
    <t>MEM_NOC_LLCC0_EVENT_PROBE_FILTERS_0_EXTID_MASK_LOW</t>
  </si>
  <si>
    <t>00004188</t>
  </si>
  <si>
    <t>MEM_NOC_LLCC0_EVENT_PROBE_FILTERS_0_LENGTH_LOW</t>
  </si>
  <si>
    <t>00004190</t>
  </si>
  <si>
    <t>MEM_NOC_LLCC0_EVENT_PROBE_FILTERS_0_URGENCY_LOW</t>
  </si>
  <si>
    <t>00004198</t>
  </si>
  <si>
    <t>MEM_NOC_LLCC0_EVENT_PROBE_FILTERS_0_CACHEINDEX_BASE_LOW</t>
  </si>
  <si>
    <t>000041a0</t>
  </si>
  <si>
    <t>MEM_NOC_LLCC0_EVENT_PROBE_FILTERS_0_CACHEINDEX_MASK_LOW</t>
  </si>
  <si>
    <t>00004220</t>
  </si>
  <si>
    <t>MEM_NOC_LLCC0_EVENT_PROBE_FILTERS_1_ADDR_MIN_LOW</t>
  </si>
  <si>
    <t>00004224</t>
  </si>
  <si>
    <t>MEM_NOC_LLCC0_EVENT_PROBE_FILTERS_1_ADDR_MIN_HIGH</t>
  </si>
  <si>
    <t>00004228</t>
  </si>
  <si>
    <t>MEM_NOC_LLCC0_EVENT_PROBE_FILTERS_1_ADDR_MAX_LOW</t>
  </si>
  <si>
    <t>0000422c</t>
  </si>
  <si>
    <t>MEM_NOC_LLCC0_EVENT_PROBE_FILTERS_1_ADDR_MAX_HIGH</t>
  </si>
  <si>
    <t>00004238</t>
  </si>
  <si>
    <t>MEM_NOC_LLCC0_EVENT_PROBE_FILTERS_1_OPCODE_LOW</t>
  </si>
  <si>
    <t>00004248</t>
  </si>
  <si>
    <t>MEM_NOC_LLCC0_EVENT_PROBE_FILTERS_1_REQUSER_BASE_LOW</t>
  </si>
  <si>
    <t>00004250</t>
  </si>
  <si>
    <t>MEM_NOC_LLCC0_EVENT_PROBE_FILTERS_1_REQUSER_MASK_LOW</t>
  </si>
  <si>
    <t>00004258</t>
  </si>
  <si>
    <t>MEM_NOC_LLCC0_EVENT_PROBE_FILTERS_1_LOGUSER_BASE_LOW</t>
  </si>
  <si>
    <t>00004260</t>
  </si>
  <si>
    <t>MEM_NOC_LLCC0_EVENT_PROBE_FILTERS_1_LOGUSER_MASK_LOW</t>
  </si>
  <si>
    <t>00004278</t>
  </si>
  <si>
    <t>MEM_NOC_LLCC0_EVENT_PROBE_FILTERS_1_EXTID_BASE_LOW</t>
  </si>
  <si>
    <t>00004280</t>
  </si>
  <si>
    <t>MEM_NOC_LLCC0_EVENT_PROBE_FILTERS_1_EXTID_MASK_LOW</t>
  </si>
  <si>
    <t>00004288</t>
  </si>
  <si>
    <t>MEM_NOC_LLCC0_EVENT_PROBE_FILTERS_1_LENGTH_LOW</t>
  </si>
  <si>
    <t>00004290</t>
  </si>
  <si>
    <t>MEM_NOC_LLCC0_EVENT_PROBE_FILTERS_1_URGENCY_LOW</t>
  </si>
  <si>
    <t>00004298</t>
  </si>
  <si>
    <t>MEM_NOC_LLCC0_EVENT_PROBE_FILTERS_1_CACHEINDEX_BASE_LOW</t>
  </si>
  <si>
    <t>000042a0</t>
  </si>
  <si>
    <t>MEM_NOC_LLCC0_EVENT_PROBE_FILTERS_1_CACHEINDEX_MASK_LOW</t>
  </si>
  <si>
    <t>00004320</t>
  </si>
  <si>
    <t>MEM_NOC_LLCC0_EVENT_PROBE_FILTERS_2_ADDR_MIN_LOW</t>
  </si>
  <si>
    <t>00004324</t>
  </si>
  <si>
    <t>MEM_NOC_LLCC0_EVENT_PROBE_FILTERS_2_ADDR_MIN_HIGH</t>
  </si>
  <si>
    <t>00004328</t>
  </si>
  <si>
    <t>MEM_NOC_LLCC0_EVENT_PROBE_FILTERS_2_ADDR_MAX_LOW</t>
  </si>
  <si>
    <t>0000432c</t>
  </si>
  <si>
    <t>MEM_NOC_LLCC0_EVENT_PROBE_FILTERS_2_ADDR_MAX_HIGH</t>
  </si>
  <si>
    <t>00004338</t>
  </si>
  <si>
    <t>MEM_NOC_LLCC0_EVENT_PROBE_FILTERS_2_OPCODE_LOW</t>
  </si>
  <si>
    <t>00004348</t>
  </si>
  <si>
    <t>MEM_NOC_LLCC0_EVENT_PROBE_FILTERS_2_REQUSER_BASE_LOW</t>
  </si>
  <si>
    <t>00004350</t>
  </si>
  <si>
    <t>MEM_NOC_LLCC0_EVENT_PROBE_FILTERS_2_REQUSER_MASK_LOW</t>
  </si>
  <si>
    <t>00004358</t>
  </si>
  <si>
    <t>MEM_NOC_LLCC0_EVENT_PROBE_FILTERS_2_LOGUSER_BASE_LOW</t>
  </si>
  <si>
    <t>00004360</t>
  </si>
  <si>
    <t>MEM_NOC_LLCC0_EVENT_PROBE_FILTERS_2_LOGUSER_MASK_LOW</t>
  </si>
  <si>
    <t>00004378</t>
  </si>
  <si>
    <t>MEM_NOC_LLCC0_EVENT_PROBE_FILTERS_2_EXTID_BASE_LOW</t>
  </si>
  <si>
    <t>00004380</t>
  </si>
  <si>
    <t>MEM_NOC_LLCC0_EVENT_PROBE_FILTERS_2_EXTID_MASK_LOW</t>
  </si>
  <si>
    <t>00004388</t>
  </si>
  <si>
    <t>MEM_NOC_LLCC0_EVENT_PROBE_FILTERS_2_LENGTH_LOW</t>
  </si>
  <si>
    <t>00004390</t>
  </si>
  <si>
    <t>MEM_NOC_LLCC0_EVENT_PROBE_FILTERS_2_URGENCY_LOW</t>
  </si>
  <si>
    <t>00004398</t>
  </si>
  <si>
    <t>MEM_NOC_LLCC0_EVENT_PROBE_FILTERS_2_CACHEINDEX_BASE_LOW</t>
  </si>
  <si>
    <t>000043a0</t>
  </si>
  <si>
    <t>MEM_NOC_LLCC0_EVENT_PROBE_FILTERS_2_CACHEINDEX_MASK_LOW</t>
  </si>
  <si>
    <t>00004420</t>
  </si>
  <si>
    <t>MEM_NOC_LLCC0_EVENT_PROBE_FILTERS_3_ADDR_MIN_LOW</t>
  </si>
  <si>
    <t>00004424</t>
  </si>
  <si>
    <t>MEM_NOC_LLCC0_EVENT_PROBE_FILTERS_3_ADDR_MIN_HIGH</t>
  </si>
  <si>
    <t>00004428</t>
  </si>
  <si>
    <t>MEM_NOC_LLCC0_EVENT_PROBE_FILTERS_3_ADDR_MAX_LOW</t>
  </si>
  <si>
    <t>0000442c</t>
  </si>
  <si>
    <t>MEM_NOC_LLCC0_EVENT_PROBE_FILTERS_3_ADDR_MAX_HIGH</t>
  </si>
  <si>
    <t>00004438</t>
  </si>
  <si>
    <t>MEM_NOC_LLCC0_EVENT_PROBE_FILTERS_3_OPCODE_LOW</t>
  </si>
  <si>
    <t>00004448</t>
  </si>
  <si>
    <t>MEM_NOC_LLCC0_EVENT_PROBE_FILTERS_3_REQUSER_BASE_LOW</t>
  </si>
  <si>
    <t>00004450</t>
  </si>
  <si>
    <t>MEM_NOC_LLCC0_EVENT_PROBE_FILTERS_3_REQUSER_MASK_LOW</t>
  </si>
  <si>
    <t>00004458</t>
  </si>
  <si>
    <t>MEM_NOC_LLCC0_EVENT_PROBE_FILTERS_3_LOGUSER_BASE_LOW</t>
  </si>
  <si>
    <t>00004460</t>
  </si>
  <si>
    <t>MEM_NOC_LLCC0_EVENT_PROBE_FILTERS_3_LOGUSER_MASK_LOW</t>
  </si>
  <si>
    <t>00004478</t>
  </si>
  <si>
    <t>MEM_NOC_LLCC0_EVENT_PROBE_FILTERS_3_EXTID_BASE_LOW</t>
  </si>
  <si>
    <t>00004480</t>
  </si>
  <si>
    <t>MEM_NOC_LLCC0_EVENT_PROBE_FILTERS_3_EXTID_MASK_LOW</t>
  </si>
  <si>
    <t>00004488</t>
  </si>
  <si>
    <t>MEM_NOC_LLCC0_EVENT_PROBE_FILTERS_3_LENGTH_LOW</t>
  </si>
  <si>
    <t>00004490</t>
  </si>
  <si>
    <t>MEM_NOC_LLCC0_EVENT_PROBE_FILTERS_3_URGENCY_LOW</t>
  </si>
  <si>
    <t>00004498</t>
  </si>
  <si>
    <t>MEM_NOC_LLCC0_EVENT_PROBE_FILTERS_3_CACHEINDEX_BASE_LOW</t>
  </si>
  <si>
    <t>000044a0</t>
  </si>
  <si>
    <t>MEM_NOC_LLCC0_EVENT_PROBE_FILTERS_3_CACHEINDEX_MASK_LOW</t>
  </si>
  <si>
    <t>00004520</t>
  </si>
  <si>
    <t>MEM_NOC_LLCC0_EVENT_PROBE_FILTERS_4_ADDR_MIN_LOW</t>
  </si>
  <si>
    <t>00004524</t>
  </si>
  <si>
    <t>MEM_NOC_LLCC0_EVENT_PROBE_FILTERS_4_ADDR_MIN_HIGH</t>
  </si>
  <si>
    <t>00004528</t>
  </si>
  <si>
    <t>MEM_NOC_LLCC0_EVENT_PROBE_FILTERS_4_ADDR_MAX_LOW</t>
  </si>
  <si>
    <t>0000452c</t>
  </si>
  <si>
    <t>MEM_NOC_LLCC0_EVENT_PROBE_FILTERS_4_ADDR_MAX_HIGH</t>
  </si>
  <si>
    <t>00004538</t>
  </si>
  <si>
    <t>MEM_NOC_LLCC0_EVENT_PROBE_FILTERS_4_OPCODE_LOW</t>
  </si>
  <si>
    <t>00004548</t>
  </si>
  <si>
    <t>MEM_NOC_LLCC0_EVENT_PROBE_FILTERS_4_REQUSER_BASE_LOW</t>
  </si>
  <si>
    <t>00004550</t>
  </si>
  <si>
    <t>MEM_NOC_LLCC0_EVENT_PROBE_FILTERS_4_REQUSER_MASK_LOW</t>
  </si>
  <si>
    <t>00004558</t>
  </si>
  <si>
    <t>MEM_NOC_LLCC0_EVENT_PROBE_FILTERS_4_LOGUSER_BASE_LOW</t>
  </si>
  <si>
    <t>00004560</t>
  </si>
  <si>
    <t>MEM_NOC_LLCC0_EVENT_PROBE_FILTERS_4_LOGUSER_MASK_LOW</t>
  </si>
  <si>
    <t>00004578</t>
  </si>
  <si>
    <t>MEM_NOC_LLCC0_EVENT_PROBE_FILTERS_4_EXTID_BASE_LOW</t>
  </si>
  <si>
    <t>00004580</t>
  </si>
  <si>
    <t>MEM_NOC_LLCC0_EVENT_PROBE_FILTERS_4_EXTID_MASK_LOW</t>
  </si>
  <si>
    <t>00004588</t>
  </si>
  <si>
    <t>MEM_NOC_LLCC0_EVENT_PROBE_FILTERS_4_LENGTH_LOW</t>
  </si>
  <si>
    <t>00004590</t>
  </si>
  <si>
    <t>MEM_NOC_LLCC0_EVENT_PROBE_FILTERS_4_URGENCY_LOW</t>
  </si>
  <si>
    <t>00004598</t>
  </si>
  <si>
    <t>MEM_NOC_LLCC0_EVENT_PROBE_FILTERS_4_CACHEINDEX_BASE_LOW</t>
  </si>
  <si>
    <t>000045a0</t>
  </si>
  <si>
    <t>MEM_NOC_LLCC0_EVENT_PROBE_FILTERS_4_CACHEINDEX_MASK_LOW</t>
  </si>
  <si>
    <t>00004620</t>
  </si>
  <si>
    <t>MEM_NOC_LLCC0_EVENT_PROBE_FILTERS_5_ADDR_MIN_LOW</t>
  </si>
  <si>
    <t>00004624</t>
  </si>
  <si>
    <t>MEM_NOC_LLCC0_EVENT_PROBE_FILTERS_5_ADDR_MIN_HIGH</t>
  </si>
  <si>
    <t>00004628</t>
  </si>
  <si>
    <t>MEM_NOC_LLCC0_EVENT_PROBE_FILTERS_5_ADDR_MAX_LOW</t>
  </si>
  <si>
    <t>0000462c</t>
  </si>
  <si>
    <t>MEM_NOC_LLCC0_EVENT_PROBE_FILTERS_5_ADDR_MAX_HIGH</t>
  </si>
  <si>
    <t>00004638</t>
  </si>
  <si>
    <t>MEM_NOC_LLCC0_EVENT_PROBE_FILTERS_5_OPCODE_LOW</t>
  </si>
  <si>
    <t>00004648</t>
  </si>
  <si>
    <t>MEM_NOC_LLCC0_EVENT_PROBE_FILTERS_5_REQUSER_BASE_LOW</t>
  </si>
  <si>
    <t>00004650</t>
  </si>
  <si>
    <t>MEM_NOC_LLCC0_EVENT_PROBE_FILTERS_5_REQUSER_MASK_LOW</t>
  </si>
  <si>
    <t>00004658</t>
  </si>
  <si>
    <t>MEM_NOC_LLCC0_EVENT_PROBE_FILTERS_5_LOGUSER_BASE_LOW</t>
  </si>
  <si>
    <t>00004660</t>
  </si>
  <si>
    <t>MEM_NOC_LLCC0_EVENT_PROBE_FILTERS_5_LOGUSER_MASK_LOW</t>
  </si>
  <si>
    <t>00004678</t>
  </si>
  <si>
    <t>MEM_NOC_LLCC0_EVENT_PROBE_FILTERS_5_EXTID_BASE_LOW</t>
  </si>
  <si>
    <t>00004680</t>
  </si>
  <si>
    <t>MEM_NOC_LLCC0_EVENT_PROBE_FILTERS_5_EXTID_MASK_LOW</t>
  </si>
  <si>
    <t>00004688</t>
  </si>
  <si>
    <t>MEM_NOC_LLCC0_EVENT_PROBE_FILTERS_5_LENGTH_LOW</t>
  </si>
  <si>
    <t>00004690</t>
  </si>
  <si>
    <t>MEM_NOC_LLCC0_EVENT_PROBE_FILTERS_5_URGENCY_LOW</t>
  </si>
  <si>
    <t>00004698</t>
  </si>
  <si>
    <t>MEM_NOC_LLCC0_EVENT_PROBE_FILTERS_5_CACHEINDEX_BASE_LOW</t>
  </si>
  <si>
    <t>000046a0</t>
  </si>
  <si>
    <t>MEM_NOC_LLCC0_EVENT_PROBE_FILTERS_5_CACHEINDEX_MASK_LOW</t>
  </si>
  <si>
    <t>00004800</t>
  </si>
  <si>
    <t>MEM_NOC_LLCC1_EVENT_PROBE_SWID_LOW</t>
  </si>
  <si>
    <t>00004804</t>
  </si>
  <si>
    <t>MEM_NOC_LLCC1_EVENT_PROBE_SWID_HIGH</t>
  </si>
  <si>
    <t>00004808</t>
  </si>
  <si>
    <t>MEM_NOC_LLCC1_EVENT_PROBE_MAINCTL_LOW</t>
  </si>
  <si>
    <t>00004810</t>
  </si>
  <si>
    <t>MEM_NOC_LLCC1_EVENT_PROBE_ALARM_EN_LOW</t>
  </si>
  <si>
    <t>00004818</t>
  </si>
  <si>
    <t>MEM_NOC_LLCC1_EVENT_PROBE_ALARM_STATUS_LOW</t>
  </si>
  <si>
    <t>00004820</t>
  </si>
  <si>
    <t>MEM_NOC_LLCC1_EVENT_PROBE_ALARM_CLR_LOW</t>
  </si>
  <si>
    <t>00004828</t>
  </si>
  <si>
    <t>MEM_NOC_LLCC1_EVENT_PROBE_ANDINV_LOW</t>
  </si>
  <si>
    <t>00004920</t>
  </si>
  <si>
    <t>MEM_NOC_LLCC1_EVENT_PROBE_FILTERS_0_ADDR_MIN_LOW</t>
  </si>
  <si>
    <t>00004924</t>
  </si>
  <si>
    <t>MEM_NOC_LLCC1_EVENT_PROBE_FILTERS_0_ADDR_MIN_HIGH</t>
  </si>
  <si>
    <t>00004928</t>
  </si>
  <si>
    <t>MEM_NOC_LLCC1_EVENT_PROBE_FILTERS_0_ADDR_MAX_LOW</t>
  </si>
  <si>
    <t>0000492c</t>
  </si>
  <si>
    <t>MEM_NOC_LLCC1_EVENT_PROBE_FILTERS_0_ADDR_MAX_HIGH</t>
  </si>
  <si>
    <t>00004938</t>
  </si>
  <si>
    <t>MEM_NOC_LLCC1_EVENT_PROBE_FILTERS_0_OPCODE_LOW</t>
  </si>
  <si>
    <t>00004948</t>
  </si>
  <si>
    <t>MEM_NOC_LLCC1_EVENT_PROBE_FILTERS_0_REQUSER_BASE_LOW</t>
  </si>
  <si>
    <t>00004950</t>
  </si>
  <si>
    <t>MEM_NOC_LLCC1_EVENT_PROBE_FILTERS_0_REQUSER_MASK_LOW</t>
  </si>
  <si>
    <t>00004958</t>
  </si>
  <si>
    <t>MEM_NOC_LLCC1_EVENT_PROBE_FILTERS_0_LOGUSER_BASE_LOW</t>
  </si>
  <si>
    <t>00004960</t>
  </si>
  <si>
    <t>MEM_NOC_LLCC1_EVENT_PROBE_FILTERS_0_LOGUSER_MASK_LOW</t>
  </si>
  <si>
    <t>00004978</t>
  </si>
  <si>
    <t>MEM_NOC_LLCC1_EVENT_PROBE_FILTERS_0_EXTID_BASE_LOW</t>
  </si>
  <si>
    <t>00004980</t>
  </si>
  <si>
    <t>MEM_NOC_LLCC1_EVENT_PROBE_FILTERS_0_EXTID_MASK_LOW</t>
  </si>
  <si>
    <t>00004988</t>
  </si>
  <si>
    <t>MEM_NOC_LLCC1_EVENT_PROBE_FILTERS_0_LENGTH_LOW</t>
  </si>
  <si>
    <t>00004990</t>
  </si>
  <si>
    <t>MEM_NOC_LLCC1_EVENT_PROBE_FILTERS_0_URGENCY_LOW</t>
  </si>
  <si>
    <t>00004998</t>
  </si>
  <si>
    <t>MEM_NOC_LLCC1_EVENT_PROBE_FILTERS_0_CACHEINDEX_BASE_LOW</t>
  </si>
  <si>
    <t>000049a0</t>
  </si>
  <si>
    <t>MEM_NOC_LLCC1_EVENT_PROBE_FILTERS_0_CACHEINDEX_MASK_LOW</t>
  </si>
  <si>
    <t>00004a20</t>
  </si>
  <si>
    <t>MEM_NOC_LLCC1_EVENT_PROBE_FILTERS_1_ADDR_MIN_LOW</t>
  </si>
  <si>
    <t>00004a24</t>
  </si>
  <si>
    <t>MEM_NOC_LLCC1_EVENT_PROBE_FILTERS_1_ADDR_MIN_HIGH</t>
  </si>
  <si>
    <t>00004a28</t>
  </si>
  <si>
    <t>MEM_NOC_LLCC1_EVENT_PROBE_FILTERS_1_ADDR_MAX_LOW</t>
  </si>
  <si>
    <t>00004a2c</t>
  </si>
  <si>
    <t>MEM_NOC_LLCC1_EVENT_PROBE_FILTERS_1_ADDR_MAX_HIGH</t>
  </si>
  <si>
    <t>00004a38</t>
  </si>
  <si>
    <t>MEM_NOC_LLCC1_EVENT_PROBE_FILTERS_1_OPCODE_LOW</t>
  </si>
  <si>
    <t>00004a48</t>
  </si>
  <si>
    <t>MEM_NOC_LLCC1_EVENT_PROBE_FILTERS_1_REQUSER_BASE_LOW</t>
  </si>
  <si>
    <t>00004a50</t>
  </si>
  <si>
    <t>MEM_NOC_LLCC1_EVENT_PROBE_FILTERS_1_REQUSER_MASK_LOW</t>
  </si>
  <si>
    <t>00004a58</t>
  </si>
  <si>
    <t>MEM_NOC_LLCC1_EVENT_PROBE_FILTERS_1_LOGUSER_BASE_LOW</t>
  </si>
  <si>
    <t>00004a60</t>
  </si>
  <si>
    <t>MEM_NOC_LLCC1_EVENT_PROBE_FILTERS_1_LOGUSER_MASK_LOW</t>
  </si>
  <si>
    <t>00004a78</t>
  </si>
  <si>
    <t>MEM_NOC_LLCC1_EVENT_PROBE_FILTERS_1_EXTID_BASE_LOW</t>
  </si>
  <si>
    <t>00004a80</t>
  </si>
  <si>
    <t>MEM_NOC_LLCC1_EVENT_PROBE_FILTERS_1_EXTID_MASK_LOW</t>
  </si>
  <si>
    <t>00004a88</t>
  </si>
  <si>
    <t>MEM_NOC_LLCC1_EVENT_PROBE_FILTERS_1_LENGTH_LOW</t>
  </si>
  <si>
    <t>00004a90</t>
  </si>
  <si>
    <t>MEM_NOC_LLCC1_EVENT_PROBE_FILTERS_1_URGENCY_LOW</t>
  </si>
  <si>
    <t>00004a98</t>
  </si>
  <si>
    <t>MEM_NOC_LLCC1_EVENT_PROBE_FILTERS_1_CACHEINDEX_BASE_LOW</t>
  </si>
  <si>
    <t>00004aa0</t>
  </si>
  <si>
    <t>MEM_NOC_LLCC1_EVENT_PROBE_FILTERS_1_CACHEINDEX_MASK_LOW</t>
  </si>
  <si>
    <t>00004b20</t>
  </si>
  <si>
    <t>MEM_NOC_LLCC1_EVENT_PROBE_FILTERS_2_ADDR_MIN_LOW</t>
  </si>
  <si>
    <t>00004b24</t>
  </si>
  <si>
    <t>MEM_NOC_LLCC1_EVENT_PROBE_FILTERS_2_ADDR_MIN_HIGH</t>
  </si>
  <si>
    <t>00004b28</t>
  </si>
  <si>
    <t>MEM_NOC_LLCC1_EVENT_PROBE_FILTERS_2_ADDR_MAX_LOW</t>
  </si>
  <si>
    <t>00004b2c</t>
  </si>
  <si>
    <t>MEM_NOC_LLCC1_EVENT_PROBE_FILTERS_2_ADDR_MAX_HIGH</t>
  </si>
  <si>
    <t>00004b38</t>
  </si>
  <si>
    <t>MEM_NOC_LLCC1_EVENT_PROBE_FILTERS_2_OPCODE_LOW</t>
  </si>
  <si>
    <t>00004b48</t>
  </si>
  <si>
    <t>MEM_NOC_LLCC1_EVENT_PROBE_FILTERS_2_REQUSER_BASE_LOW</t>
  </si>
  <si>
    <t>00004b50</t>
  </si>
  <si>
    <t>MEM_NOC_LLCC1_EVENT_PROBE_FILTERS_2_REQUSER_MASK_LOW</t>
  </si>
  <si>
    <t>00004b58</t>
  </si>
  <si>
    <t>MEM_NOC_LLCC1_EVENT_PROBE_FILTERS_2_LOGUSER_BASE_LOW</t>
  </si>
  <si>
    <t>00004b60</t>
  </si>
  <si>
    <t>MEM_NOC_LLCC1_EVENT_PROBE_FILTERS_2_LOGUSER_MASK_LOW</t>
  </si>
  <si>
    <t>00004b78</t>
  </si>
  <si>
    <t>MEM_NOC_LLCC1_EVENT_PROBE_FILTERS_2_EXTID_BASE_LOW</t>
  </si>
  <si>
    <t>00004b80</t>
  </si>
  <si>
    <t>MEM_NOC_LLCC1_EVENT_PROBE_FILTERS_2_EXTID_MASK_LOW</t>
  </si>
  <si>
    <t>00004b88</t>
  </si>
  <si>
    <t>MEM_NOC_LLCC1_EVENT_PROBE_FILTERS_2_LENGTH_LOW</t>
  </si>
  <si>
    <t>00004b90</t>
  </si>
  <si>
    <t>MEM_NOC_LLCC1_EVENT_PROBE_FILTERS_2_URGENCY_LOW</t>
  </si>
  <si>
    <t>00004b98</t>
  </si>
  <si>
    <t>MEM_NOC_LLCC1_EVENT_PROBE_FILTERS_2_CACHEINDEX_BASE_LOW</t>
  </si>
  <si>
    <t>00004ba0</t>
  </si>
  <si>
    <t>MEM_NOC_LLCC1_EVENT_PROBE_FILTERS_2_CACHEINDEX_MASK_LOW</t>
  </si>
  <si>
    <t>00004c20</t>
  </si>
  <si>
    <t>MEM_NOC_LLCC1_EVENT_PROBE_FILTERS_3_ADDR_MIN_LOW</t>
  </si>
  <si>
    <t>00004c24</t>
  </si>
  <si>
    <t>MEM_NOC_LLCC1_EVENT_PROBE_FILTERS_3_ADDR_MIN_HIGH</t>
  </si>
  <si>
    <t>00004c28</t>
  </si>
  <si>
    <t>MEM_NOC_LLCC1_EVENT_PROBE_FILTERS_3_ADDR_MAX_LOW</t>
  </si>
  <si>
    <t>00004c2c</t>
  </si>
  <si>
    <t>MEM_NOC_LLCC1_EVENT_PROBE_FILTERS_3_ADDR_MAX_HIGH</t>
  </si>
  <si>
    <t>00004c38</t>
  </si>
  <si>
    <t>MEM_NOC_LLCC1_EVENT_PROBE_FILTERS_3_OPCODE_LOW</t>
  </si>
  <si>
    <t>00004c48</t>
  </si>
  <si>
    <t>MEM_NOC_LLCC1_EVENT_PROBE_FILTERS_3_REQUSER_BASE_LOW</t>
  </si>
  <si>
    <t>00004c50</t>
  </si>
  <si>
    <t>MEM_NOC_LLCC1_EVENT_PROBE_FILTERS_3_REQUSER_MASK_LOW</t>
  </si>
  <si>
    <t>00004c58</t>
  </si>
  <si>
    <t>MEM_NOC_LLCC1_EVENT_PROBE_FILTERS_3_LOGUSER_BASE_LOW</t>
  </si>
  <si>
    <t>00004c60</t>
  </si>
  <si>
    <t>MEM_NOC_LLCC1_EVENT_PROBE_FILTERS_3_LOGUSER_MASK_LOW</t>
  </si>
  <si>
    <t>00004c78</t>
  </si>
  <si>
    <t>MEM_NOC_LLCC1_EVENT_PROBE_FILTERS_3_EXTID_BASE_LOW</t>
  </si>
  <si>
    <t>00004c80</t>
  </si>
  <si>
    <t>MEM_NOC_LLCC1_EVENT_PROBE_FILTERS_3_EXTID_MASK_LOW</t>
  </si>
  <si>
    <t>00004c88</t>
  </si>
  <si>
    <t>MEM_NOC_LLCC1_EVENT_PROBE_FILTERS_3_LENGTH_LOW</t>
  </si>
  <si>
    <t>00004c90</t>
  </si>
  <si>
    <t>MEM_NOC_LLCC1_EVENT_PROBE_FILTERS_3_URGENCY_LOW</t>
  </si>
  <si>
    <t>00004c98</t>
  </si>
  <si>
    <t>MEM_NOC_LLCC1_EVENT_PROBE_FILTERS_3_CACHEINDEX_BASE_LOW</t>
  </si>
  <si>
    <t>00004ca0</t>
  </si>
  <si>
    <t>MEM_NOC_LLCC1_EVENT_PROBE_FILTERS_3_CACHEINDEX_MASK_LOW</t>
  </si>
  <si>
    <t>00004d20</t>
  </si>
  <si>
    <t>MEM_NOC_LLCC1_EVENT_PROBE_FILTERS_4_ADDR_MIN_LOW</t>
  </si>
  <si>
    <t>00004d24</t>
  </si>
  <si>
    <t>MEM_NOC_LLCC1_EVENT_PROBE_FILTERS_4_ADDR_MIN_HIGH</t>
  </si>
  <si>
    <t>00004d28</t>
  </si>
  <si>
    <t>MEM_NOC_LLCC1_EVENT_PROBE_FILTERS_4_ADDR_MAX_LOW</t>
  </si>
  <si>
    <t>00004d2c</t>
  </si>
  <si>
    <t>MEM_NOC_LLCC1_EVENT_PROBE_FILTERS_4_ADDR_MAX_HIGH</t>
  </si>
  <si>
    <t>00004d38</t>
  </si>
  <si>
    <t>MEM_NOC_LLCC1_EVENT_PROBE_FILTERS_4_OPCODE_LOW</t>
  </si>
  <si>
    <t>00004d48</t>
  </si>
  <si>
    <t>MEM_NOC_LLCC1_EVENT_PROBE_FILTERS_4_REQUSER_BASE_LOW</t>
  </si>
  <si>
    <t>00004d50</t>
  </si>
  <si>
    <t>MEM_NOC_LLCC1_EVENT_PROBE_FILTERS_4_REQUSER_MASK_LOW</t>
  </si>
  <si>
    <t>00004d58</t>
  </si>
  <si>
    <t>MEM_NOC_LLCC1_EVENT_PROBE_FILTERS_4_LOGUSER_BASE_LOW</t>
  </si>
  <si>
    <t>00004d60</t>
  </si>
  <si>
    <t>MEM_NOC_LLCC1_EVENT_PROBE_FILTERS_4_LOGUSER_MASK_LOW</t>
  </si>
  <si>
    <t>00004d78</t>
  </si>
  <si>
    <t>MEM_NOC_LLCC1_EVENT_PROBE_FILTERS_4_EXTID_BASE_LOW</t>
  </si>
  <si>
    <t>00004d80</t>
  </si>
  <si>
    <t>MEM_NOC_LLCC1_EVENT_PROBE_FILTERS_4_EXTID_MASK_LOW</t>
  </si>
  <si>
    <t>00004d88</t>
  </si>
  <si>
    <t>MEM_NOC_LLCC1_EVENT_PROBE_FILTERS_4_LENGTH_LOW</t>
  </si>
  <si>
    <t>00004d90</t>
  </si>
  <si>
    <t>MEM_NOC_LLCC1_EVENT_PROBE_FILTERS_4_URGENCY_LOW</t>
  </si>
  <si>
    <t>00004d98</t>
  </si>
  <si>
    <t>MEM_NOC_LLCC1_EVENT_PROBE_FILTERS_4_CACHEINDEX_BASE_LOW</t>
  </si>
  <si>
    <t>00004da0</t>
  </si>
  <si>
    <t>MEM_NOC_LLCC1_EVENT_PROBE_FILTERS_4_CACHEINDEX_MASK_LOW</t>
  </si>
  <si>
    <t>00004e20</t>
  </si>
  <si>
    <t>MEM_NOC_LLCC1_EVENT_PROBE_FILTERS_5_ADDR_MIN_LOW</t>
  </si>
  <si>
    <t>00004e24</t>
  </si>
  <si>
    <t>MEM_NOC_LLCC1_EVENT_PROBE_FILTERS_5_ADDR_MIN_HIGH</t>
  </si>
  <si>
    <t>00004e28</t>
  </si>
  <si>
    <t>MEM_NOC_LLCC1_EVENT_PROBE_FILTERS_5_ADDR_MAX_LOW</t>
  </si>
  <si>
    <t>00004e2c</t>
  </si>
  <si>
    <t>MEM_NOC_LLCC1_EVENT_PROBE_FILTERS_5_ADDR_MAX_HIGH</t>
  </si>
  <si>
    <t>00004e38</t>
  </si>
  <si>
    <t>MEM_NOC_LLCC1_EVENT_PROBE_FILTERS_5_OPCODE_LOW</t>
  </si>
  <si>
    <t>00004e48</t>
  </si>
  <si>
    <t>MEM_NOC_LLCC1_EVENT_PROBE_FILTERS_5_REQUSER_BASE_LOW</t>
  </si>
  <si>
    <t>00004e50</t>
  </si>
  <si>
    <t>MEM_NOC_LLCC1_EVENT_PROBE_FILTERS_5_REQUSER_MASK_LOW</t>
  </si>
  <si>
    <t>00004e58</t>
  </si>
  <si>
    <t>MEM_NOC_LLCC1_EVENT_PROBE_FILTERS_5_LOGUSER_BASE_LOW</t>
  </si>
  <si>
    <t>00004e60</t>
  </si>
  <si>
    <t>MEM_NOC_LLCC1_EVENT_PROBE_FILTERS_5_LOGUSER_MASK_LOW</t>
  </si>
  <si>
    <t>00004e78</t>
  </si>
  <si>
    <t>MEM_NOC_LLCC1_EVENT_PROBE_FILTERS_5_EXTID_BASE_LOW</t>
  </si>
  <si>
    <t>00004e80</t>
  </si>
  <si>
    <t>MEM_NOC_LLCC1_EVENT_PROBE_FILTERS_5_EXTID_MASK_LOW</t>
  </si>
  <si>
    <t>00004e88</t>
  </si>
  <si>
    <t>MEM_NOC_LLCC1_EVENT_PROBE_FILTERS_5_LENGTH_LOW</t>
  </si>
  <si>
    <t>00004e90</t>
  </si>
  <si>
    <t>MEM_NOC_LLCC1_EVENT_PROBE_FILTERS_5_URGENCY_LOW</t>
  </si>
  <si>
    <t>00004e98</t>
  </si>
  <si>
    <t>MEM_NOC_LLCC1_EVENT_PROBE_FILTERS_5_CACHEINDEX_BASE_LOW</t>
  </si>
  <si>
    <t>00004ea0</t>
  </si>
  <si>
    <t>MEM_NOC_LLCC1_EVENT_PROBE_FILTERS_5_CACHEINDEX_MASK_LOW</t>
  </si>
  <si>
    <t>00006000</t>
  </si>
  <si>
    <t>MEM_NOC_SNOC_EVENT_COLLECTOR_SWID_LOW</t>
  </si>
  <si>
    <t>0002557F</t>
  </si>
  <si>
    <t>00006004</t>
  </si>
  <si>
    <t>MEM_NOC_SNOC_EVENT_COLLECTOR_SWID_HIGH</t>
  </si>
  <si>
    <t>00006008</t>
  </si>
  <si>
    <t>MEM_NOC_SNOC_EVENT_COLLECTOR_MAINCTL_LOW</t>
  </si>
  <si>
    <t>00006010</t>
  </si>
  <si>
    <t>MEM_NOC_SNOC_EVENT_COLLECTOR_DUMPGO_LOW</t>
  </si>
  <si>
    <t>00006018</t>
  </si>
  <si>
    <t>MEM_NOC_SNOC_EVENT_COLLECTOR_DUMPPERIOD_LOW</t>
  </si>
  <si>
    <t>00006020</t>
  </si>
  <si>
    <t>MEM_NOC_SNOC_EVENT_COLLECTOR_DUMPTHR_LOW</t>
  </si>
  <si>
    <t>00006028</t>
  </si>
  <si>
    <t>MEM_NOC_SNOC_EVENT_COLLECTOR_ALARMMIN_LOW</t>
  </si>
  <si>
    <t>00006030</t>
  </si>
  <si>
    <t>MEM_NOC_SNOC_EVENT_COLLECTOR_ALARMMAX_LOW</t>
  </si>
  <si>
    <t>00006038</t>
  </si>
  <si>
    <t>MEM_NOC_SNOC_EVENT_COLLECTOR_ALARMSTATUS_LOW</t>
  </si>
  <si>
    <t>00006040</t>
  </si>
  <si>
    <t>MEM_NOC_SNOC_EVENT_COLLECTOR_ALARMCLR_LOW</t>
  </si>
  <si>
    <t>00006048</t>
  </si>
  <si>
    <t>MEM_NOC_SNOC_EVENT_COLLECTOR_ALARMEN_LOW</t>
  </si>
  <si>
    <t>00006100</t>
  </si>
  <si>
    <t>MEM_NOC_SNOC_EVENT_COLLECTOR_COUNTERS_0_CTL_LOW</t>
  </si>
  <si>
    <t>00006140</t>
  </si>
  <si>
    <t>MEM_NOC_SNOC_EVENT_COLLECTOR_COUNTERS_0_VAL_LOW</t>
  </si>
  <si>
    <t>00006180</t>
  </si>
  <si>
    <t>MEM_NOC_SNOC_EVENT_COLLECTOR_COUNTERS_1_CTL_LOW</t>
  </si>
  <si>
    <t>000061c0</t>
  </si>
  <si>
    <t>MEM_NOC_SNOC_EVENT_COLLECTOR_COUNTERS_1_VAL_LOW</t>
  </si>
  <si>
    <t>00006200</t>
  </si>
  <si>
    <t>MEM_NOC_SNOC_EVENT_COLLECTOR_COUNTERS_2_CTL_LOW</t>
  </si>
  <si>
    <t>00006240</t>
  </si>
  <si>
    <t>MEM_NOC_SNOC_EVENT_COLLECTOR_COUNTERS_2_VAL_LOW</t>
  </si>
  <si>
    <t>00006280</t>
  </si>
  <si>
    <t>MEM_NOC_SNOC_EVENT_COLLECTOR_COUNTERS_3_CTL_LOW</t>
  </si>
  <si>
    <t>000062c0</t>
  </si>
  <si>
    <t>MEM_NOC_SNOC_EVENT_COLLECTOR_COUNTERS_3_VAL_LOW</t>
  </si>
  <si>
    <t>00007000</t>
  </si>
  <si>
    <t>MEM_NOC_APPS_IO_EVENT_COLLECTOR_SWID_LOW</t>
  </si>
  <si>
    <t>00027155</t>
  </si>
  <si>
    <t>00007004</t>
  </si>
  <si>
    <t>MEM_NOC_APPS_IO_EVENT_COLLECTOR_SWID_HIGH</t>
  </si>
  <si>
    <t>00007008</t>
  </si>
  <si>
    <t>MEM_NOC_APPS_IO_EVENT_COLLECTOR_MAINCTL_LOW</t>
  </si>
  <si>
    <t>00007010</t>
  </si>
  <si>
    <t>MEM_NOC_APPS_IO_EVENT_COLLECTOR_DUMPGO_LOW</t>
  </si>
  <si>
    <t>00007018</t>
  </si>
  <si>
    <t>MEM_NOC_APPS_IO_EVENT_COLLECTOR_DUMPPERIOD_LOW</t>
  </si>
  <si>
    <t>00007020</t>
  </si>
  <si>
    <t>MEM_NOC_APPS_IO_EVENT_COLLECTOR_DUMPTHR_LOW</t>
  </si>
  <si>
    <t>00007028</t>
  </si>
  <si>
    <t>MEM_NOC_APPS_IO_EVENT_COLLECTOR_ALARMMIN_LOW</t>
  </si>
  <si>
    <t>00007030</t>
  </si>
  <si>
    <t>MEM_NOC_APPS_IO_EVENT_COLLECTOR_ALARMMAX_LOW</t>
  </si>
  <si>
    <t>00007038</t>
  </si>
  <si>
    <t>MEM_NOC_APPS_IO_EVENT_COLLECTOR_ALARMSTATUS_LOW</t>
  </si>
  <si>
    <t>00007040</t>
  </si>
  <si>
    <t>MEM_NOC_APPS_IO_EVENT_COLLECTOR_ALARMCLR_LOW</t>
  </si>
  <si>
    <t>00007048</t>
  </si>
  <si>
    <t>MEM_NOC_APPS_IO_EVENT_COLLECTOR_ALARMEN_LOW</t>
  </si>
  <si>
    <t>00007100</t>
  </si>
  <si>
    <t>MEM_NOC_APPS_IO_EVENT_COLLECTOR_COUNTERS_0_CTL_LOW</t>
  </si>
  <si>
    <t>0000001F</t>
  </si>
  <si>
    <t>00007140</t>
  </si>
  <si>
    <t>MEM_NOC_APPS_IO_EVENT_COLLECTOR_COUNTERS_0_VAL_LOW</t>
  </si>
  <si>
    <t>00007180</t>
  </si>
  <si>
    <t>MEM_NOC_APPS_IO_EVENT_COLLECTOR_COUNTERS_1_CTL_LOW</t>
  </si>
  <si>
    <t>000071c0</t>
  </si>
  <si>
    <t>MEM_NOC_APPS_IO_EVENT_COLLECTOR_COUNTERS_1_VAL_LOW</t>
  </si>
  <si>
    <t>00007200</t>
  </si>
  <si>
    <t>MEM_NOC_APPS_IO_EVENT_COLLECTOR_COUNTERS_2_CTL_LOW</t>
  </si>
  <si>
    <t>00007240</t>
  </si>
  <si>
    <t>MEM_NOC_APPS_IO_EVENT_COLLECTOR_COUNTERS_2_VAL_LOW</t>
  </si>
  <si>
    <t>00007280</t>
  </si>
  <si>
    <t>MEM_NOC_APPS_IO_EVENT_COLLECTOR_COUNTERS_3_CTL_LOW</t>
  </si>
  <si>
    <t>000072c0</t>
  </si>
  <si>
    <t>MEM_NOC_APPS_IO_EVENT_COLLECTOR_COUNTERS_3_VAL_LOW</t>
  </si>
  <si>
    <t>00008000</t>
  </si>
  <si>
    <t>MEM_NOC_LLCC0_EVENT_COLLECTOR_SWID_LOW</t>
  </si>
  <si>
    <t>0002ABB8</t>
  </si>
  <si>
    <t>00008004</t>
  </si>
  <si>
    <t>MEM_NOC_LLCC0_EVENT_COLLECTOR_SWID_HIGH</t>
  </si>
  <si>
    <t>00008008</t>
  </si>
  <si>
    <t>MEM_NOC_LLCC0_EVENT_COLLECTOR_MAINCTL_LOW</t>
  </si>
  <si>
    <t>00008010</t>
  </si>
  <si>
    <t>MEM_NOC_LLCC0_EVENT_COLLECTOR_DUMPGO_LOW</t>
  </si>
  <si>
    <t>00008018</t>
  </si>
  <si>
    <t>MEM_NOC_LLCC0_EVENT_COLLECTOR_DUMPPERIOD_LOW</t>
  </si>
  <si>
    <t>00008020</t>
  </si>
  <si>
    <t>MEM_NOC_LLCC0_EVENT_COLLECTOR_DUMPTHR_LOW</t>
  </si>
  <si>
    <t>00008028</t>
  </si>
  <si>
    <t>MEM_NOC_LLCC0_EVENT_COLLECTOR_ALARMMIN_LOW</t>
  </si>
  <si>
    <t>00008030</t>
  </si>
  <si>
    <t>MEM_NOC_LLCC0_EVENT_COLLECTOR_ALARMMAX_LOW</t>
  </si>
  <si>
    <t>00008038</t>
  </si>
  <si>
    <t>MEM_NOC_LLCC0_EVENT_COLLECTOR_ALARMSTATUS_LOW</t>
  </si>
  <si>
    <t>00008040</t>
  </si>
  <si>
    <t>MEM_NOC_LLCC0_EVENT_COLLECTOR_ALARMCLR_LOW</t>
  </si>
  <si>
    <t>00008048</t>
  </si>
  <si>
    <t>MEM_NOC_LLCC0_EVENT_COLLECTOR_ALARMEN_LOW</t>
  </si>
  <si>
    <t>00008100</t>
  </si>
  <si>
    <t>MEM_NOC_LLCC0_EVENT_COLLECTOR_COUNTERS_0_CTL_LOW</t>
  </si>
  <si>
    <t>0000007F</t>
  </si>
  <si>
    <t>00008140</t>
  </si>
  <si>
    <t>MEM_NOC_LLCC0_EVENT_COLLECTOR_COUNTERS_0_VAL_LOW</t>
  </si>
  <si>
    <t>00008180</t>
  </si>
  <si>
    <t>MEM_NOC_LLCC0_EVENT_COLLECTOR_COUNTERS_1_CTL_LOW</t>
  </si>
  <si>
    <t>000081c0</t>
  </si>
  <si>
    <t>MEM_NOC_LLCC0_EVENT_COLLECTOR_COUNTERS_1_VAL_LOW</t>
  </si>
  <si>
    <t>00008200</t>
  </si>
  <si>
    <t>MEM_NOC_LLCC0_EVENT_COLLECTOR_COUNTERS_2_CTL_LOW</t>
  </si>
  <si>
    <t>00008240</t>
  </si>
  <si>
    <t>MEM_NOC_LLCC0_EVENT_COLLECTOR_COUNTERS_2_VAL_LOW</t>
  </si>
  <si>
    <t>00008280</t>
  </si>
  <si>
    <t>MEM_NOC_LLCC0_EVENT_COLLECTOR_COUNTERS_3_CTL_LOW</t>
  </si>
  <si>
    <t>000082c0</t>
  </si>
  <si>
    <t>MEM_NOC_LLCC0_EVENT_COLLECTOR_COUNTERS_3_VAL_LOW</t>
  </si>
  <si>
    <t>00008300</t>
  </si>
  <si>
    <t>MEM_NOC_LLCC0_EVENT_COLLECTOR_COUNTERS_4_CTL_LOW</t>
  </si>
  <si>
    <t>00008340</t>
  </si>
  <si>
    <t>MEM_NOC_LLCC0_EVENT_COLLECTOR_COUNTERS_4_VAL_LOW</t>
  </si>
  <si>
    <t>00008380</t>
  </si>
  <si>
    <t>MEM_NOC_LLCC0_EVENT_COLLECTOR_COUNTERS_5_CTL_LOW</t>
  </si>
  <si>
    <t>000083c0</t>
  </si>
  <si>
    <t>MEM_NOC_LLCC0_EVENT_COLLECTOR_COUNTERS_5_VAL_LOW</t>
  </si>
  <si>
    <t>00008400</t>
  </si>
  <si>
    <t>MEM_NOC_LLCC0_EVENT_COLLECTOR_COUNTERS_6_CTL_LOW</t>
  </si>
  <si>
    <t>00008440</t>
  </si>
  <si>
    <t>MEM_NOC_LLCC0_EVENT_COLLECTOR_COUNTERS_6_VAL_LOW</t>
  </si>
  <si>
    <t>00008480</t>
  </si>
  <si>
    <t>MEM_NOC_LLCC0_EVENT_COLLECTOR_COUNTERS_7_CTL_LOW</t>
  </si>
  <si>
    <t>000084c0</t>
  </si>
  <si>
    <t>MEM_NOC_LLCC0_EVENT_COLLECTOR_COUNTERS_7_VAL_LOW</t>
  </si>
  <si>
    <t>00008500</t>
  </si>
  <si>
    <t>MEM_NOC_LLCC0_EVENT_COLLECTOR_COUNTERS_8_CTL_LOW</t>
  </si>
  <si>
    <t>00008580</t>
  </si>
  <si>
    <t>MEM_NOC_LLCC0_EVENT_COLLECTOR_COUNTERS_9_CTL_LOW</t>
  </si>
  <si>
    <t>00008600</t>
  </si>
  <si>
    <t>MEM_NOC_LLCC0_EVENT_COLLECTOR_COUNTERS_10_CTL_LOW</t>
  </si>
  <si>
    <t>00008680</t>
  </si>
  <si>
    <t>MEM_NOC_LLCC0_EVENT_COLLECTOR_COUNTERS_11_CTL_LOW</t>
  </si>
  <si>
    <t>00008700</t>
  </si>
  <si>
    <t>MEM_NOC_LLCC0_EVENT_COLLECTOR_COUNTERS_12_CTL_LOW</t>
  </si>
  <si>
    <t>00008780</t>
  </si>
  <si>
    <t>MEM_NOC_LLCC0_EVENT_COLLECTOR_COUNTERS_13_CTL_LOW</t>
  </si>
  <si>
    <t>00008800</t>
  </si>
  <si>
    <t>MEM_NOC_LLCC0_EVENT_COLLECTOR_COUNTERS_14_CTL_LOW</t>
  </si>
  <si>
    <t>00008880</t>
  </si>
  <si>
    <t>MEM_NOC_LLCC0_EVENT_COLLECTOR_COUNTERS_15_CTL_LOW</t>
  </si>
  <si>
    <t>00009000</t>
  </si>
  <si>
    <t>MEM_NOC_LLCC1_EVENT_COLLECTOR_SWID_LOW</t>
  </si>
  <si>
    <t>00009004</t>
  </si>
  <si>
    <t>MEM_NOC_LLCC1_EVENT_COLLECTOR_SWID_HIGH</t>
  </si>
  <si>
    <t>00009008</t>
  </si>
  <si>
    <t>MEM_NOC_LLCC1_EVENT_COLLECTOR_MAINCTL_LOW</t>
  </si>
  <si>
    <t>00009010</t>
  </si>
  <si>
    <t>MEM_NOC_LLCC1_EVENT_COLLECTOR_DUMPGO_LOW</t>
  </si>
  <si>
    <t>00009018</t>
  </si>
  <si>
    <t>MEM_NOC_LLCC1_EVENT_COLLECTOR_DUMPPERIOD_LOW</t>
  </si>
  <si>
    <t>00009020</t>
  </si>
  <si>
    <t>MEM_NOC_LLCC1_EVENT_COLLECTOR_DUMPTHR_LOW</t>
  </si>
  <si>
    <t>00009028</t>
  </si>
  <si>
    <t>MEM_NOC_LLCC1_EVENT_COLLECTOR_ALARMMIN_LOW</t>
  </si>
  <si>
    <t>00009030</t>
  </si>
  <si>
    <t>MEM_NOC_LLCC1_EVENT_COLLECTOR_ALARMMAX_LOW</t>
  </si>
  <si>
    <t>00009038</t>
  </si>
  <si>
    <t>MEM_NOC_LLCC1_EVENT_COLLECTOR_ALARMSTATUS_LOW</t>
  </si>
  <si>
    <t>00009040</t>
  </si>
  <si>
    <t>MEM_NOC_LLCC1_EVENT_COLLECTOR_ALARMCLR_LOW</t>
  </si>
  <si>
    <t>00009048</t>
  </si>
  <si>
    <t>MEM_NOC_LLCC1_EVENT_COLLECTOR_ALARMEN_LOW</t>
  </si>
  <si>
    <t>00009100</t>
  </si>
  <si>
    <t>MEM_NOC_LLCC1_EVENT_COLLECTOR_COUNTERS_0_CTL_LOW</t>
  </si>
  <si>
    <t>00009140</t>
  </si>
  <si>
    <t>MEM_NOC_LLCC1_EVENT_COLLECTOR_COUNTERS_0_VAL_LOW</t>
  </si>
  <si>
    <t>00009180</t>
  </si>
  <si>
    <t>MEM_NOC_LLCC1_EVENT_COLLECTOR_COUNTERS_1_CTL_LOW</t>
  </si>
  <si>
    <t>000091c0</t>
  </si>
  <si>
    <t>MEM_NOC_LLCC1_EVENT_COLLECTOR_COUNTERS_1_VAL_LOW</t>
  </si>
  <si>
    <t>00009200</t>
  </si>
  <si>
    <t>MEM_NOC_LLCC1_EVENT_COLLECTOR_COUNTERS_2_CTL_LOW</t>
  </si>
  <si>
    <t>00009240</t>
  </si>
  <si>
    <t>MEM_NOC_LLCC1_EVENT_COLLECTOR_COUNTERS_2_VAL_LOW</t>
  </si>
  <si>
    <t>00009280</t>
  </si>
  <si>
    <t>MEM_NOC_LLCC1_EVENT_COLLECTOR_COUNTERS_3_CTL_LOW</t>
  </si>
  <si>
    <t>000092c0</t>
  </si>
  <si>
    <t>MEM_NOC_LLCC1_EVENT_COLLECTOR_COUNTERS_3_VAL_LOW</t>
  </si>
  <si>
    <t>00009300</t>
  </si>
  <si>
    <t>MEM_NOC_LLCC1_EVENT_COLLECTOR_COUNTERS_4_CTL_LOW</t>
  </si>
  <si>
    <t>00009340</t>
  </si>
  <si>
    <t>MEM_NOC_LLCC1_EVENT_COLLECTOR_COUNTERS_4_VAL_LOW</t>
  </si>
  <si>
    <t>00009380</t>
  </si>
  <si>
    <t>MEM_NOC_LLCC1_EVENT_COLLECTOR_COUNTERS_5_CTL_LOW</t>
  </si>
  <si>
    <t>000093c0</t>
  </si>
  <si>
    <t>MEM_NOC_LLCC1_EVENT_COLLECTOR_COUNTERS_5_VAL_LOW</t>
  </si>
  <si>
    <t>00009400</t>
  </si>
  <si>
    <t>MEM_NOC_LLCC1_EVENT_COLLECTOR_COUNTERS_6_CTL_LOW</t>
  </si>
  <si>
    <t>00009440</t>
  </si>
  <si>
    <t>MEM_NOC_LLCC1_EVENT_COLLECTOR_COUNTERS_6_VAL_LOW</t>
  </si>
  <si>
    <t>00009480</t>
  </si>
  <si>
    <t>MEM_NOC_LLCC1_EVENT_COLLECTOR_COUNTERS_7_CTL_LOW</t>
  </si>
  <si>
    <t>000094c0</t>
  </si>
  <si>
    <t>MEM_NOC_LLCC1_EVENT_COLLECTOR_COUNTERS_7_VAL_LOW</t>
  </si>
  <si>
    <t>00009500</t>
  </si>
  <si>
    <t>MEM_NOC_LLCC1_EVENT_COLLECTOR_COUNTERS_8_CTL_LOW</t>
  </si>
  <si>
    <t>00009580</t>
  </si>
  <si>
    <t>MEM_NOC_LLCC1_EVENT_COLLECTOR_COUNTERS_9_CTL_LOW</t>
  </si>
  <si>
    <t>00009600</t>
  </si>
  <si>
    <t>MEM_NOC_LLCC1_EVENT_COLLECTOR_COUNTERS_10_CTL_LOW</t>
  </si>
  <si>
    <t>00009680</t>
  </si>
  <si>
    <t>MEM_NOC_LLCC1_EVENT_COLLECTOR_COUNTERS_11_CTL_LOW</t>
  </si>
  <si>
    <t>00009700</t>
  </si>
  <si>
    <t>MEM_NOC_LLCC1_EVENT_COLLECTOR_COUNTERS_12_CTL_LOW</t>
  </si>
  <si>
    <t>00009780</t>
  </si>
  <si>
    <t>MEM_NOC_LLCC1_EVENT_COLLECTOR_COUNTERS_13_CTL_LOW</t>
  </si>
  <si>
    <t>00009800</t>
  </si>
  <si>
    <t>MEM_NOC_LLCC1_EVENT_COLLECTOR_COUNTERS_14_CTL_LOW</t>
  </si>
  <si>
    <t>00009880</t>
  </si>
  <si>
    <t>MEM_NOC_LLCC1_EVENT_COLLECTOR_COUNTERS_15_CTL_LOW</t>
  </si>
  <si>
    <t>0000c000</t>
  </si>
  <si>
    <t>MEM_NOC_SNOC_GC_ACTIVITY_PROBE_SWID_LOW</t>
  </si>
  <si>
    <t>0011E93B</t>
  </si>
  <si>
    <t>0000c004</t>
  </si>
  <si>
    <t>MEM_NOC_SNOC_GC_ACTIVITY_PROBE_SWID_HIGH</t>
  </si>
  <si>
    <t>0000c008</t>
  </si>
  <si>
    <t>MEM_NOC_SNOC_GC_ACTIVITY_PROBE_CONTROL_LOW</t>
  </si>
  <si>
    <t>0000c200</t>
  </si>
  <si>
    <t>MEM_NOC_APPS_RD_ACTIVITY_PROBE_SWID_LOW</t>
  </si>
  <si>
    <t>0000c204</t>
  </si>
  <si>
    <t>MEM_NOC_APPS_RD_ACTIVITY_PROBE_SWID_HIGH</t>
  </si>
  <si>
    <t>0000c208</t>
  </si>
  <si>
    <t>MEM_NOC_APPS_RD_ACTIVITY_PROBE_CONTROL_LOW</t>
  </si>
  <si>
    <t>0000c400</t>
  </si>
  <si>
    <t>MEM_NOC_APPS_RDWR_ACTIVITY_PROBE_SWID_LOW</t>
  </si>
  <si>
    <t>0000c404</t>
  </si>
  <si>
    <t>MEM_NOC_APPS_RDWR_ACTIVITY_PROBE_SWID_HIGH</t>
  </si>
  <si>
    <t>0000c408</t>
  </si>
  <si>
    <t>MEM_NOC_APPS_RDWR_ACTIVITY_PROBE_CONTROL_LOW</t>
  </si>
  <si>
    <t>0000c600</t>
  </si>
  <si>
    <t>MEM_NOC_CDSP_ACTIVITY_PROBE_SWID_LOW</t>
  </si>
  <si>
    <t>0000c604</t>
  </si>
  <si>
    <t>MEM_NOC_CDSP_ACTIVITY_PROBE_SWID_HIGH</t>
  </si>
  <si>
    <t>0000c608</t>
  </si>
  <si>
    <t>MEM_NOC_CDSP_ACTIVITY_PROBE_CONTROL_LOW</t>
  </si>
  <si>
    <t>0000c800</t>
  </si>
  <si>
    <t>MEM_NOC_SNOC_SF_ACTIVITY_PROBE_SWID_LOW</t>
  </si>
  <si>
    <t>0000c804</t>
  </si>
  <si>
    <t>MEM_NOC_SNOC_SF_ACTIVITY_PROBE_SWID_HIGH</t>
  </si>
  <si>
    <t>0000c808</t>
  </si>
  <si>
    <t>MEM_NOC_SNOC_SF_ACTIVITY_PROBE_CONTROL_LOW</t>
  </si>
  <si>
    <t>0000ca00</t>
  </si>
  <si>
    <t>MEM_NOC_MNOC_HF0_ACTIVITY_PROBE_SWID_LOW</t>
  </si>
  <si>
    <t>0000ca04</t>
  </si>
  <si>
    <t>MEM_NOC_MNOC_HF0_ACTIVITY_PROBE_SWID_HIGH</t>
  </si>
  <si>
    <t>0000ca08</t>
  </si>
  <si>
    <t>MEM_NOC_MNOC_HF0_ACTIVITY_PROBE_CONTROL_LOW</t>
  </si>
  <si>
    <t>0000cc00</t>
  </si>
  <si>
    <t>MEM_NOC_MNOC_HF1_ACTIVITY_PROBE_SWID_LOW</t>
  </si>
  <si>
    <t>0000cc04</t>
  </si>
  <si>
    <t>MEM_NOC_MNOC_HF1_ACTIVITY_PROBE_SWID_HIGH</t>
  </si>
  <si>
    <t>0000cc08</t>
  </si>
  <si>
    <t>MEM_NOC_MNOC_HF1_ACTIVITY_PROBE_CONTROL_LOW</t>
  </si>
  <si>
    <t>0000ce00</t>
  </si>
  <si>
    <t>MEM_NOC_MNOC_SF_ACTIVITY_PROBE_SWID_LOW</t>
  </si>
  <si>
    <t>0000ce04</t>
  </si>
  <si>
    <t>MEM_NOC_MNOC_SF_ACTIVITY_PROBE_SWID_HIGH</t>
  </si>
  <si>
    <t>0000ce08</t>
  </si>
  <si>
    <t>MEM_NOC_MNOC_SF_ACTIVITY_PROBE_CONTROL_LOW</t>
  </si>
  <si>
    <t>0000d000</t>
  </si>
  <si>
    <t>MEM_NOC_GPU0_ACTIVITY_PROBE_SWID_LOW</t>
  </si>
  <si>
    <t>0000d004</t>
  </si>
  <si>
    <t>MEM_NOC_GPU0_ACTIVITY_PROBE_SWID_HIGH</t>
  </si>
  <si>
    <t>0000d008</t>
  </si>
  <si>
    <t>MEM_NOC_GPU0_ACTIVITY_PROBE_CONTROL_LOW</t>
  </si>
  <si>
    <t>0000d200</t>
  </si>
  <si>
    <t>MEM_NOC_GPU1_ACTIVITY_PROBE_SWID_LOW</t>
  </si>
  <si>
    <t>0000d204</t>
  </si>
  <si>
    <t>MEM_NOC_GPU1_ACTIVITY_PROBE_SWID_HIGH</t>
  </si>
  <si>
    <t>0000d208</t>
  </si>
  <si>
    <t>MEM_NOC_GPU1_ACTIVITY_PROBE_CONTROL_LOW</t>
  </si>
  <si>
    <t>0000d400</t>
  </si>
  <si>
    <t>MEM_NOC_MDSP_ACTIVITY_PROBE_SWID_LOW</t>
  </si>
  <si>
    <t>0000d404</t>
  </si>
  <si>
    <t>MEM_NOC_MDSP_ACTIVITY_PROBE_SWID_HIGH</t>
  </si>
  <si>
    <t>0000d408</t>
  </si>
  <si>
    <t>MEM_NOC_MDSP_ACTIVITY_PROBE_CONTROL_LOW</t>
  </si>
  <si>
    <t>0000d600</t>
  </si>
  <si>
    <t>MEM_NOC_LLCC0_ACTIVITY_PROBE_SWID_LOW</t>
  </si>
  <si>
    <t>0000d604</t>
  </si>
  <si>
    <t>MEM_NOC_LLCC0_ACTIVITY_PROBE_SWID_HIGH</t>
  </si>
  <si>
    <t>0000d608</t>
  </si>
  <si>
    <t>MEM_NOC_LLCC0_ACTIVITY_PROBE_CONTROL_LOW</t>
  </si>
  <si>
    <t>0000d800</t>
  </si>
  <si>
    <t>MEM_NOC_LLCC1_ACTIVITY_PROBE_SWID_LOW</t>
  </si>
  <si>
    <t>0000d804</t>
  </si>
  <si>
    <t>MEM_NOC_LLCC1_ACTIVITY_PROBE_SWID_HIGH</t>
  </si>
  <si>
    <t>0000d808</t>
  </si>
  <si>
    <t>MEM_NOC_LLCC1_ACTIVITY_PROBE_CONTROL_LOW</t>
  </si>
  <si>
    <t>0000de00</t>
  </si>
  <si>
    <t>MEM_NOC_TCU_ACTIVITY_PROBE_SWID_LOW</t>
  </si>
  <si>
    <t>0000de04</t>
  </si>
  <si>
    <t>MEM_NOC_TCU_ACTIVITY_PROBE_SWID_HIGH</t>
  </si>
  <si>
    <t>0000de08</t>
  </si>
  <si>
    <t>MEM_NOC_TCU_ACTIVITY_PROBE_CONTROL_LOW</t>
  </si>
  <si>
    <t>MEM_NOC_TCU_QOSBOX_SWID_LOW</t>
  </si>
  <si>
    <t>00088A52</t>
  </si>
  <si>
    <t>00010004</t>
  </si>
  <si>
    <t>MEM_NOC_TCU_QOSBOX_SWID_HIGH</t>
  </si>
  <si>
    <t>00010008</t>
  </si>
  <si>
    <t>MEM_NOC_TCU_QOSBOX_MAINCTL_LOW</t>
  </si>
  <si>
    <t>00020000</t>
  </si>
  <si>
    <t>00010010</t>
  </si>
  <si>
    <t>MEM_NOC_TCU_QOSBOX_MAINSTATUS_LOW</t>
  </si>
  <si>
    <t>02150000</t>
  </si>
  <si>
    <t>00010018</t>
  </si>
  <si>
    <t>MEM_NOC_TCU_QOSBOX_LIMITBW_LOW</t>
  </si>
  <si>
    <t>00010020</t>
  </si>
  <si>
    <t>MEM_NOC_TCU_QOSBOX_SHAPING_LOW</t>
  </si>
  <si>
    <t>00010024</t>
  </si>
  <si>
    <t>MEM_NOC_TCU_QOSBOX_SHAPING_HIGH</t>
  </si>
  <si>
    <t>00010040</t>
  </si>
  <si>
    <t>MEM_NOC_TCU_QOSBOX_REGUL0CTL_LOW</t>
  </si>
  <si>
    <t>00010048</t>
  </si>
  <si>
    <t>MEM_NOC_TCU_QOSBOX_REGUL0BW_LOW</t>
  </si>
  <si>
    <t>00012000</t>
  </si>
  <si>
    <t>MEM_NOC_APPS_RD_QOSBOX_SWID_LOW</t>
  </si>
  <si>
    <t>000847DF</t>
  </si>
  <si>
    <t>00012004</t>
  </si>
  <si>
    <t>MEM_NOC_APPS_RD_QOSBOX_SWID_HIGH</t>
  </si>
  <si>
    <t>00012008</t>
  </si>
  <si>
    <t>MEM_NOC_APPS_RD_QOSBOX_MAINCTL_LOW</t>
  </si>
  <si>
    <t>00020008</t>
  </si>
  <si>
    <t>00012010</t>
  </si>
  <si>
    <t>MEM_NOC_APPS_RD_QOSBOX_MAINSTATUS_LOW</t>
  </si>
  <si>
    <t>042A0000</t>
  </si>
  <si>
    <t>00012018</t>
  </si>
  <si>
    <t>MEM_NOC_APPS_RD_QOSBOX_LIMITBW_LOW</t>
  </si>
  <si>
    <t>00012020</t>
  </si>
  <si>
    <t>MEM_NOC_APPS_RD_QOSBOX_SHAPING_LOW</t>
  </si>
  <si>
    <t>00012024</t>
  </si>
  <si>
    <t>MEM_NOC_APPS_RD_QOSBOX_SHAPING_HIGH</t>
  </si>
  <si>
    <t>00012040</t>
  </si>
  <si>
    <t>MEM_NOC_APPS_RD_QOSBOX_REGUL0CTL_LOW</t>
  </si>
  <si>
    <t>00012048</t>
  </si>
  <si>
    <t>MEM_NOC_APPS_RD_QOSBOX_REGUL0BW_LOW</t>
  </si>
  <si>
    <t>00013000</t>
  </si>
  <si>
    <t>MEM_NOC_APPS_RDWR_QOSBOX_SWID_LOW</t>
  </si>
  <si>
    <t>0008FAD8</t>
  </si>
  <si>
    <t>MEM_NOC_APPS_RDWR_QOSBOX_SWID_HIGH</t>
  </si>
  <si>
    <t>00013008</t>
  </si>
  <si>
    <t>MEM_NOC_APPS_RDWR_QOSBOX_MAINCTL_LOW</t>
  </si>
  <si>
    <t>00013010</t>
  </si>
  <si>
    <t>MEM_NOC_APPS_RDWR_QOSBOX_MAINSTATUS_LOW</t>
  </si>
  <si>
    <t>00013018</t>
  </si>
  <si>
    <t>MEM_NOC_APPS_RDWR_QOSBOX_LIMITBW_LOW</t>
  </si>
  <si>
    <t>00013020</t>
  </si>
  <si>
    <t>MEM_NOC_APPS_RDWR_QOSBOX_SHAPING_LOW</t>
  </si>
  <si>
    <t>00013024</t>
  </si>
  <si>
    <t>MEM_NOC_APPS_RDWR_QOSBOX_SHAPING_HIGH</t>
  </si>
  <si>
    <t>00013040</t>
  </si>
  <si>
    <t>MEM_NOC_APPS_RDWR_QOSBOX_REGUL0CTL_LOW</t>
  </si>
  <si>
    <t>00013048</t>
  </si>
  <si>
    <t>MEM_NOC_APPS_RDWR_QOSBOX_REGUL0BW_LOW</t>
  </si>
  <si>
    <t>00014000</t>
  </si>
  <si>
    <t>MEM_NOC_MNOC_HF1_QOSBOX_SWID_LOW</t>
  </si>
  <si>
    <t>0008576F</t>
  </si>
  <si>
    <t>00014004</t>
  </si>
  <si>
    <t>MEM_NOC_MNOC_HF1_QOSBOX_SWID_HIGH</t>
  </si>
  <si>
    <t>00014008</t>
  </si>
  <si>
    <t>MEM_NOC_MNOC_HF1_QOSBOX_MAINCTL_LOW</t>
  </si>
  <si>
    <t>00014010</t>
  </si>
  <si>
    <t>MEM_NOC_MNOC_HF1_QOSBOX_MAINSTATUS_LOW</t>
  </si>
  <si>
    <t>01900000</t>
  </si>
  <si>
    <t>00014018</t>
  </si>
  <si>
    <t>MEM_NOC_MNOC_HF1_QOSBOX_LIMITBW_LOW</t>
  </si>
  <si>
    <t>00014020</t>
  </si>
  <si>
    <t>MEM_NOC_MNOC_HF1_QOSBOX_SHAPING_LOW</t>
  </si>
  <si>
    <t>00014024</t>
  </si>
  <si>
    <t>MEM_NOC_MNOC_HF1_QOSBOX_SHAPING_HIGH</t>
  </si>
  <si>
    <t>00014040</t>
  </si>
  <si>
    <t>MEM_NOC_MNOC_HF1_QOSBOX_REGUL0CTL_LOW</t>
  </si>
  <si>
    <t>00014048</t>
  </si>
  <si>
    <t>MEM_NOC_MNOC_HF1_QOSBOX_REGUL0BW_LOW</t>
  </si>
  <si>
    <t>00015000</t>
  </si>
  <si>
    <t>MEM_NOC_MNOC_HF0_QOSBOX_SWID_LOW</t>
  </si>
  <si>
    <t>00015004</t>
  </si>
  <si>
    <t>MEM_NOC_MNOC_HF0_QOSBOX_SWID_HIGH</t>
  </si>
  <si>
    <t>00015008</t>
  </si>
  <si>
    <t>MEM_NOC_MNOC_HF0_QOSBOX_MAINCTL_LOW</t>
  </si>
  <si>
    <t>00015010</t>
  </si>
  <si>
    <t>MEM_NOC_MNOC_HF0_QOSBOX_MAINSTATUS_LOW</t>
  </si>
  <si>
    <t>00015018</t>
  </si>
  <si>
    <t>MEM_NOC_MNOC_HF0_QOSBOX_LIMITBW_LOW</t>
  </si>
  <si>
    <t>00015020</t>
  </si>
  <si>
    <t>MEM_NOC_MNOC_HF0_QOSBOX_SHAPING_LOW</t>
  </si>
  <si>
    <t>00015024</t>
  </si>
  <si>
    <t>MEM_NOC_MNOC_HF0_QOSBOX_SHAPING_HIGH</t>
  </si>
  <si>
    <t>00015040</t>
  </si>
  <si>
    <t>MEM_NOC_MNOC_HF0_QOSBOX_REGUL0CTL_LOW</t>
  </si>
  <si>
    <t>00015048</t>
  </si>
  <si>
    <t>MEM_NOC_MNOC_HF0_QOSBOX_REGUL0BW_LOW</t>
  </si>
  <si>
    <t>00016000</t>
  </si>
  <si>
    <t>MEM_NOC_CDSP_QOSBOX_SWID_LOW</t>
  </si>
  <si>
    <t>0008CC2B</t>
  </si>
  <si>
    <t>00016004</t>
  </si>
  <si>
    <t>MEM_NOC_CDSP_QOSBOX_SWID_HIGH</t>
  </si>
  <si>
    <t>00016008</t>
  </si>
  <si>
    <t>MEM_NOC_CDSP_QOSBOX_MAINCTL_LOW</t>
  </si>
  <si>
    <t>00016010</t>
  </si>
  <si>
    <t>MEM_NOC_CDSP_QOSBOX_MAINSTATUS_LOW</t>
  </si>
  <si>
    <t>00016018</t>
  </si>
  <si>
    <t>MEM_NOC_CDSP_QOSBOX_LIMITBW_LOW</t>
  </si>
  <si>
    <t>00016020</t>
  </si>
  <si>
    <t>MEM_NOC_CDSP_QOSBOX_SHAPING_LOW</t>
  </si>
  <si>
    <t>00016024</t>
  </si>
  <si>
    <t>MEM_NOC_CDSP_QOSBOX_SHAPING_HIGH</t>
  </si>
  <si>
    <t>00016040</t>
  </si>
  <si>
    <t>MEM_NOC_CDSP_QOSBOX_REGUL0CTL_LOW</t>
  </si>
  <si>
    <t>00016048</t>
  </si>
  <si>
    <t>MEM_NOC_CDSP_QOSBOX_REGUL0BW_LOW</t>
  </si>
  <si>
    <t>00017000</t>
  </si>
  <si>
    <t>MEM_NOC_MNOC_SF_QOSBOX_SWID_LOW</t>
  </si>
  <si>
    <t>00017004</t>
  </si>
  <si>
    <t>MEM_NOC_MNOC_SF_QOSBOX_SWID_HIGH</t>
  </si>
  <si>
    <t>00017008</t>
  </si>
  <si>
    <t>MEM_NOC_MNOC_SF_QOSBOX_MAINCTL_LOW</t>
  </si>
  <si>
    <t>00017010</t>
  </si>
  <si>
    <t>MEM_NOC_MNOC_SF_QOSBOX_MAINSTATUS_LOW</t>
  </si>
  <si>
    <t>00017018</t>
  </si>
  <si>
    <t>MEM_NOC_MNOC_SF_QOSBOX_LIMITBW_LOW</t>
  </si>
  <si>
    <t>00017020</t>
  </si>
  <si>
    <t>MEM_NOC_MNOC_SF_QOSBOX_SHAPING_LOW</t>
  </si>
  <si>
    <t>00017024</t>
  </si>
  <si>
    <t>MEM_NOC_MNOC_SF_QOSBOX_SHAPING_HIGH</t>
  </si>
  <si>
    <t>00017040</t>
  </si>
  <si>
    <t>MEM_NOC_MNOC_SF_QOSBOX_REGUL0CTL_LOW</t>
  </si>
  <si>
    <t>00017048</t>
  </si>
  <si>
    <t>MEM_NOC_MNOC_SF_QOSBOX_REGUL0BW_LOW</t>
  </si>
  <si>
    <t>00018000</t>
  </si>
  <si>
    <t>MEM_NOC_SNOC_GC_QOSBOX_SWID_LOW</t>
  </si>
  <si>
    <t>00086EC0</t>
  </si>
  <si>
    <t>00018004</t>
  </si>
  <si>
    <t>MEM_NOC_SNOC_GC_QOSBOX_SWID_HIGH</t>
  </si>
  <si>
    <t>00018008</t>
  </si>
  <si>
    <t>MEM_NOC_SNOC_GC_QOSBOX_MAINCTL_LOW</t>
  </si>
  <si>
    <t>00018010</t>
  </si>
  <si>
    <t>MEM_NOC_SNOC_GC_QOSBOX_MAINSTATUS_LOW</t>
  </si>
  <si>
    <t>012C0000</t>
  </si>
  <si>
    <t>00018018</t>
  </si>
  <si>
    <t>MEM_NOC_SNOC_GC_QOSBOX_LIMITBW_LOW</t>
  </si>
  <si>
    <t>00018020</t>
  </si>
  <si>
    <t>MEM_NOC_SNOC_GC_QOSBOX_SHAPING_LOW</t>
  </si>
  <si>
    <t>00018024</t>
  </si>
  <si>
    <t>MEM_NOC_SNOC_GC_QOSBOX_SHAPING_HIGH</t>
  </si>
  <si>
    <t>00018040</t>
  </si>
  <si>
    <t>MEM_NOC_SNOC_GC_QOSBOX_REGUL0CTL_LOW</t>
  </si>
  <si>
    <t>00018048</t>
  </si>
  <si>
    <t>MEM_NOC_SNOC_GC_QOSBOX_REGUL0BW_LOW</t>
  </si>
  <si>
    <t>00019000</t>
  </si>
  <si>
    <t>MEM_NOC_SNOC_SF_QOSBOX_SWID_LOW</t>
  </si>
  <si>
    <t>00083FDC</t>
  </si>
  <si>
    <t>00019004</t>
  </si>
  <si>
    <t>MEM_NOC_SNOC_SF_QOSBOX_SWID_HIGH</t>
  </si>
  <si>
    <t>00019008</t>
  </si>
  <si>
    <t>MEM_NOC_SNOC_SF_QOSBOX_MAINCTL_LOW</t>
  </si>
  <si>
    <t>00019010</t>
  </si>
  <si>
    <t>MEM_NOC_SNOC_SF_QOSBOX_MAINSTATUS_LOW</t>
  </si>
  <si>
    <t>00019018</t>
  </si>
  <si>
    <t>MEM_NOC_SNOC_SF_QOSBOX_LIMITBW_LOW</t>
  </si>
  <si>
    <t>00019020</t>
  </si>
  <si>
    <t>MEM_NOC_SNOC_SF_QOSBOX_SHAPING_LOW</t>
  </si>
  <si>
    <t>00019024</t>
  </si>
  <si>
    <t>MEM_NOC_SNOC_SF_QOSBOX_SHAPING_HIGH</t>
  </si>
  <si>
    <t>00019040</t>
  </si>
  <si>
    <t>MEM_NOC_SNOC_SF_QOSBOX_REGUL0CTL_LOW</t>
  </si>
  <si>
    <t>00019048</t>
  </si>
  <si>
    <t>MEM_NOC_SNOC_SF_QOSBOX_REGUL0BW_LOW</t>
  </si>
  <si>
    <t>0001a000</t>
  </si>
  <si>
    <t>MEM_NOC_GPU0_QOSBOX_SWID_LOW</t>
  </si>
  <si>
    <t>0008B951</t>
  </si>
  <si>
    <t>0001a004</t>
  </si>
  <si>
    <t>MEM_NOC_GPU0_QOSBOX_SWID_HIGH</t>
  </si>
  <si>
    <t>0001a008</t>
  </si>
  <si>
    <t>MEM_NOC_GPU0_QOSBOX_MAINCTL_LOW</t>
  </si>
  <si>
    <t>0001a010</t>
  </si>
  <si>
    <t>MEM_NOC_GPU0_QOSBOX_MAINSTATUS_LOW</t>
  </si>
  <si>
    <t>01D30000</t>
  </si>
  <si>
    <t>0001a018</t>
  </si>
  <si>
    <t>MEM_NOC_GPU0_QOSBOX_LIMITBW_LOW</t>
  </si>
  <si>
    <t>0001a020</t>
  </si>
  <si>
    <t>MEM_NOC_GPU0_QOSBOX_SHAPING_LOW</t>
  </si>
  <si>
    <t>0001a024</t>
  </si>
  <si>
    <t>MEM_NOC_GPU0_QOSBOX_SHAPING_HIGH</t>
  </si>
  <si>
    <t>0001a040</t>
  </si>
  <si>
    <t>MEM_NOC_GPU0_QOSBOX_REGUL0CTL_LOW</t>
  </si>
  <si>
    <t>0001a048</t>
  </si>
  <si>
    <t>MEM_NOC_GPU0_QOSBOX_REGUL0BW_LOW</t>
  </si>
  <si>
    <t>0001b000</t>
  </si>
  <si>
    <t>MEM_NOC_GPU1_QOSBOX_SWID_LOW</t>
  </si>
  <si>
    <t>0001b004</t>
  </si>
  <si>
    <t>MEM_NOC_GPU1_QOSBOX_SWID_HIGH</t>
  </si>
  <si>
    <t>0001b008</t>
  </si>
  <si>
    <t>MEM_NOC_GPU1_QOSBOX_MAINCTL_LOW</t>
  </si>
  <si>
    <t>0001b010</t>
  </si>
  <si>
    <t>MEM_NOC_GPU1_QOSBOX_MAINSTATUS_LOW</t>
  </si>
  <si>
    <t>0001b018</t>
  </si>
  <si>
    <t>MEM_NOC_GPU1_QOSBOX_LIMITBW_LOW</t>
  </si>
  <si>
    <t>0001b020</t>
  </si>
  <si>
    <t>MEM_NOC_GPU1_QOSBOX_SHAPING_LOW</t>
  </si>
  <si>
    <t>0001b024</t>
  </si>
  <si>
    <t>MEM_NOC_GPU1_QOSBOX_SHAPING_HIGH</t>
  </si>
  <si>
    <t>0001b040</t>
  </si>
  <si>
    <t>MEM_NOC_GPU1_QOSBOX_REGUL0CTL_LOW</t>
  </si>
  <si>
    <t>0001b048</t>
  </si>
  <si>
    <t>MEM_NOC_GPU1_QOSBOX_REGUL0BW_LOW</t>
  </si>
  <si>
    <t>0001c000</t>
  </si>
  <si>
    <t>MEM_NOC_MDSP_QOSBOX_SWID_LOW</t>
  </si>
  <si>
    <t>00088111</t>
  </si>
  <si>
    <t>0001c004</t>
  </si>
  <si>
    <t>MEM_NOC_MDSP_QOSBOX_SWID_HIGH</t>
  </si>
  <si>
    <t>0001c008</t>
  </si>
  <si>
    <t>MEM_NOC_MDSP_QOSBOX_MAINCTL_LOW</t>
  </si>
  <si>
    <t>0001c010</t>
  </si>
  <si>
    <t>MEM_NOC_MDSP_QOSBOX_MAINSTATUS_LOW</t>
  </si>
  <si>
    <t>0001c018</t>
  </si>
  <si>
    <t>MEM_NOC_MDSP_QOSBOX_LIMITBW_LOW</t>
  </si>
  <si>
    <t>0001c020</t>
  </si>
  <si>
    <t>MEM_NOC_MDSP_QOSBOX_SHAPING_LOW</t>
  </si>
  <si>
    <t>0001c024</t>
  </si>
  <si>
    <t>MEM_NOC_MDSP_QOSBOX_SHAPING_HIGH</t>
  </si>
  <si>
    <t>0001c040</t>
  </si>
  <si>
    <t>MEM_NOC_MDSP_QOSBOX_REGUL0CTL_LOW</t>
  </si>
  <si>
    <t>0001c048</t>
  </si>
  <si>
    <t>MEM_NOC_MDSP_QOSBOX_REGUL0BW_LOW</t>
  </si>
  <si>
    <t>0001d000</t>
  </si>
  <si>
    <t>MEM_NOC_MDSP_DYN_ATTR_SWID_LOW</t>
  </si>
  <si>
    <t>00063140</t>
  </si>
  <si>
    <t>0001d004</t>
  </si>
  <si>
    <t>MEM_NOC_MDSP_DYN_ATTR_SWID_HIGH</t>
  </si>
  <si>
    <t>0001d008</t>
  </si>
  <si>
    <t>MEM_NOC_MDSP_DYN_ATTR_MAINCTL_LOW</t>
  </si>
  <si>
    <t>0001d010</t>
  </si>
  <si>
    <t>MEM_NOC_MDSP_DYN_ATTR_MAINSTATUS_LOW</t>
  </si>
  <si>
    <t>0001d018</t>
  </si>
  <si>
    <t>MEM_NOC_MDSP_DYN_ATTR_REQUSEROV_LOW</t>
  </si>
  <si>
    <t>0001d020</t>
  </si>
  <si>
    <t>MEM_NOC_MDSP_DYN_ATTR_REQUSERVAL_LOW</t>
  </si>
  <si>
    <t>0001d028</t>
  </si>
  <si>
    <t>MEM_NOC_MDSP_DYN_ATTR_LOGUSEROV_LOW</t>
  </si>
  <si>
    <t>0001d030</t>
  </si>
  <si>
    <t>MEM_NOC_MDSP_DYN_ATTR_LOGUSERVAL_LOW</t>
  </si>
  <si>
    <t>0001d038</t>
  </si>
  <si>
    <t>MEM_NOC_MDSP_DYN_ATTR_ADDRMSBOV_LOW</t>
  </si>
  <si>
    <t>0001d040</t>
  </si>
  <si>
    <t>MEM_NOC_MDSP_DYN_ATTR_ADDRMSBVAL_LOW</t>
  </si>
  <si>
    <t>0001d048</t>
  </si>
  <si>
    <t>MEM_NOC_MDSP_DYN_ATTR_ALLOC_LOW</t>
  </si>
  <si>
    <t>0001d050</t>
  </si>
  <si>
    <t>MEM_NOC_MDSP_DYN_ATTR_CACHEINDEXVAL_LOW</t>
  </si>
  <si>
    <t>0001e000</t>
  </si>
  <si>
    <t>MEM_NOC_MEM_NOC_MDSP_SAFE_SHAPING_SWID_LOW</t>
  </si>
  <si>
    <t>000E517A</t>
  </si>
  <si>
    <t>0001e004</t>
  </si>
  <si>
    <t>MEM_NOC_MEM_NOC_MDSP_SAFE_SHAPING_SWID_HIGH</t>
  </si>
  <si>
    <t>0001e080</t>
  </si>
  <si>
    <t>MEM_NOC_MEM_NOC_MDSP_SAFE_SHAPING_FLAGOUTCLR0_LOW</t>
  </si>
  <si>
    <t>0001e088</t>
  </si>
  <si>
    <t>MEM_NOC_MEM_NOC_MDSP_SAFE_SHAPING_FLAGOUTSET0_LOW</t>
  </si>
  <si>
    <t>0001e090</t>
  </si>
  <si>
    <t>MEM_NOC_MEM_NOC_MDSP_SAFE_SHAPING_FLAGOUTSTATUS0_LOW</t>
  </si>
  <si>
    <t>0001e100</t>
  </si>
  <si>
    <t>MEM_NOC_MEM_NOC_MDSP_SAFE_SHAPING_SENSEIN0_LOW</t>
  </si>
  <si>
    <t>0001f000</t>
  </si>
  <si>
    <t>MEM_NOC_TCU_DYN_ATTR_SWID_LOW</t>
  </si>
  <si>
    <t>0001f004</t>
  </si>
  <si>
    <t>MEM_NOC_TCU_DYN_ATTR_SWID_HIGH</t>
  </si>
  <si>
    <t>0001f008</t>
  </si>
  <si>
    <t>MEM_NOC_TCU_DYN_ATTR_MAINCTL_LOW</t>
  </si>
  <si>
    <t>0001f010</t>
  </si>
  <si>
    <t>MEM_NOC_TCU_DYN_ATTR_MAINSTATUS_LOW</t>
  </si>
  <si>
    <t>0001f018</t>
  </si>
  <si>
    <t>MEM_NOC_TCU_DYN_ATTR_REQUSEROV_LOW</t>
  </si>
  <si>
    <t>0001f020</t>
  </si>
  <si>
    <t>MEM_NOC_TCU_DYN_ATTR_REQUSERVAL_LOW</t>
  </si>
  <si>
    <t>0001f028</t>
  </si>
  <si>
    <t>MEM_NOC_TCU_DYN_ATTR_LOGUSEROV_LOW</t>
  </si>
  <si>
    <t>0001f030</t>
  </si>
  <si>
    <t>MEM_NOC_TCU_DYN_ATTR_LOGUSERVAL_LOW</t>
  </si>
  <si>
    <t>0001f038</t>
  </si>
  <si>
    <t>MEM_NOC_TCU_DYN_ATTR_ADDRMSBOV_LOW</t>
  </si>
  <si>
    <t>0001f040</t>
  </si>
  <si>
    <t>MEM_NOC_TCU_DYN_ATTR_ADDRMSBVAL_LOW</t>
  </si>
  <si>
    <t>0001f048</t>
  </si>
  <si>
    <t>MEM_NOC_TCU_DYN_ATTR_ALLOC_LOW</t>
  </si>
  <si>
    <t>0001f050</t>
  </si>
  <si>
    <t>MEM_NOC_TCU_DYN_ATTR_CACHEINDEXVAL_LOW</t>
  </si>
  <si>
    <t>0001f080</t>
  </si>
  <si>
    <t>MEM_NOC_APPS_RD_DYN_ATTR_SWID_LOW</t>
  </si>
  <si>
    <t>0001f084</t>
  </si>
  <si>
    <t>MEM_NOC_APPS_RD_DYN_ATTR_SWID_HIGH</t>
  </si>
  <si>
    <t>0001f088</t>
  </si>
  <si>
    <t>MEM_NOC_APPS_RD_DYN_ATTR_MAINCTL_LOW</t>
  </si>
  <si>
    <t>0001f090</t>
  </si>
  <si>
    <t>MEM_NOC_APPS_RD_DYN_ATTR_MAINSTATUS_LOW</t>
  </si>
  <si>
    <t>0001f098</t>
  </si>
  <si>
    <t>MEM_NOC_APPS_RD_DYN_ATTR_REQUSEROV_LOW</t>
  </si>
  <si>
    <t>0001f0a0</t>
  </si>
  <si>
    <t>MEM_NOC_APPS_RD_DYN_ATTR_REQUSERVAL_LOW</t>
  </si>
  <si>
    <t>0001f0a8</t>
  </si>
  <si>
    <t>MEM_NOC_APPS_RD_DYN_ATTR_LOGUSEROV_LOW</t>
  </si>
  <si>
    <t>0001f0b0</t>
  </si>
  <si>
    <t>MEM_NOC_APPS_RD_DYN_ATTR_LOGUSERVAL_LOW</t>
  </si>
  <si>
    <t>0001f0b8</t>
  </si>
  <si>
    <t>MEM_NOC_APPS_RD_DYN_ATTR_ADDRMSBOV_LOW</t>
  </si>
  <si>
    <t>0001f0c0</t>
  </si>
  <si>
    <t>MEM_NOC_APPS_RD_DYN_ATTR_ADDRMSBVAL_LOW</t>
  </si>
  <si>
    <t>0001f0c8</t>
  </si>
  <si>
    <t>MEM_NOC_APPS_RD_DYN_ATTR_ALLOC_LOW</t>
  </si>
  <si>
    <t>0001f0d0</t>
  </si>
  <si>
    <t>MEM_NOC_APPS_RD_DYN_ATTR_CACHEINDEXVAL_LOW</t>
  </si>
  <si>
    <t>0001f100</t>
  </si>
  <si>
    <t>MEM_NOC_APPS_RDWR_DYN_ATTR_SWID_LOW</t>
  </si>
  <si>
    <t>0001f104</t>
  </si>
  <si>
    <t>MEM_NOC_APPS_RDWR_DYN_ATTR_SWID_HIGH</t>
  </si>
  <si>
    <t>0001f108</t>
  </si>
  <si>
    <t>MEM_NOC_APPS_RDWR_DYN_ATTR_MAINCTL_LOW</t>
  </si>
  <si>
    <t>0001f110</t>
  </si>
  <si>
    <t>MEM_NOC_APPS_RDWR_DYN_ATTR_MAINSTATUS_LOW</t>
  </si>
  <si>
    <t>0001f118</t>
  </si>
  <si>
    <t>MEM_NOC_APPS_RDWR_DYN_ATTR_REQUSEROV_LOW</t>
  </si>
  <si>
    <t>0001f120</t>
  </si>
  <si>
    <t>MEM_NOC_APPS_RDWR_DYN_ATTR_REQUSERVAL_LOW</t>
  </si>
  <si>
    <t>0001f128</t>
  </si>
  <si>
    <t>MEM_NOC_APPS_RDWR_DYN_ATTR_LOGUSEROV_LOW</t>
  </si>
  <si>
    <t>0001f130</t>
  </si>
  <si>
    <t>MEM_NOC_APPS_RDWR_DYN_ATTR_LOGUSERVAL_LOW</t>
  </si>
  <si>
    <t>0001f138</t>
  </si>
  <si>
    <t>MEM_NOC_APPS_RDWR_DYN_ATTR_ADDRMSBOV_LOW</t>
  </si>
  <si>
    <t>0001f140</t>
  </si>
  <si>
    <t>MEM_NOC_APPS_RDWR_DYN_ATTR_ADDRMSBVAL_LOW</t>
  </si>
  <si>
    <t>0001f148</t>
  </si>
  <si>
    <t>MEM_NOC_APPS_RDWR_DYN_ATTR_ALLOC_LOW</t>
  </si>
  <si>
    <t>0001f150</t>
  </si>
  <si>
    <t>MEM_NOC_APPS_RDWR_DYN_ATTR_CACHEINDEXVAL_LOW</t>
  </si>
  <si>
    <t>0001f180</t>
  </si>
  <si>
    <t>MEM_NOC_CDSP_DYN_ATTR_SWID_LOW</t>
  </si>
  <si>
    <t>0001f184</t>
  </si>
  <si>
    <t>MEM_NOC_CDSP_DYN_ATTR_SWID_HIGH</t>
  </si>
  <si>
    <t>0001f188</t>
  </si>
  <si>
    <t>MEM_NOC_CDSP_DYN_ATTR_MAINCTL_LOW</t>
  </si>
  <si>
    <t>0001f190</t>
  </si>
  <si>
    <t>MEM_NOC_CDSP_DYN_ATTR_MAINSTATUS_LOW</t>
  </si>
  <si>
    <t>0001f198</t>
  </si>
  <si>
    <t>MEM_NOC_CDSP_DYN_ATTR_REQUSEROV_LOW</t>
  </si>
  <si>
    <t>0001f1a0</t>
  </si>
  <si>
    <t>MEM_NOC_CDSP_DYN_ATTR_REQUSERVAL_LOW</t>
  </si>
  <si>
    <t>0001f1a8</t>
  </si>
  <si>
    <t>MEM_NOC_CDSP_DYN_ATTR_LOGUSEROV_LOW</t>
  </si>
  <si>
    <t>0001f1b0</t>
  </si>
  <si>
    <t>MEM_NOC_CDSP_DYN_ATTR_LOGUSERVAL_LOW</t>
  </si>
  <si>
    <t>0001f1b8</t>
  </si>
  <si>
    <t>MEM_NOC_CDSP_DYN_ATTR_ADDRMSBOV_LOW</t>
  </si>
  <si>
    <t>0001f1c0</t>
  </si>
  <si>
    <t>MEM_NOC_CDSP_DYN_ATTR_ADDRMSBVAL_LOW</t>
  </si>
  <si>
    <t>0001f1c8</t>
  </si>
  <si>
    <t>MEM_NOC_CDSP_DYN_ATTR_ALLOC_LOW</t>
  </si>
  <si>
    <t>0001f1d0</t>
  </si>
  <si>
    <t>MEM_NOC_CDSP_DYN_ATTR_CACHEINDEXVAL_LOW</t>
  </si>
  <si>
    <t>0001f200</t>
  </si>
  <si>
    <t>MEM_NOC_MNOC_HF0_DYN_ATTR_SWID_LOW</t>
  </si>
  <si>
    <t>0001f204</t>
  </si>
  <si>
    <t>MEM_NOC_MNOC_HF0_DYN_ATTR_SWID_HIGH</t>
  </si>
  <si>
    <t>0001f208</t>
  </si>
  <si>
    <t>MEM_NOC_MNOC_HF0_DYN_ATTR_MAINCTL_LOW</t>
  </si>
  <si>
    <t>0001f210</t>
  </si>
  <si>
    <t>MEM_NOC_MNOC_HF0_DYN_ATTR_MAINSTATUS_LOW</t>
  </si>
  <si>
    <t>0001f218</t>
  </si>
  <si>
    <t>MEM_NOC_MNOC_HF0_DYN_ATTR_REQUSEROV_LOW</t>
  </si>
  <si>
    <t>0001f220</t>
  </si>
  <si>
    <t>MEM_NOC_MNOC_HF0_DYN_ATTR_REQUSERVAL_LOW</t>
  </si>
  <si>
    <t>0001f228</t>
  </si>
  <si>
    <t>MEM_NOC_MNOC_HF0_DYN_ATTR_LOGUSEROV_LOW</t>
  </si>
  <si>
    <t>0001f230</t>
  </si>
  <si>
    <t>MEM_NOC_MNOC_HF0_DYN_ATTR_LOGUSERVAL_LOW</t>
  </si>
  <si>
    <t>0001f238</t>
  </si>
  <si>
    <t>MEM_NOC_MNOC_HF0_DYN_ATTR_ADDRMSBOV_LOW</t>
  </si>
  <si>
    <t>0001f240</t>
  </si>
  <si>
    <t>MEM_NOC_MNOC_HF0_DYN_ATTR_ADDRMSBVAL_LOW</t>
  </si>
  <si>
    <t>0001f248</t>
  </si>
  <si>
    <t>MEM_NOC_MNOC_HF0_DYN_ATTR_ALLOC_LOW</t>
  </si>
  <si>
    <t>0001f250</t>
  </si>
  <si>
    <t>MEM_NOC_MNOC_HF0_DYN_ATTR_CACHEINDEXVAL_LOW</t>
  </si>
  <si>
    <t>0001f280</t>
  </si>
  <si>
    <t>MEM_NOC_MNOC_HF1_DYN_ATTR_SWID_LOW</t>
  </si>
  <si>
    <t>0001f284</t>
  </si>
  <si>
    <t>MEM_NOC_MNOC_HF1_DYN_ATTR_SWID_HIGH</t>
  </si>
  <si>
    <t>0001f288</t>
  </si>
  <si>
    <t>MEM_NOC_MNOC_HF1_DYN_ATTR_MAINCTL_LOW</t>
  </si>
  <si>
    <t>0001f290</t>
  </si>
  <si>
    <t>MEM_NOC_MNOC_HF1_DYN_ATTR_MAINSTATUS_LOW</t>
  </si>
  <si>
    <t>0001f298</t>
  </si>
  <si>
    <t>MEM_NOC_MNOC_HF1_DYN_ATTR_REQUSEROV_LOW</t>
  </si>
  <si>
    <t>0001f2a0</t>
  </si>
  <si>
    <t>MEM_NOC_MNOC_HF1_DYN_ATTR_REQUSERVAL_LOW</t>
  </si>
  <si>
    <t>0001f2a8</t>
  </si>
  <si>
    <t>MEM_NOC_MNOC_HF1_DYN_ATTR_LOGUSEROV_LOW</t>
  </si>
  <si>
    <t>0001f2b0</t>
  </si>
  <si>
    <t>MEM_NOC_MNOC_HF1_DYN_ATTR_LOGUSERVAL_LOW</t>
  </si>
  <si>
    <t>0001f2b8</t>
  </si>
  <si>
    <t>MEM_NOC_MNOC_HF1_DYN_ATTR_ADDRMSBOV_LOW</t>
  </si>
  <si>
    <t>0001f2c0</t>
  </si>
  <si>
    <t>MEM_NOC_MNOC_HF1_DYN_ATTR_ADDRMSBVAL_LOW</t>
  </si>
  <si>
    <t>0001f2c8</t>
  </si>
  <si>
    <t>MEM_NOC_MNOC_HF1_DYN_ATTR_ALLOC_LOW</t>
  </si>
  <si>
    <t>0001f2d0</t>
  </si>
  <si>
    <t>MEM_NOC_MNOC_HF1_DYN_ATTR_CACHEINDEXVAL_LOW</t>
  </si>
  <si>
    <t>0001f300</t>
  </si>
  <si>
    <t>MEM_NOC_MNOC_SF_DYN_ATTR_SWID_LOW</t>
  </si>
  <si>
    <t>0001f304</t>
  </si>
  <si>
    <t>MEM_NOC_MNOC_SF_DYN_ATTR_SWID_HIGH</t>
  </si>
  <si>
    <t>0001f308</t>
  </si>
  <si>
    <t>MEM_NOC_MNOC_SF_DYN_ATTR_MAINCTL_LOW</t>
  </si>
  <si>
    <t>0001f310</t>
  </si>
  <si>
    <t>MEM_NOC_MNOC_SF_DYN_ATTR_MAINSTATUS_LOW</t>
  </si>
  <si>
    <t>0001f318</t>
  </si>
  <si>
    <t>MEM_NOC_MNOC_SF_DYN_ATTR_REQUSEROV_LOW</t>
  </si>
  <si>
    <t>0001f320</t>
  </si>
  <si>
    <t>MEM_NOC_MNOC_SF_DYN_ATTR_REQUSERVAL_LOW</t>
  </si>
  <si>
    <t>0001f328</t>
  </si>
  <si>
    <t>MEM_NOC_MNOC_SF_DYN_ATTR_LOGUSEROV_LOW</t>
  </si>
  <si>
    <t>0001f330</t>
  </si>
  <si>
    <t>MEM_NOC_MNOC_SF_DYN_ATTR_LOGUSERVAL_LOW</t>
  </si>
  <si>
    <t>0001f338</t>
  </si>
  <si>
    <t>MEM_NOC_MNOC_SF_DYN_ATTR_ADDRMSBOV_LOW</t>
  </si>
  <si>
    <t>0001f340</t>
  </si>
  <si>
    <t>MEM_NOC_MNOC_SF_DYN_ATTR_ADDRMSBVAL_LOW</t>
  </si>
  <si>
    <t>0001f348</t>
  </si>
  <si>
    <t>MEM_NOC_MNOC_SF_DYN_ATTR_ALLOC_LOW</t>
  </si>
  <si>
    <t>0001f350</t>
  </si>
  <si>
    <t>MEM_NOC_MNOC_SF_DYN_ATTR_CACHEINDEXVAL_LOW</t>
  </si>
  <si>
    <t>0001f380</t>
  </si>
  <si>
    <t>MEM_NOC_SNOC_GC_DYN_ATTR_SWID_LOW</t>
  </si>
  <si>
    <t>0001f384</t>
  </si>
  <si>
    <t>MEM_NOC_SNOC_GC_DYN_ATTR_SWID_HIGH</t>
  </si>
  <si>
    <t>0001f388</t>
  </si>
  <si>
    <t>MEM_NOC_SNOC_GC_DYN_ATTR_MAINCTL_LOW</t>
  </si>
  <si>
    <t>0001f390</t>
  </si>
  <si>
    <t>MEM_NOC_SNOC_GC_DYN_ATTR_MAINSTATUS_LOW</t>
  </si>
  <si>
    <t>0001f398</t>
  </si>
  <si>
    <t>MEM_NOC_SNOC_GC_DYN_ATTR_REQUSEROV_LOW</t>
  </si>
  <si>
    <t>0001f3a0</t>
  </si>
  <si>
    <t>MEM_NOC_SNOC_GC_DYN_ATTR_REQUSERVAL_LOW</t>
  </si>
  <si>
    <t>0001f3a8</t>
  </si>
  <si>
    <t>MEM_NOC_SNOC_GC_DYN_ATTR_LOGUSEROV_LOW</t>
  </si>
  <si>
    <t>0001f3b0</t>
  </si>
  <si>
    <t>MEM_NOC_SNOC_GC_DYN_ATTR_LOGUSERVAL_LOW</t>
  </si>
  <si>
    <t>0001f3b8</t>
  </si>
  <si>
    <t>MEM_NOC_SNOC_GC_DYN_ATTR_ADDRMSBOV_LOW</t>
  </si>
  <si>
    <t>0001f3c0</t>
  </si>
  <si>
    <t>MEM_NOC_SNOC_GC_DYN_ATTR_ADDRMSBVAL_LOW</t>
  </si>
  <si>
    <t>0001f3c8</t>
  </si>
  <si>
    <t>MEM_NOC_SNOC_GC_DYN_ATTR_ALLOC_LOW</t>
  </si>
  <si>
    <t>0001f3d0</t>
  </si>
  <si>
    <t>MEM_NOC_SNOC_GC_DYN_ATTR_CACHEINDEXVAL_LOW</t>
  </si>
  <si>
    <t>0001f400</t>
  </si>
  <si>
    <t>MEM_NOC_SNOC_SF_DYN_ATTR_SWID_LOW</t>
  </si>
  <si>
    <t>0001f404</t>
  </si>
  <si>
    <t>MEM_NOC_SNOC_SF_DYN_ATTR_SWID_HIGH</t>
  </si>
  <si>
    <t>0001f408</t>
  </si>
  <si>
    <t>MEM_NOC_SNOC_SF_DYN_ATTR_MAINCTL_LOW</t>
  </si>
  <si>
    <t>0001f410</t>
  </si>
  <si>
    <t>MEM_NOC_SNOC_SF_DYN_ATTR_MAINSTATUS_LOW</t>
  </si>
  <si>
    <t>0001f418</t>
  </si>
  <si>
    <t>MEM_NOC_SNOC_SF_DYN_ATTR_REQUSEROV_LOW</t>
  </si>
  <si>
    <t>0001f420</t>
  </si>
  <si>
    <t>MEM_NOC_SNOC_SF_DYN_ATTR_REQUSERVAL_LOW</t>
  </si>
  <si>
    <t>0001f428</t>
  </si>
  <si>
    <t>MEM_NOC_SNOC_SF_DYN_ATTR_LOGUSEROV_LOW</t>
  </si>
  <si>
    <t>0001f430</t>
  </si>
  <si>
    <t>MEM_NOC_SNOC_SF_DYN_ATTR_LOGUSERVAL_LOW</t>
  </si>
  <si>
    <t>0001f438</t>
  </si>
  <si>
    <t>MEM_NOC_SNOC_SF_DYN_ATTR_ADDRMSBOV_LOW</t>
  </si>
  <si>
    <t>0001f440</t>
  </si>
  <si>
    <t>MEM_NOC_SNOC_SF_DYN_ATTR_ADDRMSBVAL_LOW</t>
  </si>
  <si>
    <t>0001f448</t>
  </si>
  <si>
    <t>MEM_NOC_SNOC_SF_DYN_ATTR_ALLOC_LOW</t>
  </si>
  <si>
    <t>0001f450</t>
  </si>
  <si>
    <t>MEM_NOC_SNOC_SF_DYN_ATTR_CACHEINDEXVAL_LOW</t>
  </si>
  <si>
    <t>0001f480</t>
  </si>
  <si>
    <t>MEM_NOC_GPU0_DYN_ATTR_SWID_LOW</t>
  </si>
  <si>
    <t>0001f484</t>
  </si>
  <si>
    <t>MEM_NOC_GPU0_DYN_ATTR_SWID_HIGH</t>
  </si>
  <si>
    <t>0001f488</t>
  </si>
  <si>
    <t>MEM_NOC_GPU0_DYN_ATTR_MAINCTL_LOW</t>
  </si>
  <si>
    <t>0001f490</t>
  </si>
  <si>
    <t>MEM_NOC_GPU0_DYN_ATTR_MAINSTATUS_LOW</t>
  </si>
  <si>
    <t>0001f498</t>
  </si>
  <si>
    <t>MEM_NOC_GPU0_DYN_ATTR_REQUSEROV_LOW</t>
  </si>
  <si>
    <t>0001f4a0</t>
  </si>
  <si>
    <t>MEM_NOC_GPU0_DYN_ATTR_REQUSERVAL_LOW</t>
  </si>
  <si>
    <t>0001f4a8</t>
  </si>
  <si>
    <t>MEM_NOC_GPU0_DYN_ATTR_LOGUSEROV_LOW</t>
  </si>
  <si>
    <t>0001f4b0</t>
  </si>
  <si>
    <t>MEM_NOC_GPU0_DYN_ATTR_LOGUSERVAL_LOW</t>
  </si>
  <si>
    <t>0001f4b8</t>
  </si>
  <si>
    <t>MEM_NOC_GPU0_DYN_ATTR_ADDRMSBOV_LOW</t>
  </si>
  <si>
    <t>0001f4c0</t>
  </si>
  <si>
    <t>MEM_NOC_GPU0_DYN_ATTR_ADDRMSBVAL_LOW</t>
  </si>
  <si>
    <t>0001f4c8</t>
  </si>
  <si>
    <t>MEM_NOC_GPU0_DYN_ATTR_ALLOC_LOW</t>
  </si>
  <si>
    <t>0001f4d0</t>
  </si>
  <si>
    <t>MEM_NOC_GPU0_DYN_ATTR_CACHEINDEXVAL_LOW</t>
  </si>
  <si>
    <t>0001f500</t>
  </si>
  <si>
    <t>MEM_NOC_GPU1_DYN_ATTR_SWID_LOW</t>
  </si>
  <si>
    <t>0001f504</t>
  </si>
  <si>
    <t>MEM_NOC_GPU1_DYN_ATTR_SWID_HIGH</t>
  </si>
  <si>
    <t>0001f508</t>
  </si>
  <si>
    <t>MEM_NOC_GPU1_DYN_ATTR_MAINCTL_LOW</t>
  </si>
  <si>
    <t>0001f510</t>
  </si>
  <si>
    <t>MEM_NOC_GPU1_DYN_ATTR_MAINSTATUS_LOW</t>
  </si>
  <si>
    <t>0001f518</t>
  </si>
  <si>
    <t>MEM_NOC_GPU1_DYN_ATTR_REQUSEROV_LOW</t>
  </si>
  <si>
    <t>0001f520</t>
  </si>
  <si>
    <t>MEM_NOC_GPU1_DYN_ATTR_REQUSERVAL_LOW</t>
  </si>
  <si>
    <t>0001f528</t>
  </si>
  <si>
    <t>MEM_NOC_GPU1_DYN_ATTR_LOGUSEROV_LOW</t>
  </si>
  <si>
    <t>0001f530</t>
  </si>
  <si>
    <t>MEM_NOC_GPU1_DYN_ATTR_LOGUSERVAL_LOW</t>
  </si>
  <si>
    <t>0001f538</t>
  </si>
  <si>
    <t>MEM_NOC_GPU1_DYN_ATTR_ADDRMSBOV_LOW</t>
  </si>
  <si>
    <t>0001f540</t>
  </si>
  <si>
    <t>MEM_NOC_GPU1_DYN_ATTR_ADDRMSBVAL_LOW</t>
  </si>
  <si>
    <t>0001f548</t>
  </si>
  <si>
    <t>MEM_NOC_GPU1_DYN_ATTR_ALLOC_LOW</t>
  </si>
  <si>
    <t>0001f550</t>
  </si>
  <si>
    <t>MEM_NOC_GPU1_DYN_ATTR_CACHEINDEXVAL_LOW</t>
  </si>
  <si>
    <t>MEM_NOC_MEM_NOC_SPM_SWID_LOW</t>
  </si>
  <si>
    <t>000DA238</t>
  </si>
  <si>
    <t>00020004</t>
  </si>
  <si>
    <t>MEM_NOC_MEM_NOC_SPM_SWID_HIGH</t>
  </si>
  <si>
    <t>00020020</t>
  </si>
  <si>
    <t>MEM_NOC_MEM_NOC_SPM_TARGET0_LOW</t>
  </si>
  <si>
    <t>00020028</t>
  </si>
  <si>
    <t>MEM_NOC_MEM_NOC_SPM_TARGET1_LOW</t>
  </si>
  <si>
    <t>00021000</t>
  </si>
  <si>
    <t>MEM_NOC_MEM_NOC_SW_CLK_CTRL_SWID_LOW</t>
  </si>
  <si>
    <t>000E40A9</t>
  </si>
  <si>
    <t>00021004</t>
  </si>
  <si>
    <t>MEM_NOC_MEM_NOC_SW_CLK_CTRL_SWID_HIGH</t>
  </si>
  <si>
    <t>00021080</t>
  </si>
  <si>
    <t>MEM_NOC_MEM_NOC_SW_CLK_CTRL_FLAGOUTCLR0_LOW</t>
  </si>
  <si>
    <t>00021088</t>
  </si>
  <si>
    <t>MEM_NOC_MEM_NOC_SW_CLK_CTRL_FLAGOUTSET0_LOW</t>
  </si>
  <si>
    <t>00021090</t>
  </si>
  <si>
    <t>MEM_NOC_MEM_NOC_SW_CLK_CTRL_FLAGOUTSTATUS0_LOW</t>
  </si>
  <si>
    <t>00022000</t>
  </si>
  <si>
    <t>MEM_NOC_MEM_NOC_SAFE_SHAPING_SWID_LOW</t>
  </si>
  <si>
    <t>000E29F7</t>
  </si>
  <si>
    <t>00022004</t>
  </si>
  <si>
    <t>MEM_NOC_MEM_NOC_SAFE_SHAPING_SWID_HIGH</t>
  </si>
  <si>
    <t>00022080</t>
  </si>
  <si>
    <t>MEM_NOC_MEM_NOC_SAFE_SHAPING_FLAGOUTCLR0_LOW</t>
  </si>
  <si>
    <t>00022088</t>
  </si>
  <si>
    <t>MEM_NOC_MEM_NOC_SAFE_SHAPING_FLAGOUTSET0_LOW</t>
  </si>
  <si>
    <t>00022090</t>
  </si>
  <si>
    <t>MEM_NOC_MEM_NOC_SAFE_SHAPING_FLAGOUTSTATUS0_LOW</t>
  </si>
  <si>
    <t>00022100</t>
  </si>
  <si>
    <t>MEM_NOC_MEM_NOC_SAFE_SHAPING_SENSEIN0_LOW</t>
  </si>
  <si>
    <t>00024000</t>
  </si>
  <si>
    <t>MEM_NOC_LLCC0_FE_SHAPER_SWID_LOW</t>
  </si>
  <si>
    <t>0015C862</t>
  </si>
  <si>
    <t>00024004</t>
  </si>
  <si>
    <t>MEM_NOC_LLCC0_FE_SHAPER_SWID_HIGH</t>
  </si>
  <si>
    <t>00024008</t>
  </si>
  <si>
    <t>MEM_NOC_LLCC0_FE_SHAPER_ENABLE_LOW</t>
  </si>
  <si>
    <t>00024040</t>
  </si>
  <si>
    <t>MEM_NOC_LLCC0_FE_SHAPER_GROUP0_PORT0_LOW</t>
  </si>
  <si>
    <t>7F000000</t>
  </si>
  <si>
    <t>00024044</t>
  </si>
  <si>
    <t>MEM_NOC_LLCC0_FE_SHAPER_GROUP0_PORT0_HIGH</t>
  </si>
  <si>
    <t>00024048</t>
  </si>
  <si>
    <t>MEM_NOC_LLCC0_FE_SHAPER_GROUP0_PORT1_LOW</t>
  </si>
  <si>
    <t>7F000C00</t>
  </si>
  <si>
    <t>0002404c</t>
  </si>
  <si>
    <t>MEM_NOC_LLCC0_FE_SHAPER_GROUP0_PORT1_HIGH</t>
  </si>
  <si>
    <t>00024050</t>
  </si>
  <si>
    <t>MEM_NOC_LLCC0_FE_SHAPER_GROUP0_PORT2_LOW</t>
  </si>
  <si>
    <t>7F000404</t>
  </si>
  <si>
    <t>00024054</t>
  </si>
  <si>
    <t>MEM_NOC_LLCC0_FE_SHAPER_GROUP0_PORT2_HIGH</t>
  </si>
  <si>
    <t>00024058</t>
  </si>
  <si>
    <t>MEM_NOC_LLCC0_FE_SHAPER_GROUP0_PORT3_LOW</t>
  </si>
  <si>
    <t>7F000606</t>
  </si>
  <si>
    <t>0002405c</t>
  </si>
  <si>
    <t>MEM_NOC_LLCC0_FE_SHAPER_GROUP0_PORT3_HIGH</t>
  </si>
  <si>
    <t>00024060</t>
  </si>
  <si>
    <t>MEM_NOC_LLCC0_FE_SHAPER_GROUP0_PORT4_LOW</t>
  </si>
  <si>
    <t>00024064</t>
  </si>
  <si>
    <t>MEM_NOC_LLCC0_FE_SHAPER_GROUP0_PORT4_HIGH</t>
  </si>
  <si>
    <t>00024080</t>
  </si>
  <si>
    <t>MEM_NOC_LLCC0_FE_SHAPER_GROUP1_PORT0_LOW</t>
  </si>
  <si>
    <t>00024084</t>
  </si>
  <si>
    <t>MEM_NOC_LLCC0_FE_SHAPER_GROUP1_PORT0_HIGH</t>
  </si>
  <si>
    <t>00024088</t>
  </si>
  <si>
    <t>MEM_NOC_LLCC0_FE_SHAPER_GROUP1_PORT1_LOW</t>
  </si>
  <si>
    <t>0002408c</t>
  </si>
  <si>
    <t>MEM_NOC_LLCC0_FE_SHAPER_GROUP1_PORT1_HIGH</t>
  </si>
  <si>
    <t>00024090</t>
  </si>
  <si>
    <t>MEM_NOC_LLCC0_FE_SHAPER_GROUP1_PORT2_LOW</t>
  </si>
  <si>
    <t>00024094</t>
  </si>
  <si>
    <t>MEM_NOC_LLCC0_FE_SHAPER_GROUP1_PORT2_HIGH</t>
  </si>
  <si>
    <t>00024098</t>
  </si>
  <si>
    <t>MEM_NOC_LLCC0_FE_SHAPER_GROUP1_PORT3_LOW</t>
  </si>
  <si>
    <t>0002409c</t>
  </si>
  <si>
    <t>MEM_NOC_LLCC0_FE_SHAPER_GROUP1_PORT3_HIGH</t>
  </si>
  <si>
    <t>000240a0</t>
  </si>
  <si>
    <t>MEM_NOC_LLCC0_FE_SHAPER_GROUP1_PORT4_LOW</t>
  </si>
  <si>
    <t>000240a4</t>
  </si>
  <si>
    <t>MEM_NOC_LLCC0_FE_SHAPER_GROUP1_PORT4_HIGH</t>
  </si>
  <si>
    <t>000240c0</t>
  </si>
  <si>
    <t>MEM_NOC_LLCC0_FE_SHAPER_GROUP2_PORT0_LOW</t>
  </si>
  <si>
    <t>000240c4</t>
  </si>
  <si>
    <t>MEM_NOC_LLCC0_FE_SHAPER_GROUP2_PORT0_HIGH</t>
  </si>
  <si>
    <t>000240c8</t>
  </si>
  <si>
    <t>MEM_NOC_LLCC0_FE_SHAPER_GROUP2_PORT1_LOW</t>
  </si>
  <si>
    <t>000240cc</t>
  </si>
  <si>
    <t>MEM_NOC_LLCC0_FE_SHAPER_GROUP2_PORT1_HIGH</t>
  </si>
  <si>
    <t>000240d0</t>
  </si>
  <si>
    <t>MEM_NOC_LLCC0_FE_SHAPER_GROUP2_PORT2_LOW</t>
  </si>
  <si>
    <t>000240d4</t>
  </si>
  <si>
    <t>MEM_NOC_LLCC0_FE_SHAPER_GROUP2_PORT2_HIGH</t>
  </si>
  <si>
    <t>000240d8</t>
  </si>
  <si>
    <t>MEM_NOC_LLCC0_FE_SHAPER_GROUP2_PORT3_LOW</t>
  </si>
  <si>
    <t>000240dc</t>
  </si>
  <si>
    <t>MEM_NOC_LLCC0_FE_SHAPER_GROUP2_PORT3_HIGH</t>
  </si>
  <si>
    <t>000240e0</t>
  </si>
  <si>
    <t>MEM_NOC_LLCC0_FE_SHAPER_GROUP2_PORT4_LOW</t>
  </si>
  <si>
    <t>000240e4</t>
  </si>
  <si>
    <t>MEM_NOC_LLCC0_FE_SHAPER_GROUP2_PORT4_HIGH</t>
  </si>
  <si>
    <t>00024100</t>
  </si>
  <si>
    <t>MEM_NOC_LLCC0_FE_SHAPER_GROUP3_PORT0_LOW</t>
  </si>
  <si>
    <t>00024104</t>
  </si>
  <si>
    <t>MEM_NOC_LLCC0_FE_SHAPER_GROUP3_PORT0_HIGH</t>
  </si>
  <si>
    <t>00024108</t>
  </si>
  <si>
    <t>MEM_NOC_LLCC0_FE_SHAPER_GROUP3_PORT1_LOW</t>
  </si>
  <si>
    <t>0002410c</t>
  </si>
  <si>
    <t>MEM_NOC_LLCC0_FE_SHAPER_GROUP3_PORT1_HIGH</t>
  </si>
  <si>
    <t>00024110</t>
  </si>
  <si>
    <t>MEM_NOC_LLCC0_FE_SHAPER_GROUP3_PORT2_LOW</t>
  </si>
  <si>
    <t>00024114</t>
  </si>
  <si>
    <t>MEM_NOC_LLCC0_FE_SHAPER_GROUP3_PORT2_HIGH</t>
  </si>
  <si>
    <t>00024118</t>
  </si>
  <si>
    <t>MEM_NOC_LLCC0_FE_SHAPER_GROUP3_PORT3_LOW</t>
  </si>
  <si>
    <t>0002411c</t>
  </si>
  <si>
    <t>MEM_NOC_LLCC0_FE_SHAPER_GROUP3_PORT3_HIGH</t>
  </si>
  <si>
    <t>00024120</t>
  </si>
  <si>
    <t>MEM_NOC_LLCC0_FE_SHAPER_GROUP3_PORT4_LOW</t>
  </si>
  <si>
    <t>00024124</t>
  </si>
  <si>
    <t>MEM_NOC_LLCC0_FE_SHAPER_GROUP3_PORT4_HIGH</t>
  </si>
  <si>
    <t>00024140</t>
  </si>
  <si>
    <t>MEM_NOC_LLCC0_FE_SHAPER_GROUP0_EXT0_LOW</t>
  </si>
  <si>
    <t>00024150</t>
  </si>
  <si>
    <t>MEM_NOC_LLCC0_FE_SHAPER_GROUP1_EXT0_LOW</t>
  </si>
  <si>
    <t>00024160</t>
  </si>
  <si>
    <t>MEM_NOC_LLCC0_FE_SHAPER_GROUP2_EXT0_LOW</t>
  </si>
  <si>
    <t>00024170</t>
  </si>
  <si>
    <t>MEM_NOC_LLCC0_FE_SHAPER_GROUP3_EXT0_LOW</t>
  </si>
  <si>
    <t>00024200</t>
  </si>
  <si>
    <t>MEM_NOC_LLCC1_FE_SHAPER_SWID_LOW</t>
  </si>
  <si>
    <t>00024204</t>
  </si>
  <si>
    <t>MEM_NOC_LLCC1_FE_SHAPER_SWID_HIGH</t>
  </si>
  <si>
    <t>00024208</t>
  </si>
  <si>
    <t>MEM_NOC_LLCC1_FE_SHAPER_ENABLE_LOW</t>
  </si>
  <si>
    <t>00024240</t>
  </si>
  <si>
    <t>MEM_NOC_LLCC1_FE_SHAPER_GROUP0_PORT0_LOW</t>
  </si>
  <si>
    <t>00024244</t>
  </si>
  <si>
    <t>MEM_NOC_LLCC1_FE_SHAPER_GROUP0_PORT0_HIGH</t>
  </si>
  <si>
    <t>00024248</t>
  </si>
  <si>
    <t>MEM_NOC_LLCC1_FE_SHAPER_GROUP0_PORT1_LOW</t>
  </si>
  <si>
    <t>0002424c</t>
  </si>
  <si>
    <t>MEM_NOC_LLCC1_FE_SHAPER_GROUP0_PORT1_HIGH</t>
  </si>
  <si>
    <t>00024250</t>
  </si>
  <si>
    <t>MEM_NOC_LLCC1_FE_SHAPER_GROUP0_PORT2_LOW</t>
  </si>
  <si>
    <t>00024254</t>
  </si>
  <si>
    <t>MEM_NOC_LLCC1_FE_SHAPER_GROUP0_PORT2_HIGH</t>
  </si>
  <si>
    <t>00024258</t>
  </si>
  <si>
    <t>MEM_NOC_LLCC1_FE_SHAPER_GROUP0_PORT3_LOW</t>
  </si>
  <si>
    <t>0002425c</t>
  </si>
  <si>
    <t>MEM_NOC_LLCC1_FE_SHAPER_GROUP0_PORT3_HIGH</t>
  </si>
  <si>
    <t>00024260</t>
  </si>
  <si>
    <t>MEM_NOC_LLCC1_FE_SHAPER_GROUP0_PORT4_LOW</t>
  </si>
  <si>
    <t>00024264</t>
  </si>
  <si>
    <t>MEM_NOC_LLCC1_FE_SHAPER_GROUP0_PORT4_HIGH</t>
  </si>
  <si>
    <t>00024280</t>
  </si>
  <si>
    <t>MEM_NOC_LLCC1_FE_SHAPER_GROUP1_PORT0_LOW</t>
  </si>
  <si>
    <t>00024284</t>
  </si>
  <si>
    <t>MEM_NOC_LLCC1_FE_SHAPER_GROUP1_PORT0_HIGH</t>
  </si>
  <si>
    <t>00024288</t>
  </si>
  <si>
    <t>MEM_NOC_LLCC1_FE_SHAPER_GROUP1_PORT1_LOW</t>
  </si>
  <si>
    <t>0002428c</t>
  </si>
  <si>
    <t>MEM_NOC_LLCC1_FE_SHAPER_GROUP1_PORT1_HIGH</t>
  </si>
  <si>
    <t>00024290</t>
  </si>
  <si>
    <t>MEM_NOC_LLCC1_FE_SHAPER_GROUP1_PORT2_LOW</t>
  </si>
  <si>
    <t>00024294</t>
  </si>
  <si>
    <t>MEM_NOC_LLCC1_FE_SHAPER_GROUP1_PORT2_HIGH</t>
  </si>
  <si>
    <t>00024298</t>
  </si>
  <si>
    <t>MEM_NOC_LLCC1_FE_SHAPER_GROUP1_PORT3_LOW</t>
  </si>
  <si>
    <t>0002429c</t>
  </si>
  <si>
    <t>MEM_NOC_LLCC1_FE_SHAPER_GROUP1_PORT3_HIGH</t>
  </si>
  <si>
    <t>000242a0</t>
  </si>
  <si>
    <t>MEM_NOC_LLCC1_FE_SHAPER_GROUP1_PORT4_LOW</t>
  </si>
  <si>
    <t>000242a4</t>
  </si>
  <si>
    <t>MEM_NOC_LLCC1_FE_SHAPER_GROUP1_PORT4_HIGH</t>
  </si>
  <si>
    <t>000242c0</t>
  </si>
  <si>
    <t>MEM_NOC_LLCC1_FE_SHAPER_GROUP2_PORT0_LOW</t>
  </si>
  <si>
    <t>000242c4</t>
  </si>
  <si>
    <t>MEM_NOC_LLCC1_FE_SHAPER_GROUP2_PORT0_HIGH</t>
  </si>
  <si>
    <t>000242c8</t>
  </si>
  <si>
    <t>MEM_NOC_LLCC1_FE_SHAPER_GROUP2_PORT1_LOW</t>
  </si>
  <si>
    <t>000242cc</t>
  </si>
  <si>
    <t>MEM_NOC_LLCC1_FE_SHAPER_GROUP2_PORT1_HIGH</t>
  </si>
  <si>
    <t>000242d0</t>
  </si>
  <si>
    <t>MEM_NOC_LLCC1_FE_SHAPER_GROUP2_PORT2_LOW</t>
  </si>
  <si>
    <t>000242d4</t>
  </si>
  <si>
    <t>MEM_NOC_LLCC1_FE_SHAPER_GROUP2_PORT2_HIGH</t>
  </si>
  <si>
    <t>000242d8</t>
  </si>
  <si>
    <t>MEM_NOC_LLCC1_FE_SHAPER_GROUP2_PORT3_LOW</t>
  </si>
  <si>
    <t>000242dc</t>
  </si>
  <si>
    <t>MEM_NOC_LLCC1_FE_SHAPER_GROUP2_PORT3_HIGH</t>
  </si>
  <si>
    <t>000242e0</t>
  </si>
  <si>
    <t>MEM_NOC_LLCC1_FE_SHAPER_GROUP2_PORT4_LOW</t>
  </si>
  <si>
    <t>000242e4</t>
  </si>
  <si>
    <t>MEM_NOC_LLCC1_FE_SHAPER_GROUP2_PORT4_HIGH</t>
  </si>
  <si>
    <t>00024300</t>
  </si>
  <si>
    <t>MEM_NOC_LLCC1_FE_SHAPER_GROUP3_PORT0_LOW</t>
  </si>
  <si>
    <t>00024304</t>
  </si>
  <si>
    <t>MEM_NOC_LLCC1_FE_SHAPER_GROUP3_PORT0_HIGH</t>
  </si>
  <si>
    <t>00024308</t>
  </si>
  <si>
    <t>MEM_NOC_LLCC1_FE_SHAPER_GROUP3_PORT1_LOW</t>
  </si>
  <si>
    <t>0002430c</t>
  </si>
  <si>
    <t>MEM_NOC_LLCC1_FE_SHAPER_GROUP3_PORT1_HIGH</t>
  </si>
  <si>
    <t>00024310</t>
  </si>
  <si>
    <t>MEM_NOC_LLCC1_FE_SHAPER_GROUP3_PORT2_LOW</t>
  </si>
  <si>
    <t>00024314</t>
  </si>
  <si>
    <t>MEM_NOC_LLCC1_FE_SHAPER_GROUP3_PORT2_HIGH</t>
  </si>
  <si>
    <t>00024318</t>
  </si>
  <si>
    <t>MEM_NOC_LLCC1_FE_SHAPER_GROUP3_PORT3_LOW</t>
  </si>
  <si>
    <t>0002431c</t>
  </si>
  <si>
    <t>MEM_NOC_LLCC1_FE_SHAPER_GROUP3_PORT3_HIGH</t>
  </si>
  <si>
    <t>00024320</t>
  </si>
  <si>
    <t>MEM_NOC_LLCC1_FE_SHAPER_GROUP3_PORT4_LOW</t>
  </si>
  <si>
    <t>00024324</t>
  </si>
  <si>
    <t>MEM_NOC_LLCC1_FE_SHAPER_GROUP3_PORT4_HIGH</t>
  </si>
  <si>
    <t>00024340</t>
  </si>
  <si>
    <t>MEM_NOC_LLCC1_FE_SHAPER_GROUP0_EXT0_LOW</t>
  </si>
  <si>
    <t>00024350</t>
  </si>
  <si>
    <t>MEM_NOC_LLCC1_FE_SHAPER_GROUP1_EXT0_LOW</t>
  </si>
  <si>
    <t>00024360</t>
  </si>
  <si>
    <t>MEM_NOC_LLCC1_FE_SHAPER_GROUP2_EXT0_LOW</t>
  </si>
  <si>
    <t>00024370</t>
  </si>
  <si>
    <t>MEM_NOC_LLCC1_FE_SHAPER_GROUP3_EXT0_LOW</t>
  </si>
  <si>
    <t>00025000</t>
  </si>
  <si>
    <t>MEM_NOC_NAPALIQ_ADDRMODE_SWID_LOW</t>
  </si>
  <si>
    <t>000ED11B</t>
  </si>
  <si>
    <t>00025004</t>
  </si>
  <si>
    <t>MEM_NOC_NAPALIQ_ADDRMODE_SWID_HIGH</t>
  </si>
  <si>
    <t>00025080</t>
  </si>
  <si>
    <t>MEM_NOC_NAPALIQ_ADDRMODE_FLAGOUTCLR0_LOW</t>
  </si>
  <si>
    <t>00025088</t>
  </si>
  <si>
    <t>MEM_NOC_NAPALIQ_ADDRMODE_FLAGOUTSET0_LOW</t>
  </si>
  <si>
    <t>00025090</t>
  </si>
  <si>
    <t>MEM_NOC_NAPALIQ_ADDRMODE_FLAGOUTSTATUS0_LOW</t>
  </si>
  <si>
    <t>00025100</t>
  </si>
  <si>
    <t>MEM_NOC_NAPALIQ_ADDRMODE_SENSEIN0_LOW</t>
  </si>
  <si>
    <t>00026000</t>
  </si>
  <si>
    <t>MEM_NOC_SYSCOMODE_IGNORE_SWID_LOW</t>
  </si>
  <si>
    <t>000E00FF</t>
  </si>
  <si>
    <t>00026004</t>
  </si>
  <si>
    <t>MEM_NOC_SYSCOMODE_IGNORE_SWID_HIGH</t>
  </si>
  <si>
    <t>00026080</t>
  </si>
  <si>
    <t>MEM_NOC_SYSCOMODE_IGNORE_FLAGOUTCLR0_LOW</t>
  </si>
  <si>
    <t>00026088</t>
  </si>
  <si>
    <t>MEM_NOC_SYSCOMODE_IGNORE_FLAGOUTSET0_LOW</t>
  </si>
  <si>
    <t>00026090</t>
  </si>
  <si>
    <t>MEM_NOC_SYSCOMODE_IGNORE_FLAGOUTSTATUS0_LOW</t>
  </si>
  <si>
    <t>00027000</t>
  </si>
  <si>
    <t>MEM_NOC_MEM_NOC_DEVICE_BUFFERABLE_SWID_LOW</t>
  </si>
  <si>
    <t>00027004</t>
  </si>
  <si>
    <t>MEM_NOC_MEM_NOC_DEVICE_BUFFERABLE_SWID_HIGH</t>
  </si>
  <si>
    <t>00027080</t>
  </si>
  <si>
    <t>MEM_NOC_MEM_NOC_DEVICE_BUFFERABLE_FLAGOUTCLR0_LOW</t>
  </si>
  <si>
    <t>00027088</t>
  </si>
  <si>
    <t>MEM_NOC_MEM_NOC_DEVICE_BUFFERABLE_FLAGOUTSET0_LOW</t>
  </si>
  <si>
    <t>00027090</t>
  </si>
  <si>
    <t>MEM_NOC_MEM_NOC_DEVICE_BUFFERABLE_FLAGOUTSTATUS0_LOW</t>
  </si>
  <si>
    <t>LLCC_TRP_LLCC_TRP_SCID_0_ACT_CTRL</t>
  </si>
  <si>
    <t>LLCC_TRP_LLCC_TRP_SCID_0_STATUS</t>
  </si>
  <si>
    <t>LLCC_TRP_LLCC_TRP_SCID_1_ACT_CTRL</t>
  </si>
  <si>
    <t>LLCC_TRP_LLCC_TRP_SCID_1_STATUS</t>
  </si>
  <si>
    <t>LLCC_TRP_LLCC_TRP_SCID_2_ACT_CTRL</t>
  </si>
  <si>
    <t>LLCC_TRP_LLCC_TRP_SCID_2_STATUS</t>
  </si>
  <si>
    <t>LLCC_TRP_LLCC_TRP_SCID_3_ACT_CTRL</t>
  </si>
  <si>
    <t>LLCC_TRP_LLCC_TRP_SCID_3_STATUS</t>
  </si>
  <si>
    <t>LLCC_TRP_LLCC_TRP_SCID_4_ACT_CTRL</t>
  </si>
  <si>
    <t>LLCC_TRP_LLCC_TRP_SCID_4_STATUS</t>
  </si>
  <si>
    <t>00005000</t>
  </si>
  <si>
    <t>LLCC_TRP_LLCC_TRP_SCID_5_ACT_CTRL</t>
  </si>
  <si>
    <t>00005004</t>
  </si>
  <si>
    <t>LLCC_TRP_LLCC_TRP_SCID_5_STATUS</t>
  </si>
  <si>
    <t>LLCC_TRP_LLCC_TRP_SCID_6_ACT_CTRL</t>
  </si>
  <si>
    <t>LLCC_TRP_LLCC_TRP_SCID_6_STATUS</t>
  </si>
  <si>
    <t>LLCC_TRP_LLCC_TRP_SCID_7_ACT_CTRL</t>
  </si>
  <si>
    <t>LLCC_TRP_LLCC_TRP_SCID_7_STATUS</t>
  </si>
  <si>
    <t>LLCC_TRP_LLCC_TRP_SCID_8_ACT_CTRL</t>
  </si>
  <si>
    <t>LLCC_TRP_LLCC_TRP_SCID_8_STATUS</t>
  </si>
  <si>
    <t>LLCC_TRP_LLCC_TRP_SCID_9_ACT_CTRL</t>
  </si>
  <si>
    <t>LLCC_TRP_LLCC_TRP_SCID_9_STATUS</t>
  </si>
  <si>
    <t>0000a000</t>
  </si>
  <si>
    <t>LLCC_TRP_LLCC_TRP_SCID_10_ACT_CTRL</t>
  </si>
  <si>
    <t>0000a004</t>
  </si>
  <si>
    <t>LLCC_TRP_LLCC_TRP_SCID_10_STATUS</t>
  </si>
  <si>
    <t>0000b000</t>
  </si>
  <si>
    <t>LLCC_TRP_LLCC_TRP_SCID_11_ACT_CTRL</t>
  </si>
  <si>
    <t>0000b004</t>
  </si>
  <si>
    <t>LLCC_TRP_LLCC_TRP_SCID_11_STATUS</t>
  </si>
  <si>
    <t>LLCC_TRP_LLCC_TRP_SCID_12_ACT_CTRL</t>
  </si>
  <si>
    <t>LLCC_TRP_LLCC_TRP_SCID_12_STATUS</t>
  </si>
  <si>
    <t>LLCC_TRP_LLCC_TRP_SCID_13_ACT_CTRL</t>
  </si>
  <si>
    <t>LLCC_TRP_LLCC_TRP_SCID_13_STATUS</t>
  </si>
  <si>
    <t>0000e000</t>
  </si>
  <si>
    <t>LLCC_TRP_LLCC_TRP_SCID_14_ACT_CTRL</t>
  </si>
  <si>
    <t>0000e004</t>
  </si>
  <si>
    <t>LLCC_TRP_LLCC_TRP_SCID_14_STATUS</t>
  </si>
  <si>
    <t>0000f000</t>
  </si>
  <si>
    <t>LLCC_TRP_LLCC_TRP_SCID_15_ACT_CTRL</t>
  </si>
  <si>
    <t>0000f004</t>
  </si>
  <si>
    <t>LLCC_TRP_LLCC_TRP_SCID_15_STATUS</t>
  </si>
  <si>
    <t>LLCC_TRP_LLCC_TRP_SCID_16_ACT_CTRL</t>
  </si>
  <si>
    <t>LLCC_TRP_LLCC_TRP_SCID_16_STATUS</t>
  </si>
  <si>
    <t>00011000</t>
  </si>
  <si>
    <t>LLCC_TRP_LLCC_TRP_SCID_17_ACT_CTRL</t>
  </si>
  <si>
    <t>00011004</t>
  </si>
  <si>
    <t>LLCC_TRP_LLCC_TRP_SCID_17_STATUS</t>
  </si>
  <si>
    <t>LLCC_TRP_LLCC_TRP_SCID_18_ACT_CTRL</t>
  </si>
  <si>
    <t>LLCC_TRP_LLCC_TRP_SCID_18_STATUS</t>
  </si>
  <si>
    <t>LLCC_TRP_LLCC_TRP_SCID_19_ACT_CTRL</t>
  </si>
  <si>
    <t>LLCC_TRP_LLCC_TRP_SCID_19_STATUS</t>
  </si>
  <si>
    <t>LLCC_TRP_LLCC_TRP_SCID_20_ACT_CTRL</t>
  </si>
  <si>
    <t>LLCC_TRP_LLCC_TRP_SCID_20_STATUS</t>
  </si>
  <si>
    <t>LLCC_TRP_LLCC_TRP_SCID_21_ACT_CTRL</t>
  </si>
  <si>
    <t>LLCC_TRP_LLCC_TRP_SCID_21_STATUS</t>
  </si>
  <si>
    <t>LLCC_TRP_LLCC_TRP_SCID_22_ACT_CTRL</t>
  </si>
  <si>
    <t>LLCC_TRP_LLCC_TRP_SCID_22_STATUS</t>
  </si>
  <si>
    <t>LLCC_TRP_LLCC_TRP_SCID_23_ACT_CTRL</t>
  </si>
  <si>
    <t>LLCC_TRP_LLCC_TRP_SCID_23_STATUS</t>
  </si>
  <si>
    <t>LLCC_TRP_LLCC_TRP_SCID_24_ACT_CTRL</t>
  </si>
  <si>
    <t>LLCC_TRP_LLCC_TRP_SCID_24_STATUS</t>
  </si>
  <si>
    <t>LLCC_TRP_LLCC_TRP_SCID_25_ACT_CTRL</t>
  </si>
  <si>
    <t>LLCC_TRP_LLCC_TRP_SCID_25_STATUS</t>
  </si>
  <si>
    <t>LLCC_TRP_LLCC_TRP_SCID_26_ACT_CTRL</t>
  </si>
  <si>
    <t>LLCC_TRP_LLCC_TRP_SCID_26_STATUS</t>
  </si>
  <si>
    <t>LLCC_TRP_LLCC_TRP_SCID_27_ACT_CTRL</t>
  </si>
  <si>
    <t>LLCC_TRP_LLCC_TRP_SCID_27_STATUS</t>
  </si>
  <si>
    <t>LLCC_TRP_LLCC_TRP_SCID_28_ACT_CTRL</t>
  </si>
  <si>
    <t>LLCC_TRP_LLCC_TRP_SCID_28_STATUS</t>
  </si>
  <si>
    <t>LLCC_TRP_LLCC_TRP_SCID_29_ACT_CTRL</t>
  </si>
  <si>
    <t>LLCC_TRP_LLCC_TRP_SCID_29_STATUS</t>
  </si>
  <si>
    <t>LLCC_TRP_LLCC_TRP_SCID_30_ACT_CTRL</t>
  </si>
  <si>
    <t>LLCC_TRP_LLCC_TRP_SCID_30_STATUS</t>
  </si>
  <si>
    <t>LLCC_TRP_LLCC_TRP_SCID_31_ACT_CTRL</t>
  </si>
  <si>
    <t>LLCC_TRP_LLCC_TRP_SCID_31_STATUS</t>
  </si>
  <si>
    <t>00020334</t>
  </si>
  <si>
    <t>LLCC_TRP_LLCC_TRP_DCRSW_CFG0</t>
  </si>
  <si>
    <t>00020338</t>
  </si>
  <si>
    <t>LLCC_TRP_LLCC_TRP_DCRSW_STATUS0</t>
  </si>
  <si>
    <t>0002033c</t>
  </si>
  <si>
    <t>LLCC_TRP_LLCC_TRP_DCRSW_STATUS1</t>
  </si>
  <si>
    <t>00020340</t>
  </si>
  <si>
    <t>LLCC_TRP_LLCC_TRP_ECC_ERROR_CFG</t>
  </si>
  <si>
    <t>00020344</t>
  </si>
  <si>
    <t>LLCC_TRP_LLCC_TRP_ECC_ERROR_STATUS0</t>
  </si>
  <si>
    <t>00020348</t>
  </si>
  <si>
    <t>LLCC_TRP_LLCC_TRP_ECC_ERROR_STATUS1</t>
  </si>
  <si>
    <t>0002034c</t>
  </si>
  <si>
    <t>LLCC_TRP_LLCC_TRP_ECC_SB_ERR_SYN0</t>
  </si>
  <si>
    <t>00020350</t>
  </si>
  <si>
    <t>LLCC_TRP_LLCC_TRP_ECC_SB_ERR_SYN1</t>
  </si>
  <si>
    <t>00020354</t>
  </si>
  <si>
    <t>LLCC_TRP_LLCC_TRP_ECC_SB_ERR_SYN2</t>
  </si>
  <si>
    <t>00020358</t>
  </si>
  <si>
    <t>LLCC_TRP_LLCC_TRP_ECC_SB_ERR_SYN3</t>
  </si>
  <si>
    <t>0002035c</t>
  </si>
  <si>
    <t>LLCC_TRP_LLCC_TRP_ECC_SB_ERR_SYN4</t>
  </si>
  <si>
    <t>00020360</t>
  </si>
  <si>
    <t>LLCC_TRP_LLCC_TRP_ECC_SB_ERR_SYN5</t>
  </si>
  <si>
    <t>00020370</t>
  </si>
  <si>
    <t>LLCC_TRP_LLCC_TRP_ECC_DB_ERR_SYN0</t>
  </si>
  <si>
    <t>00020374</t>
  </si>
  <si>
    <t>LLCC_TRP_LLCC_TRP_ECC_DB_ERR_SYN1</t>
  </si>
  <si>
    <t>00020378</t>
  </si>
  <si>
    <t>LLCC_TRP_LLCC_TRP_ECC_DB_ERR_SYN2</t>
  </si>
  <si>
    <t>0002037c</t>
  </si>
  <si>
    <t>LLCC_TRP_LLCC_TRP_ECC_DB_ERR_SYN3</t>
  </si>
  <si>
    <t>00020380</t>
  </si>
  <si>
    <t>LLCC_TRP_LLCC_TRP_ECC_DB_ERR_SYN4</t>
  </si>
  <si>
    <t>00020384</t>
  </si>
  <si>
    <t>LLCC_TRP_LLCC_TRP_ECC_DB_ERR_SYN5</t>
  </si>
  <si>
    <t>00020400</t>
  </si>
  <si>
    <t>LLCC_TRP_LLCC_TRP_ECC_ERROR_INJECTION_0</t>
  </si>
  <si>
    <t>00020404</t>
  </si>
  <si>
    <t>LLCC_TRP_LLCC_TRP_ECC_ERROR_INJECTION_1</t>
  </si>
  <si>
    <t>00020440</t>
  </si>
  <si>
    <t>LLCC_TRP_LLCC_TRP_ECC_ERROR_CNTR_CLEAR</t>
  </si>
  <si>
    <t>00020480</t>
  </si>
  <si>
    <t>LLCC_TRP_LLCC_TRP_INTERRUPT_0_STATUS</t>
  </si>
  <si>
    <t>00020484</t>
  </si>
  <si>
    <t>LLCC_TRP_LLCC_TRP_INTERRUPT_0_CLEAR</t>
  </si>
  <si>
    <t>00020488</t>
  </si>
  <si>
    <t>LLCC_TRP_LLCC_TRP_INTERRUPT_0_ENABLE</t>
  </si>
  <si>
    <t>LLCC_TRP_LLCC_TRP_SCT_0_ATTRIBUTE0_CFG</t>
  </si>
  <si>
    <t>LLCC_TRP_LLCC_TRP_SCT_0_ATTRIBUTE1_CFG</t>
  </si>
  <si>
    <t>00021008</t>
  </si>
  <si>
    <t>LLCC_TRP_LLCC_TRP_SCT_1_ATTRIBUTE0_CFG</t>
  </si>
  <si>
    <t>0002100c</t>
  </si>
  <si>
    <t>LLCC_TRP_LLCC_TRP_SCT_1_ATTRIBUTE1_CFG</t>
  </si>
  <si>
    <t>00021010</t>
  </si>
  <si>
    <t>LLCC_TRP_LLCC_TRP_SCT_2_ATTRIBUTE0_CFG</t>
  </si>
  <si>
    <t>00021014</t>
  </si>
  <si>
    <t>LLCC_TRP_LLCC_TRP_SCT_2_ATTRIBUTE1_CFG</t>
  </si>
  <si>
    <t>00021018</t>
  </si>
  <si>
    <t>LLCC_TRP_LLCC_TRP_SCT_3_ATTRIBUTE0_CFG</t>
  </si>
  <si>
    <t>0002101c</t>
  </si>
  <si>
    <t>LLCC_TRP_LLCC_TRP_SCT_3_ATTRIBUTE1_CFG</t>
  </si>
  <si>
    <t>00021020</t>
  </si>
  <si>
    <t>LLCC_TRP_LLCC_TRP_SCT_4_ATTRIBUTE0_CFG</t>
  </si>
  <si>
    <t>00021024</t>
  </si>
  <si>
    <t>LLCC_TRP_LLCC_TRP_SCT_4_ATTRIBUTE1_CFG</t>
  </si>
  <si>
    <t>00021028</t>
  </si>
  <si>
    <t>LLCC_TRP_LLCC_TRP_SCT_5_ATTRIBUTE0_CFG</t>
  </si>
  <si>
    <t>0002102c</t>
  </si>
  <si>
    <t>LLCC_TRP_LLCC_TRP_SCT_5_ATTRIBUTE1_CFG</t>
  </si>
  <si>
    <t>00021030</t>
  </si>
  <si>
    <t>LLCC_TRP_LLCC_TRP_SCT_6_ATTRIBUTE0_CFG</t>
  </si>
  <si>
    <t>00021034</t>
  </si>
  <si>
    <t>LLCC_TRP_LLCC_TRP_SCT_6_ATTRIBUTE1_CFG</t>
  </si>
  <si>
    <t>00021038</t>
  </si>
  <si>
    <t>LLCC_TRP_LLCC_TRP_SCT_7_ATTRIBUTE0_CFG</t>
  </si>
  <si>
    <t>0002103c</t>
  </si>
  <si>
    <t>LLCC_TRP_LLCC_TRP_SCT_7_ATTRIBUTE1_CFG</t>
  </si>
  <si>
    <t>00021040</t>
  </si>
  <si>
    <t>LLCC_TRP_LLCC_TRP_SCT_8_ATTRIBUTE0_CFG</t>
  </si>
  <si>
    <t>00021044</t>
  </si>
  <si>
    <t>LLCC_TRP_LLCC_TRP_SCT_8_ATTRIBUTE1_CFG</t>
  </si>
  <si>
    <t>00021048</t>
  </si>
  <si>
    <t>LLCC_TRP_LLCC_TRP_SCT_9_ATTRIBUTE0_CFG</t>
  </si>
  <si>
    <t>0002104c</t>
  </si>
  <si>
    <t>LLCC_TRP_LLCC_TRP_SCT_9_ATTRIBUTE1_CFG</t>
  </si>
  <si>
    <t>00021050</t>
  </si>
  <si>
    <t>LLCC_TRP_LLCC_TRP_SCT_10_ATTRIBUTE0_CFG</t>
  </si>
  <si>
    <t>00021054</t>
  </si>
  <si>
    <t>LLCC_TRP_LLCC_TRP_SCT_10_ATTRIBUTE1_CFG</t>
  </si>
  <si>
    <t>00021058</t>
  </si>
  <si>
    <t>LLCC_TRP_LLCC_TRP_SCT_11_ATTRIBUTE0_CFG</t>
  </si>
  <si>
    <t>0002105c</t>
  </si>
  <si>
    <t>LLCC_TRP_LLCC_TRP_SCT_11_ATTRIBUTE1_CFG</t>
  </si>
  <si>
    <t>00021060</t>
  </si>
  <si>
    <t>LLCC_TRP_LLCC_TRP_SCT_12_ATTRIBUTE0_CFG</t>
  </si>
  <si>
    <t>00021064</t>
  </si>
  <si>
    <t>LLCC_TRP_LLCC_TRP_SCT_12_ATTRIBUTE1_CFG</t>
  </si>
  <si>
    <t>00021068</t>
  </si>
  <si>
    <t>LLCC_TRP_LLCC_TRP_SCT_13_ATTRIBUTE0_CFG</t>
  </si>
  <si>
    <t>0002106c</t>
  </si>
  <si>
    <t>LLCC_TRP_LLCC_TRP_SCT_13_ATTRIBUTE1_CFG</t>
  </si>
  <si>
    <t>00021070</t>
  </si>
  <si>
    <t>LLCC_TRP_LLCC_TRP_SCT_14_ATTRIBUTE0_CFG</t>
  </si>
  <si>
    <t>00021074</t>
  </si>
  <si>
    <t>LLCC_TRP_LLCC_TRP_SCT_14_ATTRIBUTE1_CFG</t>
  </si>
  <si>
    <t>00021078</t>
  </si>
  <si>
    <t>LLCC_TRP_LLCC_TRP_SCT_15_ATTRIBUTE0_CFG</t>
  </si>
  <si>
    <t>0002107c</t>
  </si>
  <si>
    <t>LLCC_TRP_LLCC_TRP_SCT_15_ATTRIBUTE1_CFG</t>
  </si>
  <si>
    <t>LLCC_TRP_LLCC_TRP_SCT_16_ATTRIBUTE0_CFG</t>
  </si>
  <si>
    <t>00021084</t>
  </si>
  <si>
    <t>LLCC_TRP_LLCC_TRP_SCT_16_ATTRIBUTE1_CFG</t>
  </si>
  <si>
    <t>LLCC_TRP_LLCC_TRP_SCT_17_ATTRIBUTE0_CFG</t>
  </si>
  <si>
    <t>0002108c</t>
  </si>
  <si>
    <t>LLCC_TRP_LLCC_TRP_SCT_17_ATTRIBUTE1_CFG</t>
  </si>
  <si>
    <t>LLCC_TRP_LLCC_TRP_SCT_18_ATTRIBUTE0_CFG</t>
  </si>
  <si>
    <t>00021094</t>
  </si>
  <si>
    <t>LLCC_TRP_LLCC_TRP_SCT_18_ATTRIBUTE1_CFG</t>
  </si>
  <si>
    <t>00021098</t>
  </si>
  <si>
    <t>LLCC_TRP_LLCC_TRP_SCT_19_ATTRIBUTE0_CFG</t>
  </si>
  <si>
    <t>0002109c</t>
  </si>
  <si>
    <t>LLCC_TRP_LLCC_TRP_SCT_19_ATTRIBUTE1_CFG</t>
  </si>
  <si>
    <t>000210a0</t>
  </si>
  <si>
    <t>LLCC_TRP_LLCC_TRP_SCT_20_ATTRIBUTE0_CFG</t>
  </si>
  <si>
    <t>000210a4</t>
  </si>
  <si>
    <t>LLCC_TRP_LLCC_TRP_SCT_20_ATTRIBUTE1_CFG</t>
  </si>
  <si>
    <t>000210a8</t>
  </si>
  <si>
    <t>LLCC_TRP_LLCC_TRP_SCT_21_ATTRIBUTE0_CFG</t>
  </si>
  <si>
    <t>000210ac</t>
  </si>
  <si>
    <t>LLCC_TRP_LLCC_TRP_SCT_21_ATTRIBUTE1_CFG</t>
  </si>
  <si>
    <t>000210b0</t>
  </si>
  <si>
    <t>LLCC_TRP_LLCC_TRP_SCT_22_ATTRIBUTE0_CFG</t>
  </si>
  <si>
    <t>000210b4</t>
  </si>
  <si>
    <t>LLCC_TRP_LLCC_TRP_SCT_22_ATTRIBUTE1_CFG</t>
  </si>
  <si>
    <t>000210b8</t>
  </si>
  <si>
    <t>LLCC_TRP_LLCC_TRP_SCT_23_ATTRIBUTE0_CFG</t>
  </si>
  <si>
    <t>000210bc</t>
  </si>
  <si>
    <t>LLCC_TRP_LLCC_TRP_SCT_23_ATTRIBUTE1_CFG</t>
  </si>
  <si>
    <t>000210c0</t>
  </si>
  <si>
    <t>LLCC_TRP_LLCC_TRP_SCT_24_ATTRIBUTE0_CFG</t>
  </si>
  <si>
    <t>000210c4</t>
  </si>
  <si>
    <t>LLCC_TRP_LLCC_TRP_SCT_24_ATTRIBUTE1_CFG</t>
  </si>
  <si>
    <t>000210c8</t>
  </si>
  <si>
    <t>LLCC_TRP_LLCC_TRP_SCT_25_ATTRIBUTE0_CFG</t>
  </si>
  <si>
    <t>000210cc</t>
  </si>
  <si>
    <t>LLCC_TRP_LLCC_TRP_SCT_25_ATTRIBUTE1_CFG</t>
  </si>
  <si>
    <t>000210d0</t>
  </si>
  <si>
    <t>LLCC_TRP_LLCC_TRP_SCT_26_ATTRIBUTE0_CFG</t>
  </si>
  <si>
    <t>000210d4</t>
  </si>
  <si>
    <t>LLCC_TRP_LLCC_TRP_SCT_26_ATTRIBUTE1_CFG</t>
  </si>
  <si>
    <t>000210d8</t>
  </si>
  <si>
    <t>LLCC_TRP_LLCC_TRP_SCT_27_ATTRIBUTE0_CFG</t>
  </si>
  <si>
    <t>000210dc</t>
  </si>
  <si>
    <t>LLCC_TRP_LLCC_TRP_SCT_27_ATTRIBUTE1_CFG</t>
  </si>
  <si>
    <t>000210e0</t>
  </si>
  <si>
    <t>LLCC_TRP_LLCC_TRP_SCT_28_ATTRIBUTE0_CFG</t>
  </si>
  <si>
    <t>000210e4</t>
  </si>
  <si>
    <t>LLCC_TRP_LLCC_TRP_SCT_28_ATTRIBUTE1_CFG</t>
  </si>
  <si>
    <t>000210e8</t>
  </si>
  <si>
    <t>LLCC_TRP_LLCC_TRP_SCT_29_ATTRIBUTE0_CFG</t>
  </si>
  <si>
    <t>000210ec</t>
  </si>
  <si>
    <t>LLCC_TRP_LLCC_TRP_SCT_29_ATTRIBUTE1_CFG</t>
  </si>
  <si>
    <t>000210f0</t>
  </si>
  <si>
    <t>LLCC_TRP_LLCC_TRP_SCT_30_ATTRIBUTE0_CFG</t>
  </si>
  <si>
    <t>000210f4</t>
  </si>
  <si>
    <t>LLCC_TRP_LLCC_TRP_SCT_30_ATTRIBUTE1_CFG</t>
  </si>
  <si>
    <t>000210f8</t>
  </si>
  <si>
    <t>LLCC_TRP_LLCC_TRP_SCT_31_ATTRIBUTE0_CFG</t>
  </si>
  <si>
    <t>000210fc</t>
  </si>
  <si>
    <t>LLCC_TRP_LLCC_TRP_SCT_31_ATTRIBUTE1_CFG</t>
  </si>
  <si>
    <t>00022300</t>
  </si>
  <si>
    <t>LLCC_TRP_LLCC_TRP_MISC_CFG</t>
  </si>
  <si>
    <t>06000020</t>
  </si>
  <si>
    <t>06000010</t>
  </si>
  <si>
    <t>00022304</t>
  </si>
  <si>
    <t>LLCC_TRP_LLCC_TRP_WRSC_CFG</t>
  </si>
  <si>
    <t>00022320</t>
  </si>
  <si>
    <t>LLCC_TRP_LLCC_TRP_WRSC_PRIORITYLVL_CFG0</t>
  </si>
  <si>
    <t>00022324</t>
  </si>
  <si>
    <t>LLCC_TRP_LLCC_TRP_WRSC_PRIORITYLVL_CFG1</t>
  </si>
  <si>
    <t>00022328</t>
  </si>
  <si>
    <t>LLCC_TRP_LLCC_TRP_WRSC_PRIORITYLVL_CFG2</t>
  </si>
  <si>
    <t>0002232c</t>
  </si>
  <si>
    <t>LLCC_TRP_LLCC_TRP_WRSC_PRIORITYLVL_CFG3</t>
  </si>
  <si>
    <t>00022330</t>
  </si>
  <si>
    <t>LLCC_TRP_LLCC_TRP_INTERNAL_STATUS0</t>
  </si>
  <si>
    <t>00022334</t>
  </si>
  <si>
    <t>LLCC_TRP_LLCC_TRP_INTERNAL_STATUS1</t>
  </si>
  <si>
    <t>00022398</t>
  </si>
  <si>
    <t>LLCC_TRP_LLCC_TRP_INTERRUPT_2_STATUS</t>
  </si>
  <si>
    <t>0002239c</t>
  </si>
  <si>
    <t>LLCC_TRP_LLCC_TRP_INTERRUPT_2_CLEAR</t>
  </si>
  <si>
    <t>000223a0</t>
  </si>
  <si>
    <t>LLCC_TRP_LLCC_TRP_INTERRUPT_2_ENABLE</t>
  </si>
  <si>
    <t>000223a4</t>
  </si>
  <si>
    <t>LLCC_TRP_LLCC_TRP_INTERRUPT_3_STATUS</t>
  </si>
  <si>
    <t>000223a8</t>
  </si>
  <si>
    <t>LLCC_TRP_LLCC_TRP_INTERRUPT_3_CLEAR</t>
  </si>
  <si>
    <t>000223ac</t>
  </si>
  <si>
    <t>LLCC_TRP_LLCC_TRP_INTERRUPT_3_ENABLE</t>
  </si>
  <si>
    <t>00022400</t>
  </si>
  <si>
    <t>LLCC_TRP_LLCC_TRP_ET_STATUS</t>
  </si>
  <si>
    <t>00022404</t>
  </si>
  <si>
    <t>LLCC_TRP_LLCC_TRP_FT_STATUS</t>
  </si>
  <si>
    <t>00022408</t>
  </si>
  <si>
    <t>LLCC_TRP_LLCC_TRP_FIFO_STATUS</t>
  </si>
  <si>
    <t>0002240c</t>
  </si>
  <si>
    <t>LLCC_TRP_LLCC_TRP_FSM_STATUS</t>
  </si>
  <si>
    <t>00022410</t>
  </si>
  <si>
    <t>LLCC_TRP_LLCC_TRP_FLOW_CTRL_STATUS</t>
  </si>
  <si>
    <t>00041017</t>
  </si>
  <si>
    <t>00022414</t>
  </si>
  <si>
    <t>LLCC_TRP_LLCC_TRP_INTERFACES_STATUS</t>
  </si>
  <si>
    <t>00022500</t>
  </si>
  <si>
    <t>LLCC_TRP_LLCC_TRP_CLK_EN_CFG</t>
  </si>
  <si>
    <t>00022504</t>
  </si>
  <si>
    <t>LLCC_TRP_LLCC_TRP_DPG_CFG</t>
  </si>
  <si>
    <t>00022510</t>
  </si>
  <si>
    <t>LLCC_TRP_LLCC_TRP_DEBUG_CTRL</t>
  </si>
  <si>
    <t>00022520</t>
  </si>
  <si>
    <t>LLCC_TRP_LLCC_TRP_HW_EVENT_CTRL</t>
  </si>
  <si>
    <t>00022600</t>
  </si>
  <si>
    <t>LLCC_TRP_LLCC_TRP_DBG_EVT_STATUS</t>
  </si>
  <si>
    <t>00022604</t>
  </si>
  <si>
    <t>LLCC_TRP_LLCC_TRP_DBG_EVT_CLEAR</t>
  </si>
  <si>
    <t>00022608</t>
  </si>
  <si>
    <t>LLCC_TRP_LLCC_TRP_DBG_EVT_FWD</t>
  </si>
  <si>
    <t>00023200</t>
  </si>
  <si>
    <t>LLCC_TRP_LLCC_TRP_SCID_DISABLE_CAP_ALLOC</t>
  </si>
  <si>
    <t>00023204</t>
  </si>
  <si>
    <t>LLCC_TRP_LLCC_TRP_PCB_ACT_SCID_MASK</t>
  </si>
  <si>
    <t>FFFFDFFF</t>
  </si>
  <si>
    <t>0002320c</t>
  </si>
  <si>
    <t>LLCC_TRP_LLCC_TRP_PCB_ACT_STATUS</t>
  </si>
  <si>
    <t>00023214</t>
  </si>
  <si>
    <t>LLCC_TRP_LLCC_TRP_ACT_WAY_STATUS</t>
  </si>
  <si>
    <t>00023218</t>
  </si>
  <si>
    <t>LLCC_TRP_LLCC_TRP_SCID_ACT_STATUS</t>
  </si>
  <si>
    <t>00023220</t>
  </si>
  <si>
    <t>LLCC_TRP_LLCC_TRP_PCB_DIRTY_COUNT_STATUS0</t>
  </si>
  <si>
    <t>00023224</t>
  </si>
  <si>
    <t>LLCC_TRP_LLCC_TRP_PCB_DIRTY_COUNT_STATUS1</t>
  </si>
  <si>
    <t>00023228</t>
  </si>
  <si>
    <t>LLCC_TRP_LLCC_TRP_PCB_DIRTY_COUNT_STATUS2</t>
  </si>
  <si>
    <t>00023300</t>
  </si>
  <si>
    <t>LLCC_TRP_LLCC_TRP_CINIT_CTRL_0</t>
  </si>
  <si>
    <t>00023304</t>
  </si>
  <si>
    <t>LLCC_TRP_LLCC_TRP_CINIT_CTRL_1</t>
  </si>
  <si>
    <t>0080000F</t>
  </si>
  <si>
    <t>00023308</t>
  </si>
  <si>
    <t>LLCC_TRP_LLCC_TRP_CINIT_STATUS</t>
  </si>
  <si>
    <t>0002330c</t>
  </si>
  <si>
    <t>LLCC_TRP_LLCC_TRP_DRIE_VAL</t>
  </si>
  <si>
    <t>00023310</t>
  </si>
  <si>
    <t>LLCC_TRP_LLCC_TRP_CFLUSH_CTRL_0</t>
  </si>
  <si>
    <t>00023314</t>
  </si>
  <si>
    <t>LLCC_TRP_LLCC_TRP_CFLUSH_CTRL_1</t>
  </si>
  <si>
    <t>00023318</t>
  </si>
  <si>
    <t>LLCC_TRP_LLCC_TRP_CFLUSH_STATUS</t>
  </si>
  <si>
    <t>0002331c</t>
  </si>
  <si>
    <t>LLCC_TRP_LLCC_TRP_CFLUSH_CTRL_2</t>
  </si>
  <si>
    <t>0002358c</t>
  </si>
  <si>
    <t>LLCC_TRP_LLCC_TRP_INTERRUPT_1_STATUS</t>
  </si>
  <si>
    <t>00023590</t>
  </si>
  <si>
    <t>LLCC_TRP_LLCC_TRP_INTERRUPT_1_CLEAR</t>
  </si>
  <si>
    <t>00023594</t>
  </si>
  <si>
    <t>LLCC_TRP_LLCC_TRP_INTERRUPT_1_ENABLE</t>
  </si>
  <si>
    <t>LLCC_TRP_LLCC_TRP_PROF_FILTER_0_CFG0</t>
  </si>
  <si>
    <t>LLCC_TRP_LLCC_TRP_PROF_FILTER_0_CFG1</t>
  </si>
  <si>
    <t>00024010</t>
  </si>
  <si>
    <t>LLCC_TRP_LLCC_TRP_PROF_FILTER_1_CFG0</t>
  </si>
  <si>
    <t>00024014</t>
  </si>
  <si>
    <t>LLCC_TRP_LLCC_TRP_PROF_FILTER_1_CFG1</t>
  </si>
  <si>
    <t>00024020</t>
  </si>
  <si>
    <t>LLCC_TRP_LLCC_TRP_PROF_EVENT_0_CFG</t>
  </si>
  <si>
    <t>00024024</t>
  </si>
  <si>
    <t>LLCC_TRP_LLCC_TRP_PROF_EVENT_1_CFG</t>
  </si>
  <si>
    <t>00024028</t>
  </si>
  <si>
    <t>LLCC_TRP_LLCC_TRP_PROF_EVENT_2_CFG</t>
  </si>
  <si>
    <t>0002402c</t>
  </si>
  <si>
    <t>LLCC_TRP_LLCC_TRP_PROF_EVENT_3_CFG</t>
  </si>
  <si>
    <t>00024030</t>
  </si>
  <si>
    <t>LLCC_TRP_LLCC_TRP_PROF_EVENT_4_CFG</t>
  </si>
  <si>
    <t>00024034</t>
  </si>
  <si>
    <t>LLCC_TRP_LLCC_TRP_PROF_EVENT_5_CFG</t>
  </si>
  <si>
    <t>00024038</t>
  </si>
  <si>
    <t>LLCC_TRP_LLCC_TRP_PROF_EVENT_6_CFG</t>
  </si>
  <si>
    <t>0002403c</t>
  </si>
  <si>
    <t>LLCC_TRP_LLCC_TRP_PROF_EVENT_7_CFG</t>
  </si>
  <si>
    <t>LLCC_TRP_LLCC_TRP_PROF_EVENT_8_CFG</t>
  </si>
  <si>
    <t>LLCC_TRP_LLCC_TRP_PROF_EVENT_9_CFG</t>
  </si>
  <si>
    <t>LLCC_TRP_LLCC_TRP_PROF_EVENT_10_CFG</t>
  </si>
  <si>
    <t>LLCC_TRP_LLCC_TRP_PROF_EVENT_11_CFG</t>
  </si>
  <si>
    <t>LLCC_TRP_LLCC_TRP_PROF_EVENT_12_CFG</t>
  </si>
  <si>
    <t>LLCC_TRP_LLCC_TRP_PROF_EVENT_13_CFG</t>
  </si>
  <si>
    <t>LLCC_TRP_LLCC_TRP_PROF_EVENT_14_CFG</t>
  </si>
  <si>
    <t>LLCC_TRP_LLCC_TRP_PROF_EVENT_15_CFG</t>
  </si>
  <si>
    <t>LLCC_COMMON_LLCC_COMMON_HW_INFO</t>
  </si>
  <si>
    <t>01000100</t>
  </si>
  <si>
    <t>01000200</t>
  </si>
  <si>
    <t>LLCC_COMMON_LLCC_COMMON_CFG0</t>
  </si>
  <si>
    <t>000000F0</t>
  </si>
  <si>
    <t>LLCC_COMMON_LLCC_COMMON_CGC_CFG</t>
  </si>
  <si>
    <t>LLCC_COMMON_LLCC_COMMON_STATUS0</t>
  </si>
  <si>
    <t>20400041</t>
  </si>
  <si>
    <t>LLCC_COMMON_LLCC_COMMON_INTERRUPT_0_STATUS</t>
  </si>
  <si>
    <t>LLCC_COMMON_LLCC_COMMON_INTERRUPT_0_ENABLE</t>
  </si>
  <si>
    <t>LLCC_COMMON_LLCC_COMMON_INTERRUPT_1_STATUS</t>
  </si>
  <si>
    <t>LLCC_COMMON_LLCC_COMMON_INTERRUPT_1_ENABLE</t>
  </si>
  <si>
    <t>LLCC_COMMON_LLCC_COMMON_INTERRUPT_2_STATUS</t>
  </si>
  <si>
    <t>LLCC_COMMON_LLCC_COMMON_INTERRUPT_2_ENABLE</t>
  </si>
  <si>
    <t>LLCC_COMMON_LLCC_COMMON_INTERRUPT_3_STATUS</t>
  </si>
  <si>
    <t>LLCC_COMMON_LLCC_COMMON_INTERRUPT_3_ENABLE</t>
  </si>
  <si>
    <t>LLCC_COMMON_LLCC_COMMON_QOS_POLICY_CTRL</t>
  </si>
  <si>
    <t>LLCC_COMMON_LLCC_COMMON_DEBUG_CTRL</t>
  </si>
  <si>
    <t>LLCC_COMMON_LLCC_COMMON_DEBUG_TESTBUS</t>
  </si>
  <si>
    <t>LLCC_COMMON_LLCC_COMMON_HW_EVENT_CTRL</t>
  </si>
  <si>
    <t>LLCC_COMMON_LLCC_COMMON_FENCE_EN0</t>
  </si>
  <si>
    <t>LLCC_COMMON_LLCC_COMMON_FENCE_EN1</t>
  </si>
  <si>
    <t>LLCC_COMMON_LLCC_COMMON_FENCE_EN2</t>
  </si>
  <si>
    <t>LLCC_COMMON_LLCC_COMMON_INT_DBG_EN</t>
  </si>
  <si>
    <t>LLCC_COMMON_LLCC_COMMON_LOAD_CONFIG</t>
  </si>
  <si>
    <t>LLCC_PERFMON_LLCC_PERFMON_CONFIGURATION_INFO</t>
  </si>
  <si>
    <t>000A0010</t>
  </si>
  <si>
    <t>LLCC_PERFMON_LLCC_PERFMON_ATB_CLOCK_CTRL</t>
  </si>
  <si>
    <t>LLCC_PERFMON_LLCC_PERFMON_MODE</t>
  </si>
  <si>
    <t>LLCC_PERFMON_LLCC_PERFMON_DUMP</t>
  </si>
  <si>
    <t>LLCC_PERFMON_LLCC_PERFMON_TIMED_MODE_INTERVAL_REG</t>
  </si>
  <si>
    <t>LLCC_PERFMON_LLCC_PERFMON_TIMED_MODE_ITERATIONS_REG</t>
  </si>
  <si>
    <t>LLCC_PERFMON_LLCC_PERFMON_STATUS</t>
  </si>
  <si>
    <t>LLCC_PERFMON_LLCC_PERFMON_COUNTER_0_CONFIG</t>
  </si>
  <si>
    <t>LLCC_PERFMON_LLCC_PERFMON_COUNTER_1_CONFIG</t>
  </si>
  <si>
    <t>LLCC_PERFMON_LLCC_PERFMON_COUNTER_2_CONFIG</t>
  </si>
  <si>
    <t>LLCC_PERFMON_LLCC_PERFMON_COUNTER_3_CONFIG</t>
  </si>
  <si>
    <t>LLCC_PERFMON_LLCC_PERFMON_COUNTER_4_CONFIG</t>
  </si>
  <si>
    <t>LLCC_PERFMON_LLCC_PERFMON_COUNTER_5_CONFIG</t>
  </si>
  <si>
    <t>LLCC_PERFMON_LLCC_PERFMON_COUNTER_6_CONFIG</t>
  </si>
  <si>
    <t>LLCC_PERFMON_LLCC_PERFMON_COUNTER_7_CONFIG</t>
  </si>
  <si>
    <t>LLCC_PERFMON_LLCC_PERFMON_COUNTER_8_CONFIG</t>
  </si>
  <si>
    <t>LLCC_PERFMON_LLCC_PERFMON_COUNTER_9_CONFIG</t>
  </si>
  <si>
    <t>LLCC_PERFMON_LLCC_PERFMON_COUNTER_10_CONFIG</t>
  </si>
  <si>
    <t>LLCC_PERFMON_LLCC_PERFMON_COUNTER_11_CONFIG</t>
  </si>
  <si>
    <t>LLCC_PERFMON_LLCC_PERFMON_COUNTER_12_CONFIG</t>
  </si>
  <si>
    <t>LLCC_PERFMON_LLCC_PERFMON_COUNTER_13_CONFIG</t>
  </si>
  <si>
    <t>LLCC_PERFMON_LLCC_PERFMON_COUNTER_14_CONFIG</t>
  </si>
  <si>
    <t>LLCC_PERFMON_LLCC_PERFMON_COUNTER_15_CONFIG</t>
  </si>
  <si>
    <t>LLCC_PERFMON_LLCC_PERFMON_COUNTER_0_VALUE</t>
  </si>
  <si>
    <t>LLCC_PERFMON_LLCC_PERFMON_COUNTER_1_VALUE</t>
  </si>
  <si>
    <t>LLCC_PERFMON_LLCC_PERFMON_COUNTER_2_VALUE</t>
  </si>
  <si>
    <t>LLCC_PERFMON_LLCC_PERFMON_COUNTER_3_VALUE</t>
  </si>
  <si>
    <t>LLCC_PERFMON_LLCC_PERFMON_COUNTER_4_VALUE</t>
  </si>
  <si>
    <t>LLCC_PERFMON_LLCC_PERFMON_COUNTER_5_VALUE</t>
  </si>
  <si>
    <t>LLCC_PERFMON_LLCC_PERFMON_COUNTER_6_VALUE</t>
  </si>
  <si>
    <t>LLCC_PERFMON_LLCC_PERFMON_COUNTER_7_VALUE</t>
  </si>
  <si>
    <t>LLCC_PERFMON_LLCC_PERFMON_COUNTER_8_VALUE</t>
  </si>
  <si>
    <t>LLCC_PERFMON_LLCC_PERFMON_COUNTER_9_VALUE</t>
  </si>
  <si>
    <t>LLCC_PERFMON_LLCC_PERFMON_COUNTER_10_VALUE</t>
  </si>
  <si>
    <t>LLCC_PERFMON_LLCC_PERFMON_COUNTER_11_VALUE</t>
  </si>
  <si>
    <t>LLCC_PERFMON_LLCC_PERFMON_COUNTER_12_VALUE</t>
  </si>
  <si>
    <t>LLCC_PERFMON_LLCC_PERFMON_COUNTER_13_VALUE</t>
  </si>
  <si>
    <t>LLCC_PERFMON_LLCC_PERFMON_COUNTER_14_VALUE</t>
  </si>
  <si>
    <t>LLCC_PERFMON_LLCC_PERFMON_COUNTER_15_VALUE</t>
  </si>
  <si>
    <t>LLCC_PERFMON_LLCC_PERFMON_COUNTER_0_OVERFLOW</t>
  </si>
  <si>
    <t>LLCC_PERFMON_LLCC_PERFMON_COUNTER_1_OVERFLOW</t>
  </si>
  <si>
    <t>LLCC_PERFMON_LLCC_PERFMON_COUNTER_2_OVERFLOW</t>
  </si>
  <si>
    <t>000000ac</t>
  </si>
  <si>
    <t>LLCC_PERFMON_LLCC_PERFMON_COUNTER_3_OVERFLOW</t>
  </si>
  <si>
    <t>LLCC_PERFMON_LLCC_PERFMON_COUNTER_4_OVERFLOW</t>
  </si>
  <si>
    <t>LLCC_PERFMON_LLCC_PERFMON_COUNTER_5_OVERFLOW</t>
  </si>
  <si>
    <t>LLCC_PERFMON_LLCC_PERFMON_COUNTER_6_OVERFLOW</t>
  </si>
  <si>
    <t>LLCC_PERFMON_LLCC_PERFMON_COUNTER_7_OVERFLOW</t>
  </si>
  <si>
    <t>LLCC_PERFMON_LLCC_PERFMON_COUNTER_8_OVERFLOW</t>
  </si>
  <si>
    <t>LLCC_PERFMON_LLCC_PERFMON_COUNTER_9_OVERFLOW</t>
  </si>
  <si>
    <t>LLCC_PERFMON_LLCC_PERFMON_COUNTER_10_OVERFLOW</t>
  </si>
  <si>
    <t>LLCC_PERFMON_LLCC_PERFMON_COUNTER_11_OVERFLOW</t>
  </si>
  <si>
    <t>LLCC_PERFMON_LLCC_PERFMON_COUNTER_12_OVERFLOW</t>
  </si>
  <si>
    <t>LLCC_PERFMON_LLCC_PERFMON_COUNTER_13_OVERFLOW</t>
  </si>
  <si>
    <t>LLCC_PERFMON_LLCC_PERFMON_COUNTER_14_OVERFLOW</t>
  </si>
  <si>
    <t>LLCC_PERFMON_LLCC_PERFMON_COUNTER_15_OVERFLOW</t>
  </si>
  <si>
    <t>LLCC_PERFMON_LLCC_PERFMON_CORE_CLOCK_CTRL</t>
  </si>
  <si>
    <t>LLCC_PERFMON_LLCC_PERFMON_CFG_CLOCK_CTRL</t>
  </si>
  <si>
    <t>LLCC_PERFMON_LLCC_PERFMON_TLAT_CLOCK_CTRL</t>
  </si>
  <si>
    <t>LLCC_PERFMON_LLCC_PERFMON_NUM_CNTRS_DUMP_CFG</t>
  </si>
  <si>
    <t>LLCC_PERFMON_LLCC_PERFMON_PROFILING_CLOCK_CTRL</t>
  </si>
  <si>
    <t>LLCC_PERFMON_LLCC_PERFMON_PROFILING_0_MODE</t>
  </si>
  <si>
    <t>LLCC_PERFMON_LLCC_PERFMON_PROFILING_1_MODE</t>
  </si>
  <si>
    <t>LLCC_PERFMON_LLCC_PERFMON_PROFILING_2_MODE</t>
  </si>
  <si>
    <t>LLCC_PERFMON_LLCC_PERFMON_PROFILING_3_MODE</t>
  </si>
  <si>
    <t>LLCC_PERFMON_LLCC_PERFMON_PROFILING_0_STATUS</t>
  </si>
  <si>
    <t>LLCC_PERFMON_LLCC_PERFMON_PROFILING_1_STATUS</t>
  </si>
  <si>
    <t>LLCC_PERFMON_LLCC_PERFMON_PROFILING_2_STATUS</t>
  </si>
  <si>
    <t>LLCC_PERFMON_LLCC_PERFMON_PROFILING_3_STATUS</t>
  </si>
  <si>
    <t>LLCC_PERFMON_LLCC_PERFMON_PROFILING_0_CONFIG</t>
  </si>
  <si>
    <t>LLCC_PERFMON_LLCC_PERFMON_PROFILING_1_CONFIG</t>
  </si>
  <si>
    <t>LLCC_PERFMON_LLCC_PERFMON_PROFILING_2_CONFIG</t>
  </si>
  <si>
    <t>LLCC_PERFMON_LLCC_PERFMON_PROFILING_3_CONFIG</t>
  </si>
  <si>
    <t>LLCC_PERFMON_LLCC_PERFMON_PROFILING_0_THRESHOLD</t>
  </si>
  <si>
    <t>LLCC_PERFMON_LLCC_PERFMON_PROFILING_1_THRESHOLD</t>
  </si>
  <si>
    <t>LLCC_PERFMON_LLCC_PERFMON_PROFILING_2_THRESHOLD</t>
  </si>
  <si>
    <t>LLCC_PERFMON_LLCC_PERFMON_PROFILING_3_THRESHOLD</t>
  </si>
  <si>
    <t>LLCC_PERFMON_LLCC_PERFMON_TLAT_0_MODE</t>
  </si>
  <si>
    <t>LLCC_PERFMON_LLCC_PERFMON_TLAT_0_STATUS</t>
  </si>
  <si>
    <t>LLCC_PERFMON_LLCC_PERFMON_TLAT_0_CONFIG_TRK0</t>
  </si>
  <si>
    <t>LLCC_PERFMON_LLCC_PERFMON_TLAT_0_CONFIG_TRK1</t>
  </si>
  <si>
    <t>LLCC_PERFMON_LLCC_PERFMON_TLAT_0_THRESHOLD_TRK0</t>
  </si>
  <si>
    <t>00000FFF</t>
  </si>
  <si>
    <t>LLCC_PERFMON_LLCC_PERFMON_TLAT_0_THRESHOLD_TRK1</t>
  </si>
  <si>
    <t>LLCC_PERFMON_LLCC_PERFMON_INTERRUPT_STATUS</t>
  </si>
  <si>
    <t>LLCC_PERFMON_LLCC_PERFMON_INTERRUPT_CLEAR</t>
  </si>
  <si>
    <t>LLCC_PERFMON_LLCC_PERFMON_INTERRUPT_ENABLE</t>
  </si>
  <si>
    <t>LLCC_PERFMON_LLCC_PERFMON_DEBUG_CTRL</t>
  </si>
  <si>
    <t>LLCC_FEWC_LLCC_FEWC_CFG0</t>
  </si>
  <si>
    <t>LLCC_FEWC_LLCC_FEWC_ARBITER_CFG</t>
  </si>
  <si>
    <t>LLCC_FEWC_LLCC_FEWC_TCM_ERROR_CFG</t>
  </si>
  <si>
    <t>LLCC_FEWC_LLCC_FEWC_CLK_EN_CFG</t>
  </si>
  <si>
    <t>LLCC_FEWC_LLCC_FEWC_ECC_ERROR_CFG</t>
  </si>
  <si>
    <t>LLCC_FEWC_LLCC_FEWC_STATUS1</t>
  </si>
  <si>
    <t>LLCC_FEWC_LLCC_FEWC_STATUS2</t>
  </si>
  <si>
    <t>LLCC_FEWC_LLCC_FEWC_STATUS3</t>
  </si>
  <si>
    <t>LLCC_FEWC_LLCC_FEWC_STATUS4</t>
  </si>
  <si>
    <t>LLCC_FEWC_LLCC_FEWC_STATUS5</t>
  </si>
  <si>
    <t>LLCC_FEWC_LLCC_FEWC_INTERRUPT_STATUS</t>
  </si>
  <si>
    <t>LLCC_FEWC_LLCC_FEWC_INTERRUPT_CLEAR</t>
  </si>
  <si>
    <t>LLCC_FEWC_LLCC_FEWC_INTERRUPT_ENABLE</t>
  </si>
  <si>
    <t>LLCC_FEWC_LLCC_FEWC_LINEFILL_PRIORITY_CFG</t>
  </si>
  <si>
    <t>LLCC_FEWC_LLCC_FEWC_FIFO_STATUS</t>
  </si>
  <si>
    <t>LLCC_FEWC_LLCC_FEWC_INTERFACES_STATUS</t>
  </si>
  <si>
    <t>LLCC_FEWC_LLCC_FEWC_WRBUF_STATUS0</t>
  </si>
  <si>
    <t>LLCC_FEWC_LLCC_FEWC_WRBUF_STATUS1</t>
  </si>
  <si>
    <t>LLCC_FEWC_LLCC_FEWC_WRBUF_STATUS2</t>
  </si>
  <si>
    <t>LLCC_FEWC_LLCC_FEWC_WRBUF_STATUS3</t>
  </si>
  <si>
    <t>LLCC_FEWC_LLCC_FEWC_DEBUG_CTRL</t>
  </si>
  <si>
    <t>LLCC_FEWC_LLCC_FEWC_HW_EVENT_CTRL</t>
  </si>
  <si>
    <t>LLCC_FEWC_LLCC_FEWC_PROF_FILTER_0_CFG0</t>
  </si>
  <si>
    <t>LLCC_FEWC_LLCC_FEWC_PROF_FILTER_1_CFG0</t>
  </si>
  <si>
    <t>LLCC_FEWC_LLCC_FEWC_PROF_EVENT_0_CFG</t>
  </si>
  <si>
    <t>00001024</t>
  </si>
  <si>
    <t>LLCC_FEWC_LLCC_FEWC_PROF_EVENT_1_CFG</t>
  </si>
  <si>
    <t>LLCC_FEWC_LLCC_FEWC_PROF_EVENT_2_CFG</t>
  </si>
  <si>
    <t>LLCC_FEWC_LLCC_FEWC_PROF_EVENT_3_CFG</t>
  </si>
  <si>
    <t>00001030</t>
  </si>
  <si>
    <t>LLCC_FEWC_LLCC_FEWC_PROF_EVENT_4_CFG</t>
  </si>
  <si>
    <t>00001034</t>
  </si>
  <si>
    <t>LLCC_FEWC_LLCC_FEWC_PROF_EVENT_5_CFG</t>
  </si>
  <si>
    <t>00001038</t>
  </si>
  <si>
    <t>LLCC_FEWC_LLCC_FEWC_PROF_EVENT_6_CFG</t>
  </si>
  <si>
    <t>0000103c</t>
  </si>
  <si>
    <t>LLCC_FEWC_LLCC_FEWC_PROF_EVENT_7_CFG</t>
  </si>
  <si>
    <t>LLCC_FEWC_LLCC_FEWC_PROF_EVENT_8_CFG</t>
  </si>
  <si>
    <t>00001044</t>
  </si>
  <si>
    <t>LLCC_FEWC_LLCC_FEWC_PROF_EVENT_9_CFG</t>
  </si>
  <si>
    <t>LLCC_FEWC_LLCC_FEWC_PROF_EVENT_10_CFG</t>
  </si>
  <si>
    <t>0000104c</t>
  </si>
  <si>
    <t>LLCC_FEWC_LLCC_FEWC_PROF_EVENT_11_CFG</t>
  </si>
  <si>
    <t>LLCC_FEWC_LLCC_FEWC_PROF_EVENT_12_CFG</t>
  </si>
  <si>
    <t>00001054</t>
  </si>
  <si>
    <t>LLCC_FEWC_LLCC_FEWC_PROF_EVENT_13_CFG</t>
  </si>
  <si>
    <t>LLCC_FEWC_LLCC_FEWC_PROF_EVENT_14_CFG</t>
  </si>
  <si>
    <t>0000105c</t>
  </si>
  <si>
    <t>LLCC_FEWC_LLCC_FEWC_PROF_EVENT_15_CFG</t>
  </si>
  <si>
    <t>LLCC_FEAC_LLCC_FEAC_DEC_ERR_CFG</t>
  </si>
  <si>
    <t>LLCC_FEAC_LLCC_FEAC_DEC_INTRPT_CFG</t>
  </si>
  <si>
    <t>LLCC_FEAC_LLCC_FEAC_TCM0_CFG</t>
  </si>
  <si>
    <t>LLCC_FEAC_LLCC_FEAC_TCM0_MASK_CFG</t>
  </si>
  <si>
    <t>LLCC_FEAC_LLCC_FEAC_TCM1_CFG</t>
  </si>
  <si>
    <t>0000100c</t>
  </si>
  <si>
    <t>LLCC_FEAC_LLCC_FEAC_TCM1_MASK_CFG</t>
  </si>
  <si>
    <t>LLCC_FEAC_LLCC_FEAC_TCM_ADDR_BASE_CFG</t>
  </si>
  <si>
    <t>0000002B</t>
  </si>
  <si>
    <t>00001014</t>
  </si>
  <si>
    <t>LLCC_FEAC_LLCC_FEAC_TCM_PER_MB_MASK_CFG</t>
  </si>
  <si>
    <t>LLCC_FEAC_LLCC_FEAC_WRSC_CFG</t>
  </si>
  <si>
    <t>0000101c</t>
  </si>
  <si>
    <t>LLCC_FEAC_LLCC_FEAC_ATTR_OVERRIDE_CFG</t>
  </si>
  <si>
    <t>LLCC_FEAC_LLCC_FEAC_RD_GFO_OVERRIDE_CFG0</t>
  </si>
  <si>
    <t>LLCC_FEAC_LLCC_FEAC_RD_GFO_OVERRIDE_CFG1</t>
  </si>
  <si>
    <t>LLCC_FEAC_LLCC_FEAC_WR_GFO_OVERRIDE_CFG0</t>
  </si>
  <si>
    <t>LLCC_FEAC_LLCC_FEAC_WR_GFO_OVERRIDE_CFG1</t>
  </si>
  <si>
    <t>LLCC_FEAC_LLCC_FEAC_C_AS_NC_OVERRIDE_CFG</t>
  </si>
  <si>
    <t>LLCC_FEAC_LLCC_FEAC_NC_AS_C_OVERRIDE_CFG</t>
  </si>
  <si>
    <t>LLCC_FEAC_LLCC_FEAC_NOALLOC_ON_MISS_OVERRIDE_CFG0</t>
  </si>
  <si>
    <t>LLCC_FEAC_LLCC_FEAC_NOALLOC_ON_MISS_OVERRIDE_CFG1</t>
  </si>
  <si>
    <t>LLCC_FEAC_LLCC_FEAC_CPUSS_CFG</t>
  </si>
  <si>
    <t>FF005F00</t>
  </si>
  <si>
    <t>E000E000</t>
  </si>
  <si>
    <t>LLCC_FEAC_LLCC_FEAC_ACH_CFG</t>
  </si>
  <si>
    <t>00404001</t>
  </si>
  <si>
    <t>LLCC_FEAC_LLCC_FEAC_ARB_CFG</t>
  </si>
  <si>
    <t>LLCC_FEAC_LLCC_FEAC_PREF_CFG0</t>
  </si>
  <si>
    <t>02020202</t>
  </si>
  <si>
    <t>0000200c</t>
  </si>
  <si>
    <t>LLCC_FEAC_LLCC_FEAC_PREF_CFG1</t>
  </si>
  <si>
    <t>40000800</t>
  </si>
  <si>
    <t>40000802</t>
  </si>
  <si>
    <t>LLCC_FEAC_LLCC_FEAC_PREF_SDE_CFG0</t>
  </si>
  <si>
    <t>00002014</t>
  </si>
  <si>
    <t>LLCC_FEAC_LLCC_FEAC_PREF_SDE_CFG1</t>
  </si>
  <si>
    <t>LLCC_FEAC_LLCC_FEAC_PREF_SDE_CFG2</t>
  </si>
  <si>
    <t>0000201c</t>
  </si>
  <si>
    <t>LLCC_FEAC_LLCC_FEAC_CGC_CFG</t>
  </si>
  <si>
    <t>02080000</t>
  </si>
  <si>
    <t>LLCC_FEAC_GLOBAL_MON_CFG0</t>
  </si>
  <si>
    <t>00001003</t>
  </si>
  <si>
    <t>00002024</t>
  </si>
  <si>
    <t>LLCC_FEAC_LLCC_FEAC_DEC_ERR_STATUS0</t>
  </si>
  <si>
    <t>LLCC_FEAC_LLCC_FEAC_DEC_ERR_STATUS1</t>
  </si>
  <si>
    <t>LLCC_FEAC_LLCC_FEAC_DEC_ERR_STATUS2</t>
  </si>
  <si>
    <t>00002030</t>
  </si>
  <si>
    <t>LLCC_FEAC_LLCC_FEAC_DEC_ERR_STATUS3</t>
  </si>
  <si>
    <t>00002034</t>
  </si>
  <si>
    <t>LLCC_FEAC_LLCC_FEAC_DEC_ERR_STATUS4</t>
  </si>
  <si>
    <t>00002038</t>
  </si>
  <si>
    <t>LLCC_FEAC_LLCC_FEAC_DEC_ERR_STATUS5</t>
  </si>
  <si>
    <t>0000203c</t>
  </si>
  <si>
    <t>LLCC_FEAC_LLCC_FEAC_GLOBAL_MON_STATUS</t>
  </si>
  <si>
    <t>LLCC_FEAC_LLCC_FEAC_TXN_STATUS</t>
  </si>
  <si>
    <t>00002044</t>
  </si>
  <si>
    <t>LLCC_FEAC_LLCC_FEAC_RIFB_STATUS0</t>
  </si>
  <si>
    <t>LLCC_FEAC_LLCC_FEAC_RIFB_STATUS1</t>
  </si>
  <si>
    <t>0000204c</t>
  </si>
  <si>
    <t>LLCC_FEAC_LLCC_FEAC_WIFB_STATUS</t>
  </si>
  <si>
    <t>LLCC_FEAC_LLCC_FEAC_PS2_STATUS0</t>
  </si>
  <si>
    <t>00002054</t>
  </si>
  <si>
    <t>LLCC_FEAC_LLCC_FEAC_PS2_STATUS1</t>
  </si>
  <si>
    <t>LLCC_FEAC_LLCC_FEAC_PREF_PE_STATUS</t>
  </si>
  <si>
    <t>0000205c</t>
  </si>
  <si>
    <t>LLCC_FEAC_LLCC_FEAC_IF_CHANNEL_STATUS</t>
  </si>
  <si>
    <t>00029000</t>
  </si>
  <si>
    <t>LLCC_FEAC_LLCC_FEAC_FIFO_STATUS</t>
  </si>
  <si>
    <t>00002064</t>
  </si>
  <si>
    <t>LLCC_FEAC_LLCC_FEAC_TARB_STATUS</t>
  </si>
  <si>
    <t>020A23A2</t>
  </si>
  <si>
    <t>LLCC_FEAC_LLCC_FEAC_BARB_STATUS</t>
  </si>
  <si>
    <t>0000206c</t>
  </si>
  <si>
    <t>LLCC_FEAC_LLCC_FEAC_FARB_STATUS</t>
  </si>
  <si>
    <t>LLCC_FEAC_LLCC_FEAC_FRARB_STATUS</t>
  </si>
  <si>
    <t>052802A0</t>
  </si>
  <si>
    <t>00002074</t>
  </si>
  <si>
    <t>LLCC_FEAC_LLCC_FEAC_DBG_CFG</t>
  </si>
  <si>
    <t>LLCC_FEAC_LLCC_FEAC_ARB_DBG_CFG0</t>
  </si>
  <si>
    <t>0000207c</t>
  </si>
  <si>
    <t>LLCC_FEAC_LLCC_FEAC_ARB_DBG_CFG1</t>
  </si>
  <si>
    <t>00002080</t>
  </si>
  <si>
    <t>LLCC_FEAC_LLCC_FEAC_ARB_DBG_CFG2</t>
  </si>
  <si>
    <t>00002084</t>
  </si>
  <si>
    <t>LLCC_FEAC_LLCC_FEAC_ARB_DBG_CFG3</t>
  </si>
  <si>
    <t>00002088</t>
  </si>
  <si>
    <t>LLCC_FEAC_LLCC_FEAC_DBG_EVENT_STATUS</t>
  </si>
  <si>
    <t>0000208c</t>
  </si>
  <si>
    <t>LLCC_FEAC_LLCC_FEAC_DBG_EVENT_CLR</t>
  </si>
  <si>
    <t>00002090</t>
  </si>
  <si>
    <t>LLCC_FEAC_LLCC_FEAC_DBG_EVENT_FWD</t>
  </si>
  <si>
    <t>000020a0</t>
  </si>
  <si>
    <t>LLCC_FEAC_LLCC_FEAC_INTERRUPT_STATUS</t>
  </si>
  <si>
    <t>000020a4</t>
  </si>
  <si>
    <t>LLCC_FEAC_LLCC_FEAC_INTERRUPT_CLR</t>
  </si>
  <si>
    <t>000020a8</t>
  </si>
  <si>
    <t>LLCC_FEAC_LLCC_FEAC_INTERRUPT_FWD</t>
  </si>
  <si>
    <t>000020ac</t>
  </si>
  <si>
    <t>LLCC_FEAC_LLCC_FEAC_INHERIT_PRIORITY</t>
  </si>
  <si>
    <t>000020b0</t>
  </si>
  <si>
    <t>LLCC_FEAC_LLCC_FEAC_FENCE_CTRL</t>
  </si>
  <si>
    <t>000020f0</t>
  </si>
  <si>
    <t>LLCC_FEAC_LLCC_FEAC_SPARE</t>
  </si>
  <si>
    <t>LLCC_FEAC_LLCC_FEAC_PROF_FILTER_0_CFG0</t>
  </si>
  <si>
    <t>LLCC_FEAC_LLCC_FEAC_PROF_FILTER_0_CFG1</t>
  </si>
  <si>
    <t>LLCC_FEAC_LLCC_FEAC_PROF_FILTER_0_CFG2</t>
  </si>
  <si>
    <t>0000300c</t>
  </si>
  <si>
    <t>LLCC_FEAC_LLCC_FEAC_PROF_FILTER_0_CFG3</t>
  </si>
  <si>
    <t>LLCC_FEAC_LLCC_FEAC_PROF_FILTER_0_CFG4</t>
  </si>
  <si>
    <t>00003014</t>
  </si>
  <si>
    <t>LLCC_FEAC_LLCC_FEAC_PROF_FILTER_0_CFG5</t>
  </si>
  <si>
    <t>LLCC_FEAC_LLCC_FEAC_PROF_FILTER_0_CFG6</t>
  </si>
  <si>
    <t>0000301c</t>
  </si>
  <si>
    <t>LLCC_FEAC_LLCC_FEAC_PROF_FILTER_0_CFG7</t>
  </si>
  <si>
    <t>LLCC_FEAC_LLCC_FEAC_PROF_FILTER_0_CFG8</t>
  </si>
  <si>
    <t>00003030</t>
  </si>
  <si>
    <t>LLCC_FEAC_LLCC_FEAC_PROF_FILTER_1_CFG0</t>
  </si>
  <si>
    <t>00003034</t>
  </si>
  <si>
    <t>LLCC_FEAC_LLCC_FEAC_PROF_FILTER_1_CFG1</t>
  </si>
  <si>
    <t>00003038</t>
  </si>
  <si>
    <t>LLCC_FEAC_LLCC_FEAC_PROF_FILTER_1_CFG2</t>
  </si>
  <si>
    <t>0000303c</t>
  </si>
  <si>
    <t>LLCC_FEAC_LLCC_FEAC_PROF_FILTER_1_CFG3</t>
  </si>
  <si>
    <t>00003040</t>
  </si>
  <si>
    <t>LLCC_FEAC_LLCC_FEAC_PROF_FILTER_1_CFG4</t>
  </si>
  <si>
    <t>00003044</t>
  </si>
  <si>
    <t>LLCC_FEAC_LLCC_FEAC_PROF_FILTER_1_CFG5</t>
  </si>
  <si>
    <t>00003048</t>
  </si>
  <si>
    <t>LLCC_FEAC_LLCC_FEAC_PROF_FILTER_1_CFG6</t>
  </si>
  <si>
    <t>0000304c</t>
  </si>
  <si>
    <t>LLCC_FEAC_LLCC_FEAC_PROF_FILTER_1_CFG7</t>
  </si>
  <si>
    <t>00003050</t>
  </si>
  <si>
    <t>LLCC_FEAC_LLCC_FEAC_PROF_FILTER_1_CFG8</t>
  </si>
  <si>
    <t>00003060</t>
  </si>
  <si>
    <t>LLCC_FEAC_LLCC_FEAC_PROF_EVENT_0_CFG</t>
  </si>
  <si>
    <t>00003064</t>
  </si>
  <si>
    <t>LLCC_FEAC_LLCC_FEAC_PROF_EVENT_1_CFG</t>
  </si>
  <si>
    <t>00003068</t>
  </si>
  <si>
    <t>LLCC_FEAC_LLCC_FEAC_PROF_EVENT_2_CFG</t>
  </si>
  <si>
    <t>0000306c</t>
  </si>
  <si>
    <t>LLCC_FEAC_LLCC_FEAC_PROF_EVENT_3_CFG</t>
  </si>
  <si>
    <t>00003070</t>
  </si>
  <si>
    <t>LLCC_FEAC_LLCC_FEAC_PROF_EVENT_4_CFG</t>
  </si>
  <si>
    <t>00003074</t>
  </si>
  <si>
    <t>LLCC_FEAC_LLCC_FEAC_PROF_EVENT_5_CFG</t>
  </si>
  <si>
    <t>00003078</t>
  </si>
  <si>
    <t>LLCC_FEAC_LLCC_FEAC_PROF_EVENT_6_CFG</t>
  </si>
  <si>
    <t>0000307c</t>
  </si>
  <si>
    <t>LLCC_FEAC_LLCC_FEAC_PROF_EVENT_7_CFG</t>
  </si>
  <si>
    <t>00003080</t>
  </si>
  <si>
    <t>LLCC_FEAC_LLCC_FEAC_PROF_EVENT_8_CFG</t>
  </si>
  <si>
    <t>00003084</t>
  </si>
  <si>
    <t>LLCC_FEAC_LLCC_FEAC_PROF_EVENT_9_CFG</t>
  </si>
  <si>
    <t>00003088</t>
  </si>
  <si>
    <t>LLCC_FEAC_LLCC_FEAC_PROF_EVENT_10_CFG</t>
  </si>
  <si>
    <t>0000308c</t>
  </si>
  <si>
    <t>LLCC_FEAC_LLCC_FEAC_PROF_EVENT_11_CFG</t>
  </si>
  <si>
    <t>00003090</t>
  </si>
  <si>
    <t>LLCC_FEAC_LLCC_FEAC_PROF_EVENT_12_CFG</t>
  </si>
  <si>
    <t>00003094</t>
  </si>
  <si>
    <t>LLCC_FEAC_LLCC_FEAC_PROF_EVENT_13_CFG</t>
  </si>
  <si>
    <t>00003098</t>
  </si>
  <si>
    <t>LLCC_FEAC_LLCC_FEAC_PROF_EVENT_14_CFG</t>
  </si>
  <si>
    <t>0000309c</t>
  </si>
  <si>
    <t>LLCC_FEAC_LLCC_FEAC_PROF_EVENT_15_CFG</t>
  </si>
  <si>
    <t>000030a0</t>
  </si>
  <si>
    <t>LLCC_FEAC_LLCC_FEAC_PROF_CFG</t>
  </si>
  <si>
    <t>02002000</t>
  </si>
  <si>
    <t>000030a4</t>
  </si>
  <si>
    <t>LLCC_FEAC_LLCC_FEAC_PROF_STATUS</t>
  </si>
  <si>
    <t>LLCC_BERC_LLCC_BERC_CH0_CLK_CTRL</t>
  </si>
  <si>
    <t>LLCC_BERC_LLCC_BERC_STATUS</t>
  </si>
  <si>
    <t>LLCC_BERC_LLCC_BERC_CH0_CMD_FIFO_STATUS</t>
  </si>
  <si>
    <t>LLCC_BERC_LLCC_BERC_CH0_RD_FIFO_STATUS</t>
  </si>
  <si>
    <t>LLCC_BERC_LLCC_BERC_LFILL_PRIO_CFG</t>
  </si>
  <si>
    <t>0000FF32</t>
  </si>
  <si>
    <t>LLCC_BERC_LLCC_BERC_LFILL_ARB_CFG_INFO</t>
  </si>
  <si>
    <t>80100202</t>
  </si>
  <si>
    <t>LLCC_BERC_LLCC_BERC_LFILL_ARB_CTRL</t>
  </si>
  <si>
    <t>00000012</t>
  </si>
  <si>
    <t>LLCC_BERC_LLCC_BERC_CH0_QOS_CTRL</t>
  </si>
  <si>
    <t>LLCC_BERC_LLCC_BERC_HW_EVENT_CFG</t>
  </si>
  <si>
    <t>LLCC_BERC_LLCC_BERC_LACH</t>
  </si>
  <si>
    <t>LLCC_BERC_LLCC_BERC_MSI_CHANNEL_STATUS</t>
  </si>
  <si>
    <t>LLCC_BERC_LLCC_BERC_IF_CHANNEL_STATUS</t>
  </si>
  <si>
    <t>000000A0</t>
  </si>
  <si>
    <t>000000A8</t>
  </si>
  <si>
    <t>LLCC_BERC_LLCC_BERC_LFILL_BUF_STATUS0</t>
  </si>
  <si>
    <t>LLCC_BERC_LLCC_BERC_LFILL_BUF_STATUS1</t>
  </si>
  <si>
    <t>LLCC_BERC_LLCC_BERC_ACTIVE_BUF_STATUS0</t>
  </si>
  <si>
    <t>LLCC_BERC_LLCC_BERC_ACTIVE_BUF_STATUS1</t>
  </si>
  <si>
    <t>LLCC_BERC_LLCC_BERC_ACTIVE_BUF_STATUS2</t>
  </si>
  <si>
    <t>LLCC_BERC_LLCC_BERC_LACH_FSM_STATUS</t>
  </si>
  <si>
    <t>LLCC_BERC_LLCC_BERC_DBG_CFG</t>
  </si>
  <si>
    <t>LLCC_BERC_LLCC_BERC_DBG_EVENT_STATUS</t>
  </si>
  <si>
    <t>LLCC_BERC_LLCC_BERC_DBG_EVENT_CLR</t>
  </si>
  <si>
    <t>LLCC_BERC_LLCC_BERC_DBG_EVENT_FWD</t>
  </si>
  <si>
    <t>LLCC_BERC_LLCC_BERC_LFILL_STALL_PRIO_CFG</t>
  </si>
  <si>
    <t>0000FF21</t>
  </si>
  <si>
    <t>LLCC_BERC_LLCC_BERC_SPARE</t>
  </si>
  <si>
    <t>LLCC_BERC_LLCC_BERC_ARB_DBG_CFG</t>
  </si>
  <si>
    <t>LLCC_BERC_LLCC_BERC_PROF_FILTER_0_CFG0</t>
  </si>
  <si>
    <t>LLCC_BERC_LLCC_BERC_PROF_FILTER_1_CFG0</t>
  </si>
  <si>
    <t>LLCC_BERC_LLCC_BERC_PROF_EVENT_0_CFG</t>
  </si>
  <si>
    <t>LLCC_BERC_LLCC_BERC_PROF_EVENT_1_CFG</t>
  </si>
  <si>
    <t>LLCC_BERC_LLCC_BERC_PROF_EVENT_2_CFG</t>
  </si>
  <si>
    <t>LLCC_BERC_LLCC_BERC_PROF_EVENT_3_CFG</t>
  </si>
  <si>
    <t>LLCC_BERC_LLCC_BERC_PROF_EVENT_4_CFG</t>
  </si>
  <si>
    <t>LLCC_BERC_LLCC_BERC_PROF_EVENT_5_CFG</t>
  </si>
  <si>
    <t>LLCC_BERC_LLCC_BERC_PROF_EVENT_6_CFG</t>
  </si>
  <si>
    <t>LLCC_BERC_LLCC_BERC_PROF_EVENT_7_CFG</t>
  </si>
  <si>
    <t>LLCC_BERC_LLCC_BERC_PROF_EVENT_8_CFG</t>
  </si>
  <si>
    <t>LLCC_BERC_LLCC_BERC_PROF_EVENT_9_CFG</t>
  </si>
  <si>
    <t>LLCC_BERC_LLCC_BERC_PROF_EVENT_10_CFG</t>
  </si>
  <si>
    <t>LLCC_BERC_LLCC_BERC_PROF_EVENT_11_CFG</t>
  </si>
  <si>
    <t>LLCC_BERC_LLCC_BERC_PROF_EVENT_12_CFG</t>
  </si>
  <si>
    <t>LLCC_BERC_LLCC_BERC_PROF_EVENT_13_CFG</t>
  </si>
  <si>
    <t>LLCC_BERC_LLCC_BERC_PROF_EVENT_14_CFG</t>
  </si>
  <si>
    <t>LLCC_BERC_LLCC_BERC_PROF_EVENT_15_CFG</t>
  </si>
  <si>
    <t>LLCC_BERC_LLCC_BERC_PROF_CFG</t>
  </si>
  <si>
    <t>00001064</t>
  </si>
  <si>
    <t>LLCC_BERC_LLCC_BERC_PROF_STATUS</t>
  </si>
  <si>
    <t>LLCC_FERC_LLCC_FERC_CFG0</t>
  </si>
  <si>
    <t>LLCC_FERC_LLCC_FERC_TRID_TBLE_STATUS0</t>
  </si>
  <si>
    <t>LLCC_FERC_LLCC_FERC_TRID_TBLE_STATUS1</t>
  </si>
  <si>
    <t>LLCC_FERC_LLCC_FERC_TRID_TBLE_STATUS2</t>
  </si>
  <si>
    <t>LLCC_FERC_LLCC_FERC_TRID_TBLE_STATUS3</t>
  </si>
  <si>
    <t>LLCC_FERC_LLCC_FERC_QNS4_CHANNEL_STATUS</t>
  </si>
  <si>
    <t>000A008A</t>
  </si>
  <si>
    <t>LLCC_FERC_LLCC_FERC_IF_CHANNEL_STATUS</t>
  </si>
  <si>
    <t>LLCC_FERC_LLCC_FERC_TRID_RSP_STATUS</t>
  </si>
  <si>
    <t>LLCC_FERC_LLCC_FERC_DBG_CFG</t>
  </si>
  <si>
    <t>LLCC_FERC_LLCC_FERC_DBG_EVENT_STATUS</t>
  </si>
  <si>
    <t>LLCC_FERC_LLCC_FERC_DBG_EVENT_CLR</t>
  </si>
  <si>
    <t>LLCC_FERC_LLCC_FERC_DBG_EVENT_FWD</t>
  </si>
  <si>
    <t>LLCC_FERC_LLCC_FERC_PROF_FILTER_0_CFG0</t>
  </si>
  <si>
    <t>LLCC_FERC_LLCC_FERC_PROF_FILTER_1_CFG0</t>
  </si>
  <si>
    <t>LLCC_FERC_LLCC_FERC_PROF_EVENT_0_CFG</t>
  </si>
  <si>
    <t>LLCC_FERC_LLCC_FERC_PROF_EVENT_1_CFG</t>
  </si>
  <si>
    <t>LLCC_FERC_LLCC_FERC_PROF_EVENT_2_CFG</t>
  </si>
  <si>
    <t>LLCC_FERC_LLCC_FERC_PROF_EVENT_3_CFG</t>
  </si>
  <si>
    <t>LLCC_FERC_LLCC_FERC_PROF_EVENT_4_CFG</t>
  </si>
  <si>
    <t>LLCC_FERC_LLCC_FERC_PROF_EVENT_5_CFG</t>
  </si>
  <si>
    <t>LLCC_FERC_LLCC_FERC_PROF_EVENT_6_CFG</t>
  </si>
  <si>
    <t>LLCC_FERC_LLCC_FERC_PROF_EVENT_7_CFG</t>
  </si>
  <si>
    <t>LLCC_FERC_LLCC_FERC_PROF_EVENT_8_CFG</t>
  </si>
  <si>
    <t>LLCC_FERC_LLCC_FERC_PROF_EVENT_9_CFG</t>
  </si>
  <si>
    <t>LLCC_FERC_LLCC_FERC_PROF_EVENT_10_CFG</t>
  </si>
  <si>
    <t>LLCC_FERC_LLCC_FERC_PROF_EVENT_11_CFG</t>
  </si>
  <si>
    <t>LLCC_FERC_LLCC_FERC_PROF_EVENT_12_CFG</t>
  </si>
  <si>
    <t>LLCC_FERC_LLCC_FERC_PROF_EVENT_13_CFG</t>
  </si>
  <si>
    <t>LLCC_FERC_LLCC_FERC_PROF_EVENT_14_CFG</t>
  </si>
  <si>
    <t>LLCC_FERC_LLCC_FERC_PROF_EVENT_15_CFG</t>
  </si>
  <si>
    <t>LLCC_FERC_LLCC_FERC_PROF_CFG</t>
  </si>
  <si>
    <t>LLCC_FERC_LLCC_FERC_PROF_STATUS</t>
  </si>
  <si>
    <t>LLCC_BIST_LLCC_BIST_CTRL</t>
  </si>
  <si>
    <t>LLCC_BIST_LLCC_BIST_CLEAR</t>
  </si>
  <si>
    <t>LLCC_BIST_LLCC_BIST_CLK_CTRL</t>
  </si>
  <si>
    <t>LLCC_BIST_LLCC_BIST_WRITE_CONFIG1</t>
  </si>
  <si>
    <t>LLCC_BIST_LLCC_BIST_WRITE_CONFIG2</t>
  </si>
  <si>
    <t>LLCC_BIST_LLCC_BIST_WR_ADDR</t>
  </si>
  <si>
    <t>LLCC_BIST_LLCC_BIST_WR_BIST_SEED</t>
  </si>
  <si>
    <t>LLCC_BIST_LLCC_BIST_READ_CONFIG1</t>
  </si>
  <si>
    <t>LLCC_BIST_LLCC_BIST_READ_CONFIG2</t>
  </si>
  <si>
    <t>LLCC_BIST_LLCC_BIST_RD_ADDR</t>
  </si>
  <si>
    <t>LLCC_BIST_LLCC_BIST_RD_BIST_SEED</t>
  </si>
  <si>
    <t>LLCC_BIST_LLCC_BIST_LFSR_TAP_POINT</t>
  </si>
  <si>
    <t>LLCC_BIST_LLCC_BIST_TAG_RAM_EXTRA_COL_ACT</t>
  </si>
  <si>
    <t>LLCC_BIST_LLCC_BIST_STATUS</t>
  </si>
  <si>
    <t>LLCC_BIST_LLCC_BIST_FAILURE</t>
  </si>
  <si>
    <t>LLCC_BIST_LLCC_BIST_FAILURE_0_BITS</t>
  </si>
  <si>
    <t>LLCC_BIST_LLCC_BIST_FAILURE_1_BITS</t>
  </si>
  <si>
    <t>LLCC_BIST_LLCC_BIST_FAILURE_2_BITS</t>
  </si>
  <si>
    <t>LLCC_BIST_LLCC_BIST_FAILURE_3_BITS</t>
  </si>
  <si>
    <t>LLCC_AMON_LLCC_AMON_CFG0</t>
  </si>
  <si>
    <t>00000051</t>
  </si>
  <si>
    <t>LLCC_AMON_LLCC_AMON_EVICT_ENTRY_0_STATUS</t>
  </si>
  <si>
    <t>LLCC_AMON_LLCC_AMON_EVICT_ENTRY_1_STATUS</t>
  </si>
  <si>
    <t>LLCC_AMON_LLCC_AMON_EVICT_ENTRY_2_STATUS</t>
  </si>
  <si>
    <t>LLCC_AMON_LLCC_AMON_EVICT_ENTRY_3_STATUS</t>
  </si>
  <si>
    <t>LLCC_AMON_LLCC_AMON_EVICT_ENTRY_4_STATUS</t>
  </si>
  <si>
    <t>LLCC_AMON_LLCC_AMON_EVICT_ENTRY_5_STATUS</t>
  </si>
  <si>
    <t>LLCC_AMON_LLCC_AMON_EVICT_ENTRY_6_STATUS</t>
  </si>
  <si>
    <t>LLCC_AMON_LLCC_AMON_EVICT_ENTRY_7_STATUS</t>
  </si>
  <si>
    <t>LLCC_AMON_LLCC_AMON_WRITE_ENTRY_0_STATUS</t>
  </si>
  <si>
    <t>LLCC_AMON_LLCC_AMON_WRITE_ENTRY_1_STATUS</t>
  </si>
  <si>
    <t>LLCC_AMON_LLCC_AMON_WRITE_ENTRY_2_STATUS</t>
  </si>
  <si>
    <t>LLCC_AMON_LLCC_AMON_WRITE_ENTRY_3_STATUS</t>
  </si>
  <si>
    <t>LLCC_AMON_LLCC_AMON_WRITE_ENTRY_4_STATUS</t>
  </si>
  <si>
    <t>LLCC_AMON_LLCC_AMON_WRITE_ENTRY_5_STATUS</t>
  </si>
  <si>
    <t>LLCC_AMON_LLCC_AMON_WRITE_ENTRY_6_STATUS</t>
  </si>
  <si>
    <t>LLCC_AMON_LLCC_AMON_WRITE_ENTRY_7_STATUS</t>
  </si>
  <si>
    <t>LLCC_AMON_LLCC_AMON_WRITE_ENTRY_8_STATUS</t>
  </si>
  <si>
    <t>LLCC_AMON_LLCC_AMON_WRITE_ENTRY_9_STATUS</t>
  </si>
  <si>
    <t>LLCC_AMON_LLCC_AMON_WRITE_ENTRY_10_STATUS</t>
  </si>
  <si>
    <t>LLCC_AMON_LLCC_AMON_WRITE_ENTRY_11_STATUS</t>
  </si>
  <si>
    <t>LLCC_AMON_LLCC_AMON_WRITE_ENTRY_12_STATUS</t>
  </si>
  <si>
    <t>LLCC_AMON_LLCC_AMON_WRITE_ENTRY_13_STATUS</t>
  </si>
  <si>
    <t>LLCC_AMON_LLCC_AMON_WRITE_ENTRY_14_STATUS</t>
  </si>
  <si>
    <t>LLCC_AMON_LLCC_AMON_WRITE_ENTRY_15_STATUS</t>
  </si>
  <si>
    <t>LLCC_AMON_LLCC_AMON_WRITE_ENTRY_16_STATUS</t>
  </si>
  <si>
    <t>LLCC_AMON_LLCC_AMON_WRITE_ENTRY_17_STATUS</t>
  </si>
  <si>
    <t>LLCC_AMON_LLCC_AMON_WRITE_ENTRY_18_STATUS</t>
  </si>
  <si>
    <t>LLCC_AMON_LLCC_AMON_WRITE_ENTRY_19_STATUS</t>
  </si>
  <si>
    <t>LLCC_AMON_LLCC_AMON_WRITE_ENTRY_20_STATUS</t>
  </si>
  <si>
    <t>LLCC_AMON_LLCC_AMON_WRITE_ENTRY_21_STATUS</t>
  </si>
  <si>
    <t>LLCC_AMON_LLCC_AMON_WRITE_ENTRY_22_STATUS</t>
  </si>
  <si>
    <t>LLCC_AMON_LLCC_AMON_WRITE_ENTRY_23_STATUS</t>
  </si>
  <si>
    <t>LLCC_AMON_LLCC_AMON_WRITE_ENTRY_24_STATUS</t>
  </si>
  <si>
    <t>LLCC_AMON_LLCC_AMON_WRITE_ENTRY_25_STATUS</t>
  </si>
  <si>
    <t>LLCC_AMON_LLCC_AMON_WRITE_ENTRY_26_STATUS</t>
  </si>
  <si>
    <t>LLCC_AMON_LLCC_AMON_WRITE_ENTRY_27_STATUS</t>
  </si>
  <si>
    <t>LLCC_AMON_LLCC_AMON_WRITE_ENTRY_28_STATUS</t>
  </si>
  <si>
    <t>LLCC_AMON_LLCC_AMON_WRITE_ENTRY_29_STATUS</t>
  </si>
  <si>
    <t>LLCC_AMON_LLCC_AMON_WRITE_ENTRY_30_STATUS</t>
  </si>
  <si>
    <t>LLCC_AMON_LLCC_AMON_WRITE_ENTRY_31_STATUS</t>
  </si>
  <si>
    <t>LLCC_AMON_LLCC_AMON_READ_ENTRY_0_STATUS</t>
  </si>
  <si>
    <t>LLCC_AMON_LLCC_AMON_READ_ENTRY_1_STATUS</t>
  </si>
  <si>
    <t>LLCC_AMON_LLCC_AMON_READ_ENTRY_2_STATUS</t>
  </si>
  <si>
    <t>LLCC_AMON_LLCC_AMON_READ_ENTRY_3_STATUS</t>
  </si>
  <si>
    <t>LLCC_AMON_LLCC_AMON_READ_ENTRY_4_STATUS</t>
  </si>
  <si>
    <t>LLCC_AMON_LLCC_AMON_READ_ENTRY_5_STATUS</t>
  </si>
  <si>
    <t>LLCC_AMON_LLCC_AMON_READ_ENTRY_6_STATUS</t>
  </si>
  <si>
    <t>LLCC_AMON_LLCC_AMON_READ_ENTRY_7_STATUS</t>
  </si>
  <si>
    <t>LLCC_AMON_LLCC_AMON_READ_ENTRY_8_STATUS</t>
  </si>
  <si>
    <t>LLCC_AMON_LLCC_AMON_READ_ENTRY_9_STATUS</t>
  </si>
  <si>
    <t>LLCC_AMON_LLCC_AMON_READ_ENTRY_10_STATUS</t>
  </si>
  <si>
    <t>LLCC_AMON_LLCC_AMON_READ_ENTRY_11_STATUS</t>
  </si>
  <si>
    <t>LLCC_AMON_LLCC_AMON_READ_ENTRY_12_STATUS</t>
  </si>
  <si>
    <t>LLCC_AMON_LLCC_AMON_READ_ENTRY_13_STATUS</t>
  </si>
  <si>
    <t>LLCC_AMON_LLCC_AMON_READ_ENTRY_14_STATUS</t>
  </si>
  <si>
    <t>LLCC_AMON_LLCC_AMON_READ_ENTRY_15_STATUS</t>
  </si>
  <si>
    <t>LLCC_AMON_LLCC_AMON_READ_ENTRY_16_STATUS</t>
  </si>
  <si>
    <t>LLCC_AMON_LLCC_AMON_READ_ENTRY_17_STATUS</t>
  </si>
  <si>
    <t>LLCC_AMON_LLCC_AMON_READ_ENTRY_18_STATUS</t>
  </si>
  <si>
    <t>LLCC_AMON_LLCC_AMON_READ_ENTRY_19_STATUS</t>
  </si>
  <si>
    <t>LLCC_AMON_LLCC_AMON_READ_ENTRY_20_STATUS</t>
  </si>
  <si>
    <t>LLCC_AMON_LLCC_AMON_READ_ENTRY_21_STATUS</t>
  </si>
  <si>
    <t>LLCC_AMON_LLCC_AMON_READ_ENTRY_22_STATUS</t>
  </si>
  <si>
    <t>LLCC_AMON_LLCC_AMON_READ_ENTRY_23_STATUS</t>
  </si>
  <si>
    <t>LLCC_AMON_LLCC_AMON_READ_ENTRY_24_STATUS</t>
  </si>
  <si>
    <t>LLCC_AMON_LLCC_AMON_READ_ENTRY_25_STATUS</t>
  </si>
  <si>
    <t>LLCC_AMON_LLCC_AMON_READ_ENTRY_26_STATUS</t>
  </si>
  <si>
    <t>LLCC_AMON_LLCC_AMON_READ_ENTRY_27_STATUS</t>
  </si>
  <si>
    <t>LLCC_AMON_LLCC_AMON_READ_ENTRY_28_STATUS</t>
  </si>
  <si>
    <t>LLCC_AMON_LLCC_AMON_READ_ENTRY_29_STATUS</t>
  </si>
  <si>
    <t>LLCC_AMON_LLCC_AMON_READ_ENTRY_30_STATUS</t>
  </si>
  <si>
    <t>LLCC_AMON_LLCC_AMON_READ_ENTRY_31_STATUS</t>
  </si>
  <si>
    <t>LLCC_AMON_LLCC_AMON_READ_ENTRY_32_STATUS</t>
  </si>
  <si>
    <t>LLCC_AMON_LLCC_AMON_READ_ENTRY_33_STATUS</t>
  </si>
  <si>
    <t>LLCC_AMON_LLCC_AMON_READ_ENTRY_34_STATUS</t>
  </si>
  <si>
    <t>LLCC_AMON_LLCC_AMON_READ_ENTRY_35_STATUS</t>
  </si>
  <si>
    <t>LLCC_AMON_LLCC_AMON_READ_ENTRY_36_STATUS</t>
  </si>
  <si>
    <t>LLCC_AMON_LLCC_AMON_READ_ENTRY_37_STATUS</t>
  </si>
  <si>
    <t>LLCC_AMON_LLCC_AMON_READ_ENTRY_38_STATUS</t>
  </si>
  <si>
    <t>LLCC_AMON_LLCC_AMON_READ_ENTRY_39_STATUS</t>
  </si>
  <si>
    <t>LLCC_AMON_LLCC_AMON_INTERRUPT_STATUS</t>
  </si>
  <si>
    <t>LLCC_AMON_LLCC_AMON_INTERRUPT_CLEAR</t>
  </si>
  <si>
    <t>LLCC_AMON_LLCC_AMON_INTERRUPT_ENABLE</t>
  </si>
  <si>
    <t>LLCC_AMON_LLCC_AMON_STATUS0</t>
  </si>
  <si>
    <t>LLCC_PMGR_LLCC_PMGR_IDLE</t>
  </si>
  <si>
    <t>LLCC_PMGR_LLCC_PMGR_DEBUG_CTRL</t>
  </si>
  <si>
    <t>LLCC_PMGR_LLCC_PMGR_RAM_TIMING0</t>
  </si>
  <si>
    <t>030C1601</t>
  </si>
  <si>
    <t>01034601</t>
  </si>
  <si>
    <t>LLCC_PMGR_LLCC_PMGR_RAM_TIMING1</t>
  </si>
  <si>
    <t>LLCC_PMGR_LLCC_PMGR_RAM_TIMING2</t>
  </si>
  <si>
    <t>00000023</t>
  </si>
  <si>
    <t>0000005F</t>
  </si>
  <si>
    <t>LLCC_PMGR_LLCC_PMGR_RAM_SLP_SEL0</t>
  </si>
  <si>
    <t>LLCC_PMGR_LLCC_PMGR_RAM_SLP_SEL1</t>
  </si>
  <si>
    <t>LLCC_PMGR_LLCC_PMGR_RAM_WAKEUP_SEL</t>
  </si>
  <si>
    <t>0000700F</t>
  </si>
  <si>
    <t>00007FFF</t>
  </si>
  <si>
    <t>LLCC_PMGR_LLCC_PMGR_RAM_CMD</t>
  </si>
  <si>
    <t>LLCC_PMGR_LLCC_PMGR_RAM_SLP_STATUS0</t>
  </si>
  <si>
    <t>DDDDDDDD</t>
  </si>
  <si>
    <t>LLCC_PMGR_LLCC_PMGR_RAM_SLP_STATUS1</t>
  </si>
  <si>
    <t>LLCC_PMGR_LLCC_PMGR_RAM_PWR_STATUS</t>
  </si>
  <si>
    <t>AAAAAAAA</t>
  </si>
  <si>
    <t>LLCC_PMGR_LLCC_PMGR_RAM_SLP_CMD_STATUS</t>
  </si>
  <si>
    <t>LLCC_PMGR_LLCC_PMGR_RAM_WAKE_CMD_STATUS</t>
  </si>
  <si>
    <t>LLCC_PMGR_LLCC_PMGR_SLP_FSM_STATUS</t>
  </si>
  <si>
    <t>LLCC_PMGR_LLCC_PMGR_RCG_CTRL</t>
  </si>
  <si>
    <t>86080000</t>
  </si>
  <si>
    <t>86083000</t>
  </si>
  <si>
    <t>LLCC_PMGR_LLCC_PMGR_QACTIVE_STATUS</t>
  </si>
  <si>
    <t>LLCC_PMGR_LLCC_PMGR_RCG_STATUS</t>
  </si>
  <si>
    <t>LLCC_PMGR_LLCC_PMGR_CLOCK_CTRL</t>
  </si>
  <si>
    <t>LLCC_PMGR_LLCC_PMGR_PRE_ARES_CTRL</t>
  </si>
  <si>
    <t>LLCC_PMGR_LLCC_PMGR_PRE_ARES_CLEAR</t>
  </si>
  <si>
    <t>LLCC_PMGR_LLCC_PMGR_PRE_ARES_STATUS</t>
  </si>
  <si>
    <t>LLCC_PMGR_LLCC_PMGR_PROF_EVENT_0_CFG</t>
  </si>
  <si>
    <t>LLCC_PMGR_LLCC_PMGR_PROF_EVENT_1_CFG</t>
  </si>
  <si>
    <t>LLCC_PMGR_LLCC_PMGR_PROF_EVENT_2_CFG</t>
  </si>
  <si>
    <t>LLCC_PMGR_LLCC_PMGR_PROF_EVENT_3_CFG</t>
  </si>
  <si>
    <t>LLCC_PMGR_LLCC_PMGR_PROF_EVENT_4_CFG</t>
  </si>
  <si>
    <t>LLCC_PMGR_LLCC_PMGR_PROF_EVENT_5_CFG</t>
  </si>
  <si>
    <t>LLCC_PMGR_LLCC_PMGR_PROF_EVENT_6_CFG</t>
  </si>
  <si>
    <t>LLCC_PMGR_LLCC_PMGR_PROF_EVENT_7_CFG</t>
  </si>
  <si>
    <t>LLCC_PMGR_LLCC_PMGR_PROF_EVENT_8_CFG</t>
  </si>
  <si>
    <t>LLCC_PMGR_LLCC_PMGR_PROF_EVENT_9_CFG</t>
  </si>
  <si>
    <t>LLCC_PMGR_LLCC_PMGR_PROF_EVENT_10_CFG</t>
  </si>
  <si>
    <t>LLCC_PMGR_LLCC_PMGR_PROF_EVENT_11_CFG</t>
  </si>
  <si>
    <t>LLCC_PMGR_LLCC_PMGR_PROF_EVENT_12_CFG</t>
  </si>
  <si>
    <t>LLCC_PMGR_LLCC_PMGR_PROF_EVENT_13_CFG</t>
  </si>
  <si>
    <t>LLCC_PMGR_LLCC_PMGR_PROF_EVENT_14_CFG</t>
  </si>
  <si>
    <t>LLCC_PMGR_LLCC_PMGR_PROF_EVENT_15_CFG</t>
  </si>
  <si>
    <t>LLCC_DRP_LLCC_DRP_ECC_ERROR_CFG</t>
  </si>
  <si>
    <t>LLCC_DRP_LLCC_DRP_ECC_ERROR_CNTR_CLEAR</t>
  </si>
  <si>
    <t>LLCC_DRP_LLCC_DRP_ECC_ERROR_INJECTION_0</t>
  </si>
  <si>
    <t>LLCC_DRP_LLCC_DRP_ECC_ERROR_INJECTION_1</t>
  </si>
  <si>
    <t>LLCC_DRP_LLCC_DRP_INTERRUPT_STATUS</t>
  </si>
  <si>
    <t>LLCC_DRP_LLCC_DRP_INTERRUPT_CLEAR</t>
  </si>
  <si>
    <t>LLCC_DRP_LLCC_DRP_INTERRUPT_ENABLE</t>
  </si>
  <si>
    <t>LLCC_DRP_LLCC_DRP_CFG1</t>
  </si>
  <si>
    <t>LLCC_DRP_LLCC_DRP_CLK_EN_CFG</t>
  </si>
  <si>
    <t>LLCC_DRP_LLCC_DRP_QOS_CTRL</t>
  </si>
  <si>
    <t>LLCC_DRP_LLCC_DRP_DEBUG_CTRL0</t>
  </si>
  <si>
    <t>LLCC_DRP_LLCC_DRP_DEBUG_CTRL1</t>
  </si>
  <si>
    <t>LLCC_DRP_LLCC_DRP_SRAM_STATUS</t>
  </si>
  <si>
    <t>40400040</t>
  </si>
  <si>
    <t>40000000</t>
  </si>
  <si>
    <t>LLCC_DRP_LLCC_DRP_FIFO_EMPTY_STATUS</t>
  </si>
  <si>
    <t>000001FF</t>
  </si>
  <si>
    <t>LLCC_DRP_LLCC_DRP_FIFO_FULL_STATUS</t>
  </si>
  <si>
    <t>LLCC_DRP_LLCC_DRP_PCBSLP_STATUS</t>
  </si>
  <si>
    <t>00DDDDDD</t>
  </si>
  <si>
    <t>LLCC_DRP_LLCC_DRP_PCB_CMD_STATUS</t>
  </si>
  <si>
    <t>LLCC_DRP_LLCC_DRP_DCRSW_DATA_CAPTURE_0</t>
  </si>
  <si>
    <t>LLCC_DRP_LLCC_DRP_DCRSW_DATA_CAPTURE_1</t>
  </si>
  <si>
    <t>LLCC_DRP_LLCC_DRP_DCRSW_DATA_CAPTURE_2</t>
  </si>
  <si>
    <t>LLCC_DRP_LLCC_DRP_DCRSW_DATA_CAPTURE_3</t>
  </si>
  <si>
    <t>LLCC_DRP_LLCC_DRP_DCRSW_ECC_CAPTURE</t>
  </si>
  <si>
    <t>LLCC_DRP_LLCC_DRP_ECC_ERROR_STATUS0</t>
  </si>
  <si>
    <t>LLCC_DRP_LLCC_DRP_ECC_ERROR_STATUS1</t>
  </si>
  <si>
    <t>LLCC_DRP_LLCC_DRP_ECC_SB_ERR_SYN0</t>
  </si>
  <si>
    <t>LLCC_DRP_LLCC_DRP_ECC_SB_ERR_SYN1</t>
  </si>
  <si>
    <t>LLCC_DRP_LLCC_DRP_ECC_SB_ERR_SYN2</t>
  </si>
  <si>
    <t>LLCC_DRP_LLCC_DRP_ECC_SB_ERR_SYN3</t>
  </si>
  <si>
    <t>LLCC_DRP_LLCC_DRP_ECC_SB_ERR_SYN4</t>
  </si>
  <si>
    <t>LLCC_DRP_LLCC_DRP_ECC_SB_ERR_SYN5</t>
  </si>
  <si>
    <t>LLCC_DRP_LLCC_DRP_ECC_SB_ERR_SYN6</t>
  </si>
  <si>
    <t>LLCC_DRP_LLCC_DRP_ECC_SB_ERR_SYN7</t>
  </si>
  <si>
    <t>LLCC_DRP_LLCC_DRP_ECC_DB_ERR_SYN0</t>
  </si>
  <si>
    <t>LLCC_DRP_LLCC_DRP_ECC_DB_ERR_SYN1</t>
  </si>
  <si>
    <t>LLCC_DRP_LLCC_DRP_ECC_DB_ERR_SYN2</t>
  </si>
  <si>
    <t>LLCC_DRP_LLCC_DRP_ECC_DB_ERR_SYN3</t>
  </si>
  <si>
    <t>LLCC_DRP_LLCC_DRP_ECC_DB_ERR_SYN4</t>
  </si>
  <si>
    <t>LLCC_DRP_LLCC_DRP_ECC_DB_ERR_SYN5</t>
  </si>
  <si>
    <t>LLCC_DRP_LLCC_DRP_ECC_DB_ERR_SYN6</t>
  </si>
  <si>
    <t>LLCC_DRP_LLCC_DRP_ECC_DB_ERR_SYN7</t>
  </si>
  <si>
    <t>LLCC_DRP_LLCC_DRP_VALID_STATUS</t>
  </si>
  <si>
    <t>00002094</t>
  </si>
  <si>
    <t>LLCC_DRP_LLCC_DRP_READY_STATUS</t>
  </si>
  <si>
    <t>00002098</t>
  </si>
  <si>
    <t>LLCC_DRP_LLCC_DRP_RAMSLP_STATUS</t>
  </si>
  <si>
    <t>LLCC_DRP_LLCC_DRP_DBG_EVENT_STATUS</t>
  </si>
  <si>
    <t>LLCC_DRP_LLCC_DRP_DBG_EVENT_CLEAR</t>
  </si>
  <si>
    <t>LLCC_DRP_LLCC_DRP_DBG_EVENT_FWD</t>
  </si>
  <si>
    <t>LLCC_DRP_LLCC_DRP_LB_THROTTLE_CTRL</t>
  </si>
  <si>
    <t>000020b4</t>
  </si>
  <si>
    <t>LLCC_DRP_LLCC_DRP_PCB_PWR_STATUS</t>
  </si>
  <si>
    <t>00000AAA</t>
  </si>
  <si>
    <t>000020c0</t>
  </si>
  <si>
    <t>LLCC_DRP_LLCC_DRP_PRE_ARES_STATUS</t>
  </si>
  <si>
    <t>000020d0</t>
  </si>
  <si>
    <t>LLCC_DRP_LLCC_DRP_EVICT_CMD_DPG_STATUS0</t>
  </si>
  <si>
    <t>000020d4</t>
  </si>
  <si>
    <t>LLCC_DRP_LLCC_DRP_EVICT_CMD_DPG_STATUS1</t>
  </si>
  <si>
    <t>000020d8</t>
  </si>
  <si>
    <t>LLCC_DRP_LLCC_DRP_EVICT_CMD_DPG_STATUS2</t>
  </si>
  <si>
    <t>LLCC_DRP_LLCC_DRP_CFG0</t>
  </si>
  <si>
    <t>LLCC_DRP_LLCC_DRP_RAM_TIMING0</t>
  </si>
  <si>
    <t>030C4601</t>
  </si>
  <si>
    <t>LLCC_DRP_LLCC_DRP_RAM_TIMING1</t>
  </si>
  <si>
    <t>LLCC_DRP_LLCC_DRP_RAM_TIMING2</t>
  </si>
  <si>
    <t>00000066</t>
  </si>
  <si>
    <t>LLCC_DRP_LLCC_DRP_RAM_IDLE_THRESHOLD</t>
  </si>
  <si>
    <t>LLCC_DRP_LLCC_DRP_PCB_ENABLE</t>
  </si>
  <si>
    <t>00003024</t>
  </si>
  <si>
    <t>LLCC_DRP_LLCC_DRP_PCB_SLP_SEL</t>
  </si>
  <si>
    <t>LLCC_DRP_LLCC_DRP_PCB_WAKEUP_SEL</t>
  </si>
  <si>
    <t>0000302c</t>
  </si>
  <si>
    <t>LLCC_DRP_LLCC_DRP_PCB_CMD</t>
  </si>
  <si>
    <t>LLCC_DRP_LLCC_DRP_RAMSLP_REQ_GAP</t>
  </si>
  <si>
    <t>LLCC_DRP_LLCC_DRP_PROF_FILTER_0_CFG0</t>
  </si>
  <si>
    <t>LLCC_DRP_LLCC_DRP_PROF_FILTER_0_CFG1</t>
  </si>
  <si>
    <t>LLCC_DRP_LLCC_DRP_PROF_FILTER_1_CFG0</t>
  </si>
  <si>
    <t>0000400c</t>
  </si>
  <si>
    <t>LLCC_DRP_LLCC_DRP_PROF_FILTER_1_CFG1</t>
  </si>
  <si>
    <t>LLCC_DRP_LLCC_DRP_PROF_EVENT_0_CFG</t>
  </si>
  <si>
    <t>00004014</t>
  </si>
  <si>
    <t>LLCC_DRP_LLCC_DRP_PROF_EVENT_1_CFG</t>
  </si>
  <si>
    <t>LLCC_DRP_LLCC_DRP_PROF_EVENT_2_CFG</t>
  </si>
  <si>
    <t>0000401c</t>
  </si>
  <si>
    <t>LLCC_DRP_LLCC_DRP_PROF_EVENT_3_CFG</t>
  </si>
  <si>
    <t>LLCC_DRP_LLCC_DRP_PROF_EVENT_4_CFG</t>
  </si>
  <si>
    <t>00004024</t>
  </si>
  <si>
    <t>LLCC_DRP_LLCC_DRP_PROF_EVENT_5_CFG</t>
  </si>
  <si>
    <t>LLCC_DRP_LLCC_DRP_PROF_EVENT_6_CFG</t>
  </si>
  <si>
    <t>0000402c</t>
  </si>
  <si>
    <t>LLCC_DRP_LLCC_DRP_PROF_EVENT_7_CFG</t>
  </si>
  <si>
    <t>00004030</t>
  </si>
  <si>
    <t>LLCC_DRP_LLCC_DRP_PROF_EVENT_8_CFG</t>
  </si>
  <si>
    <t>00004034</t>
  </si>
  <si>
    <t>LLCC_DRP_LLCC_DRP_PROF_EVENT_9_CFG</t>
  </si>
  <si>
    <t>00004038</t>
  </si>
  <si>
    <t>LLCC_DRP_LLCC_DRP_PROF_EVENT_10_CFG</t>
  </si>
  <si>
    <t>0000403c</t>
  </si>
  <si>
    <t>LLCC_DRP_LLCC_DRP_PROF_EVENT_11_CFG</t>
  </si>
  <si>
    <t>00004040</t>
  </si>
  <si>
    <t>LLCC_DRP_LLCC_DRP_PROF_EVENT_12_CFG</t>
  </si>
  <si>
    <t>00004044</t>
  </si>
  <si>
    <t>LLCC_DRP_LLCC_DRP_PROF_EVENT_13_CFG</t>
  </si>
  <si>
    <t>00004048</t>
  </si>
  <si>
    <t>LLCC_DRP_LLCC_DRP_PROF_EVENT_14_CFG</t>
  </si>
  <si>
    <t>0000404c</t>
  </si>
  <si>
    <t>LLCC_DRP_LLCC_DRP_PROF_EVENT_15_CFG</t>
  </si>
  <si>
    <t>00004050</t>
  </si>
  <si>
    <t>LLCC_DRP_LLCC_DRP_PROF_CFG</t>
  </si>
  <si>
    <t>00004054</t>
  </si>
  <si>
    <t>LLCC_DRP_LLCC_DRP_PROF_STATUS</t>
  </si>
  <si>
    <t>LLCC_BEAC_LLCC_BEAC_CMD_CREDIT_THRESHOLD0_CFG0</t>
  </si>
  <si>
    <t>00082404</t>
  </si>
  <si>
    <t>00082804</t>
  </si>
  <si>
    <t>LLCC_BEAC_LLCC_BEAC_CMD_CREDIT_THRESHOLD0_CFG1</t>
  </si>
  <si>
    <t>201C0004</t>
  </si>
  <si>
    <t>24200004</t>
  </si>
  <si>
    <t>LLCC_BEAC_LLCC_BEAC_WR_CREDIT_THRESHOLD0_CFG</t>
  </si>
  <si>
    <t>LLCC_BEAC_LLCC_BEAC_CMD_CREDIT_THRESHOLD1_CFG0</t>
  </si>
  <si>
    <t>LLCC_BEAC_LLCC_BEAC_CMD_CREDIT_THRESHOLD1_CFG1</t>
  </si>
  <si>
    <t>LLCC_BEAC_LLCC_BEAC_WR_CREDIT_THRESHOLD1_CFG</t>
  </si>
  <si>
    <t>LLCC_BEAC_LLCC_BEAC_CMD_CREDIT_THRESHOLD2_CFG0</t>
  </si>
  <si>
    <t>LLCC_BEAC_LLCC_BEAC_CMD_CREDIT_THRESHOLD2_CFG1</t>
  </si>
  <si>
    <t>LLCC_BEAC_LLCC_BEAC_WR_CREDIT_THRESHOLD2_CFG</t>
  </si>
  <si>
    <t>LLCC_BEAC_LLCC_BEAC_CMD_CREDIT_THRESHOLD3_CFG0</t>
  </si>
  <si>
    <t>LLCC_BEAC_LLCC_BEAC_CMD_CREDIT_THRESHOLD3_CFG1</t>
  </si>
  <si>
    <t>LLCC_BEAC_LLCC_BEAC_WR_CREDIT_THRESHOLD3_CFG</t>
  </si>
  <si>
    <t>LLCC_BEAC_LLCC_BEAC_FREQ_SWITCH_CFG</t>
  </si>
  <si>
    <t>LLCC_BEAC_LLCC_BEAC_CFG2</t>
  </si>
  <si>
    <t>00400200</t>
  </si>
  <si>
    <t>LLCC_BEAC_LLCC_BEAC_WR_DATA_DEBUG_CFG0</t>
  </si>
  <si>
    <t>LLCC_BEAC_LLCC_BEAC_WR_DATA_DEBUG_CFG1</t>
  </si>
  <si>
    <t>LLCC_BEAC_LLCC_BEAC_CLOCK_CTRL</t>
  </si>
  <si>
    <t>LLCC_BEAC_LLCC_BEAC_PROMOTION_CTRL</t>
  </si>
  <si>
    <t>LLCC_BEAC_LLCC_BEAC_WR_FL_STATUS0</t>
  </si>
  <si>
    <t>LLCC_BEAC_LLCC_BEAC_WR_FL_STATUS1</t>
  </si>
  <si>
    <t>LLCC_BEAC_LLCC_BEAC_PCT_STATUS0</t>
  </si>
  <si>
    <t>LLCC_BEAC_LLCC_BEAC_PCT_STATUS1</t>
  </si>
  <si>
    <t>LLCC_BEAC_LLCC_BEAC_CMD_OT_CREDIT_STATUS0</t>
  </si>
  <si>
    <t>LLCC_BEAC_LLCC_BEAC_CMD_OT_CREDIT_STATUS1</t>
  </si>
  <si>
    <t>LLCC_BEAC_LLCC_BEAC_WR_OT_CREDIT_STATUS</t>
  </si>
  <si>
    <t>LLCC_BEAC_LLCC_BEAC_MSI_CHANNEL_STATUS</t>
  </si>
  <si>
    <t>LLCC_BEAC_LLCC_BEAC_IF_CHANNEL_STATUS</t>
  </si>
  <si>
    <t>LLCC_BEAC_LLCC_BEAC_DBG_CFG</t>
  </si>
  <si>
    <t>LLCC_BEAC_LLCC_BEAC_DBG_EVENT_STATUS</t>
  </si>
  <si>
    <t>LLCC_BEAC_LLCC_BEAC_DBG_EVENT_CLR</t>
  </si>
  <si>
    <t>LLCC_BEAC_LLCC_BEAC_DBG_EVENT_FWD</t>
  </si>
  <si>
    <t>LLCC_BEAC_LLCC_BEAC_ADDR_TRANSLATOR_CFG</t>
  </si>
  <si>
    <t>LLCC_BEAC_LLCC_BEAC_ADDR_REGION0_CFG0</t>
  </si>
  <si>
    <t>LLCC_BEAC_LLCC_BEAC_ADDR_REGION0_CFG1</t>
  </si>
  <si>
    <t>LLCC_BEAC_LLCC_BEAC_ADDR_REGION1_CFG2</t>
  </si>
  <si>
    <t>LLCC_BEAC_LLCC_BEAC_ADDR_REGION1_CFG3</t>
  </si>
  <si>
    <t>LLCC_BEAC_LLCC_BEAC_ADDR_REGION1_CFG0</t>
  </si>
  <si>
    <t>LLCC_BEAC_LLCC_BEAC_ADDR_REGION1_CFG1</t>
  </si>
  <si>
    <t>LLCC_BEAC_LLCC_BEAC_ADDR_REGION2_CFG2</t>
  </si>
  <si>
    <t>LLCC_BEAC_LLCC_BEAC_ADDR_REGION2_CFG3</t>
  </si>
  <si>
    <t>LLCC_BEAC_LLCC_BEAC_ADDR_REGION2_CFG0</t>
  </si>
  <si>
    <t>LLCC_BEAC_LLCC_BEAC_ADDR_REGION2_CFG1</t>
  </si>
  <si>
    <t>LLCC_BEAC_LLCC_BEAC_ADDR_REGION3_CFG2</t>
  </si>
  <si>
    <t>LLCC_BEAC_LLCC_BEAC_ADDR_REGION3_CFG3</t>
  </si>
  <si>
    <t>LLCC_BEAC_LLCC_BEAC_ADDR_REGION3_CFG0</t>
  </si>
  <si>
    <t>LLCC_BEAC_LLCC_BEAC_ADDR_REGION3_CFG1</t>
  </si>
  <si>
    <t>LLCC_BEAC_LLCC_BEAC_ADDR_REGION4_CFG2</t>
  </si>
  <si>
    <t>LLCC_BEAC_LLCC_BEAC_ADDR_REGION4_CFG3</t>
  </si>
  <si>
    <t>LLCC_BEAC_LLCC_BEAC_ADDR_REGION4_CFG0</t>
  </si>
  <si>
    <t>LLCC_BEAC_LLCC_BEAC_ADDR_REGION4_CFG1</t>
  </si>
  <si>
    <t>LLCC_BEAC_LLCC_BEAC_ADDR_REGION5_CFG2</t>
  </si>
  <si>
    <t>LLCC_BEAC_LLCC_BEAC_ADDR_REGION5_CFG3</t>
  </si>
  <si>
    <t>LLCC_BEAC_LLCC_BEAC_ADDR_REGION5_CFG0</t>
  </si>
  <si>
    <t>LLCC_BEAC_LLCC_BEAC_ADDR_REGION5_CFG1</t>
  </si>
  <si>
    <t>LLCC_BEAC_LLCC_BEAC_PROF_FILTER_0_CFG0</t>
  </si>
  <si>
    <t>LLCC_BEAC_LLCC_BEAC_PROF_FILTER_0_CFG1</t>
  </si>
  <si>
    <t>LLCC_BEAC_LLCC_BEAC_PROF_FILTER_0_CFG2</t>
  </si>
  <si>
    <t>LLCC_BEAC_LLCC_BEAC_PROF_FILTER_0_CFG3</t>
  </si>
  <si>
    <t>LLCC_BEAC_LLCC_BEAC_PROF_FILTER_0_CFG4</t>
  </si>
  <si>
    <t>LLCC_BEAC_LLCC_BEAC_PROF_FILTER_0_CFG5</t>
  </si>
  <si>
    <t>LLCC_BEAC_LLCC_BEAC_PROF_FILTER_0_CFG6</t>
  </si>
  <si>
    <t>LLCC_BEAC_LLCC_BEAC_PROF_FILTER_0_CFG7</t>
  </si>
  <si>
    <t>LLCC_BEAC_LLCC_BEAC_PROF_FILTER_1_CFG0</t>
  </si>
  <si>
    <t>LLCC_BEAC_LLCC_BEAC_PROF_FILTER_1_CFG1</t>
  </si>
  <si>
    <t>LLCC_BEAC_LLCC_BEAC_PROF_FILTER_1_CFG2</t>
  </si>
  <si>
    <t>LLCC_BEAC_LLCC_BEAC_PROF_FILTER_1_CFG3</t>
  </si>
  <si>
    <t>LLCC_BEAC_LLCC_BEAC_PROF_FILTER_1_CFG4</t>
  </si>
  <si>
    <t>LLCC_BEAC_LLCC_BEAC_PROF_FILTER_1_CFG5</t>
  </si>
  <si>
    <t>LLCC_BEAC_LLCC_BEAC_PROF_FILTER_1_CFG6</t>
  </si>
  <si>
    <t>LLCC_BEAC_LLCC_BEAC_PROF_FILTER_1_CFG7</t>
  </si>
  <si>
    <t>LLCC_BEAC_LLCC_BEAC_PROF_EVENT_0_CFG</t>
  </si>
  <si>
    <t>LLCC_BEAC_LLCC_BEAC_PROF_EVENT_1_CFG</t>
  </si>
  <si>
    <t>LLCC_BEAC_LLCC_BEAC_PROF_EVENT_2_CFG</t>
  </si>
  <si>
    <t>LLCC_BEAC_LLCC_BEAC_PROF_EVENT_3_CFG</t>
  </si>
  <si>
    <t>LLCC_BEAC_LLCC_BEAC_PROF_EVENT_4_CFG</t>
  </si>
  <si>
    <t>LLCC_BEAC_LLCC_BEAC_PROF_EVENT_5_CFG</t>
  </si>
  <si>
    <t>LLCC_BEAC_LLCC_BEAC_PROF_EVENT_6_CFG</t>
  </si>
  <si>
    <t>LLCC_BEAC_LLCC_BEAC_PROF_EVENT_7_CFG</t>
  </si>
  <si>
    <t>LLCC_BEAC_LLCC_BEAC_PROF_EVENT_8_CFG</t>
  </si>
  <si>
    <t>LLCC_BEAC_LLCC_BEAC_PROF_EVENT_9_CFG</t>
  </si>
  <si>
    <t>LLCC_BEAC_LLCC_BEAC_PROF_EVENT_10_CFG</t>
  </si>
  <si>
    <t>0000106c</t>
  </si>
  <si>
    <t>LLCC_BEAC_LLCC_BEAC_PROF_EVENT_11_CFG</t>
  </si>
  <si>
    <t>LLCC_BEAC_LLCC_BEAC_PROF_EVENT_12_CFG</t>
  </si>
  <si>
    <t>00001074</t>
  </si>
  <si>
    <t>LLCC_BEAC_LLCC_BEAC_PROF_EVENT_13_CFG</t>
  </si>
  <si>
    <t>LLCC_BEAC_LLCC_BEAC_PROF_EVENT_14_CFG</t>
  </si>
  <si>
    <t>0000107c</t>
  </si>
  <si>
    <t>LLCC_BEAC_LLCC_BEAC_PROF_EVENT_15_CFG</t>
  </si>
  <si>
    <t>00001080</t>
  </si>
  <si>
    <t>LLCC_BEAC_LLCC_BEAC_PROF_CFG</t>
  </si>
  <si>
    <t>02002004</t>
  </si>
  <si>
    <t>00001084</t>
  </si>
  <si>
    <t>LLCC_BEAC_LLCC_BEAC_PROF_STATUS</t>
  </si>
  <si>
    <t>LLCC_BEAC_LLCC_BEAC_INTERRUPT_0_STATUS</t>
  </si>
  <si>
    <t>LLCC_BEAC_LLCC_BEAC_INTERRUPT_0_CLEAR</t>
  </si>
  <si>
    <t>LLCC_BEAC_LLCC_BEAC_INTERRUPT_0_ENABLE</t>
  </si>
  <si>
    <t>LLCC_BEAC_LLCC_BEAC_BWMON_0_ENABLE</t>
  </si>
  <si>
    <t>LLCC_BEAC_LLCC_BEAC_BWMON_0_CLEAR</t>
  </si>
  <si>
    <t>LLCC_BEAC_LLCC_BEAC_BWMON_0_MID_MASK</t>
  </si>
  <si>
    <t>LLCC_BEAC_LLCC_BEAC_BWMON_0_MID_MATCH</t>
  </si>
  <si>
    <t>LLCC_BEAC_LLCC_BEAC_BWMON_0_SAMPLING_WINDOW</t>
  </si>
  <si>
    <t>LLCC_BEAC_LLCC_BEAC_BWMON_0_BYTE_CNT_THRESHOLD_HIGH</t>
  </si>
  <si>
    <t>LLCC_BEAC_LLCC_BEAC_BWMON_0_BYTE_CNT_THRESHOLD_MED</t>
  </si>
  <si>
    <t>LLCC_BEAC_LLCC_BEAC_BWMON_0_BYTE_CNT_THRESHOLD_LOW</t>
  </si>
  <si>
    <t>LLCC_BEAC_LLCC_BEAC_BWMON_0_ZONE_ACTIONS</t>
  </si>
  <si>
    <t>LLCC_BEAC_LLCC_BEAC_BWMON_0_ZONE_COUNT_THRESHOLD</t>
  </si>
  <si>
    <t>LLCC_BEAC_LLCC_BEAC_BWMON_0_BYTE_COUNT</t>
  </si>
  <si>
    <t>LLCC_BEAC_LLCC_BEAC_BWMON_0_WINDOW_TIMER</t>
  </si>
  <si>
    <t>LLCC_BEAC_LLCC_BEAC_BWMON_0_ZONE_COUNT</t>
  </si>
  <si>
    <t>LLCC_BEAC_LLCC_BEAC_BWMON_0_ZONE0_MAX_BYTE_COUNT</t>
  </si>
  <si>
    <t>LLCC_BEAC_LLCC_BEAC_BWMON_0_ZONE1_MAX_BYTE_COUNT</t>
  </si>
  <si>
    <t>LLCC_BEAC_LLCC_BEAC_BWMON_0_ZONE2_MAX_BYTE_COUNT</t>
  </si>
  <si>
    <t>LLCC_BEAC_LLCC_BEAC_BWMON_0_ZONE3_MAX_BYTE_COUNT</t>
  </si>
  <si>
    <t>LLCC_BEAC_LLCC_BEAC_INTERRUPT_1_STATUS</t>
  </si>
  <si>
    <t>LLCC_BEAC_LLCC_BEAC_INTERRUPT_1_CLEAR</t>
  </si>
  <si>
    <t>LLCC_BEAC_LLCC_BEAC_INTERRUPT_1_ENABLE</t>
  </si>
  <si>
    <t>LLCC_BEAC_LLCC_BEAC_BWMON_1_ENABLE</t>
  </si>
  <si>
    <t>LLCC_BEAC_LLCC_BEAC_BWMON_1_CLEAR</t>
  </si>
  <si>
    <t>LLCC_BEAC_LLCC_BEAC_BWMON_1_MID_MASK</t>
  </si>
  <si>
    <t>LLCC_BEAC_LLCC_BEAC_BWMON_1_MID_MATCH</t>
  </si>
  <si>
    <t>LLCC_BEAC_LLCC_BEAC_BWMON_1_SAMPLING_WINDOW</t>
  </si>
  <si>
    <t>LLCC_BEAC_LLCC_BEAC_BWMON_1_BYTE_CNT_THRESHOLD_HIGH</t>
  </si>
  <si>
    <t>LLCC_BEAC_LLCC_BEAC_BWMON_1_BYTE_CNT_THRESHOLD_MED</t>
  </si>
  <si>
    <t>LLCC_BEAC_LLCC_BEAC_BWMON_1_BYTE_CNT_THRESHOLD_LOW</t>
  </si>
  <si>
    <t>LLCC_BEAC_LLCC_BEAC_BWMON_1_ZONE_ACTIONS</t>
  </si>
  <si>
    <t>LLCC_BEAC_LLCC_BEAC_BWMON_1_ZONE_COUNT_THRESHOLD</t>
  </si>
  <si>
    <t>LLCC_BEAC_LLCC_BEAC_BWMON_1_BYTE_COUNT</t>
  </si>
  <si>
    <t>LLCC_BEAC_LLCC_BEAC_BWMON_1_WINDOW_TIMER</t>
  </si>
  <si>
    <t>LLCC_BEAC_LLCC_BEAC_BWMON_1_ZONE_COUNT</t>
  </si>
  <si>
    <t>LLCC_BEAC_LLCC_BEAC_BWMON_1_ZONE0_MAX_BYTE_COUNT</t>
  </si>
  <si>
    <t>LLCC_BEAC_LLCC_BEAC_BWMON_1_ZONE1_MAX_BYTE_COUNT</t>
  </si>
  <si>
    <t>LLCC_BEAC_LLCC_BEAC_BWMON_1_ZONE2_MAX_BYTE_COUNT</t>
  </si>
  <si>
    <t>LLCC_BEAC_LLCC_BEAC_BWMON_1_ZONE3_MAX_BYTE_COUNT</t>
  </si>
  <si>
    <t>SHRM_CSR_HW_INFO</t>
  </si>
  <si>
    <t>SHRM_CSR_SHRM_CGC_OVERRIDE_CTRL</t>
  </si>
  <si>
    <t>00011111</t>
  </si>
  <si>
    <t>SHRM_CSR_SHRM_SPROC_STATUS</t>
  </si>
  <si>
    <t>SHRM_CSR_SHRM_SW_LOGGING</t>
  </si>
  <si>
    <t>SHRM_CSR_SHRM_RSI_PATH</t>
  </si>
  <si>
    <t>SHRM_CSR_AOP2SHRM_INTERRUPT_STATUS</t>
  </si>
  <si>
    <t>SHRM_CSR_AOP2SHRM_INTERRUPT_EN</t>
  </si>
  <si>
    <t>SHRM_CSR_AOP2SHRM_INTERRUPT_TRIGGER</t>
  </si>
  <si>
    <t>SHRM_CSR_AOP2SHRM_INTERRUPT_CMD</t>
  </si>
  <si>
    <t>SHRM_CSR_AOP2SHRM_INTERRUPT_RESPONSE</t>
  </si>
  <si>
    <t>SHRM_CSR_APPS2SHRM_INTERRUPT_STATUS</t>
  </si>
  <si>
    <t>SHRM_CSR_SHRM2AOP_INTERRUPT_EN</t>
  </si>
  <si>
    <t>SHRM_CSR_SHRM2AOP_INTERRUPT_TRIGGER</t>
  </si>
  <si>
    <t>SHRM_CSR_SHRM2AOP_INTERRUPT_CMD</t>
  </si>
  <si>
    <t>SHRM_CSR_SHRM2AOP_INTERRUPT_RESPONSE</t>
  </si>
  <si>
    <t>SHRM_CSR_SHRM2AOP_INTERRUPT_STATUS</t>
  </si>
  <si>
    <t>SHRM_CSR_SHRM_RPM_PORT_OVERRIDE_EN</t>
  </si>
  <si>
    <t>SHRM_CSR_SHRM_RPM_PORT_OVERRIDE_TRIGGER</t>
  </si>
  <si>
    <t>SHRM_CSR_SHRM_RPM_PORT_OVERRIDE_CMD</t>
  </si>
  <si>
    <t>SHRM_CSR_SHRM_RPM_PORT_OVERRIDE_RESPONSE</t>
  </si>
  <si>
    <t>SHRM_CSR_SHRM_RPM_PORT_OVERRIDE_STATUS</t>
  </si>
  <si>
    <t>SHRM_CSR_SHRM_APB_DEBUG_CTRL</t>
  </si>
  <si>
    <t>SHRM_CSR_SHRM_APB_DEBUG_STATUS</t>
  </si>
  <si>
    <t>SHRM_CSR_SHRM_PERF_COUNTER_0_CNTL</t>
  </si>
  <si>
    <t>SHRM_CSR_SHRM_PERF_COUNTER_1_CNTL</t>
  </si>
  <si>
    <t>SHRM_CSR_SHRM_PERF_COUNTER_0_CNTR</t>
  </si>
  <si>
    <t>SHRM_CSR_SHRM_PERF_COUNTER_1_CNTR</t>
  </si>
  <si>
    <t>SHRM_CSR_SHRM_QOS_ENCODING</t>
  </si>
  <si>
    <t>0B0B5058</t>
  </si>
  <si>
    <t>SHRM_CSR_SHRM_QOS_OUTPUT_POLICY_OVERRIDE</t>
  </si>
  <si>
    <t>SHRM_CSR_SHRM_CGC_THRESHOLD_CTRL</t>
  </si>
  <si>
    <t>000A000A</t>
  </si>
  <si>
    <t>SHRM_CSR_SCRATCH_0_REG</t>
  </si>
  <si>
    <t>SHRM_CSR_SCRATCH_1_REG</t>
  </si>
  <si>
    <t>SHRM_CSR_SCRATCH_2_REG</t>
  </si>
  <si>
    <t>SHRM_CSR_SCRATCH_3_REG</t>
  </si>
  <si>
    <t>SHRM_CSR_SCRATCH_4_REG</t>
  </si>
  <si>
    <t>SHRM_CSR_SCRATCH_5_REG</t>
  </si>
  <si>
    <t>SHRM_CSR_SCRATCH_6_REG</t>
  </si>
  <si>
    <t>SHRM_CSR_SCRATCH_7_REG</t>
  </si>
  <si>
    <t>SHRM_CSR_SCRATCH_8_REG</t>
  </si>
  <si>
    <t>SHRM_CSR_SCRATCH_9_REG</t>
  </si>
  <si>
    <t>SHRM_CSR_SCRATCH_10_REG</t>
  </si>
  <si>
    <t>SHRM_CSR_SCRATCH_11_REG</t>
  </si>
  <si>
    <t>SHRM_CSR_SCRATCH_12_REG</t>
  </si>
  <si>
    <t>SHRM_CSR_SCRATCH_13_REG</t>
  </si>
  <si>
    <t>SHRM_CSR_SCRATCH_14_REG</t>
  </si>
  <si>
    <t>SHRM_CSR_SCRATCH_15_REG</t>
  </si>
  <si>
    <t>SHRM_CSR_SHRM_QOS_INST0_LUT0_INPUT</t>
  </si>
  <si>
    <t>SHRM_CSR_SHRM_QOS_INST0_LUT1_INPUT</t>
  </si>
  <si>
    <t>SHRM_CSR_SHRM_QOS_INST0_LUT2_INPUT</t>
  </si>
  <si>
    <t>SHRM_CSR_SHRM_QOS_INST0_LUT3_INPUT</t>
  </si>
  <si>
    <t>20000300</t>
  </si>
  <si>
    <t>SHRM_CSR_SHRM_QOS_INST1_LUT0_INPUT</t>
  </si>
  <si>
    <t>SHRM_CSR_SHRM_QOS_INST1_LUT1_INPUT</t>
  </si>
  <si>
    <t>00000428</t>
  </si>
  <si>
    <t>SHRM_CSR_SHRM_QOS_INST1_LUT2_INPUT</t>
  </si>
  <si>
    <t>0000042c</t>
  </si>
  <si>
    <t>SHRM_CSR_SHRM_QOS_INST1_LUT3_INPUT</t>
  </si>
  <si>
    <t>20000301</t>
  </si>
  <si>
    <t>SHRM_CSR_SHRM_QOS_INST2_LUT0_INPUT</t>
  </si>
  <si>
    <t>00000444</t>
  </si>
  <si>
    <t>SHRM_CSR_SHRM_QOS_INST2_LUT1_INPUT</t>
  </si>
  <si>
    <t>SHRM_CSR_SHRM_QOS_INST2_LUT2_INPUT</t>
  </si>
  <si>
    <t>0000044c</t>
  </si>
  <si>
    <t>SHRM_CSR_SHRM_QOS_INST2_LUT3_INPUT</t>
  </si>
  <si>
    <t>20000302</t>
  </si>
  <si>
    <t>SHRM_CSR_SHRM_QOS_INST3_LUT0_INPUT</t>
  </si>
  <si>
    <t>SHRM_CSR_SHRM_QOS_INST3_LUT1_INPUT</t>
  </si>
  <si>
    <t>SHRM_CSR_SHRM_QOS_INST3_LUT2_INPUT</t>
  </si>
  <si>
    <t>SHRM_CSR_SHRM_QOS_INST3_LUT3_INPUT</t>
  </si>
  <si>
    <t>20000303</t>
  </si>
  <si>
    <t>SHRM_CSR_SHRM_QOS_INST4_LUT0_INPUT</t>
  </si>
  <si>
    <t>SHRM_CSR_SHRM_QOS_INST4_LUT1_INPUT</t>
  </si>
  <si>
    <t>SHRM_CSR_SHRM_QOS_INST4_LUT2_INPUT</t>
  </si>
  <si>
    <t>SHRM_CSR_SHRM_QOS_INST4_LUT3_INPUT</t>
  </si>
  <si>
    <t>SHRM_CSR_SHRM_QOS_INST5_LUT0_INPUT</t>
  </si>
  <si>
    <t>SHRM_CSR_SHRM_QOS_INST5_LUT1_INPUT</t>
  </si>
  <si>
    <t>SHRM_CSR_SHRM_QOS_INST5_LUT2_INPUT</t>
  </si>
  <si>
    <t>SHRM_CSR_SHRM_QOS_INST5_LUT3_INPUT</t>
  </si>
  <si>
    <t>SHRM_CSR_SHRM_QOS_INST6_LUT0_INPUT</t>
  </si>
  <si>
    <t>SHRM_CSR_SHRM_QOS_INST6_LUT1_INPUT</t>
  </si>
  <si>
    <t>SHRM_CSR_SHRM_QOS_INST6_LUT2_INPUT</t>
  </si>
  <si>
    <t>SHRM_CSR_SHRM_QOS_INST6_LUT3_INPUT</t>
  </si>
  <si>
    <t>SHRM_CSR_SHRM_QOS_INST7_LUT0_INPUT</t>
  </si>
  <si>
    <t>SHRM_CSR_SHRM_QOS_INST7_LUT1_INPUT</t>
  </si>
  <si>
    <t>SHRM_CSR_SHRM_QOS_INST7_LUT2_INPUT</t>
  </si>
  <si>
    <t>SHRM_CSR_SHRM_QOS_INST7_LUT3_INPUT</t>
  </si>
  <si>
    <t>SHRM_CSR_SHRM_QOS_INST8_LUT0_INPUT</t>
  </si>
  <si>
    <t>SHRM_CSR_SHRM_QOS_INST8_LUT1_INPUT</t>
  </si>
  <si>
    <t>SHRM_CSR_SHRM_QOS_INST8_LUT2_INPUT</t>
  </si>
  <si>
    <t>SHRM_CSR_SHRM_QOS_INST8_LUT3_INPUT</t>
  </si>
  <si>
    <t>SHRM_CSR_SHRM_QOS_INST9_LUT0_INPUT</t>
  </si>
  <si>
    <t>SHRM_CSR_SHRM_QOS_INST9_LUT1_INPUT</t>
  </si>
  <si>
    <t>SHRM_CSR_SHRM_QOS_INST9_LUT2_INPUT</t>
  </si>
  <si>
    <t>SHRM_CSR_SHRM_QOS_INST9_LUT3_INPUT</t>
  </si>
  <si>
    <t>SHRM_CSR_SHRM_QOS_INST10_LUT0_INPUT</t>
  </si>
  <si>
    <t>SHRM_CSR_SHRM_QOS_INST10_LUT1_INPUT</t>
  </si>
  <si>
    <t>SHRM_CSR_SHRM_QOS_INST10_LUT2_INPUT</t>
  </si>
  <si>
    <t>SHRM_CSR_SHRM_QOS_INST10_LUT3_INPUT</t>
  </si>
  <si>
    <t>SHRM_CSR_SHRM_QOS_INST11_LUT0_INPUT</t>
  </si>
  <si>
    <t>SHRM_CSR_SHRM_QOS_INST11_LUT1_INPUT</t>
  </si>
  <si>
    <t>SHRM_CSR_SHRM_QOS_INST11_LUT2_INPUT</t>
  </si>
  <si>
    <t>SHRM_CSR_SHRM_QOS_INST11_LUT3_INPUT</t>
  </si>
  <si>
    <t>SHRM_CSR_SHRM_QOS_INST12_LUT0_INPUT</t>
  </si>
  <si>
    <t>SHRM_CSR_SHRM_QOS_INST12_LUT1_INPUT</t>
  </si>
  <si>
    <t>SHRM_CSR_SHRM_QOS_INST12_LUT2_INPUT</t>
  </si>
  <si>
    <t>SHRM_CSR_SHRM_QOS_INST12_LUT3_INPUT</t>
  </si>
  <si>
    <t>000005a0</t>
  </si>
  <si>
    <t>SHRM_CSR_SHRM_QOS_INST13_LUT0_INPUT</t>
  </si>
  <si>
    <t>000005a4</t>
  </si>
  <si>
    <t>SHRM_CSR_SHRM_QOS_INST13_LUT1_INPUT</t>
  </si>
  <si>
    <t>000005a8</t>
  </si>
  <si>
    <t>SHRM_CSR_SHRM_QOS_INST13_LUT2_INPUT</t>
  </si>
  <si>
    <t>000005ac</t>
  </si>
  <si>
    <t>SHRM_CSR_SHRM_QOS_INST13_LUT3_INPUT</t>
  </si>
  <si>
    <t>000005c0</t>
  </si>
  <si>
    <t>SHRM_CSR_SHRM_QOS_INST14_LUT0_INPUT</t>
  </si>
  <si>
    <t>000005c4</t>
  </si>
  <si>
    <t>SHRM_CSR_SHRM_QOS_INST14_LUT1_INPUT</t>
  </si>
  <si>
    <t>000005c8</t>
  </si>
  <si>
    <t>SHRM_CSR_SHRM_QOS_INST14_LUT2_INPUT</t>
  </si>
  <si>
    <t>000005cc</t>
  </si>
  <si>
    <t>SHRM_CSR_SHRM_QOS_INST14_LUT3_INPUT</t>
  </si>
  <si>
    <t>000005e0</t>
  </si>
  <si>
    <t>SHRM_CSR_SHRM_QOS_INST15_LUT0_INPUT</t>
  </si>
  <si>
    <t>000005e4</t>
  </si>
  <si>
    <t>SHRM_CSR_SHRM_QOS_INST15_LUT1_INPUT</t>
  </si>
  <si>
    <t>000005e8</t>
  </si>
  <si>
    <t>SHRM_CSR_SHRM_QOS_INST15_LUT2_INPUT</t>
  </si>
  <si>
    <t>000005ec</t>
  </si>
  <si>
    <t>SHRM_CSR_SHRM_QOS_INST15_LUT3_INPUT</t>
  </si>
  <si>
    <t>SHRM_CSR_SHRM_QOS_INST0_OUTPUT_THROTTLE_CNTL</t>
  </si>
  <si>
    <t>SHRM_CSR_SHRM_QOS_INST1_OUTPUT_THROTTLE_CNTL</t>
  </si>
  <si>
    <t>SHRM_CSR_SHRM_QOS_INST2_OUTPUT_THROTTLE_CNTL</t>
  </si>
  <si>
    <t>SHRM_CSR_SHRM_QOS_INST3_OUTPUT_THROTTLE_CNTL</t>
  </si>
  <si>
    <t>SHRM_CSR_SHRM_QOS_INST4_OUTPUT_THROTTLE_CNTL</t>
  </si>
  <si>
    <t>SHRM_CSR_SHRM_QOS_INST5_OUTPUT_THROTTLE_CNTL</t>
  </si>
  <si>
    <t>SHRM_CSR_SHRM_QOS_INST6_OUTPUT_THROTTLE_CNTL</t>
  </si>
  <si>
    <t>SHRM_CSR_SHRM_QOS_INST7_OUTPUT_THROTTLE_CNTL</t>
  </si>
  <si>
    <t>SHRM_CSR_SHRM_QOS_INST8_OUTPUT_THROTTLE_CNTL</t>
  </si>
  <si>
    <t>SHRM_CSR_SHRM_QOS_INST9_OUTPUT_THROTTLE_CNTL</t>
  </si>
  <si>
    <t>SHRM_CSR_SHRM_QOS_INST10_OUTPUT_THROTTLE_CNTL</t>
  </si>
  <si>
    <t>SHRM_CSR_SHRM_QOS_INST11_OUTPUT_THROTTLE_CNTL</t>
  </si>
  <si>
    <t>SHRM_CSR_SHRM_QOS_INST12_OUTPUT_THROTTLE_CNTL</t>
  </si>
  <si>
    <t>SHRM_CSR_SHRM_QOS_INST13_OUTPUT_THROTTLE_CNTL</t>
  </si>
  <si>
    <t>SHRM_CSR_SHRM_QOS_INST14_OUTPUT_THROTTLE_CNTL</t>
  </si>
  <si>
    <t>SHRM_CSR_SHRM_QOS_INST15_OUTPUT_THROTTLE_CNTL</t>
  </si>
  <si>
    <t>SHRM_CSR_SHRM_QOS_INST0_OUTPUT_MEMNOC_CNTL</t>
  </si>
  <si>
    <t>SHRM_CSR_SHRM_QOS_INST1_OUTPUT_MEMNOC_CNTL</t>
  </si>
  <si>
    <t>SHRM_CSR_SHRM_QOS_INST2_OUTPUT_MEMNOC_CNTL</t>
  </si>
  <si>
    <t>SHRM_CSR_SHRM_QOS_INST3_OUTPUT_MEMNOC_CNTL</t>
  </si>
  <si>
    <t>SHRM_CSR_SHRM_QOS_INST4_OUTPUT_MEMNOC_CNTL</t>
  </si>
  <si>
    <t>SHRM_CSR_SHRM_QOS_INST5_OUTPUT_MEMNOC_CNTL</t>
  </si>
  <si>
    <t>SHRM_CSR_SHRM_QOS_INST6_OUTPUT_MEMNOC_CNTL</t>
  </si>
  <si>
    <t>SHRM_CSR_SHRM_QOS_INST7_OUTPUT_MEMNOC_CNTL</t>
  </si>
  <si>
    <t>SHRM_CSR_SHRM_QOS_INST8_OUTPUT_MEMNOC_CNTL</t>
  </si>
  <si>
    <t>SHRM_CSR_SHRM_QOS_INST9_OUTPUT_MEMNOC_CNTL</t>
  </si>
  <si>
    <t>SHRM_CSR_SHRM_QOS_INST10_OUTPUT_MEMNOC_CNTL</t>
  </si>
  <si>
    <t>SHRM_CSR_SHRM_QOS_INST11_OUTPUT_MEMNOC_CNTL</t>
  </si>
  <si>
    <t>SHRM_CSR_SHRM_QOS_INST12_OUTPUT_MEMNOC_CNTL</t>
  </si>
  <si>
    <t>SHRM_CSR_SHRM_QOS_INST13_OUTPUT_MEMNOC_CNTL</t>
  </si>
  <si>
    <t>SHRM_CSR_SHRM_QOS_INST14_OUTPUT_MEMNOC_CNTL</t>
  </si>
  <si>
    <t>SHRM_CSR_SHRM_QOS_INST15_OUTPUT_MEMNOC_CNTL</t>
  </si>
  <si>
    <t>SHRM_CSR_SHRM_QOS_INST0_OUTPUT_MC_CNTL</t>
  </si>
  <si>
    <t>SHRM_CSR_SHRM_QOS_INST1_OUTPUT_MC_CNTL</t>
  </si>
  <si>
    <t>SHRM_CSR_SHRM_QOS_INST2_OUTPUT_MC_CNTL</t>
  </si>
  <si>
    <t>00000102</t>
  </si>
  <si>
    <t>SHRM_CSR_SHRM_QOS_INST3_OUTPUT_MC_CNTL</t>
  </si>
  <si>
    <t>SHRM_CSR_SHRM_QOS_INST4_OUTPUT_MC_CNTL</t>
  </si>
  <si>
    <t>SHRM_CSR_SHRM_QOS_INST5_OUTPUT_MC_CNTL</t>
  </si>
  <si>
    <t>SHRM_CSR_SHRM_QOS_INST6_OUTPUT_MC_CNTL</t>
  </si>
  <si>
    <t>SHRM_CSR_SHRM_QOS_INST7_OUTPUT_MC_CNTL</t>
  </si>
  <si>
    <t>SHRM_CSR_SHRM_QOS_INST8_OUTPUT_MC_CNTL</t>
  </si>
  <si>
    <t>SHRM_CSR_SHRM_QOS_INST9_OUTPUT_MC_CNTL</t>
  </si>
  <si>
    <t>SHRM_CSR_SHRM_QOS_INST10_OUTPUT_MC_CNTL</t>
  </si>
  <si>
    <t>SHRM_CSR_SHRM_QOS_INST11_OUTPUT_MC_CNTL</t>
  </si>
  <si>
    <t>000008b0</t>
  </si>
  <si>
    <t>SHRM_CSR_SHRM_QOS_INST12_OUTPUT_MC_CNTL</t>
  </si>
  <si>
    <t>000008b4</t>
  </si>
  <si>
    <t>SHRM_CSR_SHRM_QOS_INST13_OUTPUT_MC_CNTL</t>
  </si>
  <si>
    <t>000008b8</t>
  </si>
  <si>
    <t>SHRM_CSR_SHRM_QOS_INST14_OUTPUT_MC_CNTL</t>
  </si>
  <si>
    <t>000008bc</t>
  </si>
  <si>
    <t>SHRM_CSR_SHRM_QOS_INST15_OUTPUT_MC_CNTL</t>
  </si>
  <si>
    <t>000008c0</t>
  </si>
  <si>
    <t>SHRM_CSR_SHRM_QOS_INST0_OUTPUT_LLCC_CNTL</t>
  </si>
  <si>
    <t>000008c4</t>
  </si>
  <si>
    <t>SHRM_CSR_SHRM_QOS_INST1_OUTPUT_LLCC_CNTL</t>
  </si>
  <si>
    <t>000008c8</t>
  </si>
  <si>
    <t>SHRM_CSR_SHRM_QOS_INST2_OUTPUT_LLCC_CNTL</t>
  </si>
  <si>
    <t>000008cc</t>
  </si>
  <si>
    <t>SHRM_CSR_SHRM_QOS_INST3_OUTPUT_LLCC_CNTL</t>
  </si>
  <si>
    <t>000008d0</t>
  </si>
  <si>
    <t>SHRM_CSR_SHRM_QOS_INST4_OUTPUT_LLCC_CNTL</t>
  </si>
  <si>
    <t>000008d4</t>
  </si>
  <si>
    <t>SHRM_CSR_SHRM_QOS_INST5_OUTPUT_LLCC_CNTL</t>
  </si>
  <si>
    <t>000008d8</t>
  </si>
  <si>
    <t>SHRM_CSR_SHRM_QOS_INST6_OUTPUT_LLCC_CNTL</t>
  </si>
  <si>
    <t>000008dc</t>
  </si>
  <si>
    <t>SHRM_CSR_SHRM_QOS_INST7_OUTPUT_LLCC_CNTL</t>
  </si>
  <si>
    <t>SHRM_CSR_SHRM_QOS_INST8_OUTPUT_LLCC_CNTL</t>
  </si>
  <si>
    <t>SHRM_CSR_SHRM_QOS_INST9_OUTPUT_LLCC_CNTL</t>
  </si>
  <si>
    <t>SHRM_CSR_SHRM_QOS_INST10_OUTPUT_LLCC_CNTL</t>
  </si>
  <si>
    <t>SHRM_CSR_SHRM_QOS_INST11_OUTPUT_LLCC_CNTL</t>
  </si>
  <si>
    <t>SHRM_CSR_SHRM_QOS_INST12_OUTPUT_LLCC_CNTL</t>
  </si>
  <si>
    <t>SHRM_CSR_SHRM_QOS_INST13_OUTPUT_LLCC_CNTL</t>
  </si>
  <si>
    <t>SHRM_CSR_SHRM_QOS_INST14_OUTPUT_LLCC_CNTL</t>
  </si>
  <si>
    <t>SHRM_CSR_SHRM_QOS_INST15_OUTPUT_LLCC_CNTL</t>
  </si>
  <si>
    <t>SHRM_CSR_SHRM_QOS_CTRL</t>
  </si>
  <si>
    <t>SHRM_CSR_SHRM_SPROC_CTRL</t>
  </si>
  <si>
    <t>SHRM_CSR_APPS2SHRM_INTERRUPT_EN</t>
  </si>
  <si>
    <t>SHRM_CSR_APPS2SHRM_INTERRUPT_TRIGGER</t>
  </si>
  <si>
    <t>SHRM_CSR_APPS2SHRM_INTERRUPT_CMD</t>
  </si>
  <si>
    <t>SHRM_CSR_APPS2SHRM_INTERRUPT_RESPONSE</t>
  </si>
  <si>
    <t>SHRM_CSR_SHRM2APPS_INTERRUPT_EN</t>
  </si>
  <si>
    <t>SHRM_CSR_SHRM2APPS_INTERRUPT_TRIGGER</t>
  </si>
  <si>
    <t>SHRM_CSR_SHRM2APPS_INTERRUPT_CMD</t>
  </si>
  <si>
    <t>SHRM_CSR_SHRM2APPS_INTERRUPT_STATUS</t>
  </si>
  <si>
    <t>SHRM_CSR_SHRM2APPS_INTERRUPT_RESPONSE</t>
  </si>
  <si>
    <t>DPCC_REG_DEBUG_MUX_MUXR</t>
  </si>
  <si>
    <t>0000003F</t>
  </si>
  <si>
    <t>DPCC_REG_DEBUG_DIV_CDIVR</t>
  </si>
  <si>
    <t>DPCC_REG_DEBUG_CBCR</t>
  </si>
  <si>
    <t>DPCC_REG_PLL_TEST_MUX_MUXR</t>
  </si>
  <si>
    <t>DPCC_REG_PLL_TEST_DIV_CDIVR</t>
  </si>
  <si>
    <t>DPCC_REG_PLL_TEST_CBCR</t>
  </si>
  <si>
    <t>DPCC_REG_SHUB_BCR</t>
  </si>
  <si>
    <t>DPCC_REG_SHUB_GDSCR</t>
  </si>
  <si>
    <t>F8222000</t>
  </si>
  <si>
    <t>DPCC_REG_SHUB_CFG_GDSCR</t>
  </si>
  <si>
    <t>00070400</t>
  </si>
  <si>
    <t>DPCC_REG_LLCC0_XO_CBCR</t>
  </si>
  <si>
    <t>DPCC_REG_LLCC1_XO_CBCR</t>
  </si>
  <si>
    <t>DPCC_REG_LLCC2_XO_CBCR</t>
  </si>
  <si>
    <t>DPCC_REG_LLCC3_XO_CBCR</t>
  </si>
  <si>
    <t>DPCC_REG_MEMNOC_XO_CBCR</t>
  </si>
  <si>
    <t>DPCC_REG_LLCC0_SHUB_CBCR</t>
  </si>
  <si>
    <t>DPCC_REG_LLCC1_SHUB_CBCR</t>
  </si>
  <si>
    <t>DPCC_REG_LLCC2_SHUB_CBCR</t>
  </si>
  <si>
    <t>DPCC_REG_LLCC3_SHUB_CBCR</t>
  </si>
  <si>
    <t>DPCC_REG_MEMNOC_SHUB_CBCR</t>
  </si>
  <si>
    <t>DPCC_REG_CDSP_CBCR</t>
  </si>
  <si>
    <t>DPCC_REG_GPU_CBCR</t>
  </si>
  <si>
    <t>DPCC_REG_MDSP_CBCR</t>
  </si>
  <si>
    <t>DPCC_REG_MNOC_HF_CBCR</t>
  </si>
  <si>
    <t>DPCC_REG_MNOC_SF_CBCR</t>
  </si>
  <si>
    <t>DPCC_REG_SNOC_CBCR</t>
  </si>
  <si>
    <t>DPCC_REG_SNOC_GC_CBCR</t>
  </si>
  <si>
    <t>DPCC_REG_SNOC_HS_CBCR</t>
  </si>
  <si>
    <t>DPCC_REG_TCU_CBCR</t>
  </si>
  <si>
    <t>DPCC_REG_SHUB_CFG_CBCR</t>
  </si>
  <si>
    <t>DPCC_REG_SHUB_ATB_CBCR</t>
  </si>
  <si>
    <t>DPCC_REG_MC_BCR</t>
  </si>
  <si>
    <t>DPCC_REG_MC_GDSCR</t>
  </si>
  <si>
    <t>DPCC_REG_MC_CFG_GDSCR</t>
  </si>
  <si>
    <t>DPCC_REG_MC0_XO_CBCR</t>
  </si>
  <si>
    <t>DPCC_REG_MC1_XO_CBCR</t>
  </si>
  <si>
    <t>DPCC_REG_MC2_XO_CBCR</t>
  </si>
  <si>
    <t>DPCC_REG_MC3_XO_CBCR</t>
  </si>
  <si>
    <t>DPCC_REG_MC0_SLEEP_CBCR</t>
  </si>
  <si>
    <t>DPCC_REG_MC1_SLEEP_CBCR</t>
  </si>
  <si>
    <t>DPCC_REG_MC2_SLEEP_CBCR</t>
  </si>
  <si>
    <t>DPCC_REG_MC3_SLEEP_CBCR</t>
  </si>
  <si>
    <t>DPCC_REG_MC0_SHUB_CBCR</t>
  </si>
  <si>
    <t>DPCC_REG_MC1_SHUB_CBCR</t>
  </si>
  <si>
    <t>DPCC_REG_MC2_SHUB_CBCR</t>
  </si>
  <si>
    <t>DPCC_REG_MC3_SHUB_CBCR</t>
  </si>
  <si>
    <t>DPCC_REG_MC_CFG_CBCR</t>
  </si>
  <si>
    <t>DPCC_REG_MC_ATB_CBCR</t>
  </si>
  <si>
    <t>DPCC_REG_PHY_BCR</t>
  </si>
  <si>
    <t>DPCC_REG_PHY_GDSCR</t>
  </si>
  <si>
    <t>DPCC_REG_PHY_CFG_GDSCR</t>
  </si>
  <si>
    <t>DPCC_REG_PHY_SLEEP_CBCR</t>
  </si>
  <si>
    <t>DPCC_REG_SHRM_BCR</t>
  </si>
  <si>
    <t>DPCC_REG_SHRM_XO_CBCR</t>
  </si>
  <si>
    <t>DPCC_REG_SHRM_CBCR</t>
  </si>
  <si>
    <t>DPCC_REG_MCCC_BCR</t>
  </si>
  <si>
    <t>DPCC_REG_MCCC_CBCR</t>
  </si>
  <si>
    <t>DPCC_REG_DDRSS_TOP_BCR</t>
  </si>
  <si>
    <t>DPCC_REG_DDRSS_TOP_XO_CBCR</t>
  </si>
  <si>
    <t>DPCC_REG_TGU_XO_CBCR</t>
  </si>
  <si>
    <t>DPCC_REG_DDRSS_TOP_SLEEP_CBCR</t>
  </si>
  <si>
    <t>DDR_SS_REGS_HW_VERSION</t>
  </si>
  <si>
    <t>00050000</t>
  </si>
  <si>
    <t>DDR_SS_REGS_RESET_CTRL</t>
  </si>
  <si>
    <t>DDR_SS_REGS_RESET_CMD</t>
  </si>
  <si>
    <t>DDR_SS_REGS_DDRSS_SEL</t>
  </si>
  <si>
    <t>DDR_SS_REGS_LLCC_BROADCAST</t>
  </si>
  <si>
    <t>8000000F</t>
  </si>
  <si>
    <t>DDR_SS_REGS_MC_BROADCAST</t>
  </si>
  <si>
    <t>DDR_SS_REGS_MCCC_BROADCAST</t>
  </si>
  <si>
    <t>DDR_SS_REGS_AHB2PHY_BROADCAST</t>
  </si>
  <si>
    <t>DDR_SS_REGS_APPS_INTERRUPT0_MASK</t>
  </si>
  <si>
    <t>FDDDDFFF</t>
  </si>
  <si>
    <t>DDR_SS_REGS_APPS_INTERRUPT0_STATUS</t>
  </si>
  <si>
    <t>DDR_SS_REGS_APPS_INTERRUPT1_MASK</t>
  </si>
  <si>
    <t>FFFFFFFB</t>
  </si>
  <si>
    <t>DDR_SS_REGS_APPS_INTERRUPT1_STATUS</t>
  </si>
  <si>
    <t>DDR_SS_REGS_APPS_INTERRUPT2_MASK</t>
  </si>
  <si>
    <t>FBBBBFFF</t>
  </si>
  <si>
    <t>DDR_SS_REGS_APPS_INTERRUPT2_STATUS</t>
  </si>
  <si>
    <t>DDR_SS_REGS_APPS_INTERRUPT3_MASK</t>
  </si>
  <si>
    <t>FFFFFFF7</t>
  </si>
  <si>
    <t>DDR_SS_REGS_APPS_INTERRUPT3_STATUS</t>
  </si>
  <si>
    <t>DDR_SS_REGS_APPS_INTERRUPT4_MASK</t>
  </si>
  <si>
    <t>FFFFF55F</t>
  </si>
  <si>
    <t>DDR_SS_REGS_APPS_INTERRUPT4_STATUS</t>
  </si>
  <si>
    <t>DDR_SS_REGS_APPS_INTERRUPT5_MASK</t>
  </si>
  <si>
    <t>DDR_SS_REGS_APPS_INTERRUPT5_STATUS</t>
  </si>
  <si>
    <t>DDR_SS_REGS_AOP_INTERRUPT_MASK</t>
  </si>
  <si>
    <t>FEEEEAAF</t>
  </si>
  <si>
    <t>DDR_SS_REGS_AOP_INTERRUPT_STATUS</t>
  </si>
  <si>
    <t>DDR_SS_REGS_SHRM_INTERRUPT_MASK</t>
  </si>
  <si>
    <t>01DDDFFF</t>
  </si>
  <si>
    <t>DDR_SS_REGS_SHRM_INTERRUPT_STATUS</t>
  </si>
  <si>
    <t>DDR_SS_REGS_RSI_PERIOD_BUS_CTRL</t>
  </si>
  <si>
    <t>DDR_SS_REGS_DT_AGG_REQ_CFG_0</t>
  </si>
  <si>
    <t>DDR_SS_REGS_DT_AGG_REQ_CFG_1</t>
  </si>
  <si>
    <t>DDR_SS_REGS_DT_AGG_REQ_CFG_2</t>
  </si>
  <si>
    <t>DDR_SS_REGS_DT_AGG_REQ_CFG_3</t>
  </si>
  <si>
    <t>DDR_SS_REGS_DT_AGG_CGC_CFG</t>
  </si>
  <si>
    <t>DDR_SS_REGS_DT_AGG_DBG_CFG</t>
  </si>
  <si>
    <t>DDR_SS_REGS_DT_AGG_DBG_CTL</t>
  </si>
  <si>
    <t>DDR_SS_REGS_DT_AGG_DBG_INFO</t>
  </si>
  <si>
    <t>DDR_SS_REGS_DDRSS_GLOBALCNTR_SYNCH_CTRL</t>
  </si>
  <si>
    <t>DDR_SS_REGS_DDRSS_GLOBALCNTR_SYNCH_SET_CTRL</t>
  </si>
  <si>
    <t>DDR_SS_REGS_DDRSS_GLOBALCNTR_SYNCH_STOP_CTRL</t>
  </si>
  <si>
    <t>DDR_SS_REGS_DDRSS_GLOBALCNTR_CURRENT</t>
  </si>
  <si>
    <t>DDR_SS_REGS_DDRSS_CTG_SEL</t>
  </si>
  <si>
    <t>DDR_SS_REGS_FREEZE_IO_CTRL</t>
  </si>
  <si>
    <t>DDR_SS_REGS_DDRSS_INTERRUPT_AGG_OPT</t>
  </si>
  <si>
    <t>DDR_SS_REGS_LLC_INFO_0</t>
  </si>
  <si>
    <t>00000201</t>
  </si>
  <si>
    <t>00000401</t>
  </si>
  <si>
    <t>DDR_SS_REGS_LLC_INFO_1</t>
  </si>
  <si>
    <t>00042140</t>
  </si>
  <si>
    <t>000C2140</t>
  </si>
  <si>
    <t>DDR_SS_REGS_LLC_INFO_2</t>
  </si>
  <si>
    <t>00000C00</t>
  </si>
  <si>
    <t>DDR_SS_REGS_LLC_INFO_3</t>
  </si>
  <si>
    <t>00000006</t>
  </si>
  <si>
    <t>DDR_SS_REGS_DPCC_STATUS_0</t>
  </si>
  <si>
    <t>DDR_SS_REGS_DPCC_STATUS_1</t>
  </si>
  <si>
    <t>DDR_SS_REGS_POLICY_SEL</t>
  </si>
  <si>
    <t>DDR_SS_REGS_LLCC_POLICY_HYSTERISIS_CTR</t>
  </si>
  <si>
    <t>DDR_SS_REGS_MEMNOC_ROOT_CLOCK_GATING_0</t>
  </si>
  <si>
    <t>80001F1F</t>
  </si>
  <si>
    <t>DDR_SS_REGS_MEMNOC_ROOT_CLOCK_GATING_1</t>
  </si>
  <si>
    <t>DDR_SS_REGS_MEMNOC_ROOT_CLOCK_GATING_2</t>
  </si>
  <si>
    <t>DDR_SS_REGS_LLCC0_ROOT_CLOCK_GATING_0</t>
  </si>
  <si>
    <t>DDR_SS_REGS_LLCC0_ROOT_CLOCK_GATING_1</t>
  </si>
  <si>
    <t>C0000000</t>
  </si>
  <si>
    <t>DDR_SS_REGS_LLCC0_ROOT_CLOCK_GATING_2</t>
  </si>
  <si>
    <t>DDR_SS_REGS_LLCC1_ROOT_CLOCK_GATING_0</t>
  </si>
  <si>
    <t>DDR_SS_REGS_LLCC1_ROOT_CLOCK_GATING_1</t>
  </si>
  <si>
    <t>DDR_SS_REGS_LLCC1_ROOT_CLOCK_GATING_2</t>
  </si>
  <si>
    <t>DDR_SS_REGS_LLCC2_ROOT_CLOCK_GATING_0</t>
  </si>
  <si>
    <t>DDR_SS_REGS_LLCC2_ROOT_CLOCK_GATING_1</t>
  </si>
  <si>
    <t>DDR_SS_REGS_LLCC2_ROOT_CLOCK_GATING_2</t>
  </si>
  <si>
    <t>DDR_SS_REGS_LLCC3_ROOT_CLOCK_GATING_0</t>
  </si>
  <si>
    <t>DDR_SS_REGS_LLCC3_ROOT_CLOCK_GATING_1</t>
  </si>
  <si>
    <t>000000f8</t>
  </si>
  <si>
    <t>DDR_SS_REGS_LLCC3_ROOT_CLOCK_GATING_2</t>
  </si>
  <si>
    <t>DDR_SS_REGS_SHRM_ROOT_CLOCK_GATING_0</t>
  </si>
  <si>
    <t>DDR_SS_REGS_SHRM_ROOT_CLOCK_GATING_1</t>
  </si>
  <si>
    <t>DDR_SS_REGS_SHRM_ROOT_CLOCK_GATING_2</t>
  </si>
  <si>
    <t>DDR_SS_REGS_GDSC_DISABLE_HS_REG</t>
  </si>
  <si>
    <t>MIN_CK</t>
  </si>
  <si>
    <t>DERATE</t>
  </si>
  <si>
    <t>AOP_PARAMS</t>
  </si>
  <si>
    <t>clk_idx</t>
  </si>
  <si>
    <t>freq_khz</t>
  </si>
  <si>
    <t>clk_period</t>
  </si>
  <si>
    <t>alc_timings</t>
  </si>
  <si>
    <t>idle_hysteresis_in_ns</t>
  </si>
  <si>
    <t>exit_latency_in_ns</t>
  </si>
  <si>
    <t>DDR_RUNTIME</t>
  </si>
  <si>
    <t>clk_in_ps alignment</t>
  </si>
  <si>
    <t>mc_auto_precharge</t>
  </si>
  <si>
    <t>TRAINING_PARAMS</t>
  </si>
  <si>
    <t>min_eye_height_mask_top_enable</t>
  </si>
  <si>
    <t>min_eye_height_mask_top</t>
  </si>
  <si>
    <t>min_eye_height_mask_bottom_enable</t>
  </si>
  <si>
    <t>min_eye_height_mask_bottom</t>
  </si>
  <si>
    <t>na</t>
  </si>
  <si>
    <t>small_eye_abort</t>
  </si>
  <si>
    <t>Recommended Setting</t>
  </si>
  <si>
    <t>DTC_OSU_TIMING_CFG_QFI_2P0_RD_OPCODE_OFFSET_n_&lt;0&gt;</t>
  </si>
  <si>
    <t>DTC_OSU_TIMING_CFG_QFI_2P0_RD_OPCODE_OFFSET_n_&lt;1&gt;</t>
  </si>
  <si>
    <t>DTC_OSU_TIMING_CFG_QFI_2P0_WR_OPCODE_OFFSET_n_&lt;0&gt;</t>
  </si>
  <si>
    <t>DTC_OSU_TIMING_CFG_QFI_2P0_WR_OPCODE_OFFSET_n_&lt;1&gt;</t>
  </si>
  <si>
    <t>programmed based on power collapse frequency</t>
  </si>
  <si>
    <t>IN_CK modified by RCW training</t>
  </si>
  <si>
    <t>0x140011c</t>
  </si>
  <si>
    <t>DDRPHY_CH0_CA_DDRPHY_CMCDCRD_CTL_CFG</t>
  </si>
  <si>
    <t>0x140311c</t>
  </si>
  <si>
    <t>DDRPHY_CH1_CA_DDRPHY_CMCDCRD_CTL_CFG</t>
  </si>
  <si>
    <t>0x141011c</t>
  </si>
  <si>
    <t>DDRPHY_CH2_CA_DDRPHY_CMCDCRD_CTL_CFG</t>
  </si>
  <si>
    <t>0x141311c</t>
  </si>
  <si>
    <t>DDRPHY_CH3_CA_DDRPHY_CMCDCRD_CTL_CFG</t>
  </si>
  <si>
    <t>0x1400100</t>
  </si>
  <si>
    <t>DDRPHY_CH0_CA_DDRPHY_CMCDCWR_CTL_CFG</t>
  </si>
  <si>
    <t>0x1403100</t>
  </si>
  <si>
    <t>DDRPHY_CH1_CA_DDRPHY_CMCDCWR_CTL_CFG</t>
  </si>
  <si>
    <t>0x1410100</t>
  </si>
  <si>
    <t>DDRPHY_CH2_CA_DDRPHY_CMCDCWR_CTL_CFG</t>
  </si>
  <si>
    <t>0x1413100</t>
  </si>
  <si>
    <t>DDRPHY_CH3_CA_DDRPHY_CMCDCWR_CTL_CFG</t>
  </si>
  <si>
    <t>0x1400568</t>
  </si>
  <si>
    <t>DDRPHY_CH0_CA_DDRPHY_TOPCTRL1EXT_PRFS_6_CFG</t>
  </si>
  <si>
    <t>0x1403568</t>
  </si>
  <si>
    <t>DDRPHY_CH1_CA_DDRPHY_TOPCTRL1EXT_PRFS_6_CFG</t>
  </si>
  <si>
    <t>0x1410568</t>
  </si>
  <si>
    <t>DDRPHY_CH2_CA_DDRPHY_TOPCTRL1EXT_PRFS_6_CFG</t>
  </si>
  <si>
    <t>0x1413568</t>
  </si>
  <si>
    <t>DDRPHY_CH3_CA_DDRPHY_TOPCTRL1EXT_PRFS_6_CFG</t>
  </si>
  <si>
    <t>0x140007c</t>
  </si>
  <si>
    <t>DDRPHY_CH0_CA_DDRPHY_PAD_GLOBAL_VREF_TRIM_CFG</t>
  </si>
  <si>
    <t>0x140307c</t>
  </si>
  <si>
    <t>DDRPHY_CH1_CA_DDRPHY_PAD_GLOBAL_VREF_TRIM_CFG</t>
  </si>
  <si>
    <t>0x141007c</t>
  </si>
  <si>
    <t>DDRPHY_CH2_CA_DDRPHY_PAD_GLOBAL_VREF_TRIM_CFG</t>
  </si>
  <si>
    <t>0x141307c</t>
  </si>
  <si>
    <t>DDRPHY_CH3_CA_DDRPHY_PAD_GLOBAL_VREF_TRIM_CFG</t>
  </si>
  <si>
    <t>0x1150124</t>
  </si>
  <si>
    <t>MCCC_CH0_TCS_STATUS</t>
  </si>
  <si>
    <t>0x11d0124</t>
  </si>
  <si>
    <t>MCCC_CH1_TCS_STATUS</t>
  </si>
  <si>
    <t>0x1250124</t>
  </si>
  <si>
    <t>MCCC_CH2_TCS_STATUS</t>
  </si>
  <si>
    <t>0x12d0124</t>
  </si>
  <si>
    <t>MCCC_CH3_TCS_STATUS</t>
  </si>
  <si>
    <t>0x1150188</t>
  </si>
  <si>
    <t>MCCC_CH0_PDM_FSC_STATUS2</t>
  </si>
  <si>
    <t>0x11d0188</t>
  </si>
  <si>
    <t>MCCC_CH1_PDM_FSC_STATUS2</t>
  </si>
  <si>
    <t>0x1250188</t>
  </si>
  <si>
    <t>MCCC_CH2_PDM_FSC_STATUS2</t>
  </si>
  <si>
    <t>0x12d0188</t>
  </si>
  <si>
    <t>MCCC_CH3_PDM_FSC_STATUS2</t>
  </si>
  <si>
    <t>0x1150130</t>
  </si>
  <si>
    <t>MCCC_CH0_RTC_STATUS</t>
  </si>
  <si>
    <t>0x11d0130</t>
  </si>
  <si>
    <t>MCCC_CH1_RTC_STATUS</t>
  </si>
  <si>
    <t>0x1250130</t>
  </si>
  <si>
    <t>MCCC_CH2_RTC_STATUS</t>
  </si>
  <si>
    <t>0x12d0130</t>
  </si>
  <si>
    <t>MCCC_CH3_RTC_STATUS</t>
  </si>
  <si>
    <t>0x1150118</t>
  </si>
  <si>
    <t>MCCC_CH0_FSC_STATUS1</t>
  </si>
  <si>
    <t>0x11d0118</t>
  </si>
  <si>
    <t>MCCC_CH1_FSC_STATUS1</t>
  </si>
  <si>
    <t>0x1250118</t>
  </si>
  <si>
    <t>MCCC_CH2_FSC_STATUS1</t>
  </si>
  <si>
    <t>0x12d0118</t>
  </si>
  <si>
    <t>MCCC_CH3_FSC_STATUS1</t>
  </si>
  <si>
    <t>0x1150144</t>
  </si>
  <si>
    <t>MCCC_CH0_RX1_STATUS</t>
  </si>
  <si>
    <t>0x11d0144</t>
  </si>
  <si>
    <t>MCCC_CH1_RX1_STATUS</t>
  </si>
  <si>
    <t>0x1250144</t>
  </si>
  <si>
    <t>MCCC_CH2_RX1_STATUS</t>
  </si>
  <si>
    <t>0x12d0144</t>
  </si>
  <si>
    <t>MCCC_CH3_RX1_STATUS</t>
  </si>
  <si>
    <t>0x115011c</t>
  </si>
  <si>
    <t>MCCC_CH0_FSC_STATUS2</t>
  </si>
  <si>
    <t>0x11d011c</t>
  </si>
  <si>
    <t>MCCC_CH1_FSC_STATUS2</t>
  </si>
  <si>
    <t>0x125011c</t>
  </si>
  <si>
    <t>MCCC_CH2_FSC_STATUS2</t>
  </si>
  <si>
    <t>0x12d011c</t>
  </si>
  <si>
    <t>MCCC_CH3_FSC_STATUS2</t>
  </si>
  <si>
    <t>0x1150170</t>
  </si>
  <si>
    <t>MCCC_CH0_PDM_FSC_MAX_TIMER_STATUS</t>
  </si>
  <si>
    <t>0x11d0170</t>
  </si>
  <si>
    <t>MCCC_CH1_PDM_FSC_MAX_TIMER_STATUS</t>
  </si>
  <si>
    <t>0x1250170</t>
  </si>
  <si>
    <t>MCCC_CH2_PDM_FSC_MAX_TIMER_STATUS</t>
  </si>
  <si>
    <t>0x12d0170</t>
  </si>
  <si>
    <t>MCCC_CH3_PDM_FSC_MAX_TIMER_STATUS</t>
  </si>
  <si>
    <t>0x1150114</t>
  </si>
  <si>
    <t>MCCC_CH0_FSC_STATUS0</t>
  </si>
  <si>
    <t>0x11d0114</t>
  </si>
  <si>
    <t>MCCC_CH1_FSC_STATUS0</t>
  </si>
  <si>
    <t>0x1250114</t>
  </si>
  <si>
    <t>MCCC_CH2_FSC_STATUS0</t>
  </si>
  <si>
    <t>0x12d0114</t>
  </si>
  <si>
    <t>MCCC_CH3_FSC_STATUS0</t>
  </si>
  <si>
    <t>0x115018c</t>
  </si>
  <si>
    <t>MCCC_CH0_PDM_FSC_STATUS3</t>
  </si>
  <si>
    <t>0x11d018c</t>
  </si>
  <si>
    <t>MCCC_CH1_PDM_FSC_STATUS3</t>
  </si>
  <si>
    <t>0x125018c</t>
  </si>
  <si>
    <t>MCCC_CH2_PDM_FSC_STATUS3</t>
  </si>
  <si>
    <t>0x12d018c</t>
  </si>
  <si>
    <t>MCCC_CH3_PDM_FSC_STATUS3</t>
  </si>
  <si>
    <t>0x1150128</t>
  </si>
  <si>
    <t>MCCC_CH0_STC_STATUS0</t>
  </si>
  <si>
    <t>0x11d0128</t>
  </si>
  <si>
    <t>MCCC_CH1_STC_STATUS0</t>
  </si>
  <si>
    <t>0x1250128</t>
  </si>
  <si>
    <t>MCCC_CH2_STC_STATUS0</t>
  </si>
  <si>
    <t>0x12d0128</t>
  </si>
  <si>
    <t>MCCC_CH3_STC_STATUS0</t>
  </si>
  <si>
    <t>0x1150184</t>
  </si>
  <si>
    <t>MCCC_CH0_PDM_FSC_STATUS1</t>
  </si>
  <si>
    <t>0x11d0184</t>
  </si>
  <si>
    <t>MCCC_CH1_PDM_FSC_STATUS1</t>
  </si>
  <si>
    <t>0x1250184</t>
  </si>
  <si>
    <t>MCCC_CH2_PDM_FSC_STATUS1</t>
  </si>
  <si>
    <t>0x12d0184</t>
  </si>
  <si>
    <t>MCCC_CH3_PDM_FSC_STATUS1</t>
  </si>
  <si>
    <t>0x1150158</t>
  </si>
  <si>
    <t>MCCC_CH0_PDM_FSC_TIMER2_STATUS</t>
  </si>
  <si>
    <t>0x11d0158</t>
  </si>
  <si>
    <t>MCCC_CH1_PDM_FSC_TIMER2_STATUS</t>
  </si>
  <si>
    <t>0x1250158</t>
  </si>
  <si>
    <t>MCCC_CH2_PDM_FSC_TIMER2_STATUS</t>
  </si>
  <si>
    <t>0x12d0158</t>
  </si>
  <si>
    <t>MCCC_CH3_PDM_FSC_TIMER2_STATUS</t>
  </si>
  <si>
    <t>0x1150110</t>
  </si>
  <si>
    <t>MCCC_CH0_CRG_STATUS</t>
  </si>
  <si>
    <t>0x11d0110</t>
  </si>
  <si>
    <t>MCCC_CH1_CRG_STATUS</t>
  </si>
  <si>
    <t>0x1250110</t>
  </si>
  <si>
    <t>MCCC_CH2_CRG_STATUS</t>
  </si>
  <si>
    <t>0x12d0110</t>
  </si>
  <si>
    <t>MCCC_CH3_CRG_STATUS</t>
  </si>
  <si>
    <t>0x1150140</t>
  </si>
  <si>
    <t>MCCC_CH0_RX0_STATUS</t>
  </si>
  <si>
    <t>0x11d0140</t>
  </si>
  <si>
    <t>MCCC_CH1_RX0_STATUS</t>
  </si>
  <si>
    <t>0x1250140</t>
  </si>
  <si>
    <t>MCCC_CH2_RX0_STATUS</t>
  </si>
  <si>
    <t>0x12d0140</t>
  </si>
  <si>
    <t>MCCC_CH3_RX0_STATUS</t>
  </si>
  <si>
    <t>0x1150150</t>
  </si>
  <si>
    <t>MCCC_CH0_PDM_FSC_TIMER0_STATUS</t>
  </si>
  <si>
    <t>0x11d0150</t>
  </si>
  <si>
    <t>MCCC_CH1_PDM_FSC_TIMER0_STATUS</t>
  </si>
  <si>
    <t>0x1250150</t>
  </si>
  <si>
    <t>MCCC_CH2_PDM_FSC_TIMER0_STATUS</t>
  </si>
  <si>
    <t>0x12d0150</t>
  </si>
  <si>
    <t>MCCC_CH3_PDM_FSC_TIMER0_STATUS</t>
  </si>
  <si>
    <t>0x115012c</t>
  </si>
  <si>
    <t>MCCC_CH0_STC_STATUS1</t>
  </si>
  <si>
    <t>0x11d012c</t>
  </si>
  <si>
    <t>MCCC_CH1_STC_STATUS1</t>
  </si>
  <si>
    <t>0x125012c</t>
  </si>
  <si>
    <t>MCCC_CH2_STC_STATUS1</t>
  </si>
  <si>
    <t>0x12d012c</t>
  </si>
  <si>
    <t>MCCC_CH3_STC_STATUS1</t>
  </si>
  <si>
    <t>0x1150154</t>
  </si>
  <si>
    <t>MCCC_CH0_PDM_FSC_TIMER1_STATUS</t>
  </si>
  <si>
    <t>0x11d0154</t>
  </si>
  <si>
    <t>MCCC_CH1_PDM_FSC_TIMER1_STATUS</t>
  </si>
  <si>
    <t>0x1250154</t>
  </si>
  <si>
    <t>MCCC_CH2_PDM_FSC_TIMER1_STATUS</t>
  </si>
  <si>
    <t>0x12d0154</t>
  </si>
  <si>
    <t>MCCC_CH3_PDM_FSC_TIMER1_STATUS</t>
  </si>
  <si>
    <t>0x115015c</t>
  </si>
  <si>
    <t>MCCC_CH0_PDM_FSC_TIMER3_STATUS</t>
  </si>
  <si>
    <t>0x11d015c</t>
  </si>
  <si>
    <t>MCCC_CH1_PDM_FSC_TIMER3_STATUS</t>
  </si>
  <si>
    <t>0x125015c</t>
  </si>
  <si>
    <t>MCCC_CH2_PDM_FSC_TIMER3_STATUS</t>
  </si>
  <si>
    <t>0x12d015c</t>
  </si>
  <si>
    <t>MCCC_CH3_PDM_FSC_TIMER3_STATUS</t>
  </si>
  <si>
    <t>0x1150180</t>
  </si>
  <si>
    <t>MCCC_CH0_PDM_FSC_STATUS0</t>
  </si>
  <si>
    <t>0x11d0180</t>
  </si>
  <si>
    <t>MCCC_CH1_PDM_FSC_STATUS0</t>
  </si>
  <si>
    <t>0x1250180</t>
  </si>
  <si>
    <t>MCCC_CH2_PDM_FSC_STATUS0</t>
  </si>
  <si>
    <t>0x12d0180</t>
  </si>
  <si>
    <t>MCCC_CH3_PDM_FSC_STATUS0</t>
  </si>
  <si>
    <t>0x1165654</t>
  </si>
  <si>
    <t>CABO0_CABO_SHKE_FSW_TASK_DEPENDENCY_10</t>
  </si>
  <si>
    <t>0x11e5654</t>
  </si>
  <si>
    <t>CABO1_CABO_SHKE_FSW_TASK_DEPENDENCY_10</t>
  </si>
  <si>
    <t>0x1265654</t>
  </si>
  <si>
    <t>CABO2_CABO_SHKE_FSW_TASK_DEPENDENCY_10</t>
  </si>
  <si>
    <t>0x12e5654</t>
  </si>
  <si>
    <t>CABO3_CABO_SHKE_FSW_TASK_DEPENDENCY_10</t>
  </si>
  <si>
    <t>0x1165b0c</t>
  </si>
  <si>
    <t>CABO0_CABO_SHKE_FSW_STATUS</t>
  </si>
  <si>
    <t>0x11e5b0c</t>
  </si>
  <si>
    <t>CABO1_CABO_SHKE_FSW_STATUS</t>
  </si>
  <si>
    <t>0x1265b0c</t>
  </si>
  <si>
    <t>CABO2_CABO_SHKE_FSW_STATUS</t>
  </si>
  <si>
    <t>0x12e5b0c</t>
  </si>
  <si>
    <t>CABO3_CABO_SHKE_FSW_STATUS</t>
  </si>
  <si>
    <t>0x1165924</t>
  </si>
  <si>
    <t>CABO0_CABO_SHKE_RD_COMPARE_STATUS</t>
  </si>
  <si>
    <t>0x11e5924</t>
  </si>
  <si>
    <t>CABO1_CABO_SHKE_RD_COMPARE_STATUS</t>
  </si>
  <si>
    <t>0x1265924</t>
  </si>
  <si>
    <t>CABO2_CABO_SHKE_RD_COMPARE_STATUS</t>
  </si>
  <si>
    <t>0x12e5924</t>
  </si>
  <si>
    <t>CABO3_CABO_SHKE_RD_COMPARE_STATUS</t>
  </si>
  <si>
    <t>0x1165618</t>
  </si>
  <si>
    <t>CABO0_CABO_SHKE_FSW_TASK_CFG_3</t>
  </si>
  <si>
    <t>0x11e5618</t>
  </si>
  <si>
    <t>CABO1_CABO_SHKE_FSW_TASK_CFG_3</t>
  </si>
  <si>
    <t>0x1265618</t>
  </si>
  <si>
    <t>CABO2_CABO_SHKE_FSW_TASK_CFG_3</t>
  </si>
  <si>
    <t>0x12e5618</t>
  </si>
  <si>
    <t>CABO3_CABO_SHKE_FSW_TASK_CFG_3</t>
  </si>
  <si>
    <t>0x1165404</t>
  </si>
  <si>
    <t>CABO0_CABO_SHKE_PDT_DIT_ACCU_RNK0_BYTE_0</t>
  </si>
  <si>
    <t>0x11e5404</t>
  </si>
  <si>
    <t>CABO1_CABO_SHKE_PDT_DIT_ACCU_RNK0_BYTE_0</t>
  </si>
  <si>
    <t>0x1265404</t>
  </si>
  <si>
    <t>CABO2_CABO_SHKE_PDT_DIT_ACCU_RNK0_BYTE_0</t>
  </si>
  <si>
    <t>0x12e5404</t>
  </si>
  <si>
    <t>CABO3_CABO_SHKE_PDT_DIT_ACCU_RNK0_BYTE_0</t>
  </si>
  <si>
    <t>0x1165408</t>
  </si>
  <si>
    <t>CABO0_CABO_SHKE_PDT_DIT_MAX_RNK0_BYTE_0</t>
  </si>
  <si>
    <t>0x11e5408</t>
  </si>
  <si>
    <t>CABO1_CABO_SHKE_PDT_DIT_MAX_RNK0_BYTE_0</t>
  </si>
  <si>
    <t>0x1265408</t>
  </si>
  <si>
    <t>CABO2_CABO_SHKE_PDT_DIT_MAX_RNK0_BYTE_0</t>
  </si>
  <si>
    <t>0x12e5408</t>
  </si>
  <si>
    <t>CABO3_CABO_SHKE_PDT_DIT_MAX_RNK0_BYTE_0</t>
  </si>
  <si>
    <t>0x1165b10</t>
  </si>
  <si>
    <t>CABO0_CABO_SHKE_FSP_STATUS</t>
  </si>
  <si>
    <t>0x11e5b10</t>
  </si>
  <si>
    <t>CABO1_CABO_SHKE_FSP_STATUS</t>
  </si>
  <si>
    <t>0x1265b10</t>
  </si>
  <si>
    <t>CABO2_CABO_SHKE_FSP_STATUS</t>
  </si>
  <si>
    <t>0x12e5b10</t>
  </si>
  <si>
    <t>CABO3_CABO_SHKE_FSP_STATUS</t>
  </si>
  <si>
    <t>0x116541c</t>
  </si>
  <si>
    <t>CABO0_CABO_SHKE_PDT_DIT_MIN_RNK0_BYTE_1</t>
  </si>
  <si>
    <t>0x11e541c</t>
  </si>
  <si>
    <t>CABO1_CABO_SHKE_PDT_DIT_MIN_RNK0_BYTE_1</t>
  </si>
  <si>
    <t>0x126541c</t>
  </si>
  <si>
    <t>CABO2_CABO_SHKE_PDT_DIT_MIN_RNK0_BYTE_1</t>
  </si>
  <si>
    <t>0x12e541c</t>
  </si>
  <si>
    <t>CABO3_CABO_SHKE_PDT_DIT_MIN_RNK0_BYTE_1</t>
  </si>
  <si>
    <t>0x11653c0</t>
  </si>
  <si>
    <t>CABO0_CABO_SHKE_PDT_DIT_CNT_RNK0_BYTE_0</t>
  </si>
  <si>
    <t>0x11e53c0</t>
  </si>
  <si>
    <t>CABO1_CABO_SHKE_PDT_DIT_CNT_RNK0_BYTE_0</t>
  </si>
  <si>
    <t>0x12653c0</t>
  </si>
  <si>
    <t>CABO2_CABO_SHKE_PDT_DIT_CNT_RNK0_BYTE_0</t>
  </si>
  <si>
    <t>0x12e53c0</t>
  </si>
  <si>
    <t>CABO3_CABO_SHKE_PDT_DIT_CNT_RNK0_BYTE_0</t>
  </si>
  <si>
    <t>0x1165600</t>
  </si>
  <si>
    <t>CABO0_CABO_SHKE_FSW_TASK_CFG_0</t>
  </si>
  <si>
    <t>0x11e5600</t>
  </si>
  <si>
    <t>CABO1_CABO_SHKE_FSW_TASK_CFG_0</t>
  </si>
  <si>
    <t>0x1265600</t>
  </si>
  <si>
    <t>CABO2_CABO_SHKE_FSW_TASK_CFG_0</t>
  </si>
  <si>
    <t>0x12e5600</t>
  </si>
  <si>
    <t>CABO3_CABO_SHKE_FSW_TASK_CFG_0</t>
  </si>
  <si>
    <t>0x116566c</t>
  </si>
  <si>
    <t>CABO0_CABO_SHKE_FSW_TASK_DEPENDENCY_13</t>
  </si>
  <si>
    <t>0x11e566c</t>
  </si>
  <si>
    <t>CABO1_CABO_SHKE_FSW_TASK_DEPENDENCY_13</t>
  </si>
  <si>
    <t>0x126566c</t>
  </si>
  <si>
    <t>CABO2_CABO_SHKE_FSW_TASK_DEPENDENCY_13</t>
  </si>
  <si>
    <t>0x12e566c</t>
  </si>
  <si>
    <t>CABO3_CABO_SHKE_FSW_TASK_DEPENDENCY_13</t>
  </si>
  <si>
    <t>0x1165638</t>
  </si>
  <si>
    <t>CABO0_CABO_SHKE_FSW_TASK_CFG_7</t>
  </si>
  <si>
    <t>0x11e5638</t>
  </si>
  <si>
    <t>CABO1_CABO_SHKE_FSW_TASK_CFG_7</t>
  </si>
  <si>
    <t>0x1265638</t>
  </si>
  <si>
    <t>CABO2_CABO_SHKE_FSW_TASK_CFG_7</t>
  </si>
  <si>
    <t>0x12e5638</t>
  </si>
  <si>
    <t>CABO3_CABO_SHKE_FSW_TASK_CFG_7</t>
  </si>
  <si>
    <t>0x1165624</t>
  </si>
  <si>
    <t>CABO0_CABO_SHKE_FSW_TASK_DEPENDENCY_4</t>
  </si>
  <si>
    <t>0x11e5624</t>
  </si>
  <si>
    <t>CABO1_CABO_SHKE_FSW_TASK_DEPENDENCY_4</t>
  </si>
  <si>
    <t>0x1265624</t>
  </si>
  <si>
    <t>CABO2_CABO_SHKE_FSW_TASK_DEPENDENCY_4</t>
  </si>
  <si>
    <t>0x12e5624</t>
  </si>
  <si>
    <t>CABO3_CABO_SHKE_FSW_TASK_DEPENDENCY_4</t>
  </si>
  <si>
    <t>0x11653b4</t>
  </si>
  <si>
    <t>CABO0_CABO_SHKE_PDT_DIT_EVENT_STATUS</t>
  </si>
  <si>
    <t>0x11e53b4</t>
  </si>
  <si>
    <t>CABO1_CABO_SHKE_PDT_DIT_EVENT_STATUS</t>
  </si>
  <si>
    <t>0x12653b4</t>
  </si>
  <si>
    <t>CABO2_CABO_SHKE_PDT_DIT_EVENT_STATUS</t>
  </si>
  <si>
    <t>0x12e53b4</t>
  </si>
  <si>
    <t>CABO3_CABO_SHKE_PDT_DIT_EVENT_STATUS</t>
  </si>
  <si>
    <t>0x116548c</t>
  </si>
  <si>
    <t>CABO0_CABO_SHKE_PDT_DIT_MIN_RNK1_BYTE_0</t>
  </si>
  <si>
    <t>0x11e548c</t>
  </si>
  <si>
    <t>CABO1_CABO_SHKE_PDT_DIT_MIN_RNK1_BYTE_0</t>
  </si>
  <si>
    <t>0x126548c</t>
  </si>
  <si>
    <t>CABO2_CABO_SHKE_PDT_DIT_MIN_RNK1_BYTE_0</t>
  </si>
  <si>
    <t>0x12e548c</t>
  </si>
  <si>
    <t>CABO3_CABO_SHKE_PDT_DIT_MIN_RNK1_BYTE_0</t>
  </si>
  <si>
    <t>0x1165494</t>
  </si>
  <si>
    <t>CABO0_CABO_SHKE_PDT_DIT_ACCU_RNK1_BYTE_1</t>
  </si>
  <si>
    <t>0x11e5494</t>
  </si>
  <si>
    <t>CABO1_CABO_SHKE_PDT_DIT_ACCU_RNK1_BYTE_1</t>
  </si>
  <si>
    <t>0x1265494</t>
  </si>
  <si>
    <t>CABO2_CABO_SHKE_PDT_DIT_ACCU_RNK1_BYTE_1</t>
  </si>
  <si>
    <t>0x12e5494</t>
  </si>
  <si>
    <t>CABO3_CABO_SHKE_PDT_DIT_ACCU_RNK1_BYTE_1</t>
  </si>
  <si>
    <t>0x11656ec</t>
  </si>
  <si>
    <t>CABO0_CABO_SHKE_FSW_MRW_BF_UNSTALL</t>
  </si>
  <si>
    <t>0x11e56ec</t>
  </si>
  <si>
    <t>CABO1_CABO_SHKE_FSW_MRW_BF_UNSTALL</t>
  </si>
  <si>
    <t>0x12656ec</t>
  </si>
  <si>
    <t>CABO2_CABO_SHKE_FSW_MRW_BF_UNSTALL</t>
  </si>
  <si>
    <t>0x12e56ec</t>
  </si>
  <si>
    <t>CABO3_CABO_SHKE_FSW_MRW_BF_UNSTALL</t>
  </si>
  <si>
    <t>0x116564c</t>
  </si>
  <si>
    <t>CABO0_CABO_SHKE_FSW_TASK_DEPENDENCY_9</t>
  </si>
  <si>
    <t>0x11e564c</t>
  </si>
  <si>
    <t>CABO1_CABO_SHKE_FSW_TASK_DEPENDENCY_9</t>
  </si>
  <si>
    <t>0x126564c</t>
  </si>
  <si>
    <t>CABO2_CABO_SHKE_FSW_TASK_DEPENDENCY_9</t>
  </si>
  <si>
    <t>0x12e564c</t>
  </si>
  <si>
    <t>CABO3_CABO_SHKE_FSW_TASK_DEPENDENCY_9</t>
  </si>
  <si>
    <t>0x1165b1c</t>
  </si>
  <si>
    <t>CABO0_CABO_SHKE_REFRESH_STATUS</t>
  </si>
  <si>
    <t>0x11e5b1c</t>
  </si>
  <si>
    <t>CABO1_CABO_SHKE_REFRESH_STATUS</t>
  </si>
  <si>
    <t>0x1265b1c</t>
  </si>
  <si>
    <t>CABO2_CABO_SHKE_REFRESH_STATUS</t>
  </si>
  <si>
    <t>0x12e5b1c</t>
  </si>
  <si>
    <t>CABO3_CABO_SHKE_REFRESH_STATUS</t>
  </si>
  <si>
    <t>0x1165620</t>
  </si>
  <si>
    <t>CABO0_CABO_SHKE_FSW_TASK_CFG_4</t>
  </si>
  <si>
    <t>0x11e5620</t>
  </si>
  <si>
    <t>CABO1_CABO_SHKE_FSW_TASK_CFG_4</t>
  </si>
  <si>
    <t>0x1265620</t>
  </si>
  <si>
    <t>CABO2_CABO_SHKE_FSW_TASK_CFG_4</t>
  </si>
  <si>
    <t>0x12e5620</t>
  </si>
  <si>
    <t>CABO3_CABO_SHKE_FSW_TASK_CFG_4</t>
  </si>
  <si>
    <t>0x1165668</t>
  </si>
  <si>
    <t>CABO0_CABO_SHKE_FSW_TASK_CFG_13</t>
  </si>
  <si>
    <t>0x11e5668</t>
  </si>
  <si>
    <t>CABO1_CABO_SHKE_FSW_TASK_CFG_13</t>
  </si>
  <si>
    <t>0x1265668</t>
  </si>
  <si>
    <t>CABO2_CABO_SHKE_FSW_TASK_CFG_13</t>
  </si>
  <si>
    <t>0x12e5668</t>
  </si>
  <si>
    <t>CABO3_CABO_SHKE_FSW_TASK_CFG_13</t>
  </si>
  <si>
    <t>0x1165604</t>
  </si>
  <si>
    <t>CABO0_CABO_SHKE_FSW_TASK_DEPENDENCY_0</t>
  </si>
  <si>
    <t>0x11e5604</t>
  </si>
  <si>
    <t>CABO1_CABO_SHKE_FSW_TASK_DEPENDENCY_0</t>
  </si>
  <si>
    <t>0x1265604</t>
  </si>
  <si>
    <t>CABO2_CABO_SHKE_FSW_TASK_DEPENDENCY_0</t>
  </si>
  <si>
    <t>0x12e5604</t>
  </si>
  <si>
    <t>CABO3_CABO_SHKE_FSW_TASK_DEPENDENCY_0</t>
  </si>
  <si>
    <t>0x1165658</t>
  </si>
  <si>
    <t>CABO0_CABO_SHKE_FSW_TASK_CFG_11</t>
  </si>
  <si>
    <t>0x11e5658</t>
  </si>
  <si>
    <t>CABO1_CABO_SHKE_FSW_TASK_CFG_11</t>
  </si>
  <si>
    <t>0x1265658</t>
  </si>
  <si>
    <t>CABO2_CABO_SHKE_FSW_TASK_CFG_11</t>
  </si>
  <si>
    <t>0x12e5658</t>
  </si>
  <si>
    <t>CABO3_CABO_SHKE_FSW_TASK_CFG_11</t>
  </si>
  <si>
    <t>0x1165840</t>
  </si>
  <si>
    <t>CABO0_CABO_SHKE_MR_RDATA_TIMEOUT_STATUS</t>
  </si>
  <si>
    <t>0x11e5840</t>
  </si>
  <si>
    <t>CABO1_CABO_SHKE_MR_RDATA_TIMEOUT_STATUS</t>
  </si>
  <si>
    <t>0x1265840</t>
  </si>
  <si>
    <t>CABO2_CABO_SHKE_MR_RDATA_TIMEOUT_STATUS</t>
  </si>
  <si>
    <t>0x12e5840</t>
  </si>
  <si>
    <t>CABO3_CABO_SHKE_MR_RDATA_TIMEOUT_STATUS</t>
  </si>
  <si>
    <t>0x1165630</t>
  </si>
  <si>
    <t>CABO0_CABO_SHKE_FSW_TASK_CFG_6</t>
  </si>
  <si>
    <t>0x11e5630</t>
  </si>
  <si>
    <t>CABO1_CABO_SHKE_FSW_TASK_CFG_6</t>
  </si>
  <si>
    <t>0x1265630</t>
  </si>
  <si>
    <t>CABO2_CABO_SHKE_FSW_TASK_CFG_6</t>
  </si>
  <si>
    <t>0x12e5630</t>
  </si>
  <si>
    <t>CABO3_CABO_SHKE_FSW_TASK_CFG_6</t>
  </si>
  <si>
    <t>0x11656c4</t>
  </si>
  <si>
    <t>CABO0_CABO_SHKE_FSW_DT_CFG</t>
  </si>
  <si>
    <t>0x11e56c4</t>
  </si>
  <si>
    <t>CABO1_CABO_SHKE_FSW_DT_CFG</t>
  </si>
  <si>
    <t>0x12656c4</t>
  </si>
  <si>
    <t>CABO2_CABO_SHKE_FSW_DT_CFG</t>
  </si>
  <si>
    <t>0x12e56c4</t>
  </si>
  <si>
    <t>CABO3_CABO_SHKE_FSW_DT_CFG</t>
  </si>
  <si>
    <t>0x1165b00</t>
  </si>
  <si>
    <t>CABO0_CABO_SHKE_IDLE_STATUS</t>
  </si>
  <si>
    <t>0x11e5b00</t>
  </si>
  <si>
    <t>CABO1_CABO_SHKE_IDLE_STATUS</t>
  </si>
  <si>
    <t>0x1265b00</t>
  </si>
  <si>
    <t>CABO2_CABO_SHKE_IDLE_STATUS</t>
  </si>
  <si>
    <t>0x12e5b00</t>
  </si>
  <si>
    <t>CABO3_CABO_SHKE_IDLE_STATUS</t>
  </si>
  <si>
    <t>0x11656e4</t>
  </si>
  <si>
    <t>CABO0_CABO_SHKE_FSW_MRW_BF_STALL</t>
  </si>
  <si>
    <t>0x11e56e4</t>
  </si>
  <si>
    <t>CABO1_CABO_SHKE_FSW_MRW_BF_STALL</t>
  </si>
  <si>
    <t>0x12656e4</t>
  </si>
  <si>
    <t>CABO2_CABO_SHKE_FSW_MRW_BF_STALL</t>
  </si>
  <si>
    <t>0x12e56e4</t>
  </si>
  <si>
    <t>CABO3_CABO_SHKE_FSW_MRW_BF_STALL</t>
  </si>
  <si>
    <t>0x1165b20</t>
  </si>
  <si>
    <t>CABO0_CABO_SHKE_MR4_RDATA_RANK1</t>
  </si>
  <si>
    <t>0x11e5b20</t>
  </si>
  <si>
    <t>CABO1_CABO_SHKE_MR4_RDATA_RANK1</t>
  </si>
  <si>
    <t>0x1265b20</t>
  </si>
  <si>
    <t>CABO2_CABO_SHKE_MR4_RDATA_RANK1</t>
  </si>
  <si>
    <t>0x12e5b20</t>
  </si>
  <si>
    <t>CABO3_CABO_SHKE_MR4_RDATA_RANK1</t>
  </si>
  <si>
    <t>0x116565c</t>
  </si>
  <si>
    <t>CABO0_CABO_SHKE_FSW_TASK_DEPENDENCY_11</t>
  </si>
  <si>
    <t>0x11e565c</t>
  </si>
  <si>
    <t>CABO1_CABO_SHKE_FSW_TASK_DEPENDENCY_11</t>
  </si>
  <si>
    <t>0x126565c</t>
  </si>
  <si>
    <t>CABO2_CABO_SHKE_FSW_TASK_DEPENDENCY_11</t>
  </si>
  <si>
    <t>0x12e565c</t>
  </si>
  <si>
    <t>CABO3_CABO_SHKE_FSW_TASK_DEPENDENCY_11</t>
  </si>
  <si>
    <t>0x116567c</t>
  </si>
  <si>
    <t>CABO0_CABO_SHKE_FSW_TASK_DEPENDENCY_15</t>
  </si>
  <si>
    <t>0x11e567c</t>
  </si>
  <si>
    <t>CABO1_CABO_SHKE_FSW_TASK_DEPENDENCY_15</t>
  </si>
  <si>
    <t>0x126567c</t>
  </si>
  <si>
    <t>CABO2_CABO_SHKE_FSW_TASK_DEPENDENCY_15</t>
  </si>
  <si>
    <t>0x12e567c</t>
  </si>
  <si>
    <t>CABO3_CABO_SHKE_FSW_TASK_DEPENDENCY_15</t>
  </si>
  <si>
    <t>0x1165b08</t>
  </si>
  <si>
    <t>CABO0_CABO_SHKE_SELF_REFRESH_STATUS</t>
  </si>
  <si>
    <t>0x11e5b08</t>
  </si>
  <si>
    <t>CABO1_CABO_SHKE_SELF_REFRESH_STATUS</t>
  </si>
  <si>
    <t>0x1265b08</t>
  </si>
  <si>
    <t>CABO2_CABO_SHKE_SELF_REFRESH_STATUS</t>
  </si>
  <si>
    <t>0x12e5b08</t>
  </si>
  <si>
    <t>CABO3_CABO_SHKE_SELF_REFRESH_STATUS</t>
  </si>
  <si>
    <t>0x1165660</t>
  </si>
  <si>
    <t>CABO0_CABO_SHKE_FSW_TASK_CFG_12</t>
  </si>
  <si>
    <t>0x11e5660</t>
  </si>
  <si>
    <t>CABO1_CABO_SHKE_FSW_TASK_CFG_12</t>
  </si>
  <si>
    <t>0x1265660</t>
  </si>
  <si>
    <t>CABO2_CABO_SHKE_FSW_TASK_CFG_12</t>
  </si>
  <si>
    <t>0x12e5660</t>
  </si>
  <si>
    <t>CABO3_CABO_SHKE_FSW_TASK_CFG_12</t>
  </si>
  <si>
    <t>0x1165410</t>
  </si>
  <si>
    <t>CABO0_CABO_SHKE_PDT_DIT_SAMPLES_RNK0_BYTE_1</t>
  </si>
  <si>
    <t>0x11e5410</t>
  </si>
  <si>
    <t>CABO1_CABO_SHKE_PDT_DIT_SAMPLES_RNK0_BYTE_1</t>
  </si>
  <si>
    <t>0x1265410</t>
  </si>
  <si>
    <t>CABO2_CABO_SHKE_PDT_DIT_SAMPLES_RNK0_BYTE_1</t>
  </si>
  <si>
    <t>0x12e5410</t>
  </si>
  <si>
    <t>CABO3_CABO_SHKE_PDT_DIT_SAMPLES_RNK0_BYTE_1</t>
  </si>
  <si>
    <t>0x11656c8</t>
  </si>
  <si>
    <t>CABO0_CABO_SHKE_FSW_ZQCAL_CFG</t>
  </si>
  <si>
    <t>0x11e56c8</t>
  </si>
  <si>
    <t>CABO1_CABO_SHKE_FSW_ZQCAL_CFG</t>
  </si>
  <si>
    <t>0x12656c8</t>
  </si>
  <si>
    <t>CABO2_CABO_SHKE_FSW_ZQCAL_CFG</t>
  </si>
  <si>
    <t>0x12e56c8</t>
  </si>
  <si>
    <t>CABO3_CABO_SHKE_FSW_ZQCAL_CFG</t>
  </si>
  <si>
    <t>0x1165498</t>
  </si>
  <si>
    <t>CABO0_CABO_SHKE_PDT_DIT_MAX_RNK1_BYTE_1</t>
  </si>
  <si>
    <t>0x11e5498</t>
  </si>
  <si>
    <t>CABO1_CABO_SHKE_PDT_DIT_MAX_RNK1_BYTE_1</t>
  </si>
  <si>
    <t>0x1265498</t>
  </si>
  <si>
    <t>CABO2_CABO_SHKE_PDT_DIT_MAX_RNK1_BYTE_1</t>
  </si>
  <si>
    <t>0x12e5498</t>
  </si>
  <si>
    <t>CABO3_CABO_SHKE_PDT_DIT_MAX_RNK1_BYTE_1</t>
  </si>
  <si>
    <t>0x11656e8</t>
  </si>
  <si>
    <t>CABO0_CABO_SHKE_FSW_MRW_DUR_STALL</t>
  </si>
  <si>
    <t>0x11e56e8</t>
  </si>
  <si>
    <t>CABO1_CABO_SHKE_FSW_MRW_DUR_STALL</t>
  </si>
  <si>
    <t>0x12656e8</t>
  </si>
  <si>
    <t>CABO2_CABO_SHKE_FSW_MRW_DUR_STALL</t>
  </si>
  <si>
    <t>0x12e56e8</t>
  </si>
  <si>
    <t>CABO3_CABO_SHKE_FSW_MRW_DUR_STALL</t>
  </si>
  <si>
    <t>0x11653c4</t>
  </si>
  <si>
    <t>CABO0_CABO_SHKE_PDT_DIT_CNT_RNK0_BYTE_1</t>
  </si>
  <si>
    <t>0x11e53c4</t>
  </si>
  <si>
    <t>CABO1_CABO_SHKE_PDT_DIT_CNT_RNK0_BYTE_1</t>
  </si>
  <si>
    <t>0x12653c4</t>
  </si>
  <si>
    <t>CABO2_CABO_SHKE_PDT_DIT_CNT_RNK0_BYTE_1</t>
  </si>
  <si>
    <t>0x12e53c4</t>
  </si>
  <si>
    <t>CABO3_CABO_SHKE_PDT_DIT_CNT_RNK0_BYTE_1</t>
  </si>
  <si>
    <t>0x1165210</t>
  </si>
  <si>
    <t>CABO0_CABO_SHKE_ZQSTART_STATUS</t>
  </si>
  <si>
    <t>0x11e5210</t>
  </si>
  <si>
    <t>CABO1_CABO_SHKE_ZQSTART_STATUS</t>
  </si>
  <si>
    <t>0x1265210</t>
  </si>
  <si>
    <t>CABO2_CABO_SHKE_ZQSTART_STATUS</t>
  </si>
  <si>
    <t>0x12e5210</t>
  </si>
  <si>
    <t>CABO3_CABO_SHKE_ZQSTART_STATUS</t>
  </si>
  <si>
    <t>0x1165488</t>
  </si>
  <si>
    <t>CABO0_CABO_SHKE_PDT_DIT_MAX_RNK1_BYTE_0</t>
  </si>
  <si>
    <t>0x11e5488</t>
  </si>
  <si>
    <t>CABO1_CABO_SHKE_PDT_DIT_MAX_RNK1_BYTE_0</t>
  </si>
  <si>
    <t>0x1265488</t>
  </si>
  <si>
    <t>CABO2_CABO_SHKE_PDT_DIT_MAX_RNK1_BYTE_0</t>
  </si>
  <si>
    <t>0x12e5488</t>
  </si>
  <si>
    <t>CABO3_CABO_SHKE_PDT_DIT_MAX_RNK1_BYTE_0</t>
  </si>
  <si>
    <t>0x116549c</t>
  </si>
  <si>
    <t>CABO0_CABO_SHKE_PDT_DIT_MIN_RNK1_BYTE_1</t>
  </si>
  <si>
    <t>0x11e549c</t>
  </si>
  <si>
    <t>CABO1_CABO_SHKE_PDT_DIT_MIN_RNK1_BYTE_1</t>
  </si>
  <si>
    <t>0x126549c</t>
  </si>
  <si>
    <t>CABO2_CABO_SHKE_PDT_DIT_MIN_RNK1_BYTE_1</t>
  </si>
  <si>
    <t>0x12e549c</t>
  </si>
  <si>
    <t>CABO3_CABO_SHKE_PDT_DIT_MIN_RNK1_BYTE_1</t>
  </si>
  <si>
    <t>0x1165614</t>
  </si>
  <si>
    <t>CABO0_CABO_SHKE_FSW_TASK_DEPENDENCY_2</t>
  </si>
  <si>
    <t>0x11e5614</t>
  </si>
  <si>
    <t>CABO1_CABO_SHKE_FSW_TASK_DEPENDENCY_2</t>
  </si>
  <si>
    <t>0x1265614</t>
  </si>
  <si>
    <t>CABO2_CABO_SHKE_FSW_TASK_DEPENDENCY_2</t>
  </si>
  <si>
    <t>0x12e5614</t>
  </si>
  <si>
    <t>CABO3_CABO_SHKE_FSW_TASK_DEPENDENCY_2</t>
  </si>
  <si>
    <t>0x1165b14</t>
  </si>
  <si>
    <t>CABO0_CABO_SHKE_DT_REQ_ACK_STATUS</t>
  </si>
  <si>
    <t>0x11e5b14</t>
  </si>
  <si>
    <t>CABO1_CABO_SHKE_DT_REQ_ACK_STATUS</t>
  </si>
  <si>
    <t>0x1265b14</t>
  </si>
  <si>
    <t>CABO2_CABO_SHKE_DT_REQ_ACK_STATUS</t>
  </si>
  <si>
    <t>0x12e5b14</t>
  </si>
  <si>
    <t>CABO3_CABO_SHKE_DT_REQ_ACK_STATUS</t>
  </si>
  <si>
    <t>0x1165490</t>
  </si>
  <si>
    <t>CABO0_CABO_SHKE_PDT_DIT_SAMPLES_RNK1_BYTE_1</t>
  </si>
  <si>
    <t>0x11e5490</t>
  </si>
  <si>
    <t>CABO1_CABO_SHKE_PDT_DIT_SAMPLES_RNK1_BYTE_1</t>
  </si>
  <si>
    <t>0x1265490</t>
  </si>
  <si>
    <t>CABO2_CABO_SHKE_PDT_DIT_SAMPLES_RNK1_BYTE_1</t>
  </si>
  <si>
    <t>0x12e5490</t>
  </si>
  <si>
    <t>CABO3_CABO_SHKE_PDT_DIT_SAMPLES_RNK1_BYTE_1</t>
  </si>
  <si>
    <t>0x1165170</t>
  </si>
  <si>
    <t>CABO0_CABO_SHKE_INTERVAL_EVENT_STATUS_3</t>
  </si>
  <si>
    <t>0x11e5170</t>
  </si>
  <si>
    <t>CABO1_CABO_SHKE_INTERVAL_EVENT_STATUS_3</t>
  </si>
  <si>
    <t>0x1265170</t>
  </si>
  <si>
    <t>CABO2_CABO_SHKE_INTERVAL_EVENT_STATUS_3</t>
  </si>
  <si>
    <t>0x12e5170</t>
  </si>
  <si>
    <t>CABO3_CABO_SHKE_INTERVAL_EVENT_STATUS_3</t>
  </si>
  <si>
    <t>0x1165230</t>
  </si>
  <si>
    <t>CABO0_CABO_SHKE_ZQLATCH_STATUS</t>
  </si>
  <si>
    <t>0x11e5230</t>
  </si>
  <si>
    <t>CABO1_CABO_SHKE_ZQLATCH_STATUS</t>
  </si>
  <si>
    <t>0x1265230</t>
  </si>
  <si>
    <t>CABO2_CABO_SHKE_ZQLATCH_STATUS</t>
  </si>
  <si>
    <t>0x12e5230</t>
  </si>
  <si>
    <t>CABO3_CABO_SHKE_ZQLATCH_STATUS</t>
  </si>
  <si>
    <t>0x11656e0</t>
  </si>
  <si>
    <t>CABO0_CABO_SHKE_FSW_MRW_BF_ZQCAL</t>
  </si>
  <si>
    <t>0x11e56e0</t>
  </si>
  <si>
    <t>CABO1_CABO_SHKE_FSW_MRW_BF_ZQCAL</t>
  </si>
  <si>
    <t>0x12656e0</t>
  </si>
  <si>
    <t>CABO2_CABO_SHKE_FSW_MRW_BF_ZQCAL</t>
  </si>
  <si>
    <t>0x12e56e0</t>
  </si>
  <si>
    <t>CABO3_CABO_SHKE_FSW_MRW_BF_ZQCAL</t>
  </si>
  <si>
    <t>0x1165484</t>
  </si>
  <si>
    <t>CABO0_CABO_SHKE_PDT_DIT_ACCU_RNK1_BYTE_0</t>
  </si>
  <si>
    <t>0x11e5484</t>
  </si>
  <si>
    <t>CABO1_CABO_SHKE_PDT_DIT_ACCU_RNK1_BYTE_0</t>
  </si>
  <si>
    <t>0x1265484</t>
  </si>
  <si>
    <t>CABO2_CABO_SHKE_PDT_DIT_ACCU_RNK1_BYTE_0</t>
  </si>
  <si>
    <t>0x12e5484</t>
  </si>
  <si>
    <t>CABO3_CABO_SHKE_PDT_DIT_ACCU_RNK1_BYTE_0</t>
  </si>
  <si>
    <t>0x1165648</t>
  </si>
  <si>
    <t>CABO0_CABO_SHKE_FSW_TASK_CFG_9</t>
  </si>
  <si>
    <t>0x11e5648</t>
  </si>
  <si>
    <t>CABO1_CABO_SHKE_FSW_TASK_CFG_9</t>
  </si>
  <si>
    <t>0x1265648</t>
  </si>
  <si>
    <t>CABO2_CABO_SHKE_FSW_TASK_CFG_9</t>
  </si>
  <si>
    <t>0x12e5648</t>
  </si>
  <si>
    <t>CABO3_CABO_SHKE_FSW_TASK_CFG_9</t>
  </si>
  <si>
    <t>0x1165678</t>
  </si>
  <si>
    <t>CABO0_CABO_SHKE_FSW_TASK_CFG_15</t>
  </si>
  <si>
    <t>0x11e5678</t>
  </si>
  <si>
    <t>CABO1_CABO_SHKE_FSW_TASK_CFG_15</t>
  </si>
  <si>
    <t>0x1265678</t>
  </si>
  <si>
    <t>CABO2_CABO_SHKE_FSW_TASK_CFG_15</t>
  </si>
  <si>
    <t>0x12e5678</t>
  </si>
  <si>
    <t>CABO3_CABO_SHKE_FSW_TASK_CFG_15</t>
  </si>
  <si>
    <t>0x116561c</t>
  </si>
  <si>
    <t>CABO0_CABO_SHKE_FSW_TASK_DEPENDENCY_3</t>
  </si>
  <si>
    <t>0x11e561c</t>
  </si>
  <si>
    <t>CABO1_CABO_SHKE_FSW_TASK_DEPENDENCY_3</t>
  </si>
  <si>
    <t>0x126561c</t>
  </si>
  <si>
    <t>CABO2_CABO_SHKE_FSW_TASK_DEPENDENCY_3</t>
  </si>
  <si>
    <t>0x12e561c</t>
  </si>
  <si>
    <t>CABO3_CABO_SHKE_FSW_TASK_DEPENDENCY_3</t>
  </si>
  <si>
    <t>0x116560c</t>
  </si>
  <si>
    <t>CABO0_CABO_SHKE_FSW_TASK_DEPENDENCY_1</t>
  </si>
  <si>
    <t>0x11e560c</t>
  </si>
  <si>
    <t>CABO1_CABO_SHKE_FSW_TASK_DEPENDENCY_1</t>
  </si>
  <si>
    <t>0x126560c</t>
  </si>
  <si>
    <t>CABO2_CABO_SHKE_FSW_TASK_DEPENDENCY_1</t>
  </si>
  <si>
    <t>0x12e560c</t>
  </si>
  <si>
    <t>CABO3_CABO_SHKE_FSW_TASK_DEPENDENCY_1</t>
  </si>
  <si>
    <t>0x1165628</t>
  </si>
  <si>
    <t>CABO0_CABO_SHKE_FSW_TASK_CFG_5</t>
  </si>
  <si>
    <t>0x11e5628</t>
  </si>
  <si>
    <t>CABO1_CABO_SHKE_FSW_TASK_CFG_5</t>
  </si>
  <si>
    <t>0x1265628</t>
  </si>
  <si>
    <t>CABO2_CABO_SHKE_FSW_TASK_CFG_5</t>
  </si>
  <si>
    <t>0x12e5628</t>
  </si>
  <si>
    <t>CABO3_CABO_SHKE_FSW_TASK_CFG_5</t>
  </si>
  <si>
    <t>0x1165110</t>
  </si>
  <si>
    <t>CABO0_CABO_SHKE_INTERVAL_EVENT_STATUS_0</t>
  </si>
  <si>
    <t>0x11e5110</t>
  </si>
  <si>
    <t>CABO1_CABO_SHKE_INTERVAL_EVENT_STATUS_0</t>
  </si>
  <si>
    <t>0x1265110</t>
  </si>
  <si>
    <t>CABO2_CABO_SHKE_INTERVAL_EVENT_STATUS_0</t>
  </si>
  <si>
    <t>0x12e5110</t>
  </si>
  <si>
    <t>CABO3_CABO_SHKE_INTERVAL_EVENT_STATUS_0</t>
  </si>
  <si>
    <t>0x1165414</t>
  </si>
  <si>
    <t>CABO0_CABO_SHKE_PDT_DIT_ACCU_RNK0_BYTE_1</t>
  </si>
  <si>
    <t>0x11e5414</t>
  </si>
  <si>
    <t>CABO1_CABO_SHKE_PDT_DIT_ACCU_RNK0_BYTE_1</t>
  </si>
  <si>
    <t>0x1265414</t>
  </si>
  <si>
    <t>CABO2_CABO_SHKE_PDT_DIT_ACCU_RNK0_BYTE_1</t>
  </si>
  <si>
    <t>0x12e5414</t>
  </si>
  <si>
    <t>CABO3_CABO_SHKE_PDT_DIT_ACCU_RNK0_BYTE_1</t>
  </si>
  <si>
    <t>0x1165674</t>
  </si>
  <si>
    <t>CABO0_CABO_SHKE_FSW_TASK_DEPENDENCY_14</t>
  </si>
  <si>
    <t>0x11e5674</t>
  </si>
  <si>
    <t>CABO1_CABO_SHKE_FSW_TASK_DEPENDENCY_14</t>
  </si>
  <si>
    <t>0x1265674</t>
  </si>
  <si>
    <t>CABO2_CABO_SHKE_FSW_TASK_DEPENDENCY_14</t>
  </si>
  <si>
    <t>0x12e5674</t>
  </si>
  <si>
    <t>CABO3_CABO_SHKE_FSW_TASK_DEPENDENCY_14</t>
  </si>
  <si>
    <t>0x1165650</t>
  </si>
  <si>
    <t>CABO0_CABO_SHKE_FSW_TASK_CFG_10</t>
  </si>
  <si>
    <t>0x11e5650</t>
  </si>
  <si>
    <t>CABO1_CABO_SHKE_FSW_TASK_CFG_10</t>
  </si>
  <si>
    <t>0x1265650</t>
  </si>
  <si>
    <t>CABO2_CABO_SHKE_FSW_TASK_CFG_10</t>
  </si>
  <si>
    <t>0x12e5650</t>
  </si>
  <si>
    <t>CABO3_CABO_SHKE_FSW_TASK_CFG_10</t>
  </si>
  <si>
    <t>0x1165844</t>
  </si>
  <si>
    <t>CABO0_CABO_SHKE_MR_RDATA_RANK0</t>
  </si>
  <si>
    <t>0x11e5844</t>
  </si>
  <si>
    <t>CABO1_CABO_SHKE_MR_RDATA_RANK0</t>
  </si>
  <si>
    <t>0x1265844</t>
  </si>
  <si>
    <t>CABO2_CABO_SHKE_MR_RDATA_RANK0</t>
  </si>
  <si>
    <t>0x12e5844</t>
  </si>
  <si>
    <t>CABO3_CABO_SHKE_MR_RDATA_RANK0</t>
  </si>
  <si>
    <t>0x11653e0</t>
  </si>
  <si>
    <t>CABO0_CABO_SHKE_PDT_DIT_CNT_RNK1_BYTE_0</t>
  </si>
  <si>
    <t>0x11e53e0</t>
  </si>
  <si>
    <t>CABO1_CABO_SHKE_PDT_DIT_CNT_RNK1_BYTE_0</t>
  </si>
  <si>
    <t>0x12653e0</t>
  </si>
  <si>
    <t>CABO2_CABO_SHKE_PDT_DIT_CNT_RNK1_BYTE_0</t>
  </si>
  <si>
    <t>0x12e53e0</t>
  </si>
  <si>
    <t>CABO3_CABO_SHKE_PDT_DIT_CNT_RNK1_BYTE_0</t>
  </si>
  <si>
    <t>0x1165150</t>
  </si>
  <si>
    <t>CABO0_CABO_SHKE_INTERVAL_EVENT_STATUS_2</t>
  </si>
  <si>
    <t>0x11e5150</t>
  </si>
  <si>
    <t>CABO1_CABO_SHKE_INTERVAL_EVENT_STATUS_2</t>
  </si>
  <si>
    <t>0x1265150</t>
  </si>
  <si>
    <t>CABO2_CABO_SHKE_INTERVAL_EVENT_STATUS_2</t>
  </si>
  <si>
    <t>0x12e5150</t>
  </si>
  <si>
    <t>CABO3_CABO_SHKE_INTERVAL_EVENT_STATUS_2</t>
  </si>
  <si>
    <t>0x1165400</t>
  </si>
  <si>
    <t>CABO0_CABO_SHKE_PDT_DIT_SAMPLES_RNK0_BYTE_0</t>
  </si>
  <si>
    <t>0x11e5400</t>
  </si>
  <si>
    <t>CABO1_CABO_SHKE_PDT_DIT_SAMPLES_RNK0_BYTE_0</t>
  </si>
  <si>
    <t>0x1265400</t>
  </si>
  <si>
    <t>CABO2_CABO_SHKE_PDT_DIT_SAMPLES_RNK0_BYTE_0</t>
  </si>
  <si>
    <t>0x12e5400</t>
  </si>
  <si>
    <t>CABO3_CABO_SHKE_PDT_DIT_SAMPLES_RNK0_BYTE_0</t>
  </si>
  <si>
    <t>0x1165b24</t>
  </si>
  <si>
    <t>CABO0_CABO_SHKE_MR4_RDATA_RANK0</t>
  </si>
  <si>
    <t>0x11e5b24</t>
  </si>
  <si>
    <t>CABO1_CABO_SHKE_MR4_RDATA_RANK0</t>
  </si>
  <si>
    <t>0x1265b24</t>
  </si>
  <si>
    <t>CABO2_CABO_SHKE_MR4_RDATA_RANK0</t>
  </si>
  <si>
    <t>0x12e5b24</t>
  </si>
  <si>
    <t>CABO3_CABO_SHKE_MR4_RDATA_RANK0</t>
  </si>
  <si>
    <t>0x1165610</t>
  </si>
  <si>
    <t>CABO0_CABO_SHKE_FSW_TASK_CFG_2</t>
  </si>
  <si>
    <t>0x11e5610</t>
  </si>
  <si>
    <t>CABO1_CABO_SHKE_FSW_TASK_CFG_2</t>
  </si>
  <si>
    <t>0x1265610</t>
  </si>
  <si>
    <t>CABO2_CABO_SHKE_FSW_TASK_CFG_2</t>
  </si>
  <si>
    <t>0x12e5610</t>
  </si>
  <si>
    <t>CABO3_CABO_SHKE_FSW_TASK_CFG_2</t>
  </si>
  <si>
    <t>0x116563c</t>
  </si>
  <si>
    <t>CABO0_CABO_SHKE_FSW_TASK_DEPENDENCY_7</t>
  </si>
  <si>
    <t>0x11e563c</t>
  </si>
  <si>
    <t>CABO1_CABO_SHKE_FSW_TASK_DEPENDENCY_7</t>
  </si>
  <si>
    <t>0x126563c</t>
  </si>
  <si>
    <t>CABO2_CABO_SHKE_FSW_TASK_DEPENDENCY_7</t>
  </si>
  <si>
    <t>0x12e563c</t>
  </si>
  <si>
    <t>CABO3_CABO_SHKE_FSW_TASK_DEPENDENCY_7</t>
  </si>
  <si>
    <t>0x11656c0</t>
  </si>
  <si>
    <t>CABO0_CABO_SHKE_FSW_END_STATE_CFG</t>
  </si>
  <si>
    <t>0x11e56c0</t>
  </si>
  <si>
    <t>CABO1_CABO_SHKE_FSW_END_STATE_CFG</t>
  </si>
  <si>
    <t>0x12656c0</t>
  </si>
  <si>
    <t>CABO2_CABO_SHKE_FSW_END_STATE_CFG</t>
  </si>
  <si>
    <t>0x12e56c0</t>
  </si>
  <si>
    <t>CABO3_CABO_SHKE_FSW_END_STATE_CFG</t>
  </si>
  <si>
    <t>0x1165480</t>
  </si>
  <si>
    <t>CABO0_CABO_SHKE_PDT_DIT_SAMPLES_RNK1_BYTE_0</t>
  </si>
  <si>
    <t>0x11e5480</t>
  </si>
  <si>
    <t>CABO1_CABO_SHKE_PDT_DIT_SAMPLES_RNK1_BYTE_0</t>
  </si>
  <si>
    <t>0x1265480</t>
  </si>
  <si>
    <t>CABO2_CABO_SHKE_PDT_DIT_SAMPLES_RNK1_BYTE_0</t>
  </si>
  <si>
    <t>0x12e5480</t>
  </si>
  <si>
    <t>CABO3_CABO_SHKE_PDT_DIT_SAMPLES_RNK1_BYTE_0</t>
  </si>
  <si>
    <t>0x1165644</t>
  </si>
  <si>
    <t>CABO0_CABO_SHKE_FSW_TASK_DEPENDENCY_8</t>
  </si>
  <si>
    <t>0x11e5644</t>
  </si>
  <si>
    <t>CABO1_CABO_SHKE_FSW_TASK_DEPENDENCY_8</t>
  </si>
  <si>
    <t>0x1265644</t>
  </si>
  <si>
    <t>CABO2_CABO_SHKE_FSW_TASK_DEPENDENCY_8</t>
  </si>
  <si>
    <t>0x12e5644</t>
  </si>
  <si>
    <t>CABO3_CABO_SHKE_FSW_TASK_DEPENDENCY_8</t>
  </si>
  <si>
    <t>0x116540c</t>
  </si>
  <si>
    <t>CABO0_CABO_SHKE_PDT_DIT_MIN_RNK0_BYTE_0</t>
  </si>
  <si>
    <t>0x11e540c</t>
  </si>
  <si>
    <t>CABO1_CABO_SHKE_PDT_DIT_MIN_RNK0_BYTE_0</t>
  </si>
  <si>
    <t>0x126540c</t>
  </si>
  <si>
    <t>CABO2_CABO_SHKE_PDT_DIT_MIN_RNK0_BYTE_0</t>
  </si>
  <si>
    <t>0x12e540c</t>
  </si>
  <si>
    <t>CABO3_CABO_SHKE_PDT_DIT_MIN_RNK0_BYTE_0</t>
  </si>
  <si>
    <t>0x116562c</t>
  </si>
  <si>
    <t>CABO0_CABO_SHKE_FSW_TASK_DEPENDENCY_5</t>
  </si>
  <si>
    <t>0x11e562c</t>
  </si>
  <si>
    <t>CABO1_CABO_SHKE_FSW_TASK_DEPENDENCY_5</t>
  </si>
  <si>
    <t>0x126562c</t>
  </si>
  <si>
    <t>CABO2_CABO_SHKE_FSW_TASK_DEPENDENCY_5</t>
  </si>
  <si>
    <t>0x12e562c</t>
  </si>
  <si>
    <t>CABO3_CABO_SHKE_FSW_TASK_DEPENDENCY_5</t>
  </si>
  <si>
    <t>0x1165130</t>
  </si>
  <si>
    <t>CABO0_CABO_SHKE_INTERVAL_EVENT_STATUS_1</t>
  </si>
  <si>
    <t>0x11e5130</t>
  </si>
  <si>
    <t>CABO1_CABO_SHKE_INTERVAL_EVENT_STATUS_1</t>
  </si>
  <si>
    <t>0x1265130</t>
  </si>
  <si>
    <t>CABO2_CABO_SHKE_INTERVAL_EVENT_STATUS_1</t>
  </si>
  <si>
    <t>0x12e5130</t>
  </si>
  <si>
    <t>CABO3_CABO_SHKE_INTERVAL_EVENT_STATUS_1</t>
  </si>
  <si>
    <t>0x1165190</t>
  </si>
  <si>
    <t>CABO0_CABO_SHKE_INTERVAL_EVENT_STATUS_4</t>
  </si>
  <si>
    <t>0x11e5190</t>
  </si>
  <si>
    <t>CABO1_CABO_SHKE_INTERVAL_EVENT_STATUS_4</t>
  </si>
  <si>
    <t>0x1265190</t>
  </si>
  <si>
    <t>CABO2_CABO_SHKE_INTERVAL_EVENT_STATUS_4</t>
  </si>
  <si>
    <t>0x12e5190</t>
  </si>
  <si>
    <t>CABO3_CABO_SHKE_INTERVAL_EVENT_STATUS_4</t>
  </si>
  <si>
    <t>0x1165b18</t>
  </si>
  <si>
    <t>CABO0_CABO_SHKE_ZQCAL_STATUS</t>
  </si>
  <si>
    <t>0x11e5b18</t>
  </si>
  <si>
    <t>CABO1_CABO_SHKE_ZQCAL_STATUS</t>
  </si>
  <si>
    <t>0x1265b18</t>
  </si>
  <si>
    <t>CABO2_CABO_SHKE_ZQCAL_STATUS</t>
  </si>
  <si>
    <t>0x12e5b18</t>
  </si>
  <si>
    <t>CABO3_CABO_SHKE_ZQCAL_STATUS</t>
  </si>
  <si>
    <t>0x1165634</t>
  </si>
  <si>
    <t>CABO0_CABO_SHKE_FSW_TASK_DEPENDENCY_6</t>
  </si>
  <si>
    <t>0x11e5634</t>
  </si>
  <si>
    <t>CABO1_CABO_SHKE_FSW_TASK_DEPENDENCY_6</t>
  </si>
  <si>
    <t>0x1265634</t>
  </si>
  <si>
    <t>CABO2_CABO_SHKE_FSW_TASK_DEPENDENCY_6</t>
  </si>
  <si>
    <t>0x12e5634</t>
  </si>
  <si>
    <t>CABO3_CABO_SHKE_FSW_TASK_DEPENDENCY_6</t>
  </si>
  <si>
    <t>0x11653b0</t>
  </si>
  <si>
    <t>CABO0_CABO_SHKE_PDT_DIT_STATUS</t>
  </si>
  <si>
    <t>0x11e53b0</t>
  </si>
  <si>
    <t>CABO1_CABO_SHKE_PDT_DIT_STATUS</t>
  </si>
  <si>
    <t>0x12653b0</t>
  </si>
  <si>
    <t>CABO2_CABO_SHKE_PDT_DIT_STATUS</t>
  </si>
  <si>
    <t>0x12e53b0</t>
  </si>
  <si>
    <t>CABO3_CABO_SHKE_PDT_DIT_STATUS</t>
  </si>
  <si>
    <t>0x1165640</t>
  </si>
  <si>
    <t>CABO0_CABO_SHKE_FSW_TASK_CFG_8</t>
  </si>
  <si>
    <t>0x11e5640</t>
  </si>
  <si>
    <t>CABO1_CABO_SHKE_FSW_TASK_CFG_8</t>
  </si>
  <si>
    <t>0x1265640</t>
  </si>
  <si>
    <t>CABO2_CABO_SHKE_FSW_TASK_CFG_8</t>
  </si>
  <si>
    <t>0x12e5640</t>
  </si>
  <si>
    <t>CABO3_CABO_SHKE_FSW_TASK_CFG_8</t>
  </si>
  <si>
    <t>0x1165608</t>
  </si>
  <si>
    <t>CABO0_CABO_SHKE_FSW_TASK_CFG_1</t>
  </si>
  <si>
    <t>0x11e5608</t>
  </si>
  <si>
    <t>CABO1_CABO_SHKE_FSW_TASK_CFG_1</t>
  </si>
  <si>
    <t>0x1265608</t>
  </si>
  <si>
    <t>CABO2_CABO_SHKE_FSW_TASK_CFG_1</t>
  </si>
  <si>
    <t>0x12e5608</t>
  </si>
  <si>
    <t>CABO3_CABO_SHKE_FSW_TASK_CFG_1</t>
  </si>
  <si>
    <t>0x11653e4</t>
  </si>
  <si>
    <t>CABO0_CABO_SHKE_PDT_DIT_CNT_RNK1_BYTE_1</t>
  </si>
  <si>
    <t>0x11e53e4</t>
  </si>
  <si>
    <t>CABO1_CABO_SHKE_PDT_DIT_CNT_RNK1_BYTE_1</t>
  </si>
  <si>
    <t>0x12653e4</t>
  </si>
  <si>
    <t>CABO2_CABO_SHKE_PDT_DIT_CNT_RNK1_BYTE_1</t>
  </si>
  <si>
    <t>0x12e53e4</t>
  </si>
  <si>
    <t>CABO3_CABO_SHKE_PDT_DIT_CNT_RNK1_BYTE_1</t>
  </si>
  <si>
    <t>0x1165848</t>
  </si>
  <si>
    <t>CABO0_CABO_SHKE_MR_RDATA_RANK1</t>
  </si>
  <si>
    <t>0x11e5848</t>
  </si>
  <si>
    <t>CABO1_CABO_SHKE_MR_RDATA_RANK1</t>
  </si>
  <si>
    <t>0x1265848</t>
  </si>
  <si>
    <t>CABO2_CABO_SHKE_MR_RDATA_RANK1</t>
  </si>
  <si>
    <t>0x12e5848</t>
  </si>
  <si>
    <t>CABO3_CABO_SHKE_MR_RDATA_RANK1</t>
  </si>
  <si>
    <t>0x1165670</t>
  </si>
  <si>
    <t>CABO0_CABO_SHKE_FSW_TASK_CFG_14</t>
  </si>
  <si>
    <t>0x11e5670</t>
  </si>
  <si>
    <t>CABO1_CABO_SHKE_FSW_TASK_CFG_14</t>
  </si>
  <si>
    <t>0x1265670</t>
  </si>
  <si>
    <t>CABO2_CABO_SHKE_FSW_TASK_CFG_14</t>
  </si>
  <si>
    <t>0x12e5670</t>
  </si>
  <si>
    <t>CABO3_CABO_SHKE_FSW_TASK_CFG_14</t>
  </si>
  <si>
    <t>0x1165b04</t>
  </si>
  <si>
    <t>CABO0_CABO_SHKE_BANK_UNAVAIL_STATUS</t>
  </si>
  <si>
    <t>0x11e5b04</t>
  </si>
  <si>
    <t>CABO1_CABO_SHKE_BANK_UNAVAIL_STATUS</t>
  </si>
  <si>
    <t>0x1265b04</t>
  </si>
  <si>
    <t>CABO2_CABO_SHKE_BANK_UNAVAIL_STATUS</t>
  </si>
  <si>
    <t>0x12e5b04</t>
  </si>
  <si>
    <t>CABO3_CABO_SHKE_BANK_UNAVAIL_STATUS</t>
  </si>
  <si>
    <t>0x1165418</t>
  </si>
  <si>
    <t>CABO0_CABO_SHKE_PDT_DIT_MAX_RNK0_BYTE_1</t>
  </si>
  <si>
    <t>0x11e5418</t>
  </si>
  <si>
    <t>CABO1_CABO_SHKE_PDT_DIT_MAX_RNK0_BYTE_1</t>
  </si>
  <si>
    <t>0x1265418</t>
  </si>
  <si>
    <t>CABO2_CABO_SHKE_PDT_DIT_MAX_RNK0_BYTE_1</t>
  </si>
  <si>
    <t>0x12e5418</t>
  </si>
  <si>
    <t>CABO3_CABO_SHKE_PDT_DIT_MAX_RNK0_BYTE_1</t>
  </si>
  <si>
    <t>0x1165664</t>
  </si>
  <si>
    <t>CABO0_CABO_SHKE_FSW_TASK_DEPENDENCY_12</t>
  </si>
  <si>
    <t>0x11e5664</t>
  </si>
  <si>
    <t>CABO1_CABO_SHKE_FSW_TASK_DEPENDENCY_12</t>
  </si>
  <si>
    <t>0x1265664</t>
  </si>
  <si>
    <t>CABO2_CABO_SHKE_FSW_TASK_DEPENDENCY_12</t>
  </si>
  <si>
    <t>0x12e5664</t>
  </si>
  <si>
    <t>CABO3_CABO_SHKE_FSW_TASK_DEPENDENCY_12</t>
  </si>
  <si>
    <t>0x1165920</t>
  </si>
  <si>
    <t>CABO0_CABO_SHKE_RD_BEAT_STATUS</t>
  </si>
  <si>
    <t>0x11e5920</t>
  </si>
  <si>
    <t>CABO1_CABO_SHKE_RD_BEAT_STATUS</t>
  </si>
  <si>
    <t>0x1265920</t>
  </si>
  <si>
    <t>CABO2_CABO_SHKE_RD_BEAT_STATUS</t>
  </si>
  <si>
    <t>0x12e5920</t>
  </si>
  <si>
    <t>CABO3_CABO_SHKE_RD_BEAT_STATUS</t>
  </si>
  <si>
    <t>0x112358c</t>
  </si>
  <si>
    <t>LLCC0_LLCC_TRP_INTERRUPT_1_STATUS</t>
  </si>
  <si>
    <t>0x11a358c</t>
  </si>
  <si>
    <t>LLCC1_LLCC_TRP_INTERRUPT_1_STATUS</t>
  </si>
  <si>
    <t>0x122358c</t>
  </si>
  <si>
    <t>LLCC2_LLCC_TRP_INTERRUPT_1_STATUS</t>
  </si>
  <si>
    <t>0x12a358c</t>
  </si>
  <si>
    <t>LLCC3_LLCC_TRP_INTERRUPT_1_STATUS</t>
  </si>
  <si>
    <t>0x11223a4</t>
  </si>
  <si>
    <t>LLCC0_LLCC_TRP_INTERRUPT_3_STATUS</t>
  </si>
  <si>
    <t>0x11a23a4</t>
  </si>
  <si>
    <t>LLCC1_LLCC_TRP_INTERRUPT_3_STATUS</t>
  </si>
  <si>
    <t>0x12223a4</t>
  </si>
  <si>
    <t>LLCC2_LLCC_TRP_INTERRUPT_3_STATUS</t>
  </si>
  <si>
    <t>0x12a23a4</t>
  </si>
  <si>
    <t>LLCC3_LLCC_TRP_INTERRUPT_3_STATUS</t>
  </si>
  <si>
    <t>0x1122414</t>
  </si>
  <si>
    <t>LLCC0_LLCC_TRP_INTERFACES_STATUS</t>
  </si>
  <si>
    <t>0x11a2414</t>
  </si>
  <si>
    <t>LLCC1_LLCC_TRP_INTERFACES_STATUS</t>
  </si>
  <si>
    <t>0x1222414</t>
  </si>
  <si>
    <t>LLCC2_LLCC_TRP_INTERFACES_STATUS</t>
  </si>
  <si>
    <t>0x12a2414</t>
  </si>
  <si>
    <t>LLCC3_LLCC_TRP_INTERFACES_STATUS</t>
  </si>
  <si>
    <t>0x1122400</t>
  </si>
  <si>
    <t>LLCC0_LLCC_TRP_ET_STATUS</t>
  </si>
  <si>
    <t>0x11a2400</t>
  </si>
  <si>
    <t>LLCC1_LLCC_TRP_ET_STATUS</t>
  </si>
  <si>
    <t>0x1222400</t>
  </si>
  <si>
    <t>LLCC2_LLCC_TRP_ET_STATUS</t>
  </si>
  <si>
    <t>0x12a2400</t>
  </si>
  <si>
    <t>LLCC3_LLCC_TRP_ET_STATUS</t>
  </si>
  <si>
    <t>0x1120480</t>
  </si>
  <si>
    <t>LLCC0_LLCC_TRP_INTERRUPT_0_STATUS</t>
  </si>
  <si>
    <t>0x11a0480</t>
  </si>
  <si>
    <t>LLCC1_LLCC_TRP_INTERRUPT_0_STATUS</t>
  </si>
  <si>
    <t>0x1220480</t>
  </si>
  <si>
    <t>LLCC2_LLCC_TRP_INTERRUPT_0_STATUS</t>
  </si>
  <si>
    <t>0x12a0480</t>
  </si>
  <si>
    <t>LLCC3_LLCC_TRP_INTERRUPT_0_STATUS</t>
  </si>
  <si>
    <t>0x1122398</t>
  </si>
  <si>
    <t>LLCC0_LLCC_TRP_INTERRUPT_2_STATUS</t>
  </si>
  <si>
    <t>0x11a2398</t>
  </si>
  <si>
    <t>LLCC1_LLCC_TRP_INTERRUPT_2_STATUS</t>
  </si>
  <si>
    <t>0x1222398</t>
  </si>
  <si>
    <t>LLCC2_LLCC_TRP_INTERRUPT_2_STATUS</t>
  </si>
  <si>
    <t>0x12a2398</t>
  </si>
  <si>
    <t>LLCC3_LLCC_TRP_INTERRUPT_2_STATUS</t>
  </si>
  <si>
    <t>0x140111c</t>
  </si>
  <si>
    <t>DDRPHY_CH0_DQ0_DDRPHY_CMCDCRD_CTL_CFG</t>
  </si>
  <si>
    <t>0x140211c</t>
  </si>
  <si>
    <t>DDRPHY_CH0_DQ1_DDRPHY_CMCDCRD_CTL_CFG</t>
  </si>
  <si>
    <t>0x140411c</t>
  </si>
  <si>
    <t>DDRPHY_CH1_DQ0_DDRPHY_CMCDCRD_CTL_CFG</t>
  </si>
  <si>
    <t>0x140511c</t>
  </si>
  <si>
    <t>DDRPHY_CH1_DQ1_DDRPHY_CMCDCRD_CTL_CFG</t>
  </si>
  <si>
    <t>0x141111c</t>
  </si>
  <si>
    <t>DDRPHY_CH2_DQ0_DDRPHY_CMCDCRD_CTL_CFG</t>
  </si>
  <si>
    <t>0x141211c</t>
  </si>
  <si>
    <t>DDRPHY_CH2_DQ1_DDRPHY_CMCDCRD_CTL_CFG</t>
  </si>
  <si>
    <t>0x141411c</t>
  </si>
  <si>
    <t>DDRPHY_CH3_DQ0_DDRPHY_CMCDCRD_CTL_CFG</t>
  </si>
  <si>
    <t>0x141511c</t>
  </si>
  <si>
    <t>DDRPHY_CH3_DQ1_DDRPHY_CMCDCRD_CTL_CFG</t>
  </si>
  <si>
    <t>0x1401100</t>
  </si>
  <si>
    <t>DDRPHY_CH0_DQ0_DDRPHY_CMCDCWR_CTL_CFG</t>
  </si>
  <si>
    <t>0x1402100</t>
  </si>
  <si>
    <t>DDRPHY_CH0_DQ1_DDRPHY_CMCDCWR_CTL_CFG</t>
  </si>
  <si>
    <t>0x1404100</t>
  </si>
  <si>
    <t>DDRPHY_CH1_DQ0_DDRPHY_CMCDCWR_CTL_CFG</t>
  </si>
  <si>
    <t>0x1405100</t>
  </si>
  <si>
    <t>DDRPHY_CH1_DQ1_DDRPHY_CMCDCWR_CTL_CFG</t>
  </si>
  <si>
    <t>0x1411100</t>
  </si>
  <si>
    <t>DDRPHY_CH2_DQ0_DDRPHY_CMCDCWR_CTL_CFG</t>
  </si>
  <si>
    <t>0x1412100</t>
  </si>
  <si>
    <t>DDRPHY_CH2_DQ1_DDRPHY_CMCDCWR_CTL_CFG</t>
  </si>
  <si>
    <t>0x1414100</t>
  </si>
  <si>
    <t>DDRPHY_CH3_DQ0_DDRPHY_CMCDCWR_CTL_CFG</t>
  </si>
  <si>
    <t>0x1415100</t>
  </si>
  <si>
    <t>DDRPHY_CH3_DQ1_DDRPHY_CMCDCWR_CTL_CFG</t>
  </si>
  <si>
    <t>0x1401568</t>
  </si>
  <si>
    <t>DDRPHY_CH0_DQ0_DDRPHY_TOPCTRL1EXT_PRFS_6_CFG</t>
  </si>
  <si>
    <t>0x1402568</t>
  </si>
  <si>
    <t>DDRPHY_CH0_DQ1_DDRPHY_TOPCTRL1EXT_PRFS_6_CFG</t>
  </si>
  <si>
    <t>0x1404568</t>
  </si>
  <si>
    <t>DDRPHY_CH1_DQ0_DDRPHY_TOPCTRL1EXT_PRFS_6_CFG</t>
  </si>
  <si>
    <t>0x1405568</t>
  </si>
  <si>
    <t>DDRPHY_CH1_DQ1_DDRPHY_TOPCTRL1EXT_PRFS_6_CFG</t>
  </si>
  <si>
    <t>0x1411568</t>
  </si>
  <si>
    <t>DDRPHY_CH2_DQ0_DDRPHY_TOPCTRL1EXT_PRFS_6_CFG</t>
  </si>
  <si>
    <t>0x1412568</t>
  </si>
  <si>
    <t>DDRPHY_CH2_DQ1_DDRPHY_TOPCTRL1EXT_PRFS_6_CFG</t>
  </si>
  <si>
    <t>0x1414568</t>
  </si>
  <si>
    <t>DDRPHY_CH3_DQ0_DDRPHY_TOPCTRL1EXT_PRFS_6_CFG</t>
  </si>
  <si>
    <t>0x1415568</t>
  </si>
  <si>
    <t>DDRPHY_CH3_DQ1_DDRPHY_TOPCTRL1EXT_PRFS_6_CFG</t>
  </si>
  <si>
    <t>0x140107c</t>
  </si>
  <si>
    <t>DDRPHY_CH0_DQ0_DDRPHY_PAD_GLOBAL_VREF_TRIM_CFG</t>
  </si>
  <si>
    <t>0x140207c</t>
  </si>
  <si>
    <t>DDRPHY_CH0_DQ1_DDRPHY_PAD_GLOBAL_VREF_TRIM_CFG</t>
  </si>
  <si>
    <t>0x140407c</t>
  </si>
  <si>
    <t>DDRPHY_CH1_DQ0_DDRPHY_PAD_GLOBAL_VREF_TRIM_CFG</t>
  </si>
  <si>
    <t>0x140507c</t>
  </si>
  <si>
    <t>DDRPHY_CH1_DQ1_DDRPHY_PAD_GLOBAL_VREF_TRIM_CFG</t>
  </si>
  <si>
    <t>0x141107c</t>
  </si>
  <si>
    <t>DDRPHY_CH2_DQ0_DDRPHY_PAD_GLOBAL_VREF_TRIM_CFG</t>
  </si>
  <si>
    <t>0x141207c</t>
  </si>
  <si>
    <t>DDRPHY_CH2_DQ1_DDRPHY_PAD_GLOBAL_VREF_TRIM_CFG</t>
  </si>
  <si>
    <t>0x141407c</t>
  </si>
  <si>
    <t>DDRPHY_CH3_DQ0_DDRPHY_PAD_GLOBAL_VREF_TRIM_CFG</t>
  </si>
  <si>
    <t>0x141507c</t>
  </si>
  <si>
    <t>DDRPHY_CH3_DQ1_DDRPHY_PAD_GLOBAL_VREF_TRIM_CFG</t>
  </si>
  <si>
    <t>0x11691c0</t>
  </si>
  <si>
    <t>CABO0_CABO_INTERRUPT_RDQS_ERR_ESYN</t>
  </si>
  <si>
    <t>0x11e91c0</t>
  </si>
  <si>
    <t>CABO1_CABO_INTERRUPT_RDQS_ERR_ESYN</t>
  </si>
  <si>
    <t>0x12691c0</t>
  </si>
  <si>
    <t>CABO2_CABO_INTERRUPT_RDQS_ERR_ESYN</t>
  </si>
  <si>
    <t>0x12e91c0</t>
  </si>
  <si>
    <t>CABO3_CABO_INTERRUPT_RDQS_ERR_ESYN</t>
  </si>
  <si>
    <t>0x1169180</t>
  </si>
  <si>
    <t>CABO0_CABO_INTERRUPT_ADDR_DECERR_ESYN_0</t>
  </si>
  <si>
    <t>0x11e9180</t>
  </si>
  <si>
    <t>CABO1_CABO_INTERRUPT_ADDR_DECERR_ESYN_0</t>
  </si>
  <si>
    <t>0x1269180</t>
  </si>
  <si>
    <t>CABO2_CABO_INTERRUPT_ADDR_DECERR_ESYN_0</t>
  </si>
  <si>
    <t>0x12e9180</t>
  </si>
  <si>
    <t>CABO3_CABO_INTERRUPT_ADDR_DECERR_ESYN_0</t>
  </si>
  <si>
    <t>0x1169184</t>
  </si>
  <si>
    <t>CABO0_CABO_INTERRUPT_ADDR_DECERR_ESYN_1</t>
  </si>
  <si>
    <t>0x11e9184</t>
  </si>
  <si>
    <t>CABO1_CABO_INTERRUPT_ADDR_DECERR_ESYN_1</t>
  </si>
  <si>
    <t>0x1269184</t>
  </si>
  <si>
    <t>CABO2_CABO_INTERRUPT_ADDR_DECERR_ESYN_1</t>
  </si>
  <si>
    <t>0x12e9184</t>
  </si>
  <si>
    <t>CABO3_CABO_INTERRUPT_ADDR_DECERR_ESYN_1</t>
  </si>
  <si>
    <t>0x11691e0</t>
  </si>
  <si>
    <t>CABO0_CABO_INTERRUPT_REFRESH_ERR_ESYN</t>
  </si>
  <si>
    <t>0x11e91e0</t>
  </si>
  <si>
    <t>CABO1_CABO_INTERRUPT_REFRESH_ERR_ESYN</t>
  </si>
  <si>
    <t>0x12691e0</t>
  </si>
  <si>
    <t>CABO2_CABO_INTERRUPT_REFRESH_ERR_ESYN</t>
  </si>
  <si>
    <t>0x12e91e0</t>
  </si>
  <si>
    <t>CABO3_CABO_INTERRUPT_REFRESH_ERR_ESYN</t>
  </si>
  <si>
    <t>0x1169100</t>
  </si>
  <si>
    <t>CABO0_CABO_INTERRUPT_INTERRUPT_STATUS_0</t>
  </si>
  <si>
    <t>0x11e9100</t>
  </si>
  <si>
    <t>CABO1_CABO_INTERRUPT_INTERRUPT_STATUS_0</t>
  </si>
  <si>
    <t>0x1269100</t>
  </si>
  <si>
    <t>CABO2_CABO_INTERRUPT_INTERRUPT_STATUS_0</t>
  </si>
  <si>
    <t>0x12e9100</t>
  </si>
  <si>
    <t>CABO3_CABO_INTERRUPT_INTERRUPT_STATUS_0</t>
  </si>
  <si>
    <t>0x1169110</t>
  </si>
  <si>
    <t>CABO0_CABO_INTERRUPT_INTERRUPT_STATUS_1</t>
  </si>
  <si>
    <t>0x11e9110</t>
  </si>
  <si>
    <t>CABO1_CABO_INTERRUPT_INTERRUPT_STATUS_1</t>
  </si>
  <si>
    <t>0x1269110</t>
  </si>
  <si>
    <t>CABO2_CABO_INTERRUPT_INTERRUPT_STATUS_1</t>
  </si>
  <si>
    <t>0x12e9110</t>
  </si>
  <si>
    <t>CABO3_CABO_INTERRUPT_INTERRUPT_STATUS_1</t>
  </si>
  <si>
    <t>0x1169120</t>
  </si>
  <si>
    <t>CABO0_CABO_INTERRUPT_INTERRUPT_STATUS_2</t>
  </si>
  <si>
    <t>0x11e9120</t>
  </si>
  <si>
    <t>CABO1_CABO_INTERRUPT_INTERRUPT_STATUS_2</t>
  </si>
  <si>
    <t>0x1269120</t>
  </si>
  <si>
    <t>CABO2_CABO_INTERRUPT_INTERRUPT_STATUS_2</t>
  </si>
  <si>
    <t>0x12e9120</t>
  </si>
  <si>
    <t>CABO3_CABO_INTERRUPT_INTERRUPT_STATUS_2</t>
  </si>
  <si>
    <t>0x11691a0</t>
  </si>
  <si>
    <t>CABO0_CABO_INTERRUPT_MEM_BUSHANG_ERR_ESYN</t>
  </si>
  <si>
    <t>0x11e91a0</t>
  </si>
  <si>
    <t>CABO1_CABO_INTERRUPT_MEM_BUSHANG_ERR_ESYN</t>
  </si>
  <si>
    <t>0x12691a0</t>
  </si>
  <si>
    <t>CABO2_CABO_INTERRUPT_MEM_BUSHANG_ERR_ESYN</t>
  </si>
  <si>
    <t>0x12e91a0</t>
  </si>
  <si>
    <t>CABO3_CABO_INTERRUPT_MEM_BUSHANG_ERR_ESYN</t>
  </si>
  <si>
    <t>0x114a000</t>
  </si>
  <si>
    <t>LLCC0_LLCC_BEAC_INTERRUPT_0_STATUS</t>
  </si>
  <si>
    <t>0x11ca000</t>
  </si>
  <si>
    <t>LLCC1_LLCC_BEAC_INTERRUPT_0_STATUS</t>
  </si>
  <si>
    <t>0x124a000</t>
  </si>
  <si>
    <t>LLCC2_LLCC_BEAC_INTERRUPT_0_STATUS</t>
  </si>
  <si>
    <t>0x12ca000</t>
  </si>
  <si>
    <t>LLCC3_LLCC_BEAC_INTERRUPT_0_STATUS</t>
  </si>
  <si>
    <t>0x1148048</t>
  </si>
  <si>
    <t>LLCC0_LLCC_BEAC_WR_FL_STATUS0</t>
  </si>
  <si>
    <t>0x11c8048</t>
  </si>
  <si>
    <t>LLCC1_LLCC_BEAC_WR_FL_STATUS0</t>
  </si>
  <si>
    <t>0x1248048</t>
  </si>
  <si>
    <t>LLCC2_LLCC_BEAC_WR_FL_STATUS0</t>
  </si>
  <si>
    <t>0x12c8048</t>
  </si>
  <si>
    <t>LLCC3_LLCC_BEAC_WR_FL_STATUS0</t>
  </si>
  <si>
    <t>0x1148068</t>
  </si>
  <si>
    <t>LLCC0_LLCC_BEAC_IF_CHANNEL_STATUS</t>
  </si>
  <si>
    <t>0x11c8068</t>
  </si>
  <si>
    <t>LLCC1_LLCC_BEAC_IF_CHANNEL_STATUS</t>
  </si>
  <si>
    <t>0x1248068</t>
  </si>
  <si>
    <t>LLCC2_LLCC_BEAC_IF_CHANNEL_STATUS</t>
  </si>
  <si>
    <t>0x12c8068</t>
  </si>
  <si>
    <t>LLCC3_LLCC_BEAC_IF_CHANNEL_STATUS</t>
  </si>
  <si>
    <t>0x114804c</t>
  </si>
  <si>
    <t>LLCC0_LLCC_BEAC_WR_FL_STATUS1</t>
  </si>
  <si>
    <t>0x11c804c</t>
  </si>
  <si>
    <t>LLCC1_LLCC_BEAC_WR_FL_STATUS1</t>
  </si>
  <si>
    <t>0x124804c</t>
  </si>
  <si>
    <t>LLCC2_LLCC_BEAC_WR_FL_STATUS1</t>
  </si>
  <si>
    <t>0x12c804c</t>
  </si>
  <si>
    <t>LLCC3_LLCC_BEAC_WR_FL_STATUS1</t>
  </si>
  <si>
    <t>0x1148064</t>
  </si>
  <si>
    <t>LLCC0_LLCC_BEAC_MSI_CHANNEL_STATUS</t>
  </si>
  <si>
    <t>0x11c8064</t>
  </si>
  <si>
    <t>LLCC1_LLCC_BEAC_MSI_CHANNEL_STATUS</t>
  </si>
  <si>
    <t>0x1248064</t>
  </si>
  <si>
    <t>LLCC2_LLCC_BEAC_MSI_CHANNEL_STATUS</t>
  </si>
  <si>
    <t>0x12c8064</t>
  </si>
  <si>
    <t>LLCC3_LLCC_BEAC_MSI_CHANNEL_STATUS</t>
  </si>
  <si>
    <t>0x1148054</t>
  </si>
  <si>
    <t>LLCC0_LLCC_BEAC_PCT_STATUS1</t>
  </si>
  <si>
    <t>0x11c8054</t>
  </si>
  <si>
    <t>LLCC1_LLCC_BEAC_PCT_STATUS1</t>
  </si>
  <si>
    <t>0x1248054</t>
  </si>
  <si>
    <t>LLCC2_LLCC_BEAC_PCT_STATUS1</t>
  </si>
  <si>
    <t>0x12c8054</t>
  </si>
  <si>
    <t>LLCC3_LLCC_BEAC_PCT_STATUS1</t>
  </si>
  <si>
    <t>0x114805c</t>
  </si>
  <si>
    <t>LLCC0_LLCC_BEAC_CMD_OT_CREDIT_STATUS1</t>
  </si>
  <si>
    <t>0x11c805c</t>
  </si>
  <si>
    <t>LLCC1_LLCC_BEAC_CMD_OT_CREDIT_STATUS1</t>
  </si>
  <si>
    <t>0x124805c</t>
  </si>
  <si>
    <t>LLCC2_LLCC_BEAC_CMD_OT_CREDIT_STATUS1</t>
  </si>
  <si>
    <t>0x12c805c</t>
  </si>
  <si>
    <t>LLCC3_LLCC_BEAC_CMD_OT_CREDIT_STATUS1</t>
  </si>
  <si>
    <t>0x1148050</t>
  </si>
  <si>
    <t>LLCC0_LLCC_BEAC_PCT_STATUS0</t>
  </si>
  <si>
    <t>0x11c8050</t>
  </si>
  <si>
    <t>LLCC1_LLCC_BEAC_PCT_STATUS0</t>
  </si>
  <si>
    <t>0x1248050</t>
  </si>
  <si>
    <t>LLCC2_LLCC_BEAC_PCT_STATUS0</t>
  </si>
  <si>
    <t>0x12c8050</t>
  </si>
  <si>
    <t>LLCC3_LLCC_BEAC_PCT_STATUS0</t>
  </si>
  <si>
    <t>0x114b000</t>
  </si>
  <si>
    <t>LLCC0_LLCC_BEAC_INTERRUPT_1_STATUS</t>
  </si>
  <si>
    <t>0x11cb000</t>
  </si>
  <si>
    <t>LLCC1_LLCC_BEAC_INTERRUPT_1_STATUS</t>
  </si>
  <si>
    <t>0x124b000</t>
  </si>
  <si>
    <t>LLCC2_LLCC_BEAC_INTERRUPT_1_STATUS</t>
  </si>
  <si>
    <t>0x12cb000</t>
  </si>
  <si>
    <t>LLCC3_LLCC_BEAC_INTERRUPT_1_STATUS</t>
  </si>
  <si>
    <t>0x1148060</t>
  </si>
  <si>
    <t>LLCC0_LLCC_BEAC_WR_OT_CREDIT_STATUS</t>
  </si>
  <si>
    <t>0x11c8060</t>
  </si>
  <si>
    <t>LLCC1_LLCC_BEAC_WR_OT_CREDIT_STATUS</t>
  </si>
  <si>
    <t>0x1248060</t>
  </si>
  <si>
    <t>LLCC2_LLCC_BEAC_WR_OT_CREDIT_STATUS</t>
  </si>
  <si>
    <t>0x12c8060</t>
  </si>
  <si>
    <t>LLCC3_LLCC_BEAC_WR_OT_CREDIT_STATUS</t>
  </si>
  <si>
    <t>0x1148058</t>
  </si>
  <si>
    <t>LLCC0_LLCC_BEAC_CMD_OT_CREDIT_STATUS0</t>
  </si>
  <si>
    <t>0x11c8058</t>
  </si>
  <si>
    <t>LLCC1_LLCC_BEAC_CMD_OT_CREDIT_STATUS0</t>
  </si>
  <si>
    <t>0x1248058</t>
  </si>
  <si>
    <t>LLCC2_LLCC_BEAC_CMD_OT_CREDIT_STATUS0</t>
  </si>
  <si>
    <t>0x12c8058</t>
  </si>
  <si>
    <t>LLCC3_LLCC_BEAC_CMD_OT_CREDIT_STATUS0</t>
  </si>
  <si>
    <t>0x1163400</t>
  </si>
  <si>
    <t>CABO0_CABO_MPE_IDLE_STATUS</t>
  </si>
  <si>
    <t>0x11e3400</t>
  </si>
  <si>
    <t>CABO1_CABO_MPE_IDLE_STATUS</t>
  </si>
  <si>
    <t>0x1263400</t>
  </si>
  <si>
    <t>CABO2_CABO_MPE_IDLE_STATUS</t>
  </si>
  <si>
    <t>0x12e3400</t>
  </si>
  <si>
    <t>CABO3_CABO_MPE_IDLE_STATUS</t>
  </si>
  <si>
    <t>0x1163408</t>
  </si>
  <si>
    <t>CABO0_CABO_MPE_HKS_STATUS</t>
  </si>
  <si>
    <t>0x11e3408</t>
  </si>
  <si>
    <t>CABO1_CABO_MPE_HKS_STATUS</t>
  </si>
  <si>
    <t>0x1263408</t>
  </si>
  <si>
    <t>CABO2_CABO_MPE_HKS_STATUS</t>
  </si>
  <si>
    <t>0x12e3408</t>
  </si>
  <si>
    <t>CABO3_CABO_MPE_HKS_STATUS</t>
  </si>
  <si>
    <t>0x1163410</t>
  </si>
  <si>
    <t>CABO0_CABO_MPE_DPC_STATUS</t>
  </si>
  <si>
    <t>0x11e3410</t>
  </si>
  <si>
    <t>CABO1_CABO_MPE_DPC_STATUS</t>
  </si>
  <si>
    <t>0x1263410</t>
  </si>
  <si>
    <t>CABO2_CABO_MPE_DPC_STATUS</t>
  </si>
  <si>
    <t>0x12e3410</t>
  </si>
  <si>
    <t>CABO3_CABO_MPE_DPC_STATUS</t>
  </si>
  <si>
    <t>0x1163404</t>
  </si>
  <si>
    <t>CABO0_CABO_MPE_CMD_STATUS</t>
  </si>
  <si>
    <t>0x11e3404</t>
  </si>
  <si>
    <t>CABO1_CABO_MPE_CMD_STATUS</t>
  </si>
  <si>
    <t>0x1263404</t>
  </si>
  <si>
    <t>CABO2_CABO_MPE_CMD_STATUS</t>
  </si>
  <si>
    <t>0x12e3404</t>
  </si>
  <si>
    <t>CABO3_CABO_MPE_CMD_STATUS</t>
  </si>
  <si>
    <t>0x116340c</t>
  </si>
  <si>
    <t>CABO0_CABO_MPE_APM_STATUS</t>
  </si>
  <si>
    <t>0x11e340c</t>
  </si>
  <si>
    <t>CABO1_CABO_MPE_APM_STATUS</t>
  </si>
  <si>
    <t>0x126340c</t>
  </si>
  <si>
    <t>CABO2_CABO_MPE_APM_STATUS</t>
  </si>
  <si>
    <t>0x12e340c</t>
  </si>
  <si>
    <t>CABO3_CABO_MPE_APM_STATUS</t>
  </si>
  <si>
    <t>0x1166410</t>
  </si>
  <si>
    <t>CABO0_CABO_OSU_TIMESTAMP_STATUS</t>
  </si>
  <si>
    <t>0x11e6410</t>
  </si>
  <si>
    <t>CABO1_CABO_OSU_TIMESTAMP_STATUS</t>
  </si>
  <si>
    <t>0x1266410</t>
  </si>
  <si>
    <t>CABO2_CABO_OSU_TIMESTAMP_STATUS</t>
  </si>
  <si>
    <t>0x12e6410</t>
  </si>
  <si>
    <t>CABO3_CABO_OSU_TIMESTAMP_STATUS</t>
  </si>
  <si>
    <t>0x1166420</t>
  </si>
  <si>
    <t>CABO0_CABO_OSU_PWRS_STATUS</t>
  </si>
  <si>
    <t>0x11e6420</t>
  </si>
  <si>
    <t>CABO1_CABO_OSU_PWRS_STATUS</t>
  </si>
  <si>
    <t>0x1266420</t>
  </si>
  <si>
    <t>CABO2_CABO_OSU_PWRS_STATUS</t>
  </si>
  <si>
    <t>0x12e6420</t>
  </si>
  <si>
    <t>CABO3_CABO_OSU_PWRS_STATUS</t>
  </si>
  <si>
    <t>0x1166418</t>
  </si>
  <si>
    <t>CABO0_CABO_OSU_DQS_FIFO_STATUS</t>
  </si>
  <si>
    <t>0x11e6418</t>
  </si>
  <si>
    <t>CABO1_CABO_OSU_DQS_FIFO_STATUS</t>
  </si>
  <si>
    <t>0x1266418</t>
  </si>
  <si>
    <t>CABO2_CABO_OSU_DQS_FIFO_STATUS</t>
  </si>
  <si>
    <t>0x12e6418</t>
  </si>
  <si>
    <t>CABO3_CABO_OSU_DQS_FIFO_STATUS</t>
  </si>
  <si>
    <t>0x1166400</t>
  </si>
  <si>
    <t>CABO0_CABO_OSU_IDLE_STATUS</t>
  </si>
  <si>
    <t>0x11e6400</t>
  </si>
  <si>
    <t>CABO1_CABO_OSU_IDLE_STATUS</t>
  </si>
  <si>
    <t>0x1266400</t>
  </si>
  <si>
    <t>CABO2_CABO_OSU_IDLE_STATUS</t>
  </si>
  <si>
    <t>0x12e6400</t>
  </si>
  <si>
    <t>CABO3_CABO_OSU_IDLE_STATUS</t>
  </si>
  <si>
    <t>0x1164834</t>
  </si>
  <si>
    <t>CABO0_CABO_DTC_RANK_TIMING_CFG_TRRD_ACT</t>
  </si>
  <si>
    <t>0x11e4834</t>
  </si>
  <si>
    <t>CABO1_CABO_DTC_RANK_TIMING_CFG_TRRD_ACT</t>
  </si>
  <si>
    <t>0x1264834</t>
  </si>
  <si>
    <t>CABO2_CABO_DTC_RANK_TIMING_CFG_TRRD_ACT</t>
  </si>
  <si>
    <t>0x12e4834</t>
  </si>
  <si>
    <t>CABO3_CABO_DTC_RANK_TIMING_CFG_TRRD_ACT</t>
  </si>
  <si>
    <t>0x116483c</t>
  </si>
  <si>
    <t>CABO0_CABO_DTC_RANK_TIMING_CFG_TXSR_ABORT_ACT</t>
  </si>
  <si>
    <t>0x11e483c</t>
  </si>
  <si>
    <t>CABO1_CABO_DTC_RANK_TIMING_CFG_TXSR_ABORT_ACT</t>
  </si>
  <si>
    <t>0x126483c</t>
  </si>
  <si>
    <t>CABO2_CABO_DTC_RANK_TIMING_CFG_TXSR_ABORT_ACT</t>
  </si>
  <si>
    <t>0x12e483c</t>
  </si>
  <si>
    <t>CABO3_CABO_DTC_RANK_TIMING_CFG_TXSR_ABORT_ACT</t>
  </si>
  <si>
    <t>0x1164a10</t>
  </si>
  <si>
    <t>CABO0_CABO_DTC_COL_TIMING_CFG_TODTOFF_MAX_ACT</t>
  </si>
  <si>
    <t>0x11e4a10</t>
  </si>
  <si>
    <t>CABO1_CABO_DTC_COL_TIMING_CFG_TODTOFF_MAX_ACT</t>
  </si>
  <si>
    <t>0x1264a10</t>
  </si>
  <si>
    <t>CABO2_CABO_DTC_COL_TIMING_CFG_TODTOFF_MAX_ACT</t>
  </si>
  <si>
    <t>0x12e4a10</t>
  </si>
  <si>
    <t>CABO3_CABO_DTC_COL_TIMING_CFG_TODTOFF_MAX_ACT</t>
  </si>
  <si>
    <t>0x1164b04</t>
  </si>
  <si>
    <t>CABO0_CABO_DTC_PD_TIMING_CFG_TCKE_ACT</t>
  </si>
  <si>
    <t>0x11e4b04</t>
  </si>
  <si>
    <t>CABO1_CABO_DTC_PD_TIMING_CFG_TCKE_ACT</t>
  </si>
  <si>
    <t>0x1264b04</t>
  </si>
  <si>
    <t>CABO2_CABO_DTC_PD_TIMING_CFG_TCKE_ACT</t>
  </si>
  <si>
    <t>0x12e4b04</t>
  </si>
  <si>
    <t>CABO3_CABO_DTC_PD_TIMING_CFG_TCKE_ACT</t>
  </si>
  <si>
    <t>0x1164c00</t>
  </si>
  <si>
    <t>CABO0_CABO_DTC_SHKE_TIMING_CFG_TFC_ACT</t>
  </si>
  <si>
    <t>0x11e4c00</t>
  </si>
  <si>
    <t>CABO1_CABO_DTC_SHKE_TIMING_CFG_TFC_ACT</t>
  </si>
  <si>
    <t>0x1264c00</t>
  </si>
  <si>
    <t>CABO2_CABO_DTC_SHKE_TIMING_CFG_TFC_ACT</t>
  </si>
  <si>
    <t>0x12e4c00</t>
  </si>
  <si>
    <t>CABO3_CABO_DTC_SHKE_TIMING_CFG_TFC_ACT</t>
  </si>
  <si>
    <t>0x1164a14</t>
  </si>
  <si>
    <t>CABO0_CABO_DTC_COL_TIMING_CFG_TODTOFF_MIN_ACT</t>
  </si>
  <si>
    <t>0x11e4a14</t>
  </si>
  <si>
    <t>CABO1_CABO_DTC_COL_TIMING_CFG_TODTOFF_MIN_ACT</t>
  </si>
  <si>
    <t>0x1264a14</t>
  </si>
  <si>
    <t>CABO2_CABO_DTC_COL_TIMING_CFG_TODTOFF_MIN_ACT</t>
  </si>
  <si>
    <t>0x12e4a14</t>
  </si>
  <si>
    <t>CABO3_CABO_DTC_COL_TIMING_CFG_TODTOFF_MIN_ACT</t>
  </si>
  <si>
    <t>0x1164a2c</t>
  </si>
  <si>
    <t>CABO0_CABO_DTC_COL_TIMING_CFG_TWTMRW_ACT</t>
  </si>
  <si>
    <t>0x11e4a2c</t>
  </si>
  <si>
    <t>CABO1_CABO_DTC_COL_TIMING_CFG_TWTMRW_ACT</t>
  </si>
  <si>
    <t>0x1264a2c</t>
  </si>
  <si>
    <t>CABO2_CABO_DTC_COL_TIMING_CFG_TWTMRW_ACT</t>
  </si>
  <si>
    <t>0x12e4a2c</t>
  </si>
  <si>
    <t>CABO3_CABO_DTC_COL_TIMING_CFG_TWTMRW_ACT</t>
  </si>
  <si>
    <t>0x1164808</t>
  </si>
  <si>
    <t>CABO0_CABO_DTC_RANK_TIMING_CFG_TMRR_ACT</t>
  </si>
  <si>
    <t>0x11e4808</t>
  </si>
  <si>
    <t>CABO1_CABO_DTC_RANK_TIMING_CFG_TMRR_ACT</t>
  </si>
  <si>
    <t>0x1264808</t>
  </si>
  <si>
    <t>CABO2_CABO_DTC_RANK_TIMING_CFG_TMRR_ACT</t>
  </si>
  <si>
    <t>0x12e4808</t>
  </si>
  <si>
    <t>CABO3_CABO_DTC_RANK_TIMING_CFG_TMRR_ACT</t>
  </si>
  <si>
    <t>0x1164b08</t>
  </si>
  <si>
    <t>CABO0_CABO_DTC_PD_TIMING_CFG_TCKELCK_ACT</t>
  </si>
  <si>
    <t>0x11e4b08</t>
  </si>
  <si>
    <t>CABO1_CABO_DTC_PD_TIMING_CFG_TCKELCK_ACT</t>
  </si>
  <si>
    <t>0x1264b08</t>
  </si>
  <si>
    <t>CABO2_CABO_DTC_PD_TIMING_CFG_TCKELCK_ACT</t>
  </si>
  <si>
    <t>0x12e4b08</t>
  </si>
  <si>
    <t>CABO3_CABO_DTC_PD_TIMING_CFG_TCKELCK_ACT</t>
  </si>
  <si>
    <t>0x1164904</t>
  </si>
  <si>
    <t>CABO0_CABO_DTC_BANK_TIMING_CFG_TRCD_ACT</t>
  </si>
  <si>
    <t>0x11e4904</t>
  </si>
  <si>
    <t>CABO1_CABO_DTC_BANK_TIMING_CFG_TRCD_ACT</t>
  </si>
  <si>
    <t>0x1264904</t>
  </si>
  <si>
    <t>CABO2_CABO_DTC_BANK_TIMING_CFG_TRCD_ACT</t>
  </si>
  <si>
    <t>0x12e4904</t>
  </si>
  <si>
    <t>CABO3_CABO_DTC_BANK_TIMING_CFG_TRCD_ACT</t>
  </si>
  <si>
    <t>0x1164b14</t>
  </si>
  <si>
    <t>CABO0_CABO_DTC_PD_TIMING_CFG_TXP_ACT</t>
  </si>
  <si>
    <t>0x11e4b14</t>
  </si>
  <si>
    <t>CABO1_CABO_DTC_PD_TIMING_CFG_TXP_ACT</t>
  </si>
  <si>
    <t>0x1264b14</t>
  </si>
  <si>
    <t>CABO2_CABO_DTC_PD_TIMING_CFG_TXP_ACT</t>
  </si>
  <si>
    <t>0x12e4b14</t>
  </si>
  <si>
    <t>CABO3_CABO_DTC_PD_TIMING_CFG_TXP_ACT</t>
  </si>
  <si>
    <t>0x1164910</t>
  </si>
  <si>
    <t>CABO0_CABO_DTC_BANK_TIMING_CFG_TWR_ACT</t>
  </si>
  <si>
    <t>0x11e4910</t>
  </si>
  <si>
    <t>CABO1_CABO_DTC_BANK_TIMING_CFG_TWR_ACT</t>
  </si>
  <si>
    <t>0x1264910</t>
  </si>
  <si>
    <t>CABO2_CABO_DTC_BANK_TIMING_CFG_TWR_ACT</t>
  </si>
  <si>
    <t>0x12e4910</t>
  </si>
  <si>
    <t>CABO3_CABO_DTC_BANK_TIMING_CFG_TWR_ACT</t>
  </si>
  <si>
    <t>0x1164c0c</t>
  </si>
  <si>
    <t>CABO0_CABO_DTC_SHKE_TIMING_CFG_TVRCG_EN_ACT</t>
  </si>
  <si>
    <t>0x11e4c0c</t>
  </si>
  <si>
    <t>CABO1_CABO_DTC_SHKE_TIMING_CFG_TVRCG_EN_ACT</t>
  </si>
  <si>
    <t>0x1264c0c</t>
  </si>
  <si>
    <t>CABO2_CABO_DTC_SHKE_TIMING_CFG_TVRCG_EN_ACT</t>
  </si>
  <si>
    <t>0x12e4c0c</t>
  </si>
  <si>
    <t>CABO3_CABO_DTC_SHKE_TIMING_CFG_TVRCG_EN_ACT</t>
  </si>
  <si>
    <t>0x1164830</t>
  </si>
  <si>
    <t>CABO0_CABO_DTC_RANK_TIMING_CFG_TRP_AB_ACT</t>
  </si>
  <si>
    <t>0x11e4830</t>
  </si>
  <si>
    <t>CABO1_CABO_DTC_RANK_TIMING_CFG_TRP_AB_ACT</t>
  </si>
  <si>
    <t>0x1264830</t>
  </si>
  <si>
    <t>CABO2_CABO_DTC_RANK_TIMING_CFG_TRP_AB_ACT</t>
  </si>
  <si>
    <t>0x12e4830</t>
  </si>
  <si>
    <t>CABO3_CABO_DTC_RANK_TIMING_CFG_TRP_AB_ACT</t>
  </si>
  <si>
    <t>0x1164814</t>
  </si>
  <si>
    <t>CABO0_CABO_DTC_RANK_TIMING_CFG_TRFC_AB_ACT_1</t>
  </si>
  <si>
    <t>0x11e4814</t>
  </si>
  <si>
    <t>CABO1_CABO_DTC_RANK_TIMING_CFG_TRFC_AB_ACT_1</t>
  </si>
  <si>
    <t>0x1264814</t>
  </si>
  <si>
    <t>CABO2_CABO_DTC_RANK_TIMING_CFG_TRFC_AB_ACT_1</t>
  </si>
  <si>
    <t>0x12e4814</t>
  </si>
  <si>
    <t>CABO3_CABO_DTC_RANK_TIMING_CFG_TRFC_AB_ACT_1</t>
  </si>
  <si>
    <t>0x1164a30</t>
  </si>
  <si>
    <t>CABO0_CABO_DTC_COL_TIMING_CFG_TWTR_ACT</t>
  </si>
  <si>
    <t>0x11e4a30</t>
  </si>
  <si>
    <t>CABO1_CABO_DTC_COL_TIMING_CFG_TWTR_ACT</t>
  </si>
  <si>
    <t>0x1264a30</t>
  </si>
  <si>
    <t>CABO2_CABO_DTC_COL_TIMING_CFG_TWTR_ACT</t>
  </si>
  <si>
    <t>0x12e4a30</t>
  </si>
  <si>
    <t>CABO3_CABO_DTC_COL_TIMING_CFG_TWTR_ACT</t>
  </si>
  <si>
    <t>0x1164b0c</t>
  </si>
  <si>
    <t>CABO0_CABO_DTC_PD_TIMING_CFG_TCMDCKE_ACT</t>
  </si>
  <si>
    <t>0x11e4b0c</t>
  </si>
  <si>
    <t>CABO1_CABO_DTC_PD_TIMING_CFG_TCMDCKE_ACT</t>
  </si>
  <si>
    <t>0x1264b0c</t>
  </si>
  <si>
    <t>CABO2_CABO_DTC_PD_TIMING_CFG_TCMDCKE_ACT</t>
  </si>
  <si>
    <t>0x12e4b0c</t>
  </si>
  <si>
    <t>CABO3_CABO_DTC_PD_TIMING_CFG_TCMDCKE_ACT</t>
  </si>
  <si>
    <t>0x1164900</t>
  </si>
  <si>
    <t>CABO0_CABO_DTC_BANK_TIMING_CFG_TRASMIN_ACT</t>
  </si>
  <si>
    <t>0x11e4900</t>
  </si>
  <si>
    <t>CABO1_CABO_DTC_BANK_TIMING_CFG_TRASMIN_ACT</t>
  </si>
  <si>
    <t>0x1264900</t>
  </si>
  <si>
    <t>CABO2_CABO_DTC_BANK_TIMING_CFG_TRASMIN_ACT</t>
  </si>
  <si>
    <t>0x12e4900</t>
  </si>
  <si>
    <t>CABO3_CABO_DTC_BANK_TIMING_CFG_TRASMIN_ACT</t>
  </si>
  <si>
    <t>0x1164a24</t>
  </si>
  <si>
    <t>CABO0_CABO_DTC_COL_TIMING_CFG_TRTRRD_ACT</t>
  </si>
  <si>
    <t>0x11e4a24</t>
  </si>
  <si>
    <t>CABO1_CABO_DTC_COL_TIMING_CFG_TRTRRD_ACT</t>
  </si>
  <si>
    <t>0x1264a24</t>
  </si>
  <si>
    <t>CABO2_CABO_DTC_COL_TIMING_CFG_TRTRRD_ACT</t>
  </si>
  <si>
    <t>0x12e4a24</t>
  </si>
  <si>
    <t>CABO3_CABO_DTC_COL_TIMING_CFG_TRTRRD_ACT</t>
  </si>
  <si>
    <t>0x1164b10</t>
  </si>
  <si>
    <t>CABO0_CABO_DTC_PD_TIMING_CFG_TMRWCKEL_ACT</t>
  </si>
  <si>
    <t>0x11e4b10</t>
  </si>
  <si>
    <t>CABO1_CABO_DTC_PD_TIMING_CFG_TMRWCKEL_ACT</t>
  </si>
  <si>
    <t>0x1264b10</t>
  </si>
  <si>
    <t>CABO2_CABO_DTC_PD_TIMING_CFG_TMRWCKEL_ACT</t>
  </si>
  <si>
    <t>0x12e4b10</t>
  </si>
  <si>
    <t>CABO3_CABO_DTC_PD_TIMING_CFG_TMRWCKEL_ACT</t>
  </si>
  <si>
    <t>0x1164a08</t>
  </si>
  <si>
    <t>CABO0_CABO_DTC_COL_TIMING_CFG_TDQSCKMAX_ACT</t>
  </si>
  <si>
    <t>0x11e4a08</t>
  </si>
  <si>
    <t>CABO1_CABO_DTC_COL_TIMING_CFG_TDQSCKMAX_ACT</t>
  </si>
  <si>
    <t>0x1264a08</t>
  </si>
  <si>
    <t>CABO2_CABO_DTC_COL_TIMING_CFG_TDQSCKMAX_ACT</t>
  </si>
  <si>
    <t>0x12e4a08</t>
  </si>
  <si>
    <t>CABO3_CABO_DTC_COL_TIMING_CFG_TDQSCKMAX_ACT</t>
  </si>
  <si>
    <t>0x1164840</t>
  </si>
  <si>
    <t>CABO0_CABO_DTC_RANK_TIMING_CFG_TZQLAT_ACT</t>
  </si>
  <si>
    <t>0x11e4840</t>
  </si>
  <si>
    <t>CABO1_CABO_DTC_RANK_TIMING_CFG_TZQLAT_ACT</t>
  </si>
  <si>
    <t>0x1264840</t>
  </si>
  <si>
    <t>CABO2_CABO_DTC_RANK_TIMING_CFG_TZQLAT_ACT</t>
  </si>
  <si>
    <t>0x12e4840</t>
  </si>
  <si>
    <t>CABO3_CABO_DTC_RANK_TIMING_CFG_TZQLAT_ACT</t>
  </si>
  <si>
    <t>0x1164908</t>
  </si>
  <si>
    <t>CABO0_CABO_DTC_BANK_TIMING_CFG_TRP_PB_ACT</t>
  </si>
  <si>
    <t>0x11e4908</t>
  </si>
  <si>
    <t>CABO1_CABO_DTC_BANK_TIMING_CFG_TRP_PB_ACT</t>
  </si>
  <si>
    <t>0x1264908</t>
  </si>
  <si>
    <t>CABO2_CABO_DTC_BANK_TIMING_CFG_TRP_PB_ACT</t>
  </si>
  <si>
    <t>0x12e4908</t>
  </si>
  <si>
    <t>CABO3_CABO_DTC_BANK_TIMING_CFG_TRP_PB_ACT</t>
  </si>
  <si>
    <t>0x1164a0c</t>
  </si>
  <si>
    <t>CABO0_CABO_DTC_COL_TIMING_CFG_TDQSCKMIN_ACT</t>
  </si>
  <si>
    <t>0x11e4a0c</t>
  </si>
  <si>
    <t>CABO1_CABO_DTC_COL_TIMING_CFG_TDQSCKMIN_ACT</t>
  </si>
  <si>
    <t>0x1264a0c</t>
  </si>
  <si>
    <t>CABO2_CABO_DTC_COL_TIMING_CFG_TDQSCKMIN_ACT</t>
  </si>
  <si>
    <t>0x12e4a0c</t>
  </si>
  <si>
    <t>CABO3_CABO_DTC_COL_TIMING_CFG_TDQSCKMIN_ACT</t>
  </si>
  <si>
    <t>0x1164820</t>
  </si>
  <si>
    <t>CABO0_CABO_DTC_RANK_TIMING_CFG_TRFC_PB_ACT_0</t>
  </si>
  <si>
    <t>0x11e4820</t>
  </si>
  <si>
    <t>CABO1_CABO_DTC_RANK_TIMING_CFG_TRFC_PB_ACT_0</t>
  </si>
  <si>
    <t>0x1264820</t>
  </si>
  <si>
    <t>CABO2_CABO_DTC_RANK_TIMING_CFG_TRFC_PB_ACT_0</t>
  </si>
  <si>
    <t>0x12e4820</t>
  </si>
  <si>
    <t>CABO3_CABO_DTC_RANK_TIMING_CFG_TRFC_PB_ACT_0</t>
  </si>
  <si>
    <t>0x1164804</t>
  </si>
  <si>
    <t>CABO0_CABO_DTC_RANK_TIMING_CFG_TMRD_ACT</t>
  </si>
  <si>
    <t>0x11e4804</t>
  </si>
  <si>
    <t>CABO1_CABO_DTC_RANK_TIMING_CFG_TMRD_ACT</t>
  </si>
  <si>
    <t>0x1264804</t>
  </si>
  <si>
    <t>CABO2_CABO_DTC_RANK_TIMING_CFG_TMRD_ACT</t>
  </si>
  <si>
    <t>0x12e4804</t>
  </si>
  <si>
    <t>CABO3_CABO_DTC_RANK_TIMING_CFG_TMRD_ACT</t>
  </si>
  <si>
    <t>0x116480c</t>
  </si>
  <si>
    <t>CABO0_CABO_DTC_RANK_TIMING_CFG_TMRW_ACT</t>
  </si>
  <si>
    <t>0x11e480c</t>
  </si>
  <si>
    <t>CABO1_CABO_DTC_RANK_TIMING_CFG_TMRW_ACT</t>
  </si>
  <si>
    <t>0x126480c</t>
  </si>
  <si>
    <t>CABO2_CABO_DTC_RANK_TIMING_CFG_TMRW_ACT</t>
  </si>
  <si>
    <t>0x12e480c</t>
  </si>
  <si>
    <t>CABO3_CABO_DTC_RANK_TIMING_CFG_TMRW_ACT</t>
  </si>
  <si>
    <t>0x1164b00</t>
  </si>
  <si>
    <t>CABO0_CABO_DTC_PD_TIMING_CFG_TCKCKEH_ACT</t>
  </si>
  <si>
    <t>0x11e4b00</t>
  </si>
  <si>
    <t>CABO1_CABO_DTC_PD_TIMING_CFG_TCKCKEH_ACT</t>
  </si>
  <si>
    <t>0x1264b00</t>
  </si>
  <si>
    <t>CABO2_CABO_DTC_PD_TIMING_CFG_TCKCKEH_ACT</t>
  </si>
  <si>
    <t>0x12e4b00</t>
  </si>
  <si>
    <t>CABO3_CABO_DTC_PD_TIMING_CFG_TCKCKEH_ACT</t>
  </si>
  <si>
    <t>0x1164a00</t>
  </si>
  <si>
    <t>CABO0_CABO_DTC_COL_TIMING_CFG_RDAW_ACT</t>
  </si>
  <si>
    <t>0x11e4a00</t>
  </si>
  <si>
    <t>CABO1_CABO_DTC_COL_TIMING_CFG_RDAW_ACT</t>
  </si>
  <si>
    <t>0x1264a00</t>
  </si>
  <si>
    <t>CABO2_CABO_DTC_COL_TIMING_CFG_RDAW_ACT</t>
  </si>
  <si>
    <t>0x12e4a00</t>
  </si>
  <si>
    <t>CABO3_CABO_DTC_COL_TIMING_CFG_RDAW_ACT</t>
  </si>
  <si>
    <t>0x116490c</t>
  </si>
  <si>
    <t>CABO0_CABO_DTC_BANK_TIMING_CFG_TRTP_ACT</t>
  </si>
  <si>
    <t>0x11e490c</t>
  </si>
  <si>
    <t>CABO1_CABO_DTC_BANK_TIMING_CFG_TRTP_ACT</t>
  </si>
  <si>
    <t>0x126490c</t>
  </si>
  <si>
    <t>CABO2_CABO_DTC_BANK_TIMING_CFG_TRTP_ACT</t>
  </si>
  <si>
    <t>0x12e490c</t>
  </si>
  <si>
    <t>CABO3_CABO_DTC_BANK_TIMING_CFG_TRTP_ACT</t>
  </si>
  <si>
    <t>0x1164a20</t>
  </si>
  <si>
    <t>CABO0_CABO_DTC_COL_TIMING_CFG_TRTMRW_ACT</t>
  </si>
  <si>
    <t>0x11e4a20</t>
  </si>
  <si>
    <t>CABO1_CABO_DTC_COL_TIMING_CFG_TRTMRW_ACT</t>
  </si>
  <si>
    <t>0x1264a20</t>
  </si>
  <si>
    <t>CABO2_CABO_DTC_COL_TIMING_CFG_TRTMRW_ACT</t>
  </si>
  <si>
    <t>0x12e4a20</t>
  </si>
  <si>
    <t>CABO3_CABO_DTC_COL_TIMING_CFG_TRTMRW_ACT</t>
  </si>
  <si>
    <t>0x1164c08</t>
  </si>
  <si>
    <t>CABO0_CABO_DTC_SHKE_TIMING_CFG_TVRCG_DIS_ACT</t>
  </si>
  <si>
    <t>0x11e4c08</t>
  </si>
  <si>
    <t>CABO1_CABO_DTC_SHKE_TIMING_CFG_TVRCG_DIS_ACT</t>
  </si>
  <si>
    <t>0x1264c08</t>
  </si>
  <si>
    <t>CABO2_CABO_DTC_SHKE_TIMING_CFG_TVRCG_DIS_ACT</t>
  </si>
  <si>
    <t>0x12e4c08</t>
  </si>
  <si>
    <t>CABO3_CABO_DTC_SHKE_TIMING_CFG_TVRCG_DIS_ACT</t>
  </si>
  <si>
    <t>0x1164a1c</t>
  </si>
  <si>
    <t>CABO0_CABO_DTC_COL_TIMING_CFG_TODTON_MIN_ACT</t>
  </si>
  <si>
    <t>0x11e4a1c</t>
  </si>
  <si>
    <t>CABO1_CABO_DTC_COL_TIMING_CFG_TODTON_MIN_ACT</t>
  </si>
  <si>
    <t>0x1264a1c</t>
  </si>
  <si>
    <t>CABO2_CABO_DTC_COL_TIMING_CFG_TODTON_MIN_ACT</t>
  </si>
  <si>
    <t>0x12e4a1c</t>
  </si>
  <si>
    <t>CABO3_CABO_DTC_COL_TIMING_CFG_TODTON_MIN_ACT</t>
  </si>
  <si>
    <t>0x1164838</t>
  </si>
  <si>
    <t>CABO0_CABO_DTC_RANK_TIMING_CFG_TXSR_ACT</t>
  </si>
  <si>
    <t>0x11e4838</t>
  </si>
  <si>
    <t>CABO1_CABO_DTC_RANK_TIMING_CFG_TXSR_ACT</t>
  </si>
  <si>
    <t>0x1264838</t>
  </si>
  <si>
    <t>CABO2_CABO_DTC_RANK_TIMING_CFG_TXSR_ACT</t>
  </si>
  <si>
    <t>0x12e4838</t>
  </si>
  <si>
    <t>CABO3_CABO_DTC_RANK_TIMING_CFG_TXSR_ACT</t>
  </si>
  <si>
    <t>0x1164a28</t>
  </si>
  <si>
    <t>CABO0_CABO_DTC_COL_TIMING_CFG_TWRWTR_ACT</t>
  </si>
  <si>
    <t>0x11e4a28</t>
  </si>
  <si>
    <t>CABO1_CABO_DTC_COL_TIMING_CFG_TWRWTR_ACT</t>
  </si>
  <si>
    <t>0x1264a28</t>
  </si>
  <si>
    <t>CABO2_CABO_DTC_COL_TIMING_CFG_TWRWTR_ACT</t>
  </si>
  <si>
    <t>0x12e4a28</t>
  </si>
  <si>
    <t>CABO3_CABO_DTC_COL_TIMING_CFG_TWRWTR_ACT</t>
  </si>
  <si>
    <t>0x1164800</t>
  </si>
  <si>
    <t>CABO0_CABO_DTC_RANK_TIMING_CFG_TFAW_ACT</t>
  </si>
  <si>
    <t>0x11e4800</t>
  </si>
  <si>
    <t>CABO1_CABO_DTC_RANK_TIMING_CFG_TFAW_ACT</t>
  </si>
  <si>
    <t>0x1264800</t>
  </si>
  <si>
    <t>CABO2_CABO_DTC_RANK_TIMING_CFG_TFAW_ACT</t>
  </si>
  <si>
    <t>0x12e4800</t>
  </si>
  <si>
    <t>CABO3_CABO_DTC_RANK_TIMING_CFG_TFAW_ACT</t>
  </si>
  <si>
    <t>0x1164c04</t>
  </si>
  <si>
    <t>CABO0_CABO_DTC_SHKE_TIMING_CFG_TSR_ACT</t>
  </si>
  <si>
    <t>0x11e4c04</t>
  </si>
  <si>
    <t>CABO1_CABO_DTC_SHKE_TIMING_CFG_TSR_ACT</t>
  </si>
  <si>
    <t>0x1264c04</t>
  </si>
  <si>
    <t>CABO2_CABO_DTC_SHKE_TIMING_CFG_TSR_ACT</t>
  </si>
  <si>
    <t>0x12e4c04</t>
  </si>
  <si>
    <t>CABO3_CABO_DTC_SHKE_TIMING_CFG_TSR_ACT</t>
  </si>
  <si>
    <t>0x1164824</t>
  </si>
  <si>
    <t>CABO0_CABO_DTC_RANK_TIMING_CFG_TRFC_PB_ACT_1</t>
  </si>
  <si>
    <t>0x11e4824</t>
  </si>
  <si>
    <t>CABO1_CABO_DTC_RANK_TIMING_CFG_TRFC_PB_ACT_1</t>
  </si>
  <si>
    <t>0x1264824</t>
  </si>
  <si>
    <t>CABO2_CABO_DTC_RANK_TIMING_CFG_TRFC_PB_ACT_1</t>
  </si>
  <si>
    <t>0x12e4824</t>
  </si>
  <si>
    <t>CABO3_CABO_DTC_RANK_TIMING_CFG_TRFC_PB_ACT_1</t>
  </si>
  <si>
    <t>0x1164a04</t>
  </si>
  <si>
    <t>CABO0_CABO_DTC_COL_TIMING_CFG_TDQS2DQ_MAX_ACT</t>
  </si>
  <si>
    <t>0x11e4a04</t>
  </si>
  <si>
    <t>CABO1_CABO_DTC_COL_TIMING_CFG_TDQS2DQ_MAX_ACT</t>
  </si>
  <si>
    <t>0x1264a04</t>
  </si>
  <si>
    <t>CABO2_CABO_DTC_COL_TIMING_CFG_TDQS2DQ_MAX_ACT</t>
  </si>
  <si>
    <t>0x12e4a04</t>
  </si>
  <si>
    <t>CABO3_CABO_DTC_COL_TIMING_CFG_TDQS2DQ_MAX_ACT</t>
  </si>
  <si>
    <t>0x1164a18</t>
  </si>
  <si>
    <t>CABO0_CABO_DTC_COL_TIMING_CFG_TODTON_MAX_ACT</t>
  </si>
  <si>
    <t>0x11e4a18</t>
  </si>
  <si>
    <t>CABO1_CABO_DTC_COL_TIMING_CFG_TODTON_MAX_ACT</t>
  </si>
  <si>
    <t>0x1264a18</t>
  </si>
  <si>
    <t>CABO2_CABO_DTC_COL_TIMING_CFG_TODTON_MAX_ACT</t>
  </si>
  <si>
    <t>0x12e4a18</t>
  </si>
  <si>
    <t>CABO3_CABO_DTC_COL_TIMING_CFG_TODTON_MAX_ACT</t>
  </si>
  <si>
    <t>0x1164810</t>
  </si>
  <si>
    <t>CABO0_CABO_DTC_RANK_TIMING_CFG_TRFC_AB_ACT_0</t>
  </si>
  <si>
    <t>0x11e4810</t>
  </si>
  <si>
    <t>CABO1_CABO_DTC_RANK_TIMING_CFG_TRFC_AB_ACT_0</t>
  </si>
  <si>
    <t>0x1264810</t>
  </si>
  <si>
    <t>CABO2_CABO_DTC_RANK_TIMING_CFG_TRFC_AB_ACT_0</t>
  </si>
  <si>
    <t>0x12e4810</t>
  </si>
  <si>
    <t>CABO3_CABO_DTC_RANK_TIMING_CFG_TRFC_AB_ACT_0</t>
  </si>
  <si>
    <t>0x1160400</t>
  </si>
  <si>
    <t>CABO0_CABO_GLOBAL_IDLE_STATUS</t>
  </si>
  <si>
    <t>0x11e0400</t>
  </si>
  <si>
    <t>CABO1_CABO_GLOBAL_IDLE_STATUS</t>
  </si>
  <si>
    <t>0x1260400</t>
  </si>
  <si>
    <t>CABO2_CABO_GLOBAL_IDLE_STATUS</t>
  </si>
  <si>
    <t>0x12e0400</t>
  </si>
  <si>
    <t>CABO3_CABO_GLOBAL_IDLE_STATUS</t>
  </si>
  <si>
    <t>0x116003c</t>
  </si>
  <si>
    <t>CABO0_CABO_GLOBAL_CONFIGURATION_INFO_3</t>
  </si>
  <si>
    <t>0x11e003c</t>
  </si>
  <si>
    <t>CABO1_CABO_GLOBAL_CONFIGURATION_INFO_3</t>
  </si>
  <si>
    <t>0x126003c</t>
  </si>
  <si>
    <t>CABO2_CABO_GLOBAL_CONFIGURATION_INFO_3</t>
  </si>
  <si>
    <t>0x12e003c</t>
  </si>
  <si>
    <t>CABO3_CABO_GLOBAL_CONFIGURATION_INFO_3</t>
  </si>
  <si>
    <t>0x11604b8</t>
  </si>
  <si>
    <t>CABO0_CABO_GLOBAL_SHKE_FSW_STATUS</t>
  </si>
  <si>
    <t>0x11e04b8</t>
  </si>
  <si>
    <t>CABO1_CABO_GLOBAL_SHKE_FSW_STATUS</t>
  </si>
  <si>
    <t>0x12604b8</t>
  </si>
  <si>
    <t>CABO2_CABO_GLOBAL_SHKE_FSW_STATUS</t>
  </si>
  <si>
    <t>0x12e04b8</t>
  </si>
  <si>
    <t>CABO3_CABO_GLOBAL_SHKE_FSW_STATUS</t>
  </si>
  <si>
    <t>0x1160410</t>
  </si>
  <si>
    <t>CABO0_CABO_GLOBAL_ISU_ACH_STATUS</t>
  </si>
  <si>
    <t>0x11e0410</t>
  </si>
  <si>
    <t>CABO1_CABO_GLOBAL_ISU_ACH_STATUS</t>
  </si>
  <si>
    <t>0x1260410</t>
  </si>
  <si>
    <t>CABO2_CABO_GLOBAL_ISU_ACH_STATUS</t>
  </si>
  <si>
    <t>0x12e0410</t>
  </si>
  <si>
    <t>CABO3_CABO_GLOBAL_ISU_ACH_STATUS</t>
  </si>
  <si>
    <t>0x11604a0</t>
  </si>
  <si>
    <t>CABO0_CABO_GLOBAL_MPE_STATUS</t>
  </si>
  <si>
    <t>0x11e04a0</t>
  </si>
  <si>
    <t>CABO1_CABO_GLOBAL_MPE_STATUS</t>
  </si>
  <si>
    <t>0x12604a0</t>
  </si>
  <si>
    <t>CABO2_CABO_GLOBAL_MPE_STATUS</t>
  </si>
  <si>
    <t>0x12e04a0</t>
  </si>
  <si>
    <t>CABO3_CABO_GLOBAL_MPE_STATUS</t>
  </si>
  <si>
    <t>0x1160040</t>
  </si>
  <si>
    <t>CABO0_CABO_GLOBAL_CONFIGURATION_INFO_4</t>
  </si>
  <si>
    <t>0x11e0040</t>
  </si>
  <si>
    <t>CABO1_CABO_GLOBAL_CONFIGURATION_INFO_4</t>
  </si>
  <si>
    <t>0x1260040</t>
  </si>
  <si>
    <t>CABO2_CABO_GLOBAL_CONFIGURATION_INFO_4</t>
  </si>
  <si>
    <t>0x12e0040</t>
  </si>
  <si>
    <t>CABO3_CABO_GLOBAL_CONFIGURATION_INFO_4</t>
  </si>
  <si>
    <t>0x1160038</t>
  </si>
  <si>
    <t>CABO0_CABO_GLOBAL_CONFIGURATION_INFO_2</t>
  </si>
  <si>
    <t>0x11e0038</t>
  </si>
  <si>
    <t>CABO1_CABO_GLOBAL_CONFIGURATION_INFO_2</t>
  </si>
  <si>
    <t>0x1260038</t>
  </si>
  <si>
    <t>CABO2_CABO_GLOBAL_CONFIGURATION_INFO_2</t>
  </si>
  <si>
    <t>0x12e0038</t>
  </si>
  <si>
    <t>CABO3_CABO_GLOBAL_CONFIGURATION_INFO_2</t>
  </si>
  <si>
    <t>0x1160030</t>
  </si>
  <si>
    <t>CABO0_CABO_GLOBAL_CONFIGURATION_INFO_0</t>
  </si>
  <si>
    <t>0x11e0030</t>
  </si>
  <si>
    <t>CABO1_CABO_GLOBAL_CONFIGURATION_INFO_0</t>
  </si>
  <si>
    <t>0x1260030</t>
  </si>
  <si>
    <t>CABO2_CABO_GLOBAL_CONFIGURATION_INFO_0</t>
  </si>
  <si>
    <t>0x12e0030</t>
  </si>
  <si>
    <t>CABO3_CABO_GLOBAL_CONFIGURATION_INFO_0</t>
  </si>
  <si>
    <t>0x11604d0</t>
  </si>
  <si>
    <t>CABO0_CABO_GLOBAL_OSU_STATUS</t>
  </si>
  <si>
    <t>0x11e04d0</t>
  </si>
  <si>
    <t>CABO1_CABO_GLOBAL_OSU_STATUS</t>
  </si>
  <si>
    <t>0x12604d0</t>
  </si>
  <si>
    <t>CABO2_CABO_GLOBAL_OSU_STATUS</t>
  </si>
  <si>
    <t>0x12e04d0</t>
  </si>
  <si>
    <t>CABO3_CABO_GLOBAL_OSU_STATUS</t>
  </si>
  <si>
    <t>0x1160424</t>
  </si>
  <si>
    <t>CABO0_CABO_GLOBAL_ISU_CMDBUF_STATUS1</t>
  </si>
  <si>
    <t>0x11e0424</t>
  </si>
  <si>
    <t>CABO1_CABO_GLOBAL_ISU_CMDBUF_STATUS1</t>
  </si>
  <si>
    <t>0x1260424</t>
  </si>
  <si>
    <t>CABO2_CABO_GLOBAL_ISU_CMDBUF_STATUS1</t>
  </si>
  <si>
    <t>0x12e0424</t>
  </si>
  <si>
    <t>CABO3_CABO_GLOBAL_ISU_CMDBUF_STATUS1</t>
  </si>
  <si>
    <t>0x1160008</t>
  </si>
  <si>
    <t>CABO0_CABO_GLOBAL_HW_INFO</t>
  </si>
  <si>
    <t>0x11e0008</t>
  </si>
  <si>
    <t>CABO1_CABO_GLOBAL_HW_INFO</t>
  </si>
  <si>
    <t>0x1260008</t>
  </si>
  <si>
    <t>CABO2_CABO_GLOBAL_HW_INFO</t>
  </si>
  <si>
    <t>0x12e0008</t>
  </si>
  <si>
    <t>CABO3_CABO_GLOBAL_HW_INFO</t>
  </si>
  <si>
    <t>0x11604e0</t>
  </si>
  <si>
    <t>CABO0_CABO_GLOBAL_QOS_POLICY_STATUS</t>
  </si>
  <si>
    <t>0x11e04e0</t>
  </si>
  <si>
    <t>CABO1_CABO_GLOBAL_QOS_POLICY_STATUS</t>
  </si>
  <si>
    <t>0x12604e0</t>
  </si>
  <si>
    <t>CABO2_CABO_GLOBAL_QOS_POLICY_STATUS</t>
  </si>
  <si>
    <t>0x12e04e0</t>
  </si>
  <si>
    <t>CABO3_CABO_GLOBAL_QOS_POLICY_STATUS</t>
  </si>
  <si>
    <t>0x1160000</t>
  </si>
  <si>
    <t>CABO0_CABO_GLOBAL_HW_VERSION</t>
  </si>
  <si>
    <t>0x11e0000</t>
  </si>
  <si>
    <t>CABO1_CABO_GLOBAL_HW_VERSION</t>
  </si>
  <si>
    <t>0x1260000</t>
  </si>
  <si>
    <t>CABO2_CABO_GLOBAL_HW_VERSION</t>
  </si>
  <si>
    <t>0x12e0000</t>
  </si>
  <si>
    <t>CABO3_CABO_GLOBAL_HW_VERSION</t>
  </si>
  <si>
    <t>0x1160044</t>
  </si>
  <si>
    <t>CABO0_CABO_GLOBAL_BANK_MAP_CFG_INFO_CBU_0</t>
  </si>
  <si>
    <t>0x11e0044</t>
  </si>
  <si>
    <t>CABO1_CABO_GLOBAL_BANK_MAP_CFG_INFO_CBU_0</t>
  </si>
  <si>
    <t>0x1260044</t>
  </si>
  <si>
    <t>CABO2_CABO_GLOBAL_BANK_MAP_CFG_INFO_CBU_0</t>
  </si>
  <si>
    <t>0x12e0044</t>
  </si>
  <si>
    <t>CABO3_CABO_GLOBAL_BANK_MAP_CFG_INFO_CBU_0</t>
  </si>
  <si>
    <t>0x11604b4</t>
  </si>
  <si>
    <t>CABO0_CABO_GLOBAL_SHKE_BANK_UNAVAIL_STATUS</t>
  </si>
  <si>
    <t>0x11e04b4</t>
  </si>
  <si>
    <t>CABO1_CABO_GLOBAL_SHKE_BANK_UNAVAIL_STATUS</t>
  </si>
  <si>
    <t>0x12604b4</t>
  </si>
  <si>
    <t>CABO2_CABO_GLOBAL_SHKE_BANK_UNAVAIL_STATUS</t>
  </si>
  <si>
    <t>0x12e04b4</t>
  </si>
  <si>
    <t>CABO3_CABO_GLOBAL_SHKE_BANK_UNAVAIL_STATUS</t>
  </si>
  <si>
    <t>0x1160414</t>
  </si>
  <si>
    <t>CABO0_CABO_GLOBAL_ISU_WCH_STATUS</t>
  </si>
  <si>
    <t>0x11e0414</t>
  </si>
  <si>
    <t>CABO1_CABO_GLOBAL_ISU_WCH_STATUS</t>
  </si>
  <si>
    <t>0x1260414</t>
  </si>
  <si>
    <t>CABO2_CABO_GLOBAL_ISU_WCH_STATUS</t>
  </si>
  <si>
    <t>0x12e0414</t>
  </si>
  <si>
    <t>CABO3_CABO_GLOBAL_ISU_WCH_STATUS</t>
  </si>
  <si>
    <t>0x1160034</t>
  </si>
  <si>
    <t>CABO0_CABO_GLOBAL_CONFIGURATION_INFO_1</t>
  </si>
  <si>
    <t>0x11e0034</t>
  </si>
  <si>
    <t>CABO1_CABO_GLOBAL_CONFIGURATION_INFO_1</t>
  </si>
  <si>
    <t>0x1260034</t>
  </si>
  <si>
    <t>CABO2_CABO_GLOBAL_CONFIGURATION_INFO_1</t>
  </si>
  <si>
    <t>0x12e0034</t>
  </si>
  <si>
    <t>CABO3_CABO_GLOBAL_CONFIGURATION_INFO_1</t>
  </si>
  <si>
    <t>0x1160440</t>
  </si>
  <si>
    <t>CABO0_CABO_GLOBAL_CBU_0_RDCQ_STATUS</t>
  </si>
  <si>
    <t>0x11e0440</t>
  </si>
  <si>
    <t>CABO1_CABO_GLOBAL_CBU_0_RDCQ_STATUS</t>
  </si>
  <si>
    <t>0x1260440</t>
  </si>
  <si>
    <t>CABO2_CABO_GLOBAL_CBU_0_RDCQ_STATUS</t>
  </si>
  <si>
    <t>0x12e0440</t>
  </si>
  <si>
    <t>CABO3_CABO_GLOBAL_CBU_0_RDCQ_STATUS</t>
  </si>
  <si>
    <t>0x1160430</t>
  </si>
  <si>
    <t>CABO0_CABO_GLOBAL_ISU_WRBUF_STATUS</t>
  </si>
  <si>
    <t>0x11e0430</t>
  </si>
  <si>
    <t>CABO1_CABO_GLOBAL_ISU_WRBUF_STATUS</t>
  </si>
  <si>
    <t>0x1260430</t>
  </si>
  <si>
    <t>CABO2_CABO_GLOBAL_ISU_WRBUF_STATUS</t>
  </si>
  <si>
    <t>0x12e0430</t>
  </si>
  <si>
    <t>CABO3_CABO_GLOBAL_ISU_WRBUF_STATUS</t>
  </si>
  <si>
    <t>0x1160448</t>
  </si>
  <si>
    <t>CABO0_CABO_GLOBAL_CBU_0_WRCQ_STATUS</t>
  </si>
  <si>
    <t>0x11e0448</t>
  </si>
  <si>
    <t>CABO1_CABO_GLOBAL_CBU_0_WRCQ_STATUS</t>
  </si>
  <si>
    <t>0x1260448</t>
  </si>
  <si>
    <t>CABO2_CABO_GLOBAL_CBU_0_WRCQ_STATUS</t>
  </si>
  <si>
    <t>0x12e0448</t>
  </si>
  <si>
    <t>CABO3_CABO_GLOBAL_CBU_0_WRCQ_STATUS</t>
  </si>
  <si>
    <t>0x11604d4</t>
  </si>
  <si>
    <t>CABO0_CABO_GLOBAL_OSU_DQS_FIFO_STATUS</t>
  </si>
  <si>
    <t>0x11e04d4</t>
  </si>
  <si>
    <t>CABO1_CABO_GLOBAL_OSU_DQS_FIFO_STATUS</t>
  </si>
  <si>
    <t>0x12604d4</t>
  </si>
  <si>
    <t>CABO2_CABO_GLOBAL_OSU_DQS_FIFO_STATUS</t>
  </si>
  <si>
    <t>0x12e04d4</t>
  </si>
  <si>
    <t>CABO3_CABO_GLOBAL_OSU_DQS_FIFO_STATUS</t>
  </si>
  <si>
    <t>0x1160004</t>
  </si>
  <si>
    <t>CABO0_CABO_GLOBAL_CORE_INFO</t>
  </si>
  <si>
    <t>0x11e0004</t>
  </si>
  <si>
    <t>CABO1_CABO_GLOBAL_CORE_INFO</t>
  </si>
  <si>
    <t>0x1260004</t>
  </si>
  <si>
    <t>CABO2_CABO_GLOBAL_CORE_INFO</t>
  </si>
  <si>
    <t>0x12e0004</t>
  </si>
  <si>
    <t>CABO3_CABO_GLOBAL_CORE_INFO</t>
  </si>
  <si>
    <t>0x1160418</t>
  </si>
  <si>
    <t>CABO0_CABO_GLOBAL_ISU_RCH_STATUS</t>
  </si>
  <si>
    <t>0x11e0418</t>
  </si>
  <si>
    <t>CABO1_CABO_GLOBAL_ISU_RCH_STATUS</t>
  </si>
  <si>
    <t>0x1260418</t>
  </si>
  <si>
    <t>CABO2_CABO_GLOBAL_ISU_RCH_STATUS</t>
  </si>
  <si>
    <t>0x12e0418</t>
  </si>
  <si>
    <t>CABO3_CABO_GLOBAL_ISU_RCH_STATUS</t>
  </si>
  <si>
    <t>0x1160404</t>
  </si>
  <si>
    <t>CABO0_CABO_GLOBAL_DEVICE_STATUS</t>
  </si>
  <si>
    <t>0x11e0404</t>
  </si>
  <si>
    <t>CABO1_CABO_GLOBAL_DEVICE_STATUS</t>
  </si>
  <si>
    <t>0x1260404</t>
  </si>
  <si>
    <t>CABO2_CABO_GLOBAL_DEVICE_STATUS</t>
  </si>
  <si>
    <t>0x12e0404</t>
  </si>
  <si>
    <t>CABO3_CABO_GLOBAL_DEVICE_STATUS</t>
  </si>
  <si>
    <t>0x11604b0</t>
  </si>
  <si>
    <t>CABO0_CABO_GLOBAL_SHKE_STATUS</t>
  </si>
  <si>
    <t>0x11e04b0</t>
  </si>
  <si>
    <t>CABO1_CABO_GLOBAL_SHKE_STATUS</t>
  </si>
  <si>
    <t>0x12604b0</t>
  </si>
  <si>
    <t>CABO2_CABO_GLOBAL_SHKE_STATUS</t>
  </si>
  <si>
    <t>0x12e04b0</t>
  </si>
  <si>
    <t>CABO3_CABO_GLOBAL_SHKE_STATUS</t>
  </si>
  <si>
    <t>0x1160420</t>
  </si>
  <si>
    <t>CABO0_CABO_GLOBAL_ISU_CMDBUF_STATUS0</t>
  </si>
  <si>
    <t>0x11e0420</t>
  </si>
  <si>
    <t>CABO1_CABO_GLOBAL_ISU_CMDBUF_STATUS0</t>
  </si>
  <si>
    <t>0x1260420</t>
  </si>
  <si>
    <t>CABO2_CABO_GLOBAL_ISU_CMDBUF_STATUS0</t>
  </si>
  <si>
    <t>0x12e0420</t>
  </si>
  <si>
    <t>CABO3_CABO_GLOBAL_ISU_CMDBUF_STATUS0</t>
  </si>
  <si>
    <t>0x1440034</t>
  </si>
  <si>
    <t>DDR_REG_APPS_INTERRUPT2_STATUS</t>
  </si>
  <si>
    <t>0x1440044</t>
  </si>
  <si>
    <t>DDR_REG_APPS_INTERRUPT4_STATUS</t>
  </si>
  <si>
    <t>0x144005c</t>
  </si>
  <si>
    <t>DDR_REG_SHRM_INTERRUPT_STATUS</t>
  </si>
  <si>
    <t>0x14400b0</t>
  </si>
  <si>
    <t>DDR_REG_DPCC_STATUS_0</t>
  </si>
  <si>
    <t>0x144002c</t>
  </si>
  <si>
    <t>DDR_REG_APPS_INTERRUPT1_STATUS</t>
  </si>
  <si>
    <t>0x144003c</t>
  </si>
  <si>
    <t>DDR_REG_APPS_INTERRUPT3_STATUS</t>
  </si>
  <si>
    <t>0x14400b4</t>
  </si>
  <si>
    <t>DDR_REG_DPCC_STATUS_1</t>
  </si>
  <si>
    <t>0x1440054</t>
  </si>
  <si>
    <t>DDR_REG_AOP_INTERRUPT_STATUS</t>
  </si>
  <si>
    <t>0x1440024</t>
  </si>
  <si>
    <t>DDR_REG_APPS_INTERRUPT0_STATUS</t>
  </si>
  <si>
    <t>0x144004c</t>
  </si>
  <si>
    <t>DDR_REG_APPS_INTERRUPT5_STATUS</t>
  </si>
  <si>
    <t>0x1136048</t>
  </si>
  <si>
    <t>LLCC0_LLCC_FEAC_RIFB_STATUS1</t>
  </si>
  <si>
    <t>0x11b6048</t>
  </si>
  <si>
    <t>LLCC1_LLCC_FEAC_RIFB_STATUS1</t>
  </si>
  <si>
    <t>0x1236048</t>
  </si>
  <si>
    <t>LLCC2_LLCC_FEAC_RIFB_STATUS1</t>
  </si>
  <si>
    <t>0x12b6048</t>
  </si>
  <si>
    <t>LLCC3_LLCC_FEAC_RIFB_STATUS1</t>
  </si>
  <si>
    <t>0x1136054</t>
  </si>
  <si>
    <t>LLCC0_LLCC_FEAC_PS2_STATUS1</t>
  </si>
  <si>
    <t>0x11b6054</t>
  </si>
  <si>
    <t>LLCC1_LLCC_FEAC_PS2_STATUS1</t>
  </si>
  <si>
    <t>0x1236054</t>
  </si>
  <si>
    <t>LLCC2_LLCC_FEAC_PS2_STATUS1</t>
  </si>
  <si>
    <t>0x12b6054</t>
  </si>
  <si>
    <t>LLCC3_LLCC_FEAC_PS2_STATUS1</t>
  </si>
  <si>
    <t>0x11360b0</t>
  </si>
  <si>
    <t>LLCC0_LLCC_FEAC_FENCE_CTRL</t>
  </si>
  <si>
    <t>0x11b60b0</t>
  </si>
  <si>
    <t>LLCC1_LLCC_FEAC_FENCE_CTRL</t>
  </si>
  <si>
    <t>0x12360b0</t>
  </si>
  <si>
    <t>LLCC2_LLCC_FEAC_FENCE_CTRL</t>
  </si>
  <si>
    <t>0x12b60b0</t>
  </si>
  <si>
    <t>LLCC3_LLCC_FEAC_FENCE_CTRL</t>
  </si>
  <si>
    <t>0x1136044</t>
  </si>
  <si>
    <t>LLCC0_LLCC_FEAC_RIFB_STATUS0</t>
  </si>
  <si>
    <t>0x11b6044</t>
  </si>
  <si>
    <t>LLCC1_LLCC_FEAC_RIFB_STATUS0</t>
  </si>
  <si>
    <t>0x1236044</t>
  </si>
  <si>
    <t>LLCC2_LLCC_FEAC_RIFB_STATUS0</t>
  </si>
  <si>
    <t>0x12b6044</t>
  </si>
  <si>
    <t>LLCC3_LLCC_FEAC_RIFB_STATUS0</t>
  </si>
  <si>
    <t>0x113605c</t>
  </si>
  <si>
    <t>LLCC0_LLCC_FEAC_IF_CHANNEL_STATUS</t>
  </si>
  <si>
    <t>0x11b605c</t>
  </si>
  <si>
    <t>LLCC1_LLCC_FEAC_IF_CHANNEL_STATUS</t>
  </si>
  <si>
    <t>0x123605c</t>
  </si>
  <si>
    <t>LLCC2_LLCC_FEAC_IF_CHANNEL_STATUS</t>
  </si>
  <si>
    <t>0x12b605c</t>
  </si>
  <si>
    <t>LLCC3_LLCC_FEAC_IF_CHANNEL_STATUS</t>
  </si>
  <si>
    <t>0x1136050</t>
  </si>
  <si>
    <t>LLCC0_LLCC_FEAC_PS2_STATUS0</t>
  </si>
  <si>
    <t>0x11b6050</t>
  </si>
  <si>
    <t>LLCC1_LLCC_FEAC_PS2_STATUS0</t>
  </si>
  <si>
    <t>0x1236050</t>
  </si>
  <si>
    <t>LLCC2_LLCC_FEAC_PS2_STATUS0</t>
  </si>
  <si>
    <t>0x12b6050</t>
  </si>
  <si>
    <t>LLCC3_LLCC_FEAC_PS2_STATUS0</t>
  </si>
  <si>
    <t>0x11360a0</t>
  </si>
  <si>
    <t>LLCC0_LLCC_FEAC_INTERRUPT_STATUS</t>
  </si>
  <si>
    <t>0x11b60a0</t>
  </si>
  <si>
    <t>LLCC1_LLCC_FEAC_INTERRUPT_STATUS</t>
  </si>
  <si>
    <t>0x12360a0</t>
  </si>
  <si>
    <t>LLCC2_LLCC_FEAC_INTERRUPT_STATUS</t>
  </si>
  <si>
    <t>0x12b60a0</t>
  </si>
  <si>
    <t>LLCC3_LLCC_FEAC_INTERRUPT_STATUS</t>
  </si>
  <si>
    <t>0x113604c</t>
  </si>
  <si>
    <t>LLCC0_LLCC_FEAC_WIFB_STATUS</t>
  </si>
  <si>
    <t>0x11b604c</t>
  </si>
  <si>
    <t>LLCC1_LLCC_FEAC_WIFB_STATUS</t>
  </si>
  <si>
    <t>0x123604c</t>
  </si>
  <si>
    <t>LLCC2_LLCC_FEAC_WIFB_STATUS</t>
  </si>
  <si>
    <t>0x12b604c</t>
  </si>
  <si>
    <t>LLCC3_LLCC_FEAC_WIFB_STATUS</t>
  </si>
  <si>
    <t>0x1448020</t>
  </si>
  <si>
    <t>DPC_REG_DPCC_SHUB_CFG_GDSCR</t>
  </si>
  <si>
    <t>0x1448080</t>
  </si>
  <si>
    <t>DPC_REG_DPCC_MC_CFG_GDSCR</t>
  </si>
  <si>
    <t>0x14480c4</t>
  </si>
  <si>
    <t>DPC_REG_DPCC_PHY_CFG_GDSCR</t>
  </si>
  <si>
    <t>0x1138058</t>
  </si>
  <si>
    <t>LLCC0_LLCC_BERC_MSI_CHANNEL_STATUS</t>
  </si>
  <si>
    <t>0x11b8058</t>
  </si>
  <si>
    <t>LLCC1_LLCC_BERC_MSI_CHANNEL_STATUS</t>
  </si>
  <si>
    <t>0x1238058</t>
  </si>
  <si>
    <t>LLCC2_LLCC_BERC_MSI_CHANNEL_STATUS</t>
  </si>
  <si>
    <t>0x12b8058</t>
  </si>
  <si>
    <t>LLCC3_LLCC_BERC_MSI_CHANNEL_STATUS</t>
  </si>
  <si>
    <t>0x113805c</t>
  </si>
  <si>
    <t>LLCC0_LLCC_BERC_IF_CHANNEL_STATUS</t>
  </si>
  <si>
    <t>0x11b805c</t>
  </si>
  <si>
    <t>LLCC1_LLCC_BERC_IF_CHANNEL_STATUS</t>
  </si>
  <si>
    <t>0x123805c</t>
  </si>
  <si>
    <t>LLCC2_LLCC_BERC_IF_CHANNEL_STATUS</t>
  </si>
  <si>
    <t>0x12b805c</t>
  </si>
  <si>
    <t>LLCC3_LLCC_BERC_IF_CHANNEL_STATUS</t>
  </si>
  <si>
    <t>0x1141000</t>
  </si>
  <si>
    <t>LLCC0_LLCC_DRP_INTERRUPT_STATUS</t>
  </si>
  <si>
    <t>0x11c1000</t>
  </si>
  <si>
    <t>LLCC1_LLCC_DRP_INTERRUPT_STATUS</t>
  </si>
  <si>
    <t>0x1241000</t>
  </si>
  <si>
    <t>LLCC2_LLCC_DRP_INTERRUPT_STATUS</t>
  </si>
  <si>
    <t>0x12c1000</t>
  </si>
  <si>
    <t>LLCC3_LLCC_DRP_INTERRUPT_STATUS</t>
  </si>
  <si>
    <t>0x1142094</t>
  </si>
  <si>
    <t>LLCC0_LLCC_DRP_READY_STATUS</t>
  </si>
  <si>
    <t>0x11c2094</t>
  </si>
  <si>
    <t>LLCC1_LLCC_DRP_READY_STATUS</t>
  </si>
  <si>
    <t>0x1242094</t>
  </si>
  <si>
    <t>LLCC2_LLCC_DRP_READY_STATUS</t>
  </si>
  <si>
    <t>0x12c2094</t>
  </si>
  <si>
    <t>LLCC3_LLCC_DRP_READY_STATUS</t>
  </si>
  <si>
    <t>0x1142090</t>
  </si>
  <si>
    <t>LLCC0_LLCC_DRP_VALID_STATUS</t>
  </si>
  <si>
    <t>0x11c2090</t>
  </si>
  <si>
    <t>LLCC1_LLCC_DRP_VALID_STATUS</t>
  </si>
  <si>
    <t>0x1242090</t>
  </si>
  <si>
    <t>LLCC2_LLCC_DRP_VALID_STATUS</t>
  </si>
  <si>
    <t>0x12c2090</t>
  </si>
  <si>
    <t>LLCC3_LLCC_DRP_VALID_STATUS</t>
  </si>
  <si>
    <t>0x13d0004</t>
  </si>
  <si>
    <t>0x13d0030</t>
  </si>
  <si>
    <t>0x13d0010</t>
  </si>
  <si>
    <t>0x13d001c</t>
  </si>
  <si>
    <t>0x13d0008</t>
  </si>
  <si>
    <t>0x13d1000</t>
  </si>
  <si>
    <t>0x1162400</t>
  </si>
  <si>
    <t>CABO0_CABO_CBU_TOP_IDLE_STATUS</t>
  </si>
  <si>
    <t>0x11e2400</t>
  </si>
  <si>
    <t>CABO1_CABO_CBU_TOP_IDLE_STATUS</t>
  </si>
  <si>
    <t>0x1262400</t>
  </si>
  <si>
    <t>CABO2_CABO_CBU_TOP_IDLE_STATUS</t>
  </si>
  <si>
    <t>0x12e2400</t>
  </si>
  <si>
    <t>CABO3_CABO_CBU_TOP_IDLE_STATUS</t>
  </si>
  <si>
    <t>0x1162404</t>
  </si>
  <si>
    <t>CABO0_CABO_CBU_TOP_CMD_STATUS</t>
  </si>
  <si>
    <t>0x11e2404</t>
  </si>
  <si>
    <t>CABO1_CABO_CBU_TOP_CMD_STATUS</t>
  </si>
  <si>
    <t>0x1262404</t>
  </si>
  <si>
    <t>CABO2_CABO_CBU_TOP_CMD_STATUS</t>
  </si>
  <si>
    <t>0x12e2404</t>
  </si>
  <si>
    <t>CABO3_CABO_CBU_TOP_CMD_STATUS</t>
  </si>
  <si>
    <t>0x1162410</t>
  </si>
  <si>
    <t>CABO0_CABO_CBU_TOP_CBU0_RDCQ_STATUS</t>
  </si>
  <si>
    <t>0x11e2410</t>
  </si>
  <si>
    <t>CABO1_CABO_CBU_TOP_CBU0_RDCQ_STATUS</t>
  </si>
  <si>
    <t>0x1262410</t>
  </si>
  <si>
    <t>CABO2_CABO_CBU_TOP_CBU0_RDCQ_STATUS</t>
  </si>
  <si>
    <t>0x12e2410</t>
  </si>
  <si>
    <t>CABO3_CABO_CBU_TOP_CBU0_RDCQ_STATUS</t>
  </si>
  <si>
    <t>0x1162418</t>
  </si>
  <si>
    <t>CABO0_CABO_CBU_TOP_CBU0_WRCQ_STATUS</t>
  </si>
  <si>
    <t>0x11e2418</t>
  </si>
  <si>
    <t>CABO1_CABO_CBU_TOP_CBU0_WRCQ_STATUS</t>
  </si>
  <si>
    <t>0x1262418</t>
  </si>
  <si>
    <t>CABO2_CABO_CBU_TOP_CBU0_WRCQ_STATUS</t>
  </si>
  <si>
    <t>0x12e2418</t>
  </si>
  <si>
    <t>CABO3_CABO_CBU_TOP_CBU0_WRCQ_STATUS</t>
  </si>
  <si>
    <t>0x1161418</t>
  </si>
  <si>
    <t>CABO0_CABO_ISU_RCH_STATUS</t>
  </si>
  <si>
    <t>0x11e1418</t>
  </si>
  <si>
    <t>CABO1_CABO_ISU_RCH_STATUS</t>
  </si>
  <si>
    <t>0x1261418</t>
  </si>
  <si>
    <t>CABO2_CABO_ISU_RCH_STATUS</t>
  </si>
  <si>
    <t>0x12e1418</t>
  </si>
  <si>
    <t>CABO3_CABO_ISU_RCH_STATUS</t>
  </si>
  <si>
    <t>0x1161430</t>
  </si>
  <si>
    <t>CABO0_CABO_ISU_WRBUF_STATUS</t>
  </si>
  <si>
    <t>0x11e1430</t>
  </si>
  <si>
    <t>CABO1_CABO_ISU_WRBUF_STATUS</t>
  </si>
  <si>
    <t>0x1261430</t>
  </si>
  <si>
    <t>CABO2_CABO_ISU_WRBUF_STATUS</t>
  </si>
  <si>
    <t>0x12e1430</t>
  </si>
  <si>
    <t>CABO3_CABO_ISU_WRBUF_STATUS</t>
  </si>
  <si>
    <t>0x1161400</t>
  </si>
  <si>
    <t>CABO0_CABO_ISU_IDLE_STATUS</t>
  </si>
  <si>
    <t>0x11e1400</t>
  </si>
  <si>
    <t>CABO1_CABO_ISU_IDLE_STATUS</t>
  </si>
  <si>
    <t>0x1261400</t>
  </si>
  <si>
    <t>CABO2_CABO_ISU_IDLE_STATUS</t>
  </si>
  <si>
    <t>0x12e1400</t>
  </si>
  <si>
    <t>CABO3_CABO_ISU_IDLE_STATUS</t>
  </si>
  <si>
    <t>0x1161410</t>
  </si>
  <si>
    <t>CABO0_CABO_ISU_ACH_STATUS</t>
  </si>
  <si>
    <t>0x11e1410</t>
  </si>
  <si>
    <t>CABO1_CABO_ISU_ACH_STATUS</t>
  </si>
  <si>
    <t>0x1261410</t>
  </si>
  <si>
    <t>CABO2_CABO_ISU_ACH_STATUS</t>
  </si>
  <si>
    <t>0x12e1410</t>
  </si>
  <si>
    <t>CABO3_CABO_ISU_ACH_STATUS</t>
  </si>
  <si>
    <t>0x1161414</t>
  </si>
  <si>
    <t>CABO0_CABO_ISU_WCH_STATUS</t>
  </si>
  <si>
    <t>0x11e1414</t>
  </si>
  <si>
    <t>CABO1_CABO_ISU_WCH_STATUS</t>
  </si>
  <si>
    <t>0x1261414</t>
  </si>
  <si>
    <t>CABO2_CABO_ISU_WCH_STATUS</t>
  </si>
  <si>
    <t>0x12e1414</t>
  </si>
  <si>
    <t>CABO3_CABO_ISU_WCH_STATUS</t>
  </si>
  <si>
    <t>0x1161440</t>
  </si>
  <si>
    <t>CABO0_CABO_ISU_CBU0_CMDQ_STATUS</t>
  </si>
  <si>
    <t>0x11e1440</t>
  </si>
  <si>
    <t>CABO1_CABO_ISU_CBU0_CMDQ_STATUS</t>
  </si>
  <si>
    <t>0x1261440</t>
  </si>
  <si>
    <t>CABO2_CABO_ISU_CBU0_CMDQ_STATUS</t>
  </si>
  <si>
    <t>0x12e1440</t>
  </si>
  <si>
    <t>CABO3_CABO_ISU_CBU0_CMDQ_STATUS</t>
  </si>
  <si>
    <t>0x1161424</t>
  </si>
  <si>
    <t>CABO0_CABO_ISU_CMDBUF_STATUS1</t>
  </si>
  <si>
    <t>0x11e1424</t>
  </si>
  <si>
    <t>CABO1_CABO_ISU_CMDBUF_STATUS1</t>
  </si>
  <si>
    <t>0x1261424</t>
  </si>
  <si>
    <t>CABO2_CABO_ISU_CMDBUF_STATUS1</t>
  </si>
  <si>
    <t>0x12e1424</t>
  </si>
  <si>
    <t>CABO3_CABO_ISU_CMDBUF_STATUS1</t>
  </si>
  <si>
    <t>0x1161420</t>
  </si>
  <si>
    <t>CABO0_CABO_ISU_CMDBUF_STATUS0</t>
  </si>
  <si>
    <t>0x11e1420</t>
  </si>
  <si>
    <t>CABO1_CABO_ISU_CMDBUF_STATUS0</t>
  </si>
  <si>
    <t>0x1261420</t>
  </si>
  <si>
    <t>CABO2_CABO_ISU_CMDBUF_STATUS0</t>
  </si>
  <si>
    <t>0x12e1420</t>
  </si>
  <si>
    <t>CABO3_CABO_ISU_CMDBUF_STATUS0</t>
  </si>
  <si>
    <t>0x1161404</t>
  </si>
  <si>
    <t>CABO0_CABO_ISU_CMD_STATUS</t>
  </si>
  <si>
    <t>0x11e1404</t>
  </si>
  <si>
    <t>CABO1_CABO_ISU_CMD_STATUS</t>
  </si>
  <si>
    <t>0x1261404</t>
  </si>
  <si>
    <t>CABO2_CABO_ISU_CMD_STATUS</t>
  </si>
  <si>
    <t>0x12e1404</t>
  </si>
  <si>
    <t>CABO3_CABO_ISU_CMD_STATUS</t>
  </si>
  <si>
    <t>0x1430280</t>
  </si>
  <si>
    <t>MCCC_CRG_STATUS</t>
  </si>
  <si>
    <t>0x143029c</t>
  </si>
  <si>
    <t>MCCC_FSC_STATUS5</t>
  </si>
  <si>
    <t>0x143028c</t>
  </si>
  <si>
    <t>MCCC_FSC_STATUS1</t>
  </si>
  <si>
    <t>0x14302a0</t>
  </si>
  <si>
    <t>MCCC_FSC_STATUS6</t>
  </si>
  <si>
    <t>0x1430298</t>
  </si>
  <si>
    <t>MCCC_FSC_STATUS4</t>
  </si>
  <si>
    <t>0x1430294</t>
  </si>
  <si>
    <t>MCCC_FSC_STATUS3</t>
  </si>
  <si>
    <t>0x1430290</t>
  </si>
  <si>
    <t>MCCC_FSC_STATUS2</t>
  </si>
  <si>
    <t>0x1430288</t>
  </si>
  <si>
    <t>MCCC_FSC_STATUS0</t>
  </si>
  <si>
    <t>0x1132050</t>
  </si>
  <si>
    <t>LLCC0_LLCC_FEWC_INTERRUPT_STATUS</t>
  </si>
  <si>
    <t>0x11b2050</t>
  </si>
  <si>
    <t>LLCC1_LLCC_FEWC_INTERRUPT_STATUS</t>
  </si>
  <si>
    <t>0x1232050</t>
  </si>
  <si>
    <t>LLCC2_LLCC_FEWC_INTERRUPT_STATUS</t>
  </si>
  <si>
    <t>0x12b2050</t>
  </si>
  <si>
    <t>LLCC3_LLCC_FEWC_INTERRUPT_STATUS</t>
  </si>
  <si>
    <t>0x1132104</t>
  </si>
  <si>
    <t>LLCC0_LLCC_FEWC_INTERFACES_STATUS</t>
  </si>
  <si>
    <t>0x11b2104</t>
  </si>
  <si>
    <t>LLCC1_LLCC_FEWC_INTERFACES_STATUS</t>
  </si>
  <si>
    <t>0x1232104</t>
  </si>
  <si>
    <t>LLCC2_LLCC_FEWC_INTERFACES_STATUS</t>
  </si>
  <si>
    <t>0x12b2104</t>
  </si>
  <si>
    <t>LLCC3_LLCC_FEWC_INTERFACES_STATUS</t>
  </si>
  <si>
    <t>0x1380910</t>
  </si>
  <si>
    <t>MEMNOC_MEM_NOC_DEBUG_MASTER_SENSEIN2_LOW</t>
  </si>
  <si>
    <t>0x1380918</t>
  </si>
  <si>
    <t>MEMNOC_MEM_NOC_DEBUG_MASTER_SENSEIN3_LOW</t>
  </si>
  <si>
    <t>0x138090c</t>
  </si>
  <si>
    <t>MEMNOC_MEM_NOC_DEBUG_MASTER_SENSEIN1_HIGH</t>
  </si>
  <si>
    <t>0x1380d04</t>
  </si>
  <si>
    <t>MEMNOC_MEM_NOC_DEBUG_SLAVE_SENSEIN0_HIGH</t>
  </si>
  <si>
    <t>0x138091c</t>
  </si>
  <si>
    <t>MEMNOC_MEM_NOC_DEBUG_MASTER_SENSEIN3_HIGH</t>
  </si>
  <si>
    <t>0x1380d00</t>
  </si>
  <si>
    <t>MEMNOC_MEM_NOC_DEBUG_SLAVE_SENSEIN0_LOW</t>
  </si>
  <si>
    <t>0x1380d0c</t>
  </si>
  <si>
    <t>MEMNOC_MEM_NOC_DEBUG_SLAVE_SENSEIN1_HIGH</t>
  </si>
  <si>
    <t>0x1380d08</t>
  </si>
  <si>
    <t>MEMNOC_MEM_NOC_DEBUG_SLAVE_SENSEIN1_LOW</t>
  </si>
  <si>
    <t>0x1380914</t>
  </si>
  <si>
    <t>MEMNOC_MEM_NOC_DEBUG_MASTER_SENSEIN2_HIGH</t>
  </si>
  <si>
    <t>0x1380d10</t>
  </si>
  <si>
    <t>MEMNOC_MEM_NOC_DEBUG_SLAVE_SENSEIN2_LOW</t>
  </si>
  <si>
    <t>0x1380908</t>
  </si>
  <si>
    <t>MEMNOC_MEM_NOC_DEBUG_MASTER_SENSEIN1_LOW</t>
  </si>
  <si>
    <t>0x1380900</t>
  </si>
  <si>
    <t>MEMNOC_MEM_NOC_DEBUG_MASTER_SENSEIN0_LOW</t>
  </si>
  <si>
    <t>0x1380904</t>
  </si>
  <si>
    <t>MEMNOC_MEM_NOC_DEBUG_MASTER_SENSEIN0_HIGH</t>
  </si>
  <si>
    <t>Block</t>
  </si>
  <si>
    <t>Index in Stack</t>
  </si>
  <si>
    <t>Address</t>
  </si>
  <si>
    <t>self.trainingRegDictister</t>
  </si>
  <si>
    <t>Bit Field Mask</t>
  </si>
  <si>
    <t>Shift</t>
  </si>
  <si>
    <t>DQ_PHY_REGS</t>
  </si>
  <si>
    <t>0x0000046c</t>
  </si>
  <si>
    <t>DDR_PHY_DDRPHY_CDCEXT_WRLVL_3_CTL_CFG</t>
  </si>
  <si>
    <t>HP_FINE_DELAY_RANK_1</t>
  </si>
  <si>
    <t>0x000f8000</t>
  </si>
  <si>
    <t>0xf</t>
  </si>
  <si>
    <t>HP_COARSE_DELAY_RANK_1</t>
  </si>
  <si>
    <t>0x00007c00</t>
  </si>
  <si>
    <t>0xa</t>
  </si>
  <si>
    <t>LP_COARSE_DELAY_RANK_1</t>
  </si>
  <si>
    <t>0x3e000000</t>
  </si>
  <si>
    <t>0x19</t>
  </si>
  <si>
    <t>HP_COARSE_DELAY_RANK_0</t>
  </si>
  <si>
    <t>0x0000001f</t>
  </si>
  <si>
    <t>0x0</t>
  </si>
  <si>
    <t>HP_FINE_DELAY_RANK_0</t>
  </si>
  <si>
    <t>0x000003e0</t>
  </si>
  <si>
    <t>0x5</t>
  </si>
  <si>
    <t>LP_COARSE_DELAY_RANK_0</t>
  </si>
  <si>
    <t>0x01f00000</t>
  </si>
  <si>
    <t>0x14</t>
  </si>
  <si>
    <t>0x000001c4</t>
  </si>
  <si>
    <t>DDR_PHY_DDRPHY_CMSLICE5_DQ_LOCAL_VREF_CFG</t>
  </si>
  <si>
    <t>VREF_TRIM_R1</t>
  </si>
  <si>
    <t>0x00001f00</t>
  </si>
  <si>
    <t>0x8</t>
  </si>
  <si>
    <t>VREF_TRIM_R0</t>
  </si>
  <si>
    <t>0x000006b4</t>
  </si>
  <si>
    <t>DDR_PHY_DDRPHY_DCCEXT_PADDCC_0_CTL_CFG</t>
  </si>
  <si>
    <t>PADDCC_ADJ_DQ</t>
  </si>
  <si>
    <t>0x000003ff</t>
  </si>
  <si>
    <t>PADDCC_ADJ_DQS_R1</t>
  </si>
  <si>
    <t>0x3ff00000</t>
  </si>
  <si>
    <t>PADDCC_ADJ_DQS</t>
  </si>
  <si>
    <t>0x000ffc00</t>
  </si>
  <si>
    <t>0x000007e0</t>
  </si>
  <si>
    <t>DDR_PHY_DDRPHY_QFI2EXT_PRFS_4_CNTL_0_CFG</t>
  </si>
  <si>
    <t>WRITE_DATA_CYCLE_DLY_RANK0_VAL</t>
  </si>
  <si>
    <t>0x00003000</t>
  </si>
  <si>
    <t>0xc</t>
  </si>
  <si>
    <t>WRITE_OE_EXT_POST_VAL</t>
  </si>
  <si>
    <t>0x70000000</t>
  </si>
  <si>
    <t>0x1c</t>
  </si>
  <si>
    <t>WRITE_OE_EXT_PRE_VAL</t>
  </si>
  <si>
    <t>0x18</t>
  </si>
  <si>
    <t>TIMESTAMP_COUNTER_OFFSET</t>
  </si>
  <si>
    <t>0x0000003f</t>
  </si>
  <si>
    <t>OPCODE_WRITE_LEAD_TIME_VAL</t>
  </si>
  <si>
    <t>0x00000700</t>
  </si>
  <si>
    <t>WPST_TYPE</t>
  </si>
  <si>
    <t>0x15</t>
  </si>
  <si>
    <t>WRITE_EN_CYCLE_DLY_RANK0_VAL</t>
  </si>
  <si>
    <t>0x00030000</t>
  </si>
  <si>
    <t>0x10</t>
  </si>
  <si>
    <t>WPRE_TYPE</t>
  </si>
  <si>
    <t>0x00100000</t>
  </si>
  <si>
    <t>WRITE_DATA_CYCLE_DLY_RANK1_VAL</t>
  </si>
  <si>
    <t>0x0000c000</t>
  </si>
  <si>
    <t>0xe</t>
  </si>
  <si>
    <t>WRITE_EN_CYCLE_DLY_RANK1_VAL</t>
  </si>
  <si>
    <t>0x000c0000</t>
  </si>
  <si>
    <t>0x12</t>
  </si>
  <si>
    <t>0x000006ac</t>
  </si>
  <si>
    <t>DDR_PHY_DDRPHY_DCCEXT_CMDCC_6_CTL_CFG</t>
  </si>
  <si>
    <t>CMDCC_ADJ_WR</t>
  </si>
  <si>
    <t>CMDCC_ADJ_WRLVL</t>
  </si>
  <si>
    <t>CMDCC_ADJ_WRLVL_PLL1</t>
  </si>
  <si>
    <t>0x0000010c</t>
  </si>
  <si>
    <t>DDR_PHY_DDRPHY_CMCDCWR_TRAFFIC_BYP_CFG</t>
  </si>
  <si>
    <t>TMIN_WR_DATA_CGC_BYPASS</t>
  </si>
  <si>
    <t>0x1</t>
  </si>
  <si>
    <t>T90_WR_DATA_CGC_BYPASS</t>
  </si>
  <si>
    <t>0x9</t>
  </si>
  <si>
    <t>TMIN_RD_IE_REN_RNK_CGC_BYPASS_MUX_SEL</t>
  </si>
  <si>
    <t>0x6</t>
  </si>
  <si>
    <t>RD_DQS_DCC_CLK_SEL</t>
  </si>
  <si>
    <t>0x00004000</t>
  </si>
  <si>
    <t>TMIN_RD_IE_REN_RNK_CGC_BYPASS</t>
  </si>
  <si>
    <t>0x7</t>
  </si>
  <si>
    <t>TMIN_WR_EN_CGC_BYPASS</t>
  </si>
  <si>
    <t>0x3</t>
  </si>
  <si>
    <t>WRLVL_CGC_CSR_OVRD_EN</t>
  </si>
  <si>
    <t>TMIN_WR_OE_CGC_BYPASS</t>
  </si>
  <si>
    <t>TMIN_WR_DATA_CGC_BYPASS_MUX_SEL</t>
  </si>
  <si>
    <t>TMIN_WR_OE_CGC_BYPASS_MUX_SEL</t>
  </si>
  <si>
    <t>0x4</t>
  </si>
  <si>
    <t>T90_WR_DATA_CGC_BYPASS_MUX_SEL</t>
  </si>
  <si>
    <t>TMIN_WR_EN_CGC_BYPASS_MUX_SEL</t>
  </si>
  <si>
    <t>0x2</t>
  </si>
  <si>
    <t>DCC_MON_CLK_DIS</t>
  </si>
  <si>
    <t>0x00002000</t>
  </si>
  <si>
    <t>0xd</t>
  </si>
  <si>
    <t>0x000004c0</t>
  </si>
  <si>
    <t>DDR_PHY_DDRPHY_CDCEXT_RD_7_CTL_CFG</t>
  </si>
  <si>
    <t>0x000004ac</t>
  </si>
  <si>
    <t>DDR_PHY_DDRPHY_CDCEXT_RD_2_CTL_CFG</t>
  </si>
  <si>
    <t>0x00000508</t>
  </si>
  <si>
    <t>DDR_PHY_DDRPHY_WRLVLEXT_CTL_1_CFG</t>
  </si>
  <si>
    <t>DQS_HALF_CYCLE_R1</t>
  </si>
  <si>
    <t>DQ_STRUCT_HALF_CYCLE_R1</t>
  </si>
  <si>
    <t>DQ_STRUCT_HALF_CYCLE_R0</t>
  </si>
  <si>
    <t>DQS_STRUCT_HALF_CYCLE_R0</t>
  </si>
  <si>
    <t>DQ_HALF_CYCLE_R1</t>
  </si>
  <si>
    <t>DQS_STRUCT_HALF_CYCLE_R1</t>
  </si>
  <si>
    <t>DQS_HALF_CYCLE_R0</t>
  </si>
  <si>
    <t>DQ_HALF_CYCLE_R0</t>
  </si>
  <si>
    <t>0x000006c4</t>
  </si>
  <si>
    <t>DDR_PHY_DDRPHY_DCCEXT_PADDCC_4_CTL_CFG</t>
  </si>
  <si>
    <t>0x00000188</t>
  </si>
  <si>
    <t>DDR_PHY_DDRPHY_CMSLICE4_PBIT_CTL_DQ_4_RXTX_CFG</t>
  </si>
  <si>
    <t>RX4_EN</t>
  </si>
  <si>
    <t>0x00400000</t>
  </si>
  <si>
    <t>0x16</t>
  </si>
  <si>
    <t>TX4_CTL_SEL</t>
  </si>
  <si>
    <t>RFU</t>
  </si>
  <si>
    <t>0xfe000000</t>
  </si>
  <si>
    <t>RX4_CTL_SEL</t>
  </si>
  <si>
    <t>RX4_CTL</t>
  </si>
  <si>
    <t>TX4_EN</t>
  </si>
  <si>
    <t>0x00800000</t>
  </si>
  <si>
    <t>0x17</t>
  </si>
  <si>
    <t>RO_PASS_THROU_MUX_SEL</t>
  </si>
  <si>
    <t>0x01000000</t>
  </si>
  <si>
    <t>TX4_CTL</t>
  </si>
  <si>
    <t>0x000006c0</t>
  </si>
  <si>
    <t>DDR_PHY_DDRPHY_DCCEXT_PADDCC_3_CTL_CFG</t>
  </si>
  <si>
    <t>0x000001c0</t>
  </si>
  <si>
    <t>DDR_PHY_DDRPHY_CMSLICE4_DQ_LOCAL_VREF_CFG</t>
  </si>
  <si>
    <t>0x00000488</t>
  </si>
  <si>
    <t>DDR_PHY_DDRPHY_CDCEXT_WR_2_CTL_CFG</t>
  </si>
  <si>
    <t>0x000001b4</t>
  </si>
  <si>
    <t>DDR_PHY_DDRPHY_CMSLICE1_DQ_LOCAL_VREF_CFG</t>
  </si>
  <si>
    <t>0x0000047c</t>
  </si>
  <si>
    <t>DDR_PHY_DDRPHY_CDCEXT_WRLVL_7_CTL_CFG</t>
  </si>
  <si>
    <t>0x000007ec</t>
  </si>
  <si>
    <t>DDR_PHY_DDRPHY_QFI2EXT_PRFS_7_CNTL_0_CFG</t>
  </si>
  <si>
    <t>0x00000128</t>
  </si>
  <si>
    <t>DDR_PHY_DDRPHY_CMCDCRD_TOP_1_CFG</t>
  </si>
  <si>
    <t>DCC_CTL_R1</t>
  </si>
  <si>
    <t>0x000000ff</t>
  </si>
  <si>
    <t>0x000004b8</t>
  </si>
  <si>
    <t>DDR_PHY_DDRPHY_CDCEXT_RD_5_CTL_CFG</t>
  </si>
  <si>
    <t>0x0000026c</t>
  </si>
  <si>
    <t>DDR_PHY_DDRPHY_DCC_TOP_3_CFG</t>
  </si>
  <si>
    <t>CM_ADJ_DQ_SW_OVRD_VAL</t>
  </si>
  <si>
    <t>0x000007fe</t>
  </si>
  <si>
    <t>CM_DCC_CTLR_WR_CDC_LATCH_EN</t>
  </si>
  <si>
    <t>CM_DCC_PER_DCC_ACK_RECEIVE_EN</t>
  </si>
  <si>
    <t>0x20000000</t>
  </si>
  <si>
    <t>0x1d</t>
  </si>
  <si>
    <t>IO_DCC_SW_TKOVR_MODE</t>
  </si>
  <si>
    <t>0x04000000</t>
  </si>
  <si>
    <t>0x1a</t>
  </si>
  <si>
    <t>IO_DCC_PER_DCC_REQ_SEND_EN</t>
  </si>
  <si>
    <t>CM_DCC_SW_TKOVR_MODE</t>
  </si>
  <si>
    <t>0x02000000</t>
  </si>
  <si>
    <t>CM_ADJ_DQ_SW_OVRD</t>
  </si>
  <si>
    <t>IO_DCC_PER_DCC_ACK_RECEIVE_EN</t>
  </si>
  <si>
    <t>0x40000000</t>
  </si>
  <si>
    <t>0x1e</t>
  </si>
  <si>
    <t>IO_ADJ_DQ_SW_OVRD</t>
  </si>
  <si>
    <t>0xb</t>
  </si>
  <si>
    <t>CM_DCC_PER_DCC_REQ_SEND_EN</t>
  </si>
  <si>
    <t>0x08000000</t>
  </si>
  <si>
    <t>0x1b</t>
  </si>
  <si>
    <t>CM_DCC_CDC_TST_CLK_SEL</t>
  </si>
  <si>
    <t>IO_ADJ_DQ_SW_OVRD_VAL</t>
  </si>
  <si>
    <t>0x003ff000</t>
  </si>
  <si>
    <t>CM_DCC_CTLR_WRLVL_CDC_LATCH_EN</t>
  </si>
  <si>
    <t>0x000004a4</t>
  </si>
  <si>
    <t>DDR_PHY_DDRPHY_CDCEXT_RD_0_CTL_CFG</t>
  </si>
  <si>
    <t>0x00000820</t>
  </si>
  <si>
    <t>DDR_PHY_DDRPHY_QFI2EXT_PRFS_4_CNTL_2_CFG</t>
  </si>
  <si>
    <t>READ_IE_EXT_PRE_VAL</t>
  </si>
  <si>
    <t>READ_EN_EXT_PRE_RANK1_VAL</t>
  </si>
  <si>
    <t>READ_OE_DES_VAL</t>
  </si>
  <si>
    <t>READ_EN_EXT_PRE_RANK0_VAL</t>
  </si>
  <si>
    <t>0x00070000</t>
  </si>
  <si>
    <t>READ_IE_EXT_POST_VAL</t>
  </si>
  <si>
    <t>0x00007000</t>
  </si>
  <si>
    <t>OPCODE_READ_LEAD_TIME_VAL</t>
  </si>
  <si>
    <t>READ_EN_EXT_POST_VAL</t>
  </si>
  <si>
    <t>0x000007f4</t>
  </si>
  <si>
    <t>DDR_PHY_DDRPHY_QFI2EXT_PRFS_1_CNTL_1_CFG</t>
  </si>
  <si>
    <t>WR_RANK_UPDATE_WAIT_CYCLE_VAL</t>
  </si>
  <si>
    <t>0x000000f0</t>
  </si>
  <si>
    <t>WR_RANK_UPDATE_EN</t>
  </si>
  <si>
    <t>WR_RANK_UPDATE_CLK_GATE_CYCLE_VAL</t>
  </si>
  <si>
    <t>WR_RANK_UPDATE_CLK_GATE_EXTEND</t>
  </si>
  <si>
    <t>0x00000178</t>
  </si>
  <si>
    <t>DDR_PHY_DDRPHY_CMSLICE0_PBIT_CTL_DQ_0_RXTX_CFG</t>
  </si>
  <si>
    <t>RX0_CTL</t>
  </si>
  <si>
    <t>TX0_CTL</t>
  </si>
  <si>
    <t>TX0_EN</t>
  </si>
  <si>
    <t>RX0_CTL_SEL</t>
  </si>
  <si>
    <t>RX0_EN</t>
  </si>
  <si>
    <t>TX0_CTL_SEL</t>
  </si>
  <si>
    <t>0x00000494</t>
  </si>
  <si>
    <t>DDR_PHY_DDRPHY_CDCEXT_WR_5_CTL_CFG</t>
  </si>
  <si>
    <t>0x000007d4</t>
  </si>
  <si>
    <t>DDR_PHY_DDRPHY_QFI2EXT_PRFS_1_CNTL_0_CFG</t>
  </si>
  <si>
    <t>0x0000081c</t>
  </si>
  <si>
    <t>DDR_PHY_DDRPHY_QFI2EXT_PRFS_3_CNTL_2_CFG</t>
  </si>
  <si>
    <t>0x0000007c</t>
  </si>
  <si>
    <t>DDR_PHY_DDRPHY_PAD_GLOBAL_VREF_TRIM_CFG</t>
  </si>
  <si>
    <t>GLOBAL_HP_VREF_TRIM</t>
  </si>
  <si>
    <t>GLOBAL_MP_VREF_TRIM</t>
  </si>
  <si>
    <t>0x00007f00</t>
  </si>
  <si>
    <t>0x000001d0</t>
  </si>
  <si>
    <t>DDR_PHY_DDRPHY_CMSLICE8_DQ_LOCAL_VREF_CFG</t>
  </si>
  <si>
    <t>0x00000518</t>
  </si>
  <si>
    <t>DDR_PHY_DDRPHY_WRLVLEXT_CTL_5_CFG</t>
  </si>
  <si>
    <t>0x00000198</t>
  </si>
  <si>
    <t>DDR_PHY_DDRPHY_CMSLICE8_PBIT_CTL_DQ_8_RXTX_CFG</t>
  </si>
  <si>
    <t>TX8_CTL</t>
  </si>
  <si>
    <t>RX8_CTL_SEL</t>
  </si>
  <si>
    <t>TX8_CTL_SEL</t>
  </si>
  <si>
    <t>RX8_CTL</t>
  </si>
  <si>
    <t>TX8_EN</t>
  </si>
  <si>
    <t>RX8_EN</t>
  </si>
  <si>
    <t>0x0000048c</t>
  </si>
  <si>
    <t>DDR_PHY_DDRPHY_CDCEXT_WR_3_CTL_CFG</t>
  </si>
  <si>
    <t>0x000004b4</t>
  </si>
  <si>
    <t>DDR_PHY_DDRPHY_CDCEXT_RD_4_CTL_CFG</t>
  </si>
  <si>
    <t>0x000006a8</t>
  </si>
  <si>
    <t>DDR_PHY_DDRPHY_DCCEXT_CMDCC_5_CTL_CFG</t>
  </si>
  <si>
    <t>0x00000728</t>
  </si>
  <si>
    <t>DDR_PHY_DDRPHY_QFI2_CNTL_2_CFG</t>
  </si>
  <si>
    <t>0x0000082c</t>
  </si>
  <si>
    <t>DDR_PHY_DDRPHY_QFI2EXT_PRFS_7_CNTL_2_CFG</t>
  </si>
  <si>
    <t>0x0000051c</t>
  </si>
  <si>
    <t>DDR_PHY_DDRPHY_WRLVLEXT_CTL_6_CFG</t>
  </si>
  <si>
    <t>0x00000478</t>
  </si>
  <si>
    <t>DDR_PHY_DDRPHY_CDCEXT_WRLVL_6_CTL_CFG</t>
  </si>
  <si>
    <t>0x00000698</t>
  </si>
  <si>
    <t>DDR_PHY_DDRPHY_DCCEXT_CMDCC_1_CTL_CFG</t>
  </si>
  <si>
    <t>0x000001d4</t>
  </si>
  <si>
    <t>DDR_PHY_DDRPHY_CMSLICE9_DQ_LOCAL_VREF_CFG</t>
  </si>
  <si>
    <t>0x00000804</t>
  </si>
  <si>
    <t>DDR_PHY_DDRPHY_QFI2EXT_PRFS_5_CNTL_1_CFG</t>
  </si>
  <si>
    <t>0x00000520</t>
  </si>
  <si>
    <t>DDR_PHY_DDRPHY_WRLVLEXT_CTL_7_CFG</t>
  </si>
  <si>
    <t>0x000007e4</t>
  </si>
  <si>
    <t>DDR_PHY_DDRPHY_QFI2EXT_PRFS_5_CNTL_0_CFG</t>
  </si>
  <si>
    <t>0x000004b0</t>
  </si>
  <si>
    <t>DDR_PHY_DDRPHY_CDCEXT_RD_3_CTL_CFG</t>
  </si>
  <si>
    <t>0x000006b0</t>
  </si>
  <si>
    <t>DDR_PHY_DDRPHY_DCCEXT_CMDCC_7_CTL_CFG</t>
  </si>
  <si>
    <t>0x00000514</t>
  </si>
  <si>
    <t>DDR_PHY_DDRPHY_WRLVLEXT_CTL_4_CFG</t>
  </si>
  <si>
    <t>0x00000498</t>
  </si>
  <si>
    <t>DDR_PHY_DDRPHY_CDCEXT_WR_6_CTL_CFG</t>
  </si>
  <si>
    <t>0x00000468</t>
  </si>
  <si>
    <t>DDR_PHY_DDRPHY_CDCEXT_WRLVL_2_CTL_CFG</t>
  </si>
  <si>
    <t>0x00000184</t>
  </si>
  <si>
    <t>DDR_PHY_DDRPHY_CMSLICE3_PBIT_CTL_DQ_3_RXTX_CFG</t>
  </si>
  <si>
    <t>RX3_CTL_SEL</t>
  </si>
  <si>
    <t>RX3_CTL</t>
  </si>
  <si>
    <t>TX3_CTL_SEL</t>
  </si>
  <si>
    <t>TX3_EN</t>
  </si>
  <si>
    <t>RX3_EN</t>
  </si>
  <si>
    <t>TX3_CTL</t>
  </si>
  <si>
    <t>0x000007fc</t>
  </si>
  <si>
    <t>DDR_PHY_DDRPHY_QFI2EXT_PRFS_3_CNTL_1_CFG</t>
  </si>
  <si>
    <t>0x00000260</t>
  </si>
  <si>
    <t>DDR_PHY_DDRPHY_DCC_TOP_0_CFG</t>
  </si>
  <si>
    <t>CM_WAIT_TIME</t>
  </si>
  <si>
    <t>CM_CNTRL_START</t>
  </si>
  <si>
    <t>CM_MODE</t>
  </si>
  <si>
    <t>CM_MAN_ADJ</t>
  </si>
  <si>
    <t>0x0ffc0000</t>
  </si>
  <si>
    <t>IO_CM_DEBUG_BUS_0_OR_1_SEL</t>
  </si>
  <si>
    <t>IO_CNTRL_START</t>
  </si>
  <si>
    <t>IO_OR_CM_DEBUG_BUS_SEL</t>
  </si>
  <si>
    <t>0x1f</t>
  </si>
  <si>
    <t>IO_MODE</t>
  </si>
  <si>
    <t>CM_DIV_REF</t>
  </si>
  <si>
    <t>0x0000fffc</t>
  </si>
  <si>
    <t>0x0000018c</t>
  </si>
  <si>
    <t>DDR_PHY_DDRPHY_CMSLICE5_PBIT_CTL_DQ_5_RXTX_CFG</t>
  </si>
  <si>
    <t>TX5_CTL</t>
  </si>
  <si>
    <t>RX5_CTL</t>
  </si>
  <si>
    <t>RX5_CTL_SEL</t>
  </si>
  <si>
    <t>RX5_EN</t>
  </si>
  <si>
    <t>TX5_CTL_SEL</t>
  </si>
  <si>
    <t>TX5_EN</t>
  </si>
  <si>
    <t>DDR_PHY_DDRPHY_QFI2EXT_PRFS_4_CNTL_1_CFG</t>
  </si>
  <si>
    <t>0x000006d0</t>
  </si>
  <si>
    <t>DDR_PHY_DDRPHY_DCCEXT_PADDCC_7_CTL_CFG</t>
  </si>
  <si>
    <t>0x0000017c</t>
  </si>
  <si>
    <t>DDR_PHY_DDRPHY_CMSLICE1_PBIT_CTL_DQ_1_RXTX_CFG</t>
  </si>
  <si>
    <t>RX1_CTL</t>
  </si>
  <si>
    <t>TX1_CTL_SEL</t>
  </si>
  <si>
    <t>RX1_CTL_SEL</t>
  </si>
  <si>
    <t>TX1_EN</t>
  </si>
  <si>
    <t>TX1_CTL</t>
  </si>
  <si>
    <t>RX1_EN</t>
  </si>
  <si>
    <t>0x00000828</t>
  </si>
  <si>
    <t>DDR_PHY_DDRPHY_QFI2EXT_PRFS_6_CNTL_2_CFG</t>
  </si>
  <si>
    <t>0x000001c8</t>
  </si>
  <si>
    <t>DDR_PHY_DDRPHY_CMSLICE6_DQ_LOCAL_VREF_CFG</t>
  </si>
  <si>
    <t>0x000004a8</t>
  </si>
  <si>
    <t>DDR_PHY_DDRPHY_CDCEXT_RD_1_CTL_CFG</t>
  </si>
  <si>
    <t>0x000007f8</t>
  </si>
  <si>
    <t>DDR_PHY_DDRPHY_QFI2EXT_PRFS_2_CNTL_1_CFG</t>
  </si>
  <si>
    <t>0x000001cc</t>
  </si>
  <si>
    <t>DDR_PHY_DDRPHY_CMSLICE7_DQ_LOCAL_VREF_CFG</t>
  </si>
  <si>
    <t>0x00000510</t>
  </si>
  <si>
    <t>DDR_PHY_DDRPHY_WRLVLEXT_CTL_3_CFG</t>
  </si>
  <si>
    <t>0x00000720</t>
  </si>
  <si>
    <t>DDR_PHY_DDRPHY_QFI2_CNTL_0_CFG</t>
  </si>
  <si>
    <t>0x00000814</t>
  </si>
  <si>
    <t>DDR_PHY_DDRPHY_QFI2EXT_PRFS_1_CNTL_2_CFG</t>
  </si>
  <si>
    <t>0x00000504</t>
  </si>
  <si>
    <t>DDR_PHY_DDRPHY_WRLVLEXT_CTL_0_CFG</t>
  </si>
  <si>
    <t>0x000001a0</t>
  </si>
  <si>
    <t>DDR_PHY_DDRPHY_CMSLICE10_PBIT_CTL_DQS_CFG</t>
  </si>
  <si>
    <t>TX_EN</t>
  </si>
  <si>
    <t>TX_CTL_SEL</t>
  </si>
  <si>
    <t>RX_CTL_SEL</t>
  </si>
  <si>
    <t>RX_CTL</t>
  </si>
  <si>
    <t>RX_EN</t>
  </si>
  <si>
    <t>TX_CTL</t>
  </si>
  <si>
    <t>0x000006b8</t>
  </si>
  <si>
    <t>DDR_PHY_DDRPHY_DCCEXT_PADDCC_1_CTL_CFG</t>
  </si>
  <si>
    <t>0x00000194</t>
  </si>
  <si>
    <t>DDR_PHY_DDRPHY_CMSLICE7_PBIT_CTL_DQ_7_RXTX_CFG</t>
  </si>
  <si>
    <t>TX7_EN</t>
  </si>
  <si>
    <t>TX7_CTL</t>
  </si>
  <si>
    <t>TX7_CTL_SEL</t>
  </si>
  <si>
    <t>RX7_CTL</t>
  </si>
  <si>
    <t>RX7_CTL_SEL</t>
  </si>
  <si>
    <t>RX7_EN</t>
  </si>
  <si>
    <t>0x00000180</t>
  </si>
  <si>
    <t>DDR_PHY_DDRPHY_CMSLICE2_PBIT_CTL_DQ_2_RXTX_CFG</t>
  </si>
  <si>
    <t>RX2_CTL</t>
  </si>
  <si>
    <t>RX2_CTL_SEL</t>
  </si>
  <si>
    <t>RX2_EN</t>
  </si>
  <si>
    <t>TX2_CTL</t>
  </si>
  <si>
    <t>TX2_EN</t>
  </si>
  <si>
    <t>TX2_CTL_SEL</t>
  </si>
  <si>
    <t>0x0000072c</t>
  </si>
  <si>
    <t>DDR_PHY_DDRPHY_QFI2_CNTL_3_CFG</t>
  </si>
  <si>
    <t>WRITE_BURST_LENGTH_1_VAL</t>
  </si>
  <si>
    <t>WRITE_BURST_LENGTH_0_VAL</t>
  </si>
  <si>
    <t>0x0000000f</t>
  </si>
  <si>
    <t>READ_BURST_LENGTH_1_VAL</t>
  </si>
  <si>
    <t>0x0000f000</t>
  </si>
  <si>
    <t>READ_BURST_LENGTH_0_VAL</t>
  </si>
  <si>
    <t>0x00000f00</t>
  </si>
  <si>
    <t>0x00000810</t>
  </si>
  <si>
    <t>DDR_PHY_DDRPHY_QFI2EXT_PRFS_0_CNTL_2_CFG</t>
  </si>
  <si>
    <t>0x000001b8</t>
  </si>
  <si>
    <t>DDR_PHY_DDRPHY_CMSLICE2_DQ_LOCAL_VREF_CFG</t>
  </si>
  <si>
    <t>0x00000474</t>
  </si>
  <si>
    <t>DDR_PHY_DDRPHY_CDCEXT_WRLVL_5_CTL_CFG</t>
  </si>
  <si>
    <t>0x00000724</t>
  </si>
  <si>
    <t>DDR_PHY_DDRPHY_QFI2_CNTL_1_CFG</t>
  </si>
  <si>
    <t>0x000006a0</t>
  </si>
  <si>
    <t>DDR_PHY_DDRPHY_DCCEXT_CMDCC_3_CTL_CFG</t>
  </si>
  <si>
    <t>0x00000824</t>
  </si>
  <si>
    <t>DDR_PHY_DDRPHY_QFI2EXT_PRFS_5_CNTL_2_CFG</t>
  </si>
  <si>
    <t>0x00000694</t>
  </si>
  <si>
    <t>DDR_PHY_DDRPHY_DCCEXT_CMDCC_0_CTL_CFG</t>
  </si>
  <si>
    <t>0x000001d8</t>
  </si>
  <si>
    <t>DDR_PHY_DDRPHY_CMSLICE10_DQS_LOCAL_VREF_CFG</t>
  </si>
  <si>
    <t>0x000007dc</t>
  </si>
  <si>
    <t>DDR_PHY_DDRPHY_QFI2EXT_PRFS_3_CNTL_0_CFG</t>
  </si>
  <si>
    <t>0x00000460</t>
  </si>
  <si>
    <t>DDR_PHY_DDRPHY_CDCEXT_WRLVL_0_CTL_CFG</t>
  </si>
  <si>
    <t>0x0000019c</t>
  </si>
  <si>
    <t>DDR_PHY_DDRPHY_CMSLICE9_PBIT_CTL_DQ_9_RXTX_CFG</t>
  </si>
  <si>
    <t>TX9_EN</t>
  </si>
  <si>
    <t>RX9_CTL_SEL</t>
  </si>
  <si>
    <t>RX9_CTL</t>
  </si>
  <si>
    <t>RX9_EN</t>
  </si>
  <si>
    <t>TX9_CTL</t>
  </si>
  <si>
    <t>TX9_CTL_SEL</t>
  </si>
  <si>
    <t>0x000001b0</t>
  </si>
  <si>
    <t>DDR_PHY_DDRPHY_CMSLICE0_DQ_LOCAL_VREF_CFG</t>
  </si>
  <si>
    <t>0x00000190</t>
  </si>
  <si>
    <t>DDR_PHY_DDRPHY_CMSLICE6_PBIT_CTL_DQ_6_RXTX_CFG</t>
  </si>
  <si>
    <t>RX6_CTL_SEL</t>
  </si>
  <si>
    <t>TX6_EN</t>
  </si>
  <si>
    <t>TX6_CTL</t>
  </si>
  <si>
    <t>RX6_CTL</t>
  </si>
  <si>
    <t>RX6_EN</t>
  </si>
  <si>
    <t>TX6_CTL_SEL</t>
  </si>
  <si>
    <t>0x000007d0</t>
  </si>
  <si>
    <t>DDR_PHY_DDRPHY_QFI2EXT_PRFS_0_CNTL_0_CFG</t>
  </si>
  <si>
    <t>0x000006c8</t>
  </si>
  <si>
    <t>DDR_PHY_DDRPHY_DCCEXT_PADDCC_5_CTL_CFG</t>
  </si>
  <si>
    <t>0x00000470</t>
  </si>
  <si>
    <t>DDR_PHY_DDRPHY_CDCEXT_WRLVL_4_CTL_CFG</t>
  </si>
  <si>
    <t>0x000004bc</t>
  </si>
  <si>
    <t>DDR_PHY_DDRPHY_CDCEXT_RD_6_CTL_CFG</t>
  </si>
  <si>
    <t>0x00000490</t>
  </si>
  <si>
    <t>DDR_PHY_DDRPHY_CDCEXT_WR_4_CTL_CFG</t>
  </si>
  <si>
    <t>0x0000050c</t>
  </si>
  <si>
    <t>DDR_PHY_DDRPHY_WRLVLEXT_CTL_2_CFG</t>
  </si>
  <si>
    <t>0x00000270</t>
  </si>
  <si>
    <t>DDR_PHY_DDRPHY_DCC_TOP_4_CFG</t>
  </si>
  <si>
    <t>CM_DCC_ADJ_FPM_CNTL</t>
  </si>
  <si>
    <t>CM_CTLR_PER_DCC_TIMER</t>
  </si>
  <si>
    <t>0x003ffffc</t>
  </si>
  <si>
    <t>IO_SW_OVRRD_UPDT_INT_CLK_CGC_EN</t>
  </si>
  <si>
    <t>PAD_DCC_DQ_LAT_EN</t>
  </si>
  <si>
    <t>PAD_DCC_ADJ_FPM_CNTL</t>
  </si>
  <si>
    <t>PAD_DCC_DQS_LAT_EN</t>
  </si>
  <si>
    <t>CM_SW_OVRRD_UPDT_INT_CLK_CGC_EN</t>
  </si>
  <si>
    <t>CM_CTLR_PER_DCC_ADJ_EN</t>
  </si>
  <si>
    <t>CM_SW_OVRRD_UPDT_INT_CLK_CGC_EN_SEL</t>
  </si>
  <si>
    <t>IO_SW_OVRRD_UPDT_INT_CLK_CGC_EN_SEL</t>
  </si>
  <si>
    <t>IO_CTLR_PER_DCC_ADJ_EN</t>
  </si>
  <si>
    <t>0x000006cc</t>
  </si>
  <si>
    <t>DDR_PHY_DDRPHY_DCCEXT_PADDCC_6_CTL_CFG</t>
  </si>
  <si>
    <t>0x00000808</t>
  </si>
  <si>
    <t>DDR_PHY_DDRPHY_QFI2EXT_PRFS_6_CNTL_1_CFG</t>
  </si>
  <si>
    <t>0x0000049c</t>
  </si>
  <si>
    <t>DDR_PHY_DDRPHY_CDCEXT_WR_7_CTL_CFG</t>
  </si>
  <si>
    <t>0x00000730</t>
  </si>
  <si>
    <t>DDR_PHY_DDRPHY_QFI2_CNTL_4_CFG</t>
  </si>
  <si>
    <t>DATA_SLICE_CKE_SEL</t>
  </si>
  <si>
    <t>0x03ff0000</t>
  </si>
  <si>
    <t>DATA_SLICE_CKE_EN</t>
  </si>
  <si>
    <t>0x0000080c</t>
  </si>
  <si>
    <t>DDR_PHY_DDRPHY_QFI2EXT_PRFS_7_CNTL_1_CFG</t>
  </si>
  <si>
    <t>0x000007e8</t>
  </si>
  <si>
    <t>DDR_PHY_DDRPHY_QFI2EXT_PRFS_6_CNTL_0_CFG</t>
  </si>
  <si>
    <t>0x00000464</t>
  </si>
  <si>
    <t>DDR_PHY_DDRPHY_CDCEXT_WRLVL_1_CTL_CFG</t>
  </si>
  <si>
    <t>0x000006a4</t>
  </si>
  <si>
    <t>DDR_PHY_DDRPHY_DCCEXT_CMDCC_4_CTL_CFG</t>
  </si>
  <si>
    <t>0x000007f0</t>
  </si>
  <si>
    <t>DDR_PHY_DDRPHY_QFI2EXT_PRFS_0_CNTL_1_CFG</t>
  </si>
  <si>
    <t>0x000007d8</t>
  </si>
  <si>
    <t>DDR_PHY_DDRPHY_QFI2EXT_PRFS_2_CNTL_0_CFG</t>
  </si>
  <si>
    <t>0x0000069c</t>
  </si>
  <si>
    <t>DDR_PHY_DDRPHY_DCCEXT_CMDCC_2_CTL_CFG</t>
  </si>
  <si>
    <t>0x000001bc</t>
  </si>
  <si>
    <t>DDR_PHY_DDRPHY_CMSLICE3_DQ_LOCAL_VREF_CFG</t>
  </si>
  <si>
    <t>0x000006bc</t>
  </si>
  <si>
    <t>DDR_PHY_DDRPHY_DCCEXT_PADDCC_2_CTL_CFG</t>
  </si>
  <si>
    <t>0x00000818</t>
  </si>
  <si>
    <t>DDR_PHY_DDRPHY_QFI2EXT_PRFS_2_CNTL_2_CFG</t>
  </si>
  <si>
    <t>0x00000480</t>
  </si>
  <si>
    <t>DDR_PHY_DDRPHY_CDCEXT_WR_0_CTL_CFG</t>
  </si>
  <si>
    <t>0x00000484</t>
  </si>
  <si>
    <t>DDR_PHY_DDRPHY_CDCEXT_WR_1_CTL_CFG</t>
  </si>
  <si>
    <t>0x00000124</t>
  </si>
  <si>
    <t>DDR_PHY_DDRPHY_CMCDCRD_TOP_CFG</t>
  </si>
  <si>
    <t>DLY_SEL_BYP</t>
  </si>
  <si>
    <t>GATE</t>
  </si>
  <si>
    <t>EN</t>
  </si>
  <si>
    <t>DCC_CTL</t>
  </si>
  <si>
    <t>0x00000ff0</t>
  </si>
  <si>
    <t>TEST_EN</t>
  </si>
  <si>
    <t>HP_EN</t>
  </si>
  <si>
    <t>LOAD</t>
  </si>
  <si>
    <t>LP_EN</t>
  </si>
  <si>
    <t>DLY_SEL</t>
  </si>
  <si>
    <t>CA_PHY_REGS</t>
  </si>
  <si>
    <t>0x0000058c</t>
  </si>
  <si>
    <t>DDR_PHY_DDRPHY_GLOBALVREFEXT_PRFS_7_CFG</t>
  </si>
  <si>
    <t>0x00000578</t>
  </si>
  <si>
    <t>DDR_PHY_DDRPHY_GLOBALVREFEXT_PRFS_2_CFG</t>
  </si>
  <si>
    <t>0x00000584</t>
  </si>
  <si>
    <t>DDR_PHY_DDRPHY_GLOBALVREFEXT_PRFS_5_CFG</t>
  </si>
  <si>
    <t>0x00000588</t>
  </si>
  <si>
    <t>DDR_PHY_DDRPHY_GLOBALVREFEXT_PRFS_6_CFG</t>
  </si>
  <si>
    <t>0x00000574</t>
  </si>
  <si>
    <t>DDR_PHY_DDRPHY_GLOBALVREFEXT_PRFS_1_CFG</t>
  </si>
  <si>
    <t>0x00000570</t>
  </si>
  <si>
    <t>DDR_PHY_DDRPHY_GLOBALVREFEXT_PRFS_0_CFG</t>
  </si>
  <si>
    <t>0x0000057c</t>
  </si>
  <si>
    <t>DDR_PHY_DDRPHY_GLOBALVREFEXT_PRFS_3_CFG</t>
  </si>
  <si>
    <t>0x00000580</t>
  </si>
  <si>
    <t>DDR_PHY_DDRPHY_GLOBALVREFEXT_PRFS_4_CFG</t>
  </si>
  <si>
    <t>Scorecard Index</t>
  </si>
  <si>
    <t>DCB Binary Sub-Block</t>
  </si>
  <si>
    <t>SWC Sheet</t>
  </si>
  <si>
    <t>C Code Register Offset</t>
  </si>
  <si>
    <t>Summary Prefix</t>
  </si>
  <si>
    <t>C Code HWIO Prefix</t>
  </si>
  <si>
    <t>CMM HWIO Prefixes</t>
  </si>
  <si>
    <t>Remove Prefix</t>
  </si>
  <si>
    <t>Header</t>
  </si>
  <si>
    <t>XL file</t>
  </si>
  <si>
    <t>Summary Sheet</t>
  </si>
  <si>
    <t>Link</t>
  </si>
  <si>
    <t>PHY</t>
  </si>
  <si>
    <t>DDR_PHY</t>
  </si>
  <si>
    <t>DDRPHY_CHm_DQn&lt;1&gt;&lt;1&gt;</t>
  </si>
  <si>
    <t>ddr_phy_seq_hwioreg.h</t>
  </si>
  <si>
    <t>Warlock-DQ Summary</t>
  </si>
  <si>
    <t>https://projects.qualcomm.com/sites/DDR28/Gen3 DDR PHY/Architecture/Documents/SWC/ddr_phy_3.2.xlsm</t>
  </si>
  <si>
    <t>DDRPHY_CHn_CA&lt;1&gt;</t>
  </si>
  <si>
    <t>Warlock-CA Summary</t>
  </si>
  <si>
    <t>DDRCC_CH01</t>
  </si>
  <si>
    <t>ddr_cc_seq_hwioreg.h</t>
  </si>
  <si>
    <t>Warlock Summary</t>
  </si>
  <si>
    <t>https://projects.qualcomm.com/sites/DDR28/Gen3 DDR PHY/Architecture/Documents/SWC/ddr_cc_3.2.xlsm</t>
  </si>
  <si>
    <t>MC</t>
  </si>
  <si>
    <t>SEQ_CABO_MPE_OFFSET</t>
  </si>
  <si>
    <t>CABOn_CABO_MPE&lt;1&gt;</t>
  </si>
  <si>
    <t>cabo_seq_hwioreg.h</t>
  </si>
  <si>
    <t>Summary,Status_Summary</t>
  </si>
  <si>
    <t>https://sharepoint.qualcomm.com/qct/DHW/Cores/MemoryControllers/MCP/CABO/Shared Documents/Deployments/Napali_v1.0/HPG/CABO_SWSettings_P3_dev.xlsx</t>
  </si>
  <si>
    <t>SEQ_CABO_GLOBAL_SEC_OFFSET</t>
  </si>
  <si>
    <t>CABOn_CABO_GLOBAL_SEC&lt;1&gt;</t>
  </si>
  <si>
    <t>SEQ_CABO_GLOBAL_OFFSET</t>
  </si>
  <si>
    <t>CABOn_CABO_GLOBAL&lt;1&gt;</t>
  </si>
  <si>
    <t>SEQ_CABO_ISU_OFFSET</t>
  </si>
  <si>
    <t>CABOn_CABO_ISU&lt;1&gt;</t>
  </si>
  <si>
    <t>SEQ_CABO_CBU_TOP_OFFSET</t>
  </si>
  <si>
    <t>CABOn_CABO_CBU_TOP&lt;1&gt;</t>
  </si>
  <si>
    <t>SEQ_CABO_DTC_OFFSET</t>
  </si>
  <si>
    <t>CABOn_CABO_DTC&lt;1&gt;</t>
  </si>
  <si>
    <t>SEQ_CABO_SHKE_OFFSET</t>
  </si>
  <si>
    <t>CABOn_CABO_SHKE&lt;1&gt;</t>
  </si>
  <si>
    <t>10</t>
  </si>
  <si>
    <t>SEQ_CABO_OSU_OFFSET</t>
  </si>
  <si>
    <t>CABOn_CABO_OSU&lt;1&gt;</t>
  </si>
  <si>
    <t>11</t>
  </si>
  <si>
    <t>SEQ_CABO_INTERRUPT_OFFSET</t>
  </si>
  <si>
    <t>CABOn_CABO_INTERRUPT&lt;1&gt;</t>
  </si>
  <si>
    <t>MCCC</t>
  </si>
  <si>
    <t>MCCC_CHn&lt;1&gt;</t>
  </si>
  <si>
    <t>mccc_seq_hwioreg.h</t>
  </si>
  <si>
    <t>https://sharepoint.qualcomm.com/qct/DHW/Cores/DDRSS/Documents/MCCC/Napali/napali_mccc_sw_settings.xlsx</t>
  </si>
  <si>
    <t>13</t>
  </si>
  <si>
    <t>14</t>
  </si>
  <si>
    <t>MEMNOC</t>
  </si>
  <si>
    <t>mem_noc_seq_hwioreg.h</t>
  </si>
  <si>
    <t>https://sharepoint.qualcomm.com/qct/DHW/Cores/Buses/BP/NoC/Documents/Hoya_Deployments/Napali_SD840M_v1/Mem_NoC_HM/mem_noc_hm_SWC.xlsx</t>
  </si>
  <si>
    <t>LLCC</t>
  </si>
  <si>
    <t>SEQ_LLCC_TRP_OFFSET</t>
  </si>
  <si>
    <t>LLCC_TRP_LLCC_TRP</t>
  </si>
  <si>
    <t>LLCCn_LLCC_TRP&lt;1&gt;</t>
  </si>
  <si>
    <t>llcc_seq_hwioreg.h</t>
  </si>
  <si>
    <t>https://sharepoint.qualcomm.com/qct/DHW/Cores/Buses/BP/Coherency/LLC/Deployments/Napali%20SDM845/LLCC_Napali_v1.0_SWSettings.xlsx</t>
  </si>
  <si>
    <t>16</t>
  </si>
  <si>
    <t>SEQ_LLCC_COMMON_OFFSET</t>
  </si>
  <si>
    <t>LLCC_COMMON_LLCC_COMMON</t>
  </si>
  <si>
    <t>LLCCn_LLCC_COMMON&lt;1&gt;</t>
  </si>
  <si>
    <t>SEQ_LLCC_PERFMON_OFFSET</t>
  </si>
  <si>
    <t>LLCC_PERFMON_LLCC_PERFMON</t>
  </si>
  <si>
    <t>LLCCn_LLCC_PERFMON&lt;1&gt;</t>
  </si>
  <si>
    <t>18</t>
  </si>
  <si>
    <t>SEQ_LLCC_FEWC_OFFSET</t>
  </si>
  <si>
    <t>LLCC_FEWC_LLCC_FEWC</t>
  </si>
  <si>
    <t>LLCCn_LLCC_FEWC&lt;1&gt;</t>
  </si>
  <si>
    <t>19</t>
  </si>
  <si>
    <t>SEQ_LLCC_FEAC_OFFSET</t>
  </si>
  <si>
    <t>LLCC_FEAC_LLCC_FEAC</t>
  </si>
  <si>
    <t>LLCCn_LLCC_FEAC&lt;1&gt;</t>
  </si>
  <si>
    <t>20</t>
  </si>
  <si>
    <t>SEQ_LLCC_BERC_OFFSET</t>
  </si>
  <si>
    <t>LLCC_BERC_LLCC_BERC</t>
  </si>
  <si>
    <t>LLCCn_LLCC_BERC&lt;1&gt;</t>
  </si>
  <si>
    <t>21</t>
  </si>
  <si>
    <t>SEQ_LLCC_FERC_OFFSET</t>
  </si>
  <si>
    <t>LLCC_FERC_LLCC_FERC</t>
  </si>
  <si>
    <t>LLCCn_LLCC_FERC&lt;1&gt;</t>
  </si>
  <si>
    <t>22</t>
  </si>
  <si>
    <t>SEQ_LLCC_BIST_OFFSET</t>
  </si>
  <si>
    <t>LLCC_BIST_LLCC_BIST</t>
  </si>
  <si>
    <t>LLCCn_LLCC_BIST&lt;1&gt;</t>
  </si>
  <si>
    <t>23</t>
  </si>
  <si>
    <t>SEQ_LLCC_AMON_OFFSET</t>
  </si>
  <si>
    <t>LLCC_AMON_LLCC_AMON</t>
  </si>
  <si>
    <t>LLCCn_LLCC_AMON&lt;1&gt;</t>
  </si>
  <si>
    <t>SEQ_LLCC_PMGR_OFFSET</t>
  </si>
  <si>
    <t>LLCC_PMGR_LLCC_PMGR</t>
  </si>
  <si>
    <t>LLCCn_LLCC_PMGR&lt;1&gt;</t>
  </si>
  <si>
    <t>SEQ_LLCC_DRP_OFFSET</t>
  </si>
  <si>
    <t>LLCC_DRP_LLCC_DRP</t>
  </si>
  <si>
    <t>LLCCn_LLCC_DRP&lt;1&gt;</t>
  </si>
  <si>
    <t>26</t>
  </si>
  <si>
    <t>SEQ_LLCC_BEAC_OFFSET</t>
  </si>
  <si>
    <t>LLCC_BEAC_LLCC_BEAC</t>
  </si>
  <si>
    <t>LLCCn_LLCC_BEAC&lt;1&gt;</t>
  </si>
  <si>
    <t>27</t>
  </si>
  <si>
    <t>SEQ_LLCC_MPU_OFFSET</t>
  </si>
  <si>
    <t>LLCC_MPU_LLCC_MPU</t>
  </si>
  <si>
    <t>LLCCn_LLCC_MPU&lt;1&gt;</t>
  </si>
  <si>
    <t>28</t>
  </si>
  <si>
    <t>SHRM</t>
  </si>
  <si>
    <t>shrm_csr_seq_hwioreg.h</t>
  </si>
  <si>
    <t>https://sharepoint.qualcomm.com/qct/DHWCores/SHRM/Shared%20Documents/Design/SHRM_Napli_V1_SWSettings.xlsx?Web=1</t>
  </si>
  <si>
    <t>DDRSS</t>
  </si>
  <si>
    <t>SEQ_DDR_SS_DPC_REG_DPCC_OFFSET</t>
  </si>
  <si>
    <t>DPC_REG_DPCC</t>
  </si>
  <si>
    <t>ddr_ss_seq_hwioreg.h</t>
  </si>
  <si>
    <t>https://projects.qualcomm.com/sites/DDR28/Gen3%20DDR%20PHY/Architecture/Documents/SWC/ddr_cc_3.2.2.xlsm</t>
  </si>
  <si>
    <t>30</t>
  </si>
  <si>
    <t>SEQ_DDR_SS_DDR_REG_DDR_SS_REGS_OFFSET</t>
  </si>
  <si>
    <t>DDR_REG</t>
  </si>
  <si>
    <t>boolean</t>
  </si>
  <si>
    <t>uint32</t>
  </si>
  <si>
    <t>CLK_MODE</t>
  </si>
  <si>
    <t>VOLTAGE_RAIL</t>
  </si>
  <si>
    <t>VDD_RET</t>
  </si>
  <si>
    <t>NOMINAL_L1</t>
  </si>
  <si>
    <t>NOMINAL_L2</t>
  </si>
  <si>
    <t>TURBO_L1</t>
  </si>
  <si>
    <t>Relative address</t>
  </si>
  <si>
    <t>LLCC_AMON_CFG0</t>
  </si>
  <si>
    <t>LLCC_AMON_EVICT_ENTRY_0_STATUS</t>
  </si>
  <si>
    <t>LLCC_AMON_EVICT_ENTRY_1_STATUS</t>
  </si>
  <si>
    <t>LLCC_AMON_EVICT_ENTRY_2_STATUS</t>
  </si>
  <si>
    <t>LLCC_AMON_EVICT_ENTRY_3_STATUS</t>
  </si>
  <si>
    <t>LLCC_AMON_EVICT_ENTRY_4_STATUS</t>
  </si>
  <si>
    <t>LLCC_AMON_EVICT_ENTRY_5_STATUS</t>
  </si>
  <si>
    <t>LLCC_AMON_EVICT_ENTRY_6_STATUS</t>
  </si>
  <si>
    <t>LLCC_AMON_EVICT_ENTRY_7_STATUS</t>
  </si>
  <si>
    <t>LLCC_AMON_WRITE_ENTRY_0_STATUS</t>
  </si>
  <si>
    <t>LLCC_AMON_WRITE_ENTRY_1_STATUS</t>
  </si>
  <si>
    <t>LLCC_AMON_WRITE_ENTRY_2_STATUS</t>
  </si>
  <si>
    <t>LLCC_AMON_WRITE_ENTRY_3_STATUS</t>
  </si>
  <si>
    <t>LLCC_AMON_WRITE_ENTRY_4_STATUS</t>
  </si>
  <si>
    <t>LLCC_AMON_WRITE_ENTRY_5_STATUS</t>
  </si>
  <si>
    <t>LLCC_AMON_WRITE_ENTRY_6_STATUS</t>
  </si>
  <si>
    <t>LLCC_AMON_WRITE_ENTRY_7_STATUS</t>
  </si>
  <si>
    <t>LLCC_AMON_WRITE_ENTRY_8_STATUS</t>
  </si>
  <si>
    <t>LLCC_AMON_WRITE_ENTRY_9_STATUS</t>
  </si>
  <si>
    <t>LLCC_AMON_WRITE_ENTRY_10_STATUS</t>
  </si>
  <si>
    <t>LLCC_AMON_WRITE_ENTRY_11_STATUS</t>
  </si>
  <si>
    <t>LLCC_AMON_WRITE_ENTRY_12_STATUS</t>
  </si>
  <si>
    <t>LLCC_AMON_WRITE_ENTRY_13_STATUS</t>
  </si>
  <si>
    <t>LLCC_AMON_WRITE_ENTRY_14_STATUS</t>
  </si>
  <si>
    <t>LLCC_AMON_WRITE_ENTRY_15_STATUS</t>
  </si>
  <si>
    <t>LLCC_AMON_WRITE_ENTRY_16_STATUS</t>
  </si>
  <si>
    <t>LLCC_AMON_WRITE_ENTRY_17_STATUS</t>
  </si>
  <si>
    <t>LLCC_AMON_WRITE_ENTRY_18_STATUS</t>
  </si>
  <si>
    <t>LLCC_AMON_WRITE_ENTRY_19_STATUS</t>
  </si>
  <si>
    <t>LLCC_AMON_WRITE_ENTRY_20_STATUS</t>
  </si>
  <si>
    <t>LLCC_AMON_WRITE_ENTRY_21_STATUS</t>
  </si>
  <si>
    <t>LLCC_AMON_WRITE_ENTRY_22_STATUS</t>
  </si>
  <si>
    <t>LLCC_AMON_WRITE_ENTRY_23_STATUS</t>
  </si>
  <si>
    <t>LLCC_AMON_WRITE_ENTRY_24_STATUS</t>
  </si>
  <si>
    <t>LLCC_AMON_WRITE_ENTRY_25_STATUS</t>
  </si>
  <si>
    <t>LLCC_AMON_WRITE_ENTRY_26_STATUS</t>
  </si>
  <si>
    <t>LLCC_AMON_WRITE_ENTRY_27_STATUS</t>
  </si>
  <si>
    <t>LLCC_AMON_WRITE_ENTRY_28_STATUS</t>
  </si>
  <si>
    <t>LLCC_AMON_WRITE_ENTRY_29_STATUS</t>
  </si>
  <si>
    <t>LLCC_AMON_WRITE_ENTRY_30_STATUS</t>
  </si>
  <si>
    <t>LLCC_AMON_WRITE_ENTRY_31_STATUS</t>
  </si>
  <si>
    <t>LLCC_AMON_READ_ENTRY_0_STATUS</t>
  </si>
  <si>
    <t>LLCC_AMON_READ_ENTRY_1_STATUS</t>
  </si>
  <si>
    <t>LLCC_AMON_READ_ENTRY_2_STATUS</t>
  </si>
  <si>
    <t>LLCC_AMON_READ_ENTRY_3_STATUS</t>
  </si>
  <si>
    <t>LLCC_AMON_READ_ENTRY_4_STATUS</t>
  </si>
  <si>
    <t>LLCC_AMON_READ_ENTRY_5_STATUS</t>
  </si>
  <si>
    <t>LLCC_AMON_READ_ENTRY_6_STATUS</t>
  </si>
  <si>
    <t>LLCC_AMON_READ_ENTRY_7_STATUS</t>
  </si>
  <si>
    <t>LLCC_AMON_READ_ENTRY_8_STATUS</t>
  </si>
  <si>
    <t>LLCC_AMON_READ_ENTRY_9_STATUS</t>
  </si>
  <si>
    <t>LLCC_AMON_READ_ENTRY_10_STATUS</t>
  </si>
  <si>
    <t>LLCC_AMON_READ_ENTRY_11_STATUS</t>
  </si>
  <si>
    <t>LLCC_AMON_READ_ENTRY_12_STATUS</t>
  </si>
  <si>
    <t>LLCC_AMON_READ_ENTRY_13_STATUS</t>
  </si>
  <si>
    <t>LLCC_AMON_READ_ENTRY_14_STATUS</t>
  </si>
  <si>
    <t>LLCC_AMON_READ_ENTRY_15_STATUS</t>
  </si>
  <si>
    <t>LLCC_AMON_READ_ENTRY_16_STATUS</t>
  </si>
  <si>
    <t>LLCC_AMON_READ_ENTRY_17_STATUS</t>
  </si>
  <si>
    <t>LLCC_AMON_READ_ENTRY_18_STATUS</t>
  </si>
  <si>
    <t>LLCC_AMON_READ_ENTRY_19_STATUS</t>
  </si>
  <si>
    <t>LLCC_AMON_READ_ENTRY_20_STATUS</t>
  </si>
  <si>
    <t>LLCC_AMON_READ_ENTRY_21_STATUS</t>
  </si>
  <si>
    <t>LLCC_AMON_READ_ENTRY_22_STATUS</t>
  </si>
  <si>
    <t>LLCC_AMON_READ_ENTRY_23_STATUS</t>
  </si>
  <si>
    <t>LLCC_AMON_READ_ENTRY_24_STATUS</t>
  </si>
  <si>
    <t>LLCC_AMON_READ_ENTRY_25_STATUS</t>
  </si>
  <si>
    <t>LLCC_AMON_READ_ENTRY_26_STATUS</t>
  </si>
  <si>
    <t>LLCC_AMON_READ_ENTRY_27_STATUS</t>
  </si>
  <si>
    <t>LLCC_AMON_READ_ENTRY_28_STATUS</t>
  </si>
  <si>
    <t>LLCC_AMON_READ_ENTRY_29_STATUS</t>
  </si>
  <si>
    <t>LLCC_AMON_READ_ENTRY_30_STATUS</t>
  </si>
  <si>
    <t>LLCC_AMON_READ_ENTRY_31_STATUS</t>
  </si>
  <si>
    <t>LLCC_AMON_READ_ENTRY_32_STATUS</t>
  </si>
  <si>
    <t>LLCC_AMON_READ_ENTRY_33_STATUS</t>
  </si>
  <si>
    <t>LLCC_AMON_READ_ENTRY_34_STATUS</t>
  </si>
  <si>
    <t>LLCC_AMON_READ_ENTRY_35_STATUS</t>
  </si>
  <si>
    <t>LLCC_AMON_READ_ENTRY_36_STATUS</t>
  </si>
  <si>
    <t>LLCC_AMON_READ_ENTRY_37_STATUS</t>
  </si>
  <si>
    <t>LLCC_AMON_READ_ENTRY_38_STATUS</t>
  </si>
  <si>
    <t>LLCC_AMON_READ_ENTRY_39_STATUS</t>
  </si>
  <si>
    <t>LLCC_AMON_INTERRUPT_STATUS</t>
  </si>
  <si>
    <t>LLCC_AMON_INTERRUPT_CLEAR</t>
  </si>
  <si>
    <t>LLCC_AMON_INTERRUPT_ENABLE</t>
  </si>
  <si>
    <t>LLCC_AMON_STATUS0</t>
  </si>
  <si>
    <t>LLCC_BEAC_FREQ_SWITCH_CFG</t>
  </si>
  <si>
    <t>LLCC_BEAC_CFG2</t>
  </si>
  <si>
    <t>LLCC_BEAC_WR_DATA_DEBUG_CFG0</t>
  </si>
  <si>
    <t>LLCC_BEAC_WR_DATA_DEBUG_CFG1</t>
  </si>
  <si>
    <t>LLCC_BEAC_CLOCK_CTRL</t>
  </si>
  <si>
    <t>LLCC_BEAC_PROMOTION_CTRL</t>
  </si>
  <si>
    <t>LLCC_BEAC_WR_FL_STATUS0</t>
  </si>
  <si>
    <t>LLCC_BEAC_WR_FL_STATUS1</t>
  </si>
  <si>
    <t>LLCC_BEAC_PCT_STATUS0</t>
  </si>
  <si>
    <t>LLCC_BEAC_PCT_STATUS1</t>
  </si>
  <si>
    <t>LLCC_BEAC_CMD_OT_CREDIT_STATUS0</t>
  </si>
  <si>
    <t>LLCC_BEAC_CMD_OT_CREDIT_STATUS1</t>
  </si>
  <si>
    <t>LLCC_BEAC_WR_OT_CREDIT_STATUS</t>
  </si>
  <si>
    <t>LLCC_BEAC_MSI_CHANNEL_STATUS</t>
  </si>
  <si>
    <t>LLCC_BEAC_IF_CHANNEL_STATUS</t>
  </si>
  <si>
    <t>LLCC_BEAC_DBG_CFG</t>
  </si>
  <si>
    <t>LLCC_BEAC_DBG_EVENT_STATUS</t>
  </si>
  <si>
    <t>LLCC_BEAC_DBG_EVENT_CLR</t>
  </si>
  <si>
    <t>LLCC_BEAC_DBG_EVENT_FWD</t>
  </si>
  <si>
    <t>LLCC_BEAC_ADDR_TRANSLATOR_CFG</t>
  </si>
  <si>
    <t>LLCC_BEAC_ADDR_REGION0_CFG0</t>
  </si>
  <si>
    <t>LLCC_BEAC_ADDR_REGION0_CFG1</t>
  </si>
  <si>
    <t>LLCC_BEAC_ADDR_REGION1_CFG2</t>
  </si>
  <si>
    <t>LLCC_BEAC_ADDR_REGION1_CFG3</t>
  </si>
  <si>
    <t>LLCC_BEAC_ADDR_REGION1_CFG0</t>
  </si>
  <si>
    <t>LLCC_BEAC_ADDR_REGION1_CFG1</t>
  </si>
  <si>
    <t>LLCC_BEAC_ADDR_REGION2_CFG2</t>
  </si>
  <si>
    <t>LLCC_BEAC_ADDR_REGION2_CFG3</t>
  </si>
  <si>
    <t>LLCC_BEAC_ADDR_REGION2_CFG0</t>
  </si>
  <si>
    <t>LLCC_BEAC_ADDR_REGION2_CFG1</t>
  </si>
  <si>
    <t>LLCC_BEAC_ADDR_REGION3_CFG2</t>
  </si>
  <si>
    <t>LLCC_BEAC_ADDR_REGION3_CFG3</t>
  </si>
  <si>
    <t>LLCC_BEAC_ADDR_REGION3_CFG0</t>
  </si>
  <si>
    <t>LLCC_BEAC_ADDR_REGION3_CFG1</t>
  </si>
  <si>
    <t>LLCC_BEAC_ADDR_REGION4_CFG2</t>
  </si>
  <si>
    <t>LLCC_BEAC_ADDR_REGION4_CFG3</t>
  </si>
  <si>
    <t>LLCC_BEAC_ADDR_REGION4_CFG0</t>
  </si>
  <si>
    <t>LLCC_BEAC_ADDR_REGION4_CFG1</t>
  </si>
  <si>
    <t>LLCC_BEAC_ADDR_REGION5_CFG2</t>
  </si>
  <si>
    <t>LLCC_BEAC_ADDR_REGION5_CFG3</t>
  </si>
  <si>
    <t>LLCC_BEAC_ADDR_REGION5_CFG0</t>
  </si>
  <si>
    <t>LLCC_BEAC_ADDR_REGION5_CFG1</t>
  </si>
  <si>
    <t>LLCC_BEAC_PROF_FILTER_0_CFG0</t>
  </si>
  <si>
    <t>LLCC_BEAC_PROF_FILTER_0_CFG1</t>
  </si>
  <si>
    <t>LLCC_BEAC_PROF_FILTER_0_CFG2</t>
  </si>
  <si>
    <t>LLCC_BEAC_PROF_FILTER_0_CFG3</t>
  </si>
  <si>
    <t>LLCC_BEAC_PROF_FILTER_0_CFG4</t>
  </si>
  <si>
    <t>LLCC_BEAC_PROF_FILTER_0_CFG5</t>
  </si>
  <si>
    <t>LLCC_BEAC_PROF_FILTER_0_CFG6</t>
  </si>
  <si>
    <t>LLCC_BEAC_PROF_FILTER_0_CFG7</t>
  </si>
  <si>
    <t>LLCC_BEAC_PROF_FILTER_1_CFG0</t>
  </si>
  <si>
    <t>LLCC_BEAC_PROF_FILTER_1_CFG1</t>
  </si>
  <si>
    <t>LLCC_BEAC_PROF_FILTER_1_CFG2</t>
  </si>
  <si>
    <t>LLCC_BEAC_PROF_FILTER_1_CFG3</t>
  </si>
  <si>
    <t>LLCC_BEAC_PROF_FILTER_1_CFG4</t>
  </si>
  <si>
    <t>LLCC_BEAC_PROF_FILTER_1_CFG5</t>
  </si>
  <si>
    <t>LLCC_BEAC_PROF_FILTER_1_CFG6</t>
  </si>
  <si>
    <t>LLCC_BEAC_PROF_FILTER_1_CFG7</t>
  </si>
  <si>
    <t>LLCC_BEAC_PROF_EVENT_0_CFG</t>
  </si>
  <si>
    <t>LLCC_BEAC_PROF_EVENT_1_CFG</t>
  </si>
  <si>
    <t>LLCC_BEAC_PROF_EVENT_2_CFG</t>
  </si>
  <si>
    <t>LLCC_BEAC_PROF_EVENT_3_CFG</t>
  </si>
  <si>
    <t>LLCC_BEAC_PROF_EVENT_4_CFG</t>
  </si>
  <si>
    <t>LLCC_BEAC_PROF_EVENT_5_CFG</t>
  </si>
  <si>
    <t>LLCC_BEAC_PROF_EVENT_6_CFG</t>
  </si>
  <si>
    <t>LLCC_BEAC_PROF_EVENT_7_CFG</t>
  </si>
  <si>
    <t>LLCC_BEAC_PROF_EVENT_8_CFG</t>
  </si>
  <si>
    <t>LLCC_BEAC_PROF_EVENT_9_CFG</t>
  </si>
  <si>
    <t>LLCC_BEAC_PROF_EVENT_10_CFG</t>
  </si>
  <si>
    <t>LLCC_BEAC_PROF_EVENT_11_CFG</t>
  </si>
  <si>
    <t>LLCC_BEAC_PROF_EVENT_12_CFG</t>
  </si>
  <si>
    <t>LLCC_BEAC_PROF_EVENT_13_CFG</t>
  </si>
  <si>
    <t>LLCC_BEAC_PROF_EVENT_14_CFG</t>
  </si>
  <si>
    <t>LLCC_BEAC_PROF_EVENT_15_CFG</t>
  </si>
  <si>
    <t>LLCC_BEAC_PROF_CFG</t>
  </si>
  <si>
    <t>LLCC_BEAC_PROF_STATUS</t>
  </si>
  <si>
    <t>LLCC_BEAC_INTERRUPT_0_STATUS</t>
  </si>
  <si>
    <t>LLCC_BEAC_INTERRUPT_0_CLEAR</t>
  </si>
  <si>
    <t>LLCC_BEAC_INTERRUPT_0_ENABLE</t>
  </si>
  <si>
    <t>LLCC_BEAC_BWMON_0_ENABLE</t>
  </si>
  <si>
    <t>LLCC_BEAC_BWMON_0_CLEAR</t>
  </si>
  <si>
    <t>LLCC_BEAC_BWMON_0_MID_MASK</t>
  </si>
  <si>
    <t>LLCC_BEAC_BWMON_0_MID_MATCH</t>
  </si>
  <si>
    <t>LLCC_BEAC_BWMON_0_SAMPLING_WINDOW</t>
  </si>
  <si>
    <t>LLCC_BEAC_BWMON_0_BYTE_CNT_THRESHOLD_HIGH</t>
  </si>
  <si>
    <t>LLCC_BEAC_BWMON_0_BYTE_CNT_THRESHOLD_MED</t>
  </si>
  <si>
    <t>LLCC_BEAC_BWMON_0_BYTE_CNT_THRESHOLD_LOW</t>
  </si>
  <si>
    <t>LLCC_BEAC_BWMON_0_ZONE_ACTIONS</t>
  </si>
  <si>
    <t>LLCC_BEAC_BWMON_0_ZONE_COUNT_THRESHOLD</t>
  </si>
  <si>
    <t>LLCC_BEAC_BWMON_0_BYTE_COUNT</t>
  </si>
  <si>
    <t>LLCC_BEAC_BWMON_0_WINDOW_TIMER</t>
  </si>
  <si>
    <t>LLCC_BEAC_BWMON_0_ZONE_COUNT</t>
  </si>
  <si>
    <t>LLCC_BEAC_BWMON_0_ZONE0_MAX_BYTE_COUNT</t>
  </si>
  <si>
    <t>LLCC_BEAC_BWMON_0_ZONE1_MAX_BYTE_COUNT</t>
  </si>
  <si>
    <t>LLCC_BEAC_BWMON_0_ZONE2_MAX_BYTE_COUNT</t>
  </si>
  <si>
    <t>LLCC_BEAC_BWMON_0_ZONE3_MAX_BYTE_COUNT</t>
  </si>
  <si>
    <t>LLCC_BEAC_INTERRUPT_1_STATUS</t>
  </si>
  <si>
    <t>LLCC_BEAC_INTERRUPT_1_CLEAR</t>
  </si>
  <si>
    <t>LLCC_BEAC_INTERRUPT_1_ENABLE</t>
  </si>
  <si>
    <t>LLCC_BEAC_BWMON_1_ENABLE</t>
  </si>
  <si>
    <t>LLCC_BEAC_BWMON_1_CLEAR</t>
  </si>
  <si>
    <t>LLCC_BEAC_BWMON_1_MID_MASK</t>
  </si>
  <si>
    <t>LLCC_BEAC_BWMON_1_MID_MATCH</t>
  </si>
  <si>
    <t>LLCC_BEAC_BWMON_1_SAMPLING_WINDOW</t>
  </si>
  <si>
    <t>LLCC_BEAC_BWMON_1_BYTE_CNT_THRESHOLD_HIGH</t>
  </si>
  <si>
    <t>LLCC_BEAC_BWMON_1_BYTE_CNT_THRESHOLD_MED</t>
  </si>
  <si>
    <t>LLCC_BEAC_BWMON_1_BYTE_CNT_THRESHOLD_LOW</t>
  </si>
  <si>
    <t>LLCC_BEAC_BWMON_1_ZONE_ACTIONS</t>
  </si>
  <si>
    <t>LLCC_BEAC_BWMON_1_ZONE_COUNT_THRESHOLD</t>
  </si>
  <si>
    <t>LLCC_BEAC_BWMON_1_BYTE_COUNT</t>
  </si>
  <si>
    <t>LLCC_BEAC_BWMON_1_WINDOW_TIMER</t>
  </si>
  <si>
    <t>LLCC_BEAC_BWMON_1_ZONE_COUNT</t>
  </si>
  <si>
    <t>LLCC_BEAC_BWMON_1_ZONE0_MAX_BYTE_COUNT</t>
  </si>
  <si>
    <t>LLCC_BEAC_BWMON_1_ZONE1_MAX_BYTE_COUNT</t>
  </si>
  <si>
    <t>LLCC_BEAC_BWMON_1_ZONE2_MAX_BYTE_COUNT</t>
  </si>
  <si>
    <t>LLCC_BEAC_BWMON_1_ZONE3_MAX_BYTE_COUNT</t>
  </si>
  <si>
    <t>LLCC_BERC_CH0_CLK_CTRL</t>
  </si>
  <si>
    <t>LLCC_BERC_STATUS</t>
  </si>
  <si>
    <t>LLCC_BERC_CH0_CMD_FIFO_STATUS</t>
  </si>
  <si>
    <t>LLCC_BERC_CH0_RD_FIFO_STATUS</t>
  </si>
  <si>
    <t>LLCC_BERC_LFILL_PRIO_CFG</t>
  </si>
  <si>
    <t>LLCC_BERC_LFILL_STALL_PRIO_CFG</t>
  </si>
  <si>
    <t>LLCC_BERC_LFILL_ARB_CFG_INFO</t>
  </si>
  <si>
    <t>LLCC_BERC_LFILL_ARB_CTRL</t>
  </si>
  <si>
    <t>LLCC_BERC_CH0_QOS_CTRL</t>
  </si>
  <si>
    <t>LLCC_BERC_HW_EVENT_CFG</t>
  </si>
  <si>
    <t>LLCC_BERC_LACH</t>
  </si>
  <si>
    <t>LLCC_BERC_MSI_CHANNEL_STATUS</t>
  </si>
  <si>
    <t>LLCC_BERC_IF_CHANNEL_STATUS</t>
  </si>
  <si>
    <t>LLCC_BERC_LFILL_BUF_STATUS0</t>
  </si>
  <si>
    <t>LLCC_BERC_LFILL_BUF_STATUS1</t>
  </si>
  <si>
    <t>LLCC_BERC_ACTIVE_BUF_STATUS0</t>
  </si>
  <si>
    <t>LLCC_BERC_ACTIVE_BUF_STATUS1</t>
  </si>
  <si>
    <t>LLCC_BERC_ACTIVE_BUF_STATUS2</t>
  </si>
  <si>
    <t>LLCC_BERC_LACH_FSM_STATUS</t>
  </si>
  <si>
    <t>LLCC_BERC_DBG_CFG</t>
  </si>
  <si>
    <t>LLCC_BERC_ARB_DBG_CFG</t>
  </si>
  <si>
    <t>LLCC_BERC_DBG_EVENT_STATUS</t>
  </si>
  <si>
    <t>LLCC_BERC_DBG_EVENT_CLR</t>
  </si>
  <si>
    <t>LLCC_BERC_DBG_EVENT_FWD</t>
  </si>
  <si>
    <t>LLCC_BERC_SPARE</t>
  </si>
  <si>
    <t>LLCC_BERC_PROF_FILTER_0_CFG0</t>
  </si>
  <si>
    <t>LLCC_BERC_PROF_FILTER_1_CFG0</t>
  </si>
  <si>
    <t>LLCC_BERC_PROF_EVENT_0_CFG</t>
  </si>
  <si>
    <t>LLCC_BERC_PROF_EVENT_1_CFG</t>
  </si>
  <si>
    <t>LLCC_BERC_PROF_EVENT_2_CFG</t>
  </si>
  <si>
    <t>LLCC_BERC_PROF_EVENT_3_CFG</t>
  </si>
  <si>
    <t>LLCC_BERC_PROF_EVENT_4_CFG</t>
  </si>
  <si>
    <t>LLCC_BERC_PROF_EVENT_5_CFG</t>
  </si>
  <si>
    <t>LLCC_BERC_PROF_EVENT_6_CFG</t>
  </si>
  <si>
    <t>LLCC_BERC_PROF_EVENT_7_CFG</t>
  </si>
  <si>
    <t>LLCC_BERC_PROF_EVENT_8_CFG</t>
  </si>
  <si>
    <t>LLCC_BERC_PROF_EVENT_9_CFG</t>
  </si>
  <si>
    <t>LLCC_BERC_PROF_EVENT_10_CFG</t>
  </si>
  <si>
    <t>LLCC_BERC_PROF_EVENT_11_CFG</t>
  </si>
  <si>
    <t>LLCC_BERC_PROF_EVENT_12_CFG</t>
  </si>
  <si>
    <t>LLCC_BERC_PROF_EVENT_13_CFG</t>
  </si>
  <si>
    <t>LLCC_BERC_PROF_EVENT_14_CFG</t>
  </si>
  <si>
    <t>LLCC_BERC_PROF_EVENT_15_CFG</t>
  </si>
  <si>
    <t>LLCC_BERC_PROF_CFG</t>
  </si>
  <si>
    <t>LLCC_BERC_PROF_STATUS</t>
  </si>
  <si>
    <t>LLCC_BIST_CTRL</t>
  </si>
  <si>
    <t>LLCC_BIST_CLEAR</t>
  </si>
  <si>
    <t>LLCC_BIST_CLK_CTRL</t>
  </si>
  <si>
    <t>LLCC_BIST_WRITE_CONFIG1</t>
  </si>
  <si>
    <t>LLCC_BIST_WRITE_CONFIG2</t>
  </si>
  <si>
    <t>LLCC_BIST_WR_ADDR</t>
  </si>
  <si>
    <t>LLCC_BIST_WR_BIST_SEED</t>
  </si>
  <si>
    <t>LLCC_BIST_READ_CONFIG1</t>
  </si>
  <si>
    <t>LLCC_BIST_READ_CONFIG2</t>
  </si>
  <si>
    <t>LLCC_BIST_RD_ADDR</t>
  </si>
  <si>
    <t>LLCC_BIST_RD_BIST_SEED</t>
  </si>
  <si>
    <t>LLCC_BIST_LFSR_TAP_POINT</t>
  </si>
  <si>
    <t>LLCC_BIST_TAG_RAM_EXTRA_COL_ACT</t>
  </si>
  <si>
    <t>LLCC_BIST_STATUS</t>
  </si>
  <si>
    <t>LLCC_BIST_FAILURE</t>
  </si>
  <si>
    <t>LLCC_BIST_FAILURE_0_BITS</t>
  </si>
  <si>
    <t>LLCC_BIST_FAILURE_1_BITS</t>
  </si>
  <si>
    <t>LLCC_BIST_FAILURE_2_BITS</t>
  </si>
  <si>
    <t>LLCC_BIST_FAILURE_3_BITS</t>
  </si>
  <si>
    <t>LLCC_COMMON_HW_INFO</t>
  </si>
  <si>
    <t>LLCC_COMMON_CFG0</t>
  </si>
  <si>
    <t>LLCC_COMMON_CGC_CFG</t>
  </si>
  <si>
    <t>LLCC_COMMON_STATUS0</t>
  </si>
  <si>
    <t>LLCC_COMMON_INTERRUPT_0_STATUS</t>
  </si>
  <si>
    <t>LLCC_COMMON_INTERRUPT_0_ENABLE</t>
  </si>
  <si>
    <t>LLCC_COMMON_INTERRUPT_1_STATUS</t>
  </si>
  <si>
    <t>LLCC_COMMON_INTERRUPT_1_ENABLE</t>
  </si>
  <si>
    <t>LLCC_COMMON_INTERRUPT_2_STATUS</t>
  </si>
  <si>
    <t>LLCC_COMMON_INTERRUPT_2_ENABLE</t>
  </si>
  <si>
    <t>LLCC_COMMON_INTERRUPT_3_STATUS</t>
  </si>
  <si>
    <t>LLCC_COMMON_INTERRUPT_3_ENABLE</t>
  </si>
  <si>
    <t>LLCC_COMMON_QOS_POLICY_CTRL</t>
  </si>
  <si>
    <t>LLCC_COMMON_DEBUG_CTRL</t>
  </si>
  <si>
    <t>LLCC_COMMON_DEBUG_TESTBUS</t>
  </si>
  <si>
    <t>LLCC_COMMON_HW_EVENT_CTRL</t>
  </si>
  <si>
    <t>LLCC_COMMON_FENCE_EN0</t>
  </si>
  <si>
    <t>LLCC_COMMON_FENCE_EN1</t>
  </si>
  <si>
    <t>LLCC_COMMON_FENCE_EN2</t>
  </si>
  <si>
    <t>LLCC_COMMON_INT_DBG_EN</t>
  </si>
  <si>
    <t>LLCC_COMMON_LOAD_CONFIG</t>
  </si>
  <si>
    <t>LLCC_DRP_ECC_ERROR_CFG</t>
  </si>
  <si>
    <t>LLCC_DRP_ECC_ERROR_CNTR_CLEAR</t>
  </si>
  <si>
    <t>LLCC_DRP_ECC_ERROR_INJECTION_0</t>
  </si>
  <si>
    <t>LLCC_DRP_ECC_ERROR_INJECTION_1</t>
  </si>
  <si>
    <t>LLCC_DRP_INTERRUPT_STATUS</t>
  </si>
  <si>
    <t>LLCC_DRP_INTERRUPT_CLEAR</t>
  </si>
  <si>
    <t>LLCC_DRP_INTERRUPT_ENABLE</t>
  </si>
  <si>
    <t>LLCC_DRP_CFG1</t>
  </si>
  <si>
    <t>LLCC_DRP_CLK_EN_CFG</t>
  </si>
  <si>
    <t>LLCC_DRP_QOS_CTRL</t>
  </si>
  <si>
    <t>LLCC_DRP_DEBUG_CTRL0</t>
  </si>
  <si>
    <t>LLCC_DRP_DEBUG_CTRL1</t>
  </si>
  <si>
    <t>LLCC_DRP_SRAM_STATUS</t>
  </si>
  <si>
    <t>LLCC_DRP_FIFO_EMPTY_STATUS</t>
  </si>
  <si>
    <t>LLCC_DRP_FIFO_FULL_STATUS</t>
  </si>
  <si>
    <t>LLCC_DRP_EVICT_CMD_DPG_STATUS0</t>
  </si>
  <si>
    <t>LLCC_DRP_EVICT_CMD_DPG_STATUS1</t>
  </si>
  <si>
    <t>LLCC_DRP_EVICT_CMD_DPG_STATUS2</t>
  </si>
  <si>
    <t>LLCC_DRP_PCBSLP_STATUS</t>
  </si>
  <si>
    <t>LLCC_DRP_PCB_CMD_STATUS</t>
  </si>
  <si>
    <t>LLCC_DRP_DCRSW_DATA_CAPTURE_0</t>
  </si>
  <si>
    <t>LLCC_DRP_DCRSW_DATA_CAPTURE_1</t>
  </si>
  <si>
    <t>LLCC_DRP_DCRSW_DATA_CAPTURE_2</t>
  </si>
  <si>
    <t>LLCC_DRP_DCRSW_DATA_CAPTURE_3</t>
  </si>
  <si>
    <t>LLCC_DRP_DCRSW_ECC_CAPTURE</t>
  </si>
  <si>
    <t>LLCC_DRP_ECC_ERROR_STATUS0</t>
  </si>
  <si>
    <t>LLCC_DRP_ECC_ERROR_STATUS1</t>
  </si>
  <si>
    <t>LLCC_DRP_ECC_SB_ERR_SYN0</t>
  </si>
  <si>
    <t>LLCC_DRP_ECC_SB_ERR_SYN1</t>
  </si>
  <si>
    <t>LLCC_DRP_ECC_SB_ERR_SYN2</t>
  </si>
  <si>
    <t>LLCC_DRP_ECC_SB_ERR_SYN3</t>
  </si>
  <si>
    <t>LLCC_DRP_ECC_SB_ERR_SYN4</t>
  </si>
  <si>
    <t>LLCC_DRP_ECC_SB_ERR_SYN5</t>
  </si>
  <si>
    <t>LLCC_DRP_ECC_SB_ERR_SYN6</t>
  </si>
  <si>
    <t>LLCC_DRP_ECC_SB_ERR_SYN7</t>
  </si>
  <si>
    <t>LLCC_DRP_ECC_DB_ERR_SYN0</t>
  </si>
  <si>
    <t>LLCC_DRP_ECC_DB_ERR_SYN1</t>
  </si>
  <si>
    <t>LLCC_DRP_ECC_DB_ERR_SYN2</t>
  </si>
  <si>
    <t>LLCC_DRP_ECC_DB_ERR_SYN3</t>
  </si>
  <si>
    <t>LLCC_DRP_ECC_DB_ERR_SYN4</t>
  </si>
  <si>
    <t>LLCC_DRP_ECC_DB_ERR_SYN5</t>
  </si>
  <si>
    <t>LLCC_DRP_ECC_DB_ERR_SYN6</t>
  </si>
  <si>
    <t>LLCC_DRP_ECC_DB_ERR_SYN7</t>
  </si>
  <si>
    <t>LLCC_DRP_VALID_STATUS</t>
  </si>
  <si>
    <t>LLCC_DRP_READY_STATUS</t>
  </si>
  <si>
    <t>LLCC_DRP_RAMSLP_STATUS</t>
  </si>
  <si>
    <t>LLCC_DRP_DBG_EVENT_STATUS</t>
  </si>
  <si>
    <t>LLCC_DRP_DBG_EVENT_CLEAR</t>
  </si>
  <si>
    <t>LLCC_DRP_DBG_EVENT_FWD</t>
  </si>
  <si>
    <t>LLCC_DRP_LB_THROTTLE_CTRL</t>
  </si>
  <si>
    <t>LLCC_DRP_PCB_PWR_STATUS</t>
  </si>
  <si>
    <t>LLCC_DRP_PRE_ARES_STATUS</t>
  </si>
  <si>
    <t>LLCC_DRP_CFG0</t>
  </si>
  <si>
    <t>LLCC_DRP_RAM_IDLE_THRESHOLD</t>
  </si>
  <si>
    <t>LLCC_DRP_PCB_ENABLE</t>
  </si>
  <si>
    <t>LLCC_DRP_PCB_SLP_SEL</t>
  </si>
  <si>
    <t>LLCC_DRP_PCB_WAKEUP_SEL</t>
  </si>
  <si>
    <t>LLCC_DRP_PCB_CMD</t>
  </si>
  <si>
    <t>LLCC_DRP_RAMSLP_REQ_GAP</t>
  </si>
  <si>
    <t>LLCC_DRP_PROF_FILTER_0_CFG0</t>
  </si>
  <si>
    <t>LLCC_DRP_PROF_FILTER_0_CFG1</t>
  </si>
  <si>
    <t>LLCC_DRP_PROF_FILTER_1_CFG0</t>
  </si>
  <si>
    <t>LLCC_DRP_PROF_FILTER_1_CFG1</t>
  </si>
  <si>
    <t>LLCC_DRP_PROF_EVENT_0_CFG</t>
  </si>
  <si>
    <t>LLCC_DRP_PROF_EVENT_1_CFG</t>
  </si>
  <si>
    <t>LLCC_DRP_PROF_EVENT_2_CFG</t>
  </si>
  <si>
    <t>LLCC_DRP_PROF_EVENT_3_CFG</t>
  </si>
  <si>
    <t>LLCC_DRP_PROF_EVENT_4_CFG</t>
  </si>
  <si>
    <t>LLCC_DRP_PROF_EVENT_5_CFG</t>
  </si>
  <si>
    <t>LLCC_DRP_PROF_EVENT_6_CFG</t>
  </si>
  <si>
    <t>LLCC_DRP_PROF_EVENT_7_CFG</t>
  </si>
  <si>
    <t>LLCC_DRP_PROF_EVENT_8_CFG</t>
  </si>
  <si>
    <t>LLCC_DRP_PROF_EVENT_9_CFG</t>
  </si>
  <si>
    <t>LLCC_DRP_PROF_EVENT_10_CFG</t>
  </si>
  <si>
    <t>LLCC_DRP_PROF_EVENT_11_CFG</t>
  </si>
  <si>
    <t>LLCC_DRP_PROF_EVENT_12_CFG</t>
  </si>
  <si>
    <t>LLCC_DRP_PROF_EVENT_13_CFG</t>
  </si>
  <si>
    <t>LLCC_DRP_PROF_EVENT_14_CFG</t>
  </si>
  <si>
    <t>LLCC_DRP_PROF_EVENT_15_CFG</t>
  </si>
  <si>
    <t>LLCC_DRP_PROF_CFG</t>
  </si>
  <si>
    <t>LLCC_DRP_PROF_STATUS</t>
  </si>
  <si>
    <t>LLCC_FEAC_DEC_ERR_CFG</t>
  </si>
  <si>
    <t>LLCC_FEAC_DEC_INTRPT_CFG</t>
  </si>
  <si>
    <t>LLCC_FEAC_TCM0_CFG</t>
  </si>
  <si>
    <t>LLCC_FEAC_TCM0_MASK_CFG</t>
  </si>
  <si>
    <t>LLCC_FEAC_TCM1_CFG</t>
  </si>
  <si>
    <t>LLCC_FEAC_TCM1_MASK_CFG</t>
  </si>
  <si>
    <t>LLCC_FEAC_TCM_ADDR_BASE_CFG</t>
  </si>
  <si>
    <t>LLCC_FEAC_TCM_PER_MB_MASK_CFG</t>
  </si>
  <si>
    <t>LLCC_FEAC_WRSC_CFG</t>
  </si>
  <si>
    <t>LLCC_FEAC_ATTR_OVERRIDE_CFG</t>
  </si>
  <si>
    <t>LLCC_FEAC_RD_GFO_OVERRIDE_CFG0</t>
  </si>
  <si>
    <t>LLCC_FEAC_RD_GFO_OVERRIDE_CFG1</t>
  </si>
  <si>
    <t>LLCC_FEAC_WR_GFO_OVERRIDE_CFG0</t>
  </si>
  <si>
    <t>LLCC_FEAC_WR_GFO_OVERRIDE_CFG1</t>
  </si>
  <si>
    <t>LLCC_FEAC_C_AS_NC_OVERRIDE_CFG</t>
  </si>
  <si>
    <t>LLCC_FEAC_NC_AS_C_OVERRIDE_CFG</t>
  </si>
  <si>
    <t>LLCC_FEAC_NOALLOC_ON_MISS_OVERRIDE_CFG0</t>
  </si>
  <si>
    <t>LLCC_FEAC_NOALLOC_ON_MISS_OVERRIDE_CFG1</t>
  </si>
  <si>
    <t>LLCC_FEAC_CPUSS_CFG</t>
  </si>
  <si>
    <t>LLCC_FEAC_ACH_CFG</t>
  </si>
  <si>
    <t>LLCC_FEAC_ARB_CFG</t>
  </si>
  <si>
    <t>LLCC_FEAC_PREF_CFG0</t>
  </si>
  <si>
    <t>LLCC_FEAC_PREF_CFG1</t>
  </si>
  <si>
    <t>LLCC_FEAC_PREF_SDE_CFG0</t>
  </si>
  <si>
    <t>LLCC_FEAC_PREF_SDE_CFG1</t>
  </si>
  <si>
    <t>LLCC_FEAC_PREF_SDE_CFG2</t>
  </si>
  <si>
    <t>LLCC_FEAC_CGC_CFG</t>
  </si>
  <si>
    <t>GLOBAL_MON_CFG0</t>
  </si>
  <si>
    <t>LLCC_FEAC_DEC_ERR_STATUS1</t>
  </si>
  <si>
    <t>LLCC_FEAC_DEC_ERR_STATUS2</t>
  </si>
  <si>
    <t>LLCC_FEAC_DEC_ERR_STATUS3</t>
  </si>
  <si>
    <t>LLCC_FEAC_DEC_ERR_STATUS4</t>
  </si>
  <si>
    <t>LLCC_FEAC_DEC_ERR_STATUS5</t>
  </si>
  <si>
    <t>LLCC_FEAC_GLOBAL_MON_STATUS</t>
  </si>
  <si>
    <t>LLCC_FEAC_TXN_STATUS</t>
  </si>
  <si>
    <t>LLCC_FEAC_FENCE_CTRL</t>
  </si>
  <si>
    <t>LLCC_FEAC_RIFB_STATUS0</t>
  </si>
  <si>
    <t>LLCC_FEAC_RIFB_STATUS1</t>
  </si>
  <si>
    <t>LLCC_FEAC_WIFB_STATUS</t>
  </si>
  <si>
    <t>LLCC_FEAC_PS2_STATUS0</t>
  </si>
  <si>
    <t>LLCC_FEAC_PS2_STATUS1</t>
  </si>
  <si>
    <t>LLCC_FEAC_PREF_PE_STATUS</t>
  </si>
  <si>
    <t>LLCC_FEAC_IF_CHANNEL_STATUS</t>
  </si>
  <si>
    <t>LLCC_FEAC_FIFO_STATUS</t>
  </si>
  <si>
    <t>LLCC_FEAC_TARB_STATUS</t>
  </si>
  <si>
    <t>LLCC_FEAC_BARB_STATUS</t>
  </si>
  <si>
    <t>LLCC_FEAC_FARB_STATUS</t>
  </si>
  <si>
    <t>LLCC_FEAC_FRARB_STATUS</t>
  </si>
  <si>
    <t>LLCC_FEAC_DBG_CFG</t>
  </si>
  <si>
    <t>LLCC_FEAC_ARB_DBG_CFG0</t>
  </si>
  <si>
    <t>LLCC_FEAC_ARB_DBG_CFG1</t>
  </si>
  <si>
    <t>LLCC_FEAC_ARB_DBG_CFG2</t>
  </si>
  <si>
    <t>LLCC_FEAC_ARB_DBG_CFG3</t>
  </si>
  <si>
    <t>LLCC_FEAC_DBG_EVENT_STATUS</t>
  </si>
  <si>
    <t>LLCC_FEAC_DBG_EVENT_CLR</t>
  </si>
  <si>
    <t>LLCC_FEAC_DBG_EVENT_FWD</t>
  </si>
  <si>
    <t>LLCC_FEAC_INTERRUPT_STATUS</t>
  </si>
  <si>
    <t>LLCC_FEAC_INTERRUPT_CLR</t>
  </si>
  <si>
    <t>LLCC_FEAC_INTERRUPT_FWD</t>
  </si>
  <si>
    <t>LLCC_FEAC_INHERIT_PRIORITY</t>
  </si>
  <si>
    <t>LLCC_FEAC_SPARE</t>
  </si>
  <si>
    <t>LLCC_FEAC_PROF_FILTER_0_CFG0</t>
  </si>
  <si>
    <t>LLCC_FEAC_PROF_FILTER_0_CFG1</t>
  </si>
  <si>
    <t>LLCC_FEAC_PROF_FILTER_0_CFG2</t>
  </si>
  <si>
    <t>LLCC_FEAC_PROF_FILTER_0_CFG3</t>
  </si>
  <si>
    <t>LLCC_FEAC_PROF_FILTER_0_CFG4</t>
  </si>
  <si>
    <t>LLCC_FEAC_PROF_FILTER_0_CFG5</t>
  </si>
  <si>
    <t>LLCC_FEAC_PROF_FILTER_0_CFG6</t>
  </si>
  <si>
    <t>LLCC_FEAC_PROF_FILTER_0_CFG7</t>
  </si>
  <si>
    <t>LLCC_FEAC_PROF_FILTER_0_CFG8</t>
  </si>
  <si>
    <t>LLCC_FEAC_PROF_FILTER_1_CFG0</t>
  </si>
  <si>
    <t>LLCC_FEAC_PROF_FILTER_1_CFG1</t>
  </si>
  <si>
    <t>LLCC_FEAC_PROF_FILTER_1_CFG2</t>
  </si>
  <si>
    <t>LLCC_FEAC_PROF_FILTER_1_CFG3</t>
  </si>
  <si>
    <t>LLCC_FEAC_PROF_FILTER_1_CFG4</t>
  </si>
  <si>
    <t>LLCC_FEAC_PROF_FILTER_1_CFG5</t>
  </si>
  <si>
    <t>LLCC_FEAC_PROF_FILTER_1_CFG6</t>
  </si>
  <si>
    <t>LLCC_FEAC_PROF_FILTER_1_CFG7</t>
  </si>
  <si>
    <t>LLCC_FEAC_PROF_FILTER_1_CFG8</t>
  </si>
  <si>
    <t>LLCC_FEAC_PROF_EVENT_0_CFG</t>
  </si>
  <si>
    <t>LLCC_FEAC_PROF_EVENT_1_CFG</t>
  </si>
  <si>
    <t>LLCC_FEAC_PROF_EVENT_2_CFG</t>
  </si>
  <si>
    <t>LLCC_FEAC_PROF_EVENT_3_CFG</t>
  </si>
  <si>
    <t>LLCC_FEAC_PROF_EVENT_4_CFG</t>
  </si>
  <si>
    <t>LLCC_FEAC_PROF_EVENT_5_CFG</t>
  </si>
  <si>
    <t>LLCC_FEAC_PROF_EVENT_6_CFG</t>
  </si>
  <si>
    <t>LLCC_FEAC_PROF_EVENT_7_CFG</t>
  </si>
  <si>
    <t>LLCC_FEAC_PROF_EVENT_8_CFG</t>
  </si>
  <si>
    <t>LLCC_FEAC_PROF_EVENT_9_CFG</t>
  </si>
  <si>
    <t>LLCC_FEAC_PROF_EVENT_10_CFG</t>
  </si>
  <si>
    <t>LLCC_FEAC_PROF_EVENT_11_CFG</t>
  </si>
  <si>
    <t>LLCC_FEAC_PROF_EVENT_12_CFG</t>
  </si>
  <si>
    <t>LLCC_FEAC_PROF_EVENT_13_CFG</t>
  </si>
  <si>
    <t>LLCC_FEAC_PROF_EVENT_14_CFG</t>
  </si>
  <si>
    <t>LLCC_FEAC_PROF_EVENT_15_CFG</t>
  </si>
  <si>
    <t>LLCC_FEAC_PROF_CFG</t>
  </si>
  <si>
    <t>LLCC_FEAC_PROF_STATUS</t>
  </si>
  <si>
    <t>LLCC_FERC_CFG0</t>
  </si>
  <si>
    <t>LLCC_FERC_TRID_TBLE_STATUS0</t>
  </si>
  <si>
    <t>LLCC_FERC_TRID_TBLE_STATUS1</t>
  </si>
  <si>
    <t>LLCC_FERC_TRID_TBLE_STATUS2</t>
  </si>
  <si>
    <t>LLCC_FERC_TRID_TBLE_STATUS3</t>
  </si>
  <si>
    <t>LLCC_FERC_QNS4_CHANNEL_STATUS</t>
  </si>
  <si>
    <t>LLCC_FERC_IF_CHANNEL_STATUS</t>
  </si>
  <si>
    <t>LLCC_FERC_TRID_RSP_STATUS</t>
  </si>
  <si>
    <t>LLCC_FERC_DBG_CFG</t>
  </si>
  <si>
    <t>LLCC_FERC_DBG_EVENT_STATUS</t>
  </si>
  <si>
    <t>LLCC_FERC_DBG_EVENT_CLR</t>
  </si>
  <si>
    <t>LLCC_FERC_DBG_EVENT_FWD</t>
  </si>
  <si>
    <t>LLCC_FERC_PROF_FILTER_0_CFG0</t>
  </si>
  <si>
    <t>LLCC_FERC_PROF_FILTER_1_CFG0</t>
  </si>
  <si>
    <t>LLCC_FERC_PROF_EVENT_0_CFG</t>
  </si>
  <si>
    <t>LLCC_FERC_PROF_EVENT_1_CFG</t>
  </si>
  <si>
    <t>LLCC_FERC_PROF_EVENT_2_CFG</t>
  </si>
  <si>
    <t>LLCC_FERC_PROF_EVENT_3_CFG</t>
  </si>
  <si>
    <t>LLCC_FERC_PROF_EVENT_4_CFG</t>
  </si>
  <si>
    <t>LLCC_FERC_PROF_EVENT_5_CFG</t>
  </si>
  <si>
    <t>LLCC_FERC_PROF_EVENT_6_CFG</t>
  </si>
  <si>
    <t>LLCC_FERC_PROF_EVENT_7_CFG</t>
  </si>
  <si>
    <t>LLCC_FERC_PROF_EVENT_8_CFG</t>
  </si>
  <si>
    <t>LLCC_FERC_PROF_EVENT_9_CFG</t>
  </si>
  <si>
    <t>LLCC_FERC_PROF_EVENT_10_CFG</t>
  </si>
  <si>
    <t>LLCC_FERC_PROF_EVENT_11_CFG</t>
  </si>
  <si>
    <t>LLCC_FERC_PROF_EVENT_12_CFG</t>
  </si>
  <si>
    <t>LLCC_FERC_PROF_EVENT_13_CFG</t>
  </si>
  <si>
    <t>LLCC_FERC_PROF_EVENT_14_CFG</t>
  </si>
  <si>
    <t>LLCC_FERC_PROF_EVENT_15_CFG</t>
  </si>
  <si>
    <t>LLCC_FERC_PROF_CFG</t>
  </si>
  <si>
    <t>LLCC_FERC_PROF_STATUS</t>
  </si>
  <si>
    <t>LLCC_FEWC_CFG0</t>
  </si>
  <si>
    <t>LLCC_FEWC_ARBITER_CFG</t>
  </si>
  <si>
    <t>LLCC_FEWC_TCM_ERROR_CFG</t>
  </si>
  <si>
    <t>LLCC_FEWC_CLK_EN_CFG</t>
  </si>
  <si>
    <t>LLCC_FEWC_ECC_ERROR_CFG</t>
  </si>
  <si>
    <t>LLCC_FEWC_STATUS1</t>
  </si>
  <si>
    <t>LLCC_FEWC_STATUS2</t>
  </si>
  <si>
    <t>LLCC_FEWC_STATUS3</t>
  </si>
  <si>
    <t>LLCC_FEWC_STATUS4</t>
  </si>
  <si>
    <t>LLCC_FEWC_STATUS5</t>
  </si>
  <si>
    <t>LLCC_FEWC_INTERRUPT_STATUS</t>
  </si>
  <si>
    <t>LLCC_FEWC_INTERRUPT_CLEAR</t>
  </si>
  <si>
    <t>LLCC_FEWC_INTERRUPT_ENABLE</t>
  </si>
  <si>
    <t>LLCC_FEWC_LINEFILL_PRIORITY_CFG</t>
  </si>
  <si>
    <t>LLCC_FEWC_FIFO_STATUS</t>
  </si>
  <si>
    <t>LLCC_FEWC_INTERFACES_STATUS</t>
  </si>
  <si>
    <t>LLCC_FEWC_WRBUF_STATUS0</t>
  </si>
  <si>
    <t>LLCC_FEWC_WRBUF_STATUS1</t>
  </si>
  <si>
    <t>LLCC_FEWC_WRBUF_STATUS2</t>
  </si>
  <si>
    <t>LLCC_FEWC_WRBUF_STATUS3</t>
  </si>
  <si>
    <t>LLCC_FEWC_DEBUG_CTRL</t>
  </si>
  <si>
    <t>LLCC_FEWC_HW_EVENT_CTRL</t>
  </si>
  <si>
    <t>LLCC_FEWC_PROF_FILTER_0_CFG0</t>
  </si>
  <si>
    <t>LLCC_FEWC_PROF_FILTER_1_CFG0</t>
  </si>
  <si>
    <t>LLCC_FEWC_PROF_EVENT_0_CFG</t>
  </si>
  <si>
    <t>LLCC_FEWC_PROF_EVENT_1_CFG</t>
  </si>
  <si>
    <t>LLCC_FEWC_PROF_EVENT_2_CFG</t>
  </si>
  <si>
    <t>LLCC_FEWC_PROF_EVENT_3_CFG</t>
  </si>
  <si>
    <t>LLCC_FEWC_PROF_EVENT_4_CFG</t>
  </si>
  <si>
    <t>LLCC_FEWC_PROF_EVENT_5_CFG</t>
  </si>
  <si>
    <t>LLCC_FEWC_PROF_EVENT_6_CFG</t>
  </si>
  <si>
    <t>LLCC_FEWC_PROF_EVENT_7_CFG</t>
  </si>
  <si>
    <t>LLCC_FEWC_PROF_EVENT_8_CFG</t>
  </si>
  <si>
    <t>LLCC_FEWC_PROF_EVENT_9_CFG</t>
  </si>
  <si>
    <t>LLCC_FEWC_PROF_EVENT_10_CFG</t>
  </si>
  <si>
    <t>LLCC_FEWC_PROF_EVENT_11_CFG</t>
  </si>
  <si>
    <t>LLCC_FEWC_PROF_EVENT_12_CFG</t>
  </si>
  <si>
    <t>LLCC_FEWC_PROF_EVENT_13_CFG</t>
  </si>
  <si>
    <t>LLCC_FEWC_PROF_EVENT_14_CFG</t>
  </si>
  <si>
    <t>LLCC_FEWC_PROF_EVENT_15_CFG</t>
  </si>
  <si>
    <t>LLCC_PMGR_IDLE</t>
  </si>
  <si>
    <t>LLCC_PMGR_DEBUG_CTRL</t>
  </si>
  <si>
    <t>LLCC_PMGR_RAM_SLP_SEL0</t>
  </si>
  <si>
    <t>LLCC_PMGR_RAM_SLP_SEL1</t>
  </si>
  <si>
    <t>LLCC_PMGR_RAM_WAKEUP_SEL</t>
  </si>
  <si>
    <t>LLCC_PMGR_RAM_CMD</t>
  </si>
  <si>
    <t>LLCC_PMGR_RAM_SLP_STATUS0</t>
  </si>
  <si>
    <t>LLCC_PMGR_RAM_SLP_STATUS1</t>
  </si>
  <si>
    <t>LLCC_PMGR_RAM_PWR_STATUS</t>
  </si>
  <si>
    <t>LLCC_PMGR_RAM_SLP_CMD_STATUS</t>
  </si>
  <si>
    <t>LLCC_PMGR_RAM_WAKE_CMD_STATUS</t>
  </si>
  <si>
    <t>LLCC_PMGR_SLP_FSM_STATUS</t>
  </si>
  <si>
    <t>LLCC_PMGR_RCG_CTRL</t>
  </si>
  <si>
    <t>LLCC_PMGR_QACTIVE_STATUS</t>
  </si>
  <si>
    <t>LLCC_PMGR_RCG_STATUS</t>
  </si>
  <si>
    <t>LLCC_PMGR_CLOCK_CTRL</t>
  </si>
  <si>
    <t>LLCC_PMGR_PRE_ARES_CTRL</t>
  </si>
  <si>
    <t>LLCC_PMGR_PRE_ARES_CLEAR</t>
  </si>
  <si>
    <t>LLCC_PMGR_PRE_ARES_STATUS</t>
  </si>
  <si>
    <t>LLCC_PMGR_PROF_EVENT_0_CFG</t>
  </si>
  <si>
    <t>LLCC_PMGR_PROF_EVENT_1_CFG</t>
  </si>
  <si>
    <t>LLCC_PMGR_PROF_EVENT_2_CFG</t>
  </si>
  <si>
    <t>LLCC_PMGR_PROF_EVENT_3_CFG</t>
  </si>
  <si>
    <t>LLCC_PMGR_PROF_EVENT_4_CFG</t>
  </si>
  <si>
    <t>LLCC_PMGR_PROF_EVENT_5_CFG</t>
  </si>
  <si>
    <t>LLCC_PMGR_PROF_EVENT_6_CFG</t>
  </si>
  <si>
    <t>LLCC_PMGR_PROF_EVENT_7_CFG</t>
  </si>
  <si>
    <t>LLCC_PMGR_PROF_EVENT_8_CFG</t>
  </si>
  <si>
    <t>LLCC_PMGR_PROF_EVENT_9_CFG</t>
  </si>
  <si>
    <t>LLCC_PMGR_PROF_EVENT_10_CFG</t>
  </si>
  <si>
    <t>LLCC_PMGR_PROF_EVENT_11_CFG</t>
  </si>
  <si>
    <t>LLCC_PMGR_PROF_EVENT_12_CFG</t>
  </si>
  <si>
    <t>LLCC_PMGR_PROF_EVENT_13_CFG</t>
  </si>
  <si>
    <t>LLCC_PMGR_PROF_EVENT_14_CFG</t>
  </si>
  <si>
    <t>LLCC_PMGR_PROF_EVENT_15_CFG</t>
  </si>
  <si>
    <t>LLCC_TRP_SCID_0_ACT_CTRL</t>
  </si>
  <si>
    <t>LLCC_TRP_SCID_1_ACT_CTRL</t>
  </si>
  <si>
    <t>LLCC_TRP_SCID_2_ACT_CTRL</t>
  </si>
  <si>
    <t>LLCC_TRP_SCID_3_ACT_CTRL</t>
  </si>
  <si>
    <t>LLCC_TRP_SCID_4_ACT_CTRL</t>
  </si>
  <si>
    <t>LLCC_TRP_SCID_5_ACT_CTRL</t>
  </si>
  <si>
    <t>LLCC_TRP_SCID_6_ACT_CTRL</t>
  </si>
  <si>
    <t>LLCC_TRP_SCID_7_ACT_CTRL</t>
  </si>
  <si>
    <t>LLCC_TRP_SCID_8_ACT_CTRL</t>
  </si>
  <si>
    <t>LLCC_TRP_SCID_9_ACT_CTRL</t>
  </si>
  <si>
    <t>LLCC_TRP_SCID_10_ACT_CTRL</t>
  </si>
  <si>
    <t>LLCC_TRP_SCID_11_ACT_CTRL</t>
  </si>
  <si>
    <t>LLCC_TRP_SCID_12_ACT_CTRL</t>
  </si>
  <si>
    <t>LLCC_TRP_SCID_13_ACT_CTRL</t>
  </si>
  <si>
    <t>LLCC_TRP_SCID_14_ACT_CTRL</t>
  </si>
  <si>
    <t>LLCC_TRP_SCID_15_ACT_CTRL</t>
  </si>
  <si>
    <t>LLCC_TRP_SCID_16_ACT_CTRL</t>
  </si>
  <si>
    <t>LLCC_TRP_SCID_17_ACT_CTRL</t>
  </si>
  <si>
    <t>LLCC_TRP_SCID_18_ACT_CTRL</t>
  </si>
  <si>
    <t>LLCC_TRP_SCID_19_ACT_CTRL</t>
  </si>
  <si>
    <t>LLCC_TRP_SCID_20_ACT_CTRL</t>
  </si>
  <si>
    <t>LLCC_TRP_SCID_21_ACT_CTRL</t>
  </si>
  <si>
    <t>LLCC_TRP_SCID_22_ACT_CTRL</t>
  </si>
  <si>
    <t>LLCC_TRP_SCID_23_ACT_CTRL</t>
  </si>
  <si>
    <t>LLCC_TRP_SCID_24_ACT_CTRL</t>
  </si>
  <si>
    <t>LLCC_TRP_SCID_25_ACT_CTRL</t>
  </si>
  <si>
    <t>LLCC_TRP_SCID_26_ACT_CTRL</t>
  </si>
  <si>
    <t>LLCC_TRP_SCID_27_ACT_CTRL</t>
  </si>
  <si>
    <t>LLCC_TRP_SCID_28_ACT_CTRL</t>
  </si>
  <si>
    <t>LLCC_TRP_SCID_29_ACT_CTRL</t>
  </si>
  <si>
    <t>LLCC_TRP_SCID_30_ACT_CTRL</t>
  </si>
  <si>
    <t>LLCC_TRP_SCID_31_ACT_CTRL</t>
  </si>
  <si>
    <t>LLCC_TRP_SCID_0_STATUS</t>
  </si>
  <si>
    <t>LLCC_TRP_SCID_1_STATUS</t>
  </si>
  <si>
    <t>LLCC_TRP_SCID_2_STATUS</t>
  </si>
  <si>
    <t>LLCC_TRP_SCID_3_STATUS</t>
  </si>
  <si>
    <t>LLCC_TRP_SCID_4_STATUS</t>
  </si>
  <si>
    <t>LLCC_TRP_SCID_5_STATUS</t>
  </si>
  <si>
    <t>LLCC_TRP_SCID_6_STATUS</t>
  </si>
  <si>
    <t>LLCC_TRP_SCID_7_STATUS</t>
  </si>
  <si>
    <t>LLCC_TRP_SCID_8_STATUS</t>
  </si>
  <si>
    <t>LLCC_TRP_SCID_9_STATUS</t>
  </si>
  <si>
    <t>LLCC_TRP_SCID_10_STATUS</t>
  </si>
  <si>
    <t>LLCC_TRP_SCID_11_STATUS</t>
  </si>
  <si>
    <t>LLCC_TRP_SCID_12_STATUS</t>
  </si>
  <si>
    <t>LLCC_TRP_SCID_13_STATUS</t>
  </si>
  <si>
    <t>LLCC_TRP_SCID_14_STATUS</t>
  </si>
  <si>
    <t>LLCC_TRP_SCID_15_STATUS</t>
  </si>
  <si>
    <t>LLCC_TRP_SCID_16_STATUS</t>
  </si>
  <si>
    <t>LLCC_TRP_SCID_17_STATUS</t>
  </si>
  <si>
    <t>LLCC_TRP_SCID_18_STATUS</t>
  </si>
  <si>
    <t>LLCC_TRP_SCID_19_STATUS</t>
  </si>
  <si>
    <t>LLCC_TRP_SCID_20_STATUS</t>
  </si>
  <si>
    <t>LLCC_TRP_SCID_21_STATUS</t>
  </si>
  <si>
    <t>LLCC_TRP_SCID_22_STATUS</t>
  </si>
  <si>
    <t>LLCC_TRP_SCID_23_STATUS</t>
  </si>
  <si>
    <t>LLCC_TRP_SCID_24_STATUS</t>
  </si>
  <si>
    <t>LLCC_TRP_SCID_25_STATUS</t>
  </si>
  <si>
    <t>LLCC_TRP_SCID_26_STATUS</t>
  </si>
  <si>
    <t>LLCC_TRP_SCID_27_STATUS</t>
  </si>
  <si>
    <t>LLCC_TRP_SCID_28_STATUS</t>
  </si>
  <si>
    <t>LLCC_TRP_SCID_29_STATUS</t>
  </si>
  <si>
    <t>LLCC_TRP_SCID_30_STATUS</t>
  </si>
  <si>
    <t>LLCC_TRP_SCID_31_STATUS</t>
  </si>
  <si>
    <t>LLCC_TRP_SCT_0_ATTRIBUTE0_CFG</t>
  </si>
  <si>
    <t>LLCC_TRP_SCT_1_ATTRIBUTE0_CFG</t>
  </si>
  <si>
    <t>LLCC_TRP_SCT_2_ATTRIBUTE0_CFG</t>
  </si>
  <si>
    <t>LLCC_TRP_SCT_3_ATTRIBUTE0_CFG</t>
  </si>
  <si>
    <t>LLCC_TRP_SCT_4_ATTRIBUTE0_CFG</t>
  </si>
  <si>
    <t>LLCC_TRP_SCT_5_ATTRIBUTE0_CFG</t>
  </si>
  <si>
    <t>LLCC_TRP_SCT_6_ATTRIBUTE0_CFG</t>
  </si>
  <si>
    <t>LLCC_TRP_SCT_7_ATTRIBUTE0_CFG</t>
  </si>
  <si>
    <t>LLCC_TRP_SCT_8_ATTRIBUTE0_CFG</t>
  </si>
  <si>
    <t>LLCC_TRP_SCT_9_ATTRIBUTE0_CFG</t>
  </si>
  <si>
    <t>LLCC_TRP_SCT_10_ATTRIBUTE0_CFG</t>
  </si>
  <si>
    <t>LLCC_TRP_SCT_11_ATTRIBUTE0_CFG</t>
  </si>
  <si>
    <t>LLCC_TRP_SCT_12_ATTRIBUTE0_CFG</t>
  </si>
  <si>
    <t>LLCC_TRP_SCT_13_ATTRIBUTE0_CFG</t>
  </si>
  <si>
    <t>LLCC_TRP_SCT_14_ATTRIBUTE0_CFG</t>
  </si>
  <si>
    <t>LLCC_TRP_SCT_15_ATTRIBUTE0_CFG</t>
  </si>
  <si>
    <t>LLCC_TRP_SCT_16_ATTRIBUTE0_CFG</t>
  </si>
  <si>
    <t>LLCC_TRP_SCT_17_ATTRIBUTE0_CFG</t>
  </si>
  <si>
    <t>LLCC_TRP_SCT_18_ATTRIBUTE0_CFG</t>
  </si>
  <si>
    <t>LLCC_TRP_SCT_19_ATTRIBUTE0_CFG</t>
  </si>
  <si>
    <t>LLCC_TRP_SCT_20_ATTRIBUTE0_CFG</t>
  </si>
  <si>
    <t>LLCC_TRP_SCT_21_ATTRIBUTE0_CFG</t>
  </si>
  <si>
    <t>LLCC_TRP_SCT_22_ATTRIBUTE0_CFG</t>
  </si>
  <si>
    <t>LLCC_TRP_SCT_23_ATTRIBUTE0_CFG</t>
  </si>
  <si>
    <t>LLCC_TRP_SCT_24_ATTRIBUTE0_CFG</t>
  </si>
  <si>
    <t>LLCC_TRP_SCT_25_ATTRIBUTE0_CFG</t>
  </si>
  <si>
    <t>LLCC_TRP_SCT_26_ATTRIBUTE0_CFG</t>
  </si>
  <si>
    <t>LLCC_TRP_SCT_27_ATTRIBUTE0_CFG</t>
  </si>
  <si>
    <t>LLCC_TRP_SCT_28_ATTRIBUTE0_CFG</t>
  </si>
  <si>
    <t>LLCC_TRP_SCT_29_ATTRIBUTE0_CFG</t>
  </si>
  <si>
    <t>LLCC_TRP_SCT_30_ATTRIBUTE0_CFG</t>
  </si>
  <si>
    <t>LLCC_TRP_SCT_31_ATTRIBUTE0_CFG</t>
  </si>
  <si>
    <t>LLCC_TRP_SCT_0_ATTRIBUTE1_CFG</t>
  </si>
  <si>
    <t>LLCC_TRP_SCT_1_ATTRIBUTE1_CFG</t>
  </si>
  <si>
    <t>LLCC_TRP_SCT_2_ATTRIBUTE1_CFG</t>
  </si>
  <si>
    <t>LLCC_TRP_SCT_3_ATTRIBUTE1_CFG</t>
  </si>
  <si>
    <t>LLCC_TRP_SCT_4_ATTRIBUTE1_CFG</t>
  </si>
  <si>
    <t>LLCC_TRP_SCT_5_ATTRIBUTE1_CFG</t>
  </si>
  <si>
    <t>LLCC_TRP_SCT_6_ATTRIBUTE1_CFG</t>
  </si>
  <si>
    <t>LLCC_TRP_SCT_7_ATTRIBUTE1_CFG</t>
  </si>
  <si>
    <t>LLCC_TRP_SCT_8_ATTRIBUTE1_CFG</t>
  </si>
  <si>
    <t>LLCC_TRP_SCT_9_ATTRIBUTE1_CFG</t>
  </si>
  <si>
    <t>LLCC_TRP_SCT_10_ATTRIBUTE1_CFG</t>
  </si>
  <si>
    <t>LLCC_TRP_SCT_11_ATTRIBUTE1_CFG</t>
  </si>
  <si>
    <t>LLCC_TRP_SCT_12_ATTRIBUTE1_CFG</t>
  </si>
  <si>
    <t>LLCC_TRP_SCT_13_ATTRIBUTE1_CFG</t>
  </si>
  <si>
    <t>LLCC_TRP_SCT_14_ATTRIBUTE1_CFG</t>
  </si>
  <si>
    <t>LLCC_TRP_SCT_15_ATTRIBUTE1_CFG</t>
  </si>
  <si>
    <t>LLCC_TRP_SCT_16_ATTRIBUTE1_CFG</t>
  </si>
  <si>
    <t>LLCC_TRP_SCT_17_ATTRIBUTE1_CFG</t>
  </si>
  <si>
    <t>LLCC_TRP_SCT_18_ATTRIBUTE1_CFG</t>
  </si>
  <si>
    <t>LLCC_TRP_SCT_19_ATTRIBUTE1_CFG</t>
  </si>
  <si>
    <t>LLCC_TRP_SCT_20_ATTRIBUTE1_CFG</t>
  </si>
  <si>
    <t>LLCC_TRP_SCT_21_ATTRIBUTE1_CFG</t>
  </si>
  <si>
    <t>LLCC_TRP_SCT_22_ATTRIBUTE1_CFG</t>
  </si>
  <si>
    <t>LLCC_TRP_SCT_23_ATTRIBUTE1_CFG</t>
  </si>
  <si>
    <t>LLCC_TRP_SCT_24_ATTRIBUTE1_CFG</t>
  </si>
  <si>
    <t>LLCC_TRP_SCT_25_ATTRIBUTE1_CFG</t>
  </si>
  <si>
    <t>LLCC_TRP_SCT_26_ATTRIBUTE1_CFG</t>
  </si>
  <si>
    <t>LLCC_TRP_SCT_27_ATTRIBUTE1_CFG</t>
  </si>
  <si>
    <t>LLCC_TRP_SCT_28_ATTRIBUTE1_CFG</t>
  </si>
  <si>
    <t>LLCC_TRP_SCT_29_ATTRIBUTE1_CFG</t>
  </si>
  <si>
    <t>LLCC_TRP_SCT_30_ATTRIBUTE1_CFG</t>
  </si>
  <si>
    <t>LLCC_TRP_SCT_31_ATTRIBUTE1_CFG</t>
  </si>
  <si>
    <t>LLCC_TRP_SCID_DISABLE_CAP_ALLOC</t>
  </si>
  <si>
    <t>LLCC_TRP_PCB_ACT_SCID_MASK</t>
  </si>
  <si>
    <t>LLCC_TRP_PCB_ACT_STATUS</t>
  </si>
  <si>
    <t>LLCC_TRP_ACT_WAY_STATUS</t>
  </si>
  <si>
    <t>LLCC_TRP_SCID_ACT_STATUS</t>
  </si>
  <si>
    <t>LLCC_TRP_PCB_DIRTY_COUNT_STATUS0</t>
  </si>
  <si>
    <t>LLCC_TRP_PCB_DIRTY_COUNT_STATUS1</t>
  </si>
  <si>
    <t>LLCC_TRP_PCB_DIRTY_COUNT_STATUS2</t>
  </si>
  <si>
    <t>LLCC_TRP_CINIT_CTRL_0</t>
  </si>
  <si>
    <t>LLCC_TRP_CINIT_CTRL_1</t>
  </si>
  <si>
    <t>LLCC_TRP_DRIE_VAL</t>
  </si>
  <si>
    <t>LLCC_TRP_CINIT_STATUS</t>
  </si>
  <si>
    <t>LLCC_TRP_CFLUSH_CTRL_0</t>
  </si>
  <si>
    <t>LLCC_TRP_CFLUSH_CTRL_1</t>
  </si>
  <si>
    <t>LLCC_TRP_CFLUSH_STATUS</t>
  </si>
  <si>
    <t>LLCC_TRP_CFLUSH_CTRL_2</t>
  </si>
  <si>
    <t>LLCC_TRP_MISC_CFG</t>
  </si>
  <si>
    <t>LLCC_TRP_WRSC_CFG</t>
  </si>
  <si>
    <t>LLCC_TRP_WRSC_PRIORITYLVL_CFG0</t>
  </si>
  <si>
    <t>LLCC_TRP_WRSC_PRIORITYLVL_CFG1</t>
  </si>
  <si>
    <t>LLCC_TRP_WRSC_PRIORITYLVL_CFG2</t>
  </si>
  <si>
    <t>LLCC_TRP_WRSC_PRIORITYLVL_CFG3</t>
  </si>
  <si>
    <t>LLCC_TRP_INTERNAL_STATUS0</t>
  </si>
  <si>
    <t>LLCC_TRP_INTERNAL_STATUS1</t>
  </si>
  <si>
    <t>LLCC_TRP_ET_STATUS</t>
  </si>
  <si>
    <t>LLCC_TRP_FT_STATUS</t>
  </si>
  <si>
    <t>LLCC_TRP_FIFO_STATUS</t>
  </si>
  <si>
    <t>LLCC_TRP_FSM_STATUS</t>
  </si>
  <si>
    <t>LLCC_TRP_FLOW_CTRL_STATUS</t>
  </si>
  <si>
    <t>LLCC_TRP_INTERFACES_STATUS</t>
  </si>
  <si>
    <t>LLCC_TRP_CLK_EN_CFG</t>
  </si>
  <si>
    <t>LLCC_TRP_DPG_CFG</t>
  </si>
  <si>
    <t>LLCC_TRP_DEBUG_CTRL</t>
  </si>
  <si>
    <t>LLCC_TRP_HW_EVENT_CTRL</t>
  </si>
  <si>
    <t>LLCC_TRP_DBG_EVT_STATUS</t>
  </si>
  <si>
    <t>LLCC_TRP_DBG_EVT_CLEAR</t>
  </si>
  <si>
    <t>LLCC_TRP_DBG_EVT_FWD</t>
  </si>
  <si>
    <t>LLCC_TRP_DCRSW_CFG0</t>
  </si>
  <si>
    <t>LLCC_TRP_DCRSW_STATUS0</t>
  </si>
  <si>
    <t>LLCC_TRP_DCRSW_STATUS1</t>
  </si>
  <si>
    <t>LLCC_TRP_ECC_ERROR_CFG</t>
  </si>
  <si>
    <t>LLCC_TRP_ECC_ERROR_CNTR_CLEAR</t>
  </si>
  <si>
    <t>LLCC_TRP_ECC_ERROR_STATUS0</t>
  </si>
  <si>
    <t>LLCC_TRP_ECC_ERROR_STATUS1</t>
  </si>
  <si>
    <t>LLCC_TRP_ECC_SB_ERR_SYN0</t>
  </si>
  <si>
    <t>LLCC_TRP_ECC_SB_ERR_SYN1</t>
  </si>
  <si>
    <t>LLCC_TRP_ECC_SB_ERR_SYN2</t>
  </si>
  <si>
    <t>LLCC_TRP_ECC_SB_ERR_SYN3</t>
  </si>
  <si>
    <t>LLCC_TRP_ECC_SB_ERR_SYN4</t>
  </si>
  <si>
    <t>LLCC_TRP_ECC_SB_ERR_SYN5</t>
  </si>
  <si>
    <t>LLCC_TRP_ECC_DB_ERR_SYN0</t>
  </si>
  <si>
    <t>LLCC_TRP_ECC_DB_ERR_SYN1</t>
  </si>
  <si>
    <t>LLCC_TRP_ECC_DB_ERR_SYN2</t>
  </si>
  <si>
    <t>LLCC_TRP_ECC_DB_ERR_SYN3</t>
  </si>
  <si>
    <t>LLCC_TRP_ECC_DB_ERR_SYN4</t>
  </si>
  <si>
    <t>LLCC_TRP_ECC_DB_ERR_SYN5</t>
  </si>
  <si>
    <t>LLCC_TRP_ECC_ERROR_INJECTION_0</t>
  </si>
  <si>
    <t>LLCC_TRP_ECC_ERROR_INJECTION_1</t>
  </si>
  <si>
    <t>LLCC_TRP_INTERRUPT_0_STATUS</t>
  </si>
  <si>
    <t>LLCC_TRP_INTERRUPT_0_CLEAR</t>
  </si>
  <si>
    <t>LLCC_TRP_INTERRUPT_0_ENABLE</t>
  </si>
  <si>
    <t>LLCC_TRP_INTERRUPT_1_STATUS</t>
  </si>
  <si>
    <t>LLCC_TRP_INTERRUPT_1_CLEAR</t>
  </si>
  <si>
    <t>LLCC_TRP_INTERRUPT_1_ENABLE</t>
  </si>
  <si>
    <t>LLCC_TRP_INTERRUPT_2_STATUS</t>
  </si>
  <si>
    <t>LLCC_TRP_INTERRUPT_2_CLEAR</t>
  </si>
  <si>
    <t>LLCC_TRP_INTERRUPT_2_ENABLE</t>
  </si>
  <si>
    <t>LLCC_TRP_INTERRUPT_3_STATUS</t>
  </si>
  <si>
    <t>LLCC_TRP_INTERRUPT_3_CLEAR</t>
  </si>
  <si>
    <t>LLCC_TRP_INTERRUPT_3_ENABLE</t>
  </si>
  <si>
    <t>LLCC_TRP_PROF_FILTER_0_CFG0</t>
  </si>
  <si>
    <t>LLCC_TRP_PROF_FILTER_0_CFG1</t>
  </si>
  <si>
    <t>LLCC_TRP_PROF_FILTER_1_CFG0</t>
  </si>
  <si>
    <t>LLCC_TRP_PROF_FILTER_1_CFG1</t>
  </si>
  <si>
    <t>LLCC_TRP_PROF_EVENT_0_CFG</t>
  </si>
  <si>
    <t>LLCC_TRP_PROF_EVENT_1_CFG</t>
  </si>
  <si>
    <t>LLCC_TRP_PROF_EVENT_2_CFG</t>
  </si>
  <si>
    <t>LLCC_TRP_PROF_EVENT_3_CFG</t>
  </si>
  <si>
    <t>LLCC_TRP_PROF_EVENT_4_CFG</t>
  </si>
  <si>
    <t>LLCC_TRP_PROF_EVENT_5_CFG</t>
  </si>
  <si>
    <t>LLCC_TRP_PROF_EVENT_6_CFG</t>
  </si>
  <si>
    <t>LLCC_TRP_PROF_EVENT_7_CFG</t>
  </si>
  <si>
    <t>LLCC_TRP_PROF_EVENT_8_CFG</t>
  </si>
  <si>
    <t>LLCC_TRP_PROF_EVENT_9_CFG</t>
  </si>
  <si>
    <t>LLCC_TRP_PROF_EVENT_10_CFG</t>
  </si>
  <si>
    <t>LLCC_TRP_PROF_EVENT_11_CFG</t>
  </si>
  <si>
    <t>LLCC_TRP_PROF_EVENT_12_CFG</t>
  </si>
  <si>
    <t>LLCC_TRP_PROF_EVENT_13_CFG</t>
  </si>
  <si>
    <t>LLCC_TRP_PROF_EVENT_14_CFG</t>
  </si>
  <si>
    <t>LLCC_TRP_PROF_EVENT_15_CFG</t>
  </si>
  <si>
    <t>MPU32Q2N7S1V0_25_CL36M35L12P_CLHLT_AXI_XPU3_GCR0</t>
  </si>
  <si>
    <t>MPU32Q2N7S1V0_25_CL36M35L12P_CLHLT_AXI_XPU3_SCR0</t>
  </si>
  <si>
    <t>MPU32Q2N7S1V0_25_CL36M35L12P_CLHLT_AXI_XPU3_CR0</t>
  </si>
  <si>
    <t>MPU32Q2N7S1V0_25_CL36M35L12P_CLHLT_AXI_XPU3_QAD0_GCR0</t>
  </si>
  <si>
    <t>MPU32Q2N7S1V0_25_CL36M35L12P_CLHLT_AXI_XPU3_QAD0_CR0</t>
  </si>
  <si>
    <t>MPU32Q2N7S1V0_25_CL36M35L12P_CLHLT_AXI_XPU3_QAD1_GCR0</t>
  </si>
  <si>
    <t>MPU32Q2N7S1V0_25_CL36M35L12P_CLHLT_AXI_XPU3_QAD1_CR0</t>
  </si>
  <si>
    <t>MPU32Q2N7S1V0_25_CL36M35L12P_CLHLT_AXI_XPU3_UMR_GCR0</t>
  </si>
  <si>
    <t>MPU32Q2N7S1V0_25_CL36M35L12P_CLHLT_AXI_XPU3_UMR_CR0</t>
  </si>
  <si>
    <t>MPU32Q2N7S1V0_25_CL36M35L12P_CLHLT_AXI_XPU3_UMR_CR1</t>
  </si>
  <si>
    <t>MPU32Q2N7S1V0_25_CL36M35L12P_CLHLT_AXI_XPU3_UMR_CR2</t>
  </si>
  <si>
    <t>MPU32Q2N7S1V0_25_CL36M35L12P_CLHLT_AXI_XPU3_UMR_CR3</t>
  </si>
  <si>
    <t>MPU32Q2N7S1V0_25_CL36M35L12P_CLHLT_AXI_XPU3_IDR3</t>
  </si>
  <si>
    <t>MPU32Q2N7S1V0_25_CL36M35L12P_CLHLT_AXI_XPU3_IDR2</t>
  </si>
  <si>
    <t>MPU32Q2N7S1V0_25_CL36M35L12P_CLHLT_AXI_XPU3_IDR1</t>
  </si>
  <si>
    <t>MPU32Q2N7S1V0_25_CL36M35L12P_CLHLT_AXI_XPU3_IDR0</t>
  </si>
  <si>
    <t>MPU32Q2N7S1V0_25_CL36M35L12P_CLHLT_AXI_XPU3_REV</t>
  </si>
  <si>
    <t>MPU32Q2N7S1V0_25_CL36M35L12P_CLHLT_AXI_XPU3_SEAR0</t>
  </si>
  <si>
    <t>MPU32Q2N7S1V0_25_CL36M35L12P_CLHLT_AXI_XPU3_SESR</t>
  </si>
  <si>
    <t>MPU32Q2N7S1V0_25_CL36M35L12P_CLHLT_AXI_XPU3_SESRRESTORE</t>
  </si>
  <si>
    <t>MPU32Q2N7S1V0_25_CL36M35L12P_CLHLT_AXI_XPU3_SESYNR0</t>
  </si>
  <si>
    <t>MPU32Q2N7S1V0_25_CL36M35L12P_CLHLT_AXI_XPU3_SESYNR1</t>
  </si>
  <si>
    <t>MPU32Q2N7S1V0_25_CL36M35L12P_CLHLT_AXI_XPU3_SESYNR2</t>
  </si>
  <si>
    <t>MPU32Q2N7S1V0_25_CL36M35L12P_CLHLT_AXI_XPU3_SEAR1</t>
  </si>
  <si>
    <t>MPU32Q2N7S1V0_25_CL36M35L12P_CLHLT_AXI_XPU3_SESYNR3</t>
  </si>
  <si>
    <t>MPU32Q2N7S1V0_25_CL36M35L12P_CLHLT_AXI_XPU3_SESYNR4</t>
  </si>
  <si>
    <t>MPU32Q2N7S1V0_25_CL36M35L12P_CLHLT_AXI_XPU3_RGN_START0_SSHADOW</t>
  </si>
  <si>
    <t>MPU32Q2N7S1V0_25_CL36M35L12P_CLHLT_AXI_XPU3_RGN_START1_SSHADOW</t>
  </si>
  <si>
    <t>MPU32Q2N7S1V0_25_CL36M35L12P_CLHLT_AXI_XPU3_RGN_END0_SSHADOW</t>
  </si>
  <si>
    <t>MPU32Q2N7S1V0_25_CL36M35L12P_CLHLT_AXI_XPU3_RGN_END1_SSHADOW</t>
  </si>
  <si>
    <t>MPU32Q2N7S1V0_25_CL36M35L12P_CLHLT_AXI_XPU3_EAR0</t>
  </si>
  <si>
    <t>MPU32Q2N7S1V0_25_CL36M35L12P_CLHLT_AXI_XPU3_ESR</t>
  </si>
  <si>
    <t>MPU32Q2N7S1V0_25_CL36M35L12P_CLHLT_AXI_XPU3_ESRRESTORE</t>
  </si>
  <si>
    <t>MPU32Q2N7S1V0_25_CL36M35L12P_CLHLT_AXI_XPU3_ESYNR0</t>
  </si>
  <si>
    <t>MPU32Q2N7S1V0_25_CL36M35L12P_CLHLT_AXI_XPU3_ESYNR1</t>
  </si>
  <si>
    <t>MPU32Q2N7S1V0_25_CL36M35L12P_CLHLT_AXI_XPU3_ESYNR2</t>
  </si>
  <si>
    <t>MPU32Q2N7S1V0_25_CL36M35L12P_CLHLT_AXI_XPU3_EAR1</t>
  </si>
  <si>
    <t>MPU32Q2N7S1V0_25_CL36M35L12P_CLHLT_AXI_XPU3_ESYNR3</t>
  </si>
  <si>
    <t>MPU32Q2N7S1V0_25_CL36M35L12P_CLHLT_AXI_XPU3_ESYNR4</t>
  </si>
  <si>
    <t>MPU32Q2N7S1V0_25_CL36M35L12P_CLHLT_AXI_XPU3_RGN_START0_SHADOW</t>
  </si>
  <si>
    <t>MPU32Q2N7S1V0_25_CL36M35L12P_CLHLT_AXI_XPU3_RGN_START1_SHADOW</t>
  </si>
  <si>
    <t>MPU32Q2N7S1V0_25_CL36M35L12P_CLHLT_AXI_XPU3_RGN_END0_SHADOW</t>
  </si>
  <si>
    <t>MPU32Q2N7S1V0_25_CL36M35L12P_CLHLT_AXI_XPU3_RGN_END1_SHADOW</t>
  </si>
  <si>
    <t>MPU32Q2N7S1V0_25_CL36M35L12P_CLHLT_AXI_XPU3_QAD0_EAR0</t>
  </si>
  <si>
    <t>MPU32Q2N7S1V0_25_CL36M35L12P_CLHLT_AXI_XPU3_QAD0_ESR</t>
  </si>
  <si>
    <t>MPU32Q2N7S1V0_25_CL36M35L12P_CLHLT_AXI_XPU3_QAD0_ESRRESTORE</t>
  </si>
  <si>
    <t>MPU32Q2N7S1V0_25_CL36M35L12P_CLHLT_AXI_XPU3_QAD0_ESYNR0</t>
  </si>
  <si>
    <t>MPU32Q2N7S1V0_25_CL36M35L12P_CLHLT_AXI_XPU3_QAD0_ESYNR1</t>
  </si>
  <si>
    <t>MPU32Q2N7S1V0_25_CL36M35L12P_CLHLT_AXI_XPU3_QAD0_ESYNR2</t>
  </si>
  <si>
    <t>MPU32Q2N7S1V0_25_CL36M35L12P_CLHLT_AXI_XPU3_QAD0_EAR1</t>
  </si>
  <si>
    <t>MPU32Q2N7S1V0_25_CL36M35L12P_CLHLT_AXI_XPU3_QAD0_ESYNR3</t>
  </si>
  <si>
    <t>MPU32Q2N7S1V0_25_CL36M35L12P_CLHLT_AXI_XPU3_QAD0_ESYNR4</t>
  </si>
  <si>
    <t>MPU32Q2N7S1V0_25_CL36M35L12P_CLHLT_AXI_XPU3_QAD0_RGN_START0_SHADOW</t>
  </si>
  <si>
    <t>MPU32Q2N7S1V0_25_CL36M35L12P_CLHLT_AXI_XPU3_QAD0_RGN_START1_SHADOW</t>
  </si>
  <si>
    <t>MPU32Q2N7S1V0_25_CL36M35L12P_CLHLT_AXI_XPU3_QAD0_RGN_END0_SHADOW</t>
  </si>
  <si>
    <t>MPU32Q2N7S1V0_25_CL36M35L12P_CLHLT_AXI_XPU3_QAD0_RGN_END1_SHADOW</t>
  </si>
  <si>
    <t>MPU32Q2N7S1V0_25_CL36M35L12P_CLHLT_AXI_XPU3_QAD1_EAR0</t>
  </si>
  <si>
    <t>MPU32Q2N7S1V0_25_CL36M35L12P_CLHLT_AXI_XPU3_QAD1_ESR</t>
  </si>
  <si>
    <t>MPU32Q2N7S1V0_25_CL36M35L12P_CLHLT_AXI_XPU3_QAD1_ESRRESTORE</t>
  </si>
  <si>
    <t>MPU32Q2N7S1V0_25_CL36M35L12P_CLHLT_AXI_XPU3_QAD1_ESYNR0</t>
  </si>
  <si>
    <t>MPU32Q2N7S1V0_25_CL36M35L12P_CLHLT_AXI_XPU3_QAD1_ESYNR1</t>
  </si>
  <si>
    <t>MPU32Q2N7S1V0_25_CL36M35L12P_CLHLT_AXI_XPU3_QAD1_ESYNR2</t>
  </si>
  <si>
    <t>MPU32Q2N7S1V0_25_CL36M35L12P_CLHLT_AXI_XPU3_QAD1_EAR1</t>
  </si>
  <si>
    <t>MPU32Q2N7S1V0_25_CL36M35L12P_CLHLT_AXI_XPU3_QAD1_ESYNR3</t>
  </si>
  <si>
    <t>MPU32Q2N7S1V0_25_CL36M35L12P_CLHLT_AXI_XPU3_QAD1_ESYNR4</t>
  </si>
  <si>
    <t>MPU32Q2N7S1V0_25_CL36M35L12P_CLHLT_AXI_XPU3_QAD1_RGN_START0_SHADOW</t>
  </si>
  <si>
    <t>MPU32Q2N7S1V0_25_CL36M35L12P_CLHLT_AXI_XPU3_QAD1_RGN_START1_SHADOW</t>
  </si>
  <si>
    <t>MPU32Q2N7S1V0_25_CL36M35L12P_CLHLT_AXI_XPU3_QAD1_RGN_END0_SHADOW</t>
  </si>
  <si>
    <t>MPU32Q2N7S1V0_25_CL36M35L12P_CLHLT_AXI_XPU3_QAD1_RGN_END1_SHADOW</t>
  </si>
  <si>
    <t>MPU32Q2N7S1V0_25_CL36M35L12P_CLHLT_AXI_XPU3_RG0_GCR0</t>
  </si>
  <si>
    <t>MPU32Q2N7S1V0_25_CL36M35L12P_CLHLT_AXI_XPU3_RG1_GCR0</t>
  </si>
  <si>
    <t>00001100</t>
  </si>
  <si>
    <t>MPU32Q2N7S1V0_25_CL36M35L12P_CLHLT_AXI_XPU3_RG2_GCR0</t>
  </si>
  <si>
    <t>MPU32Q2N7S1V0_25_CL36M35L12P_CLHLT_AXI_XPU3_RG3_GCR0</t>
  </si>
  <si>
    <t>MPU32Q2N7S1V0_25_CL36M35L12P_CLHLT_AXI_XPU3_RG4_GCR0</t>
  </si>
  <si>
    <t>00001280</t>
  </si>
  <si>
    <t>MPU32Q2N7S1V0_25_CL36M35L12P_CLHLT_AXI_XPU3_RG5_GCR0</t>
  </si>
  <si>
    <t>00001300</t>
  </si>
  <si>
    <t>MPU32Q2N7S1V0_25_CL36M35L12P_CLHLT_AXI_XPU3_RG6_GCR0</t>
  </si>
  <si>
    <t>MPU32Q2N7S1V0_25_CL36M35L12P_CLHLT_AXI_XPU3_RG7_GCR0</t>
  </si>
  <si>
    <t>MPU32Q2N7S1V0_25_CL36M35L12P_CLHLT_AXI_XPU3_RG8_GCR0</t>
  </si>
  <si>
    <t>00001480</t>
  </si>
  <si>
    <t>MPU32Q2N7S1V0_25_CL36M35L12P_CLHLT_AXI_XPU3_RG9_GCR0</t>
  </si>
  <si>
    <t>00001500</t>
  </si>
  <si>
    <t>MPU32Q2N7S1V0_25_CL36M35L12P_CLHLT_AXI_XPU3_RG10_GCR0</t>
  </si>
  <si>
    <t>MPU32Q2N7S1V0_25_CL36M35L12P_CLHLT_AXI_XPU3_RG11_GCR0</t>
  </si>
  <si>
    <t>MPU32Q2N7S1V0_25_CL36M35L12P_CLHLT_AXI_XPU3_RG12_GCR0</t>
  </si>
  <si>
    <t>00001680</t>
  </si>
  <si>
    <t>MPU32Q2N7S1V0_25_CL36M35L12P_CLHLT_AXI_XPU3_RG13_GCR0</t>
  </si>
  <si>
    <t>00001700</t>
  </si>
  <si>
    <t>MPU32Q2N7S1V0_25_CL36M35L12P_CLHLT_AXI_XPU3_RG14_GCR0</t>
  </si>
  <si>
    <t>MPU32Q2N7S1V0_25_CL36M35L12P_CLHLT_AXI_XPU3_RG15_GCR0</t>
  </si>
  <si>
    <t>MPU32Q2N7S1V0_25_CL36M35L12P_CLHLT_AXI_XPU3_RG16_GCR0</t>
  </si>
  <si>
    <t>00001880</t>
  </si>
  <si>
    <t>MPU32Q2N7S1V0_25_CL36M35L12P_CLHLT_AXI_XPU3_RG17_GCR0</t>
  </si>
  <si>
    <t>00001900</t>
  </si>
  <si>
    <t>MPU32Q2N7S1V0_25_CL36M35L12P_CLHLT_AXI_XPU3_RG18_GCR0</t>
  </si>
  <si>
    <t>MPU32Q2N7S1V0_25_CL36M35L12P_CLHLT_AXI_XPU3_RG19_GCR0</t>
  </si>
  <si>
    <t>MPU32Q2N7S1V0_25_CL36M35L12P_CLHLT_AXI_XPU3_RG20_GCR0</t>
  </si>
  <si>
    <t>00001a80</t>
  </si>
  <si>
    <t>MPU32Q2N7S1V0_25_CL36M35L12P_CLHLT_AXI_XPU3_RG21_GCR0</t>
  </si>
  <si>
    <t>00001b00</t>
  </si>
  <si>
    <t>MPU32Q2N7S1V0_25_CL36M35L12P_CLHLT_AXI_XPU3_RG22_GCR0</t>
  </si>
  <si>
    <t>MPU32Q2N7S1V0_25_CL36M35L12P_CLHLT_AXI_XPU3_RG23_GCR0</t>
  </si>
  <si>
    <t>MPU32Q2N7S1V0_25_CL36M35L12P_CLHLT_AXI_XPU3_RG24_GCR0</t>
  </si>
  <si>
    <t>MPU32Q2N7S1V0_25_CL36M35L12P_CLHLT_AXI_XPU3_RG0_GCR1</t>
  </si>
  <si>
    <t>MPU32Q2N7S1V0_25_CL36M35L12P_CLHLT_AXI_XPU3_RG1_GCR1</t>
  </si>
  <si>
    <t>00001104</t>
  </si>
  <si>
    <t>MPU32Q2N7S1V0_25_CL36M35L12P_CLHLT_AXI_XPU3_RG2_GCR1</t>
  </si>
  <si>
    <t>00001184</t>
  </si>
  <si>
    <t>MPU32Q2N7S1V0_25_CL36M35L12P_CLHLT_AXI_XPU3_RG3_GCR1</t>
  </si>
  <si>
    <t>MPU32Q2N7S1V0_25_CL36M35L12P_CLHLT_AXI_XPU3_RG4_GCR1</t>
  </si>
  <si>
    <t>00001284</t>
  </si>
  <si>
    <t>MPU32Q2N7S1V0_25_CL36M35L12P_CLHLT_AXI_XPU3_RG5_GCR1</t>
  </si>
  <si>
    <t>00001304</t>
  </si>
  <si>
    <t>MPU32Q2N7S1V0_25_CL36M35L12P_CLHLT_AXI_XPU3_RG6_GCR1</t>
  </si>
  <si>
    <t>00001384</t>
  </si>
  <si>
    <t>MPU32Q2N7S1V0_25_CL36M35L12P_CLHLT_AXI_XPU3_RG7_GCR1</t>
  </si>
  <si>
    <t>MPU32Q2N7S1V0_25_CL36M35L12P_CLHLT_AXI_XPU3_RG8_GCR1</t>
  </si>
  <si>
    <t>00001484</t>
  </si>
  <si>
    <t>MPU32Q2N7S1V0_25_CL36M35L12P_CLHLT_AXI_XPU3_RG9_GCR1</t>
  </si>
  <si>
    <t>00001504</t>
  </si>
  <si>
    <t>MPU32Q2N7S1V0_25_CL36M35L12P_CLHLT_AXI_XPU3_RG10_GCR1</t>
  </si>
  <si>
    <t>00001584</t>
  </si>
  <si>
    <t>MPU32Q2N7S1V0_25_CL36M35L12P_CLHLT_AXI_XPU3_RG11_GCR1</t>
  </si>
  <si>
    <t>MPU32Q2N7S1V0_25_CL36M35L12P_CLHLT_AXI_XPU3_RG12_GCR1</t>
  </si>
  <si>
    <t>00001684</t>
  </si>
  <si>
    <t>MPU32Q2N7S1V0_25_CL36M35L12P_CLHLT_AXI_XPU3_RG13_GCR1</t>
  </si>
  <si>
    <t>00001704</t>
  </si>
  <si>
    <t>MPU32Q2N7S1V0_25_CL36M35L12P_CLHLT_AXI_XPU3_RG14_GCR1</t>
  </si>
  <si>
    <t>00001784</t>
  </si>
  <si>
    <t>MPU32Q2N7S1V0_25_CL36M35L12P_CLHLT_AXI_XPU3_RG15_GCR1</t>
  </si>
  <si>
    <t>MPU32Q2N7S1V0_25_CL36M35L12P_CLHLT_AXI_XPU3_RG16_GCR1</t>
  </si>
  <si>
    <t>00001884</t>
  </si>
  <si>
    <t>MPU32Q2N7S1V0_25_CL36M35L12P_CLHLT_AXI_XPU3_RG17_GCR1</t>
  </si>
  <si>
    <t>00001904</t>
  </si>
  <si>
    <t>MPU32Q2N7S1V0_25_CL36M35L12P_CLHLT_AXI_XPU3_RG18_GCR1</t>
  </si>
  <si>
    <t>00001984</t>
  </si>
  <si>
    <t>MPU32Q2N7S1V0_25_CL36M35L12P_CLHLT_AXI_XPU3_RG19_GCR1</t>
  </si>
  <si>
    <t>MPU32Q2N7S1V0_25_CL36M35L12P_CLHLT_AXI_XPU3_RG20_GCR1</t>
  </si>
  <si>
    <t>00001a84</t>
  </si>
  <si>
    <t>MPU32Q2N7S1V0_25_CL36M35L12P_CLHLT_AXI_XPU3_RG21_GCR1</t>
  </si>
  <si>
    <t>00001b04</t>
  </si>
  <si>
    <t>MPU32Q2N7S1V0_25_CL36M35L12P_CLHLT_AXI_XPU3_RG22_GCR1</t>
  </si>
  <si>
    <t>00001b84</t>
  </si>
  <si>
    <t>MPU32Q2N7S1V0_25_CL36M35L12P_CLHLT_AXI_XPU3_RG23_GCR1</t>
  </si>
  <si>
    <t>MPU32Q2N7S1V0_25_CL36M35L12P_CLHLT_AXI_XPU3_RG24_GCR1</t>
  </si>
  <si>
    <t>MPU32Q2N7S1V0_25_CL36M35L12P_CLHLT_AXI_XPU3_RG0_GCR2</t>
  </si>
  <si>
    <t>00001088</t>
  </si>
  <si>
    <t>MPU32Q2N7S1V0_25_CL36M35L12P_CLHLT_AXI_XPU3_RG1_GCR2</t>
  </si>
  <si>
    <t>00001108</t>
  </si>
  <si>
    <t>MPU32Q2N7S1V0_25_CL36M35L12P_CLHLT_AXI_XPU3_RG2_GCR2</t>
  </si>
  <si>
    <t>00001188</t>
  </si>
  <si>
    <t>MPU32Q2N7S1V0_25_CL36M35L12P_CLHLT_AXI_XPU3_RG3_GCR2</t>
  </si>
  <si>
    <t>MPU32Q2N7S1V0_25_CL36M35L12P_CLHLT_AXI_XPU3_RG4_GCR2</t>
  </si>
  <si>
    <t>00001288</t>
  </si>
  <si>
    <t>MPU32Q2N7S1V0_25_CL36M35L12P_CLHLT_AXI_XPU3_RG5_GCR2</t>
  </si>
  <si>
    <t>00001308</t>
  </si>
  <si>
    <t>MPU32Q2N7S1V0_25_CL36M35L12P_CLHLT_AXI_XPU3_RG6_GCR2</t>
  </si>
  <si>
    <t>MPU32Q2N7S1V0_25_CL36M35L12P_CLHLT_AXI_XPU3_RG7_GCR2</t>
  </si>
  <si>
    <t>MPU32Q2N7S1V0_25_CL36M35L12P_CLHLT_AXI_XPU3_RG8_GCR2</t>
  </si>
  <si>
    <t>00001488</t>
  </si>
  <si>
    <t>MPU32Q2N7S1V0_25_CL36M35L12P_CLHLT_AXI_XPU3_RG9_GCR2</t>
  </si>
  <si>
    <t>00001508</t>
  </si>
  <si>
    <t>MPU32Q2N7S1V0_25_CL36M35L12P_CLHLT_AXI_XPU3_RG10_GCR2</t>
  </si>
  <si>
    <t>00001588</t>
  </si>
  <si>
    <t>MPU32Q2N7S1V0_25_CL36M35L12P_CLHLT_AXI_XPU3_RG11_GCR2</t>
  </si>
  <si>
    <t>MPU32Q2N7S1V0_25_CL36M35L12P_CLHLT_AXI_XPU3_RG12_GCR2</t>
  </si>
  <si>
    <t>00001688</t>
  </si>
  <si>
    <t>MPU32Q2N7S1V0_25_CL36M35L12P_CLHLT_AXI_XPU3_RG13_GCR2</t>
  </si>
  <si>
    <t>00001708</t>
  </si>
  <si>
    <t>MPU32Q2N7S1V0_25_CL36M35L12P_CLHLT_AXI_XPU3_RG14_GCR2</t>
  </si>
  <si>
    <t>00001788</t>
  </si>
  <si>
    <t>MPU32Q2N7S1V0_25_CL36M35L12P_CLHLT_AXI_XPU3_RG15_GCR2</t>
  </si>
  <si>
    <t>MPU32Q2N7S1V0_25_CL36M35L12P_CLHLT_AXI_XPU3_RG16_GCR2</t>
  </si>
  <si>
    <t>00001888</t>
  </si>
  <si>
    <t>MPU32Q2N7S1V0_25_CL36M35L12P_CLHLT_AXI_XPU3_RG17_GCR2</t>
  </si>
  <si>
    <t>00001908</t>
  </si>
  <si>
    <t>MPU32Q2N7S1V0_25_CL36M35L12P_CLHLT_AXI_XPU3_RG18_GCR2</t>
  </si>
  <si>
    <t>00001988</t>
  </si>
  <si>
    <t>MPU32Q2N7S1V0_25_CL36M35L12P_CLHLT_AXI_XPU3_RG19_GCR2</t>
  </si>
  <si>
    <t>MPU32Q2N7S1V0_25_CL36M35L12P_CLHLT_AXI_XPU3_RG20_GCR2</t>
  </si>
  <si>
    <t>00001a88</t>
  </si>
  <si>
    <t>MPU32Q2N7S1V0_25_CL36M35L12P_CLHLT_AXI_XPU3_RG21_GCR2</t>
  </si>
  <si>
    <t>00001b08</t>
  </si>
  <si>
    <t>MPU32Q2N7S1V0_25_CL36M35L12P_CLHLT_AXI_XPU3_RG22_GCR2</t>
  </si>
  <si>
    <t>00001b88</t>
  </si>
  <si>
    <t>MPU32Q2N7S1V0_25_CL36M35L12P_CLHLT_AXI_XPU3_RG23_GCR2</t>
  </si>
  <si>
    <t>MPU32Q2N7S1V0_25_CL36M35L12P_CLHLT_AXI_XPU3_RG24_GCR2</t>
  </si>
  <si>
    <t>MPU32Q2N7S1V0_25_CL36M35L12P_CLHLT_AXI_XPU3_RG0_CR0</t>
  </si>
  <si>
    <t>00001090</t>
  </si>
  <si>
    <t>MPU32Q2N7S1V0_25_CL36M35L12P_CLHLT_AXI_XPU3_RG1_CR0</t>
  </si>
  <si>
    <t>00001110</t>
  </si>
  <si>
    <t>MPU32Q2N7S1V0_25_CL36M35L12P_CLHLT_AXI_XPU3_RG2_CR0</t>
  </si>
  <si>
    <t>00001190</t>
  </si>
  <si>
    <t>MPU32Q2N7S1V0_25_CL36M35L12P_CLHLT_AXI_XPU3_RG3_CR0</t>
  </si>
  <si>
    <t>MPU32Q2N7S1V0_25_CL36M35L12P_CLHLT_AXI_XPU3_RG4_CR0</t>
  </si>
  <si>
    <t>00001290</t>
  </si>
  <si>
    <t>MPU32Q2N7S1V0_25_CL36M35L12P_CLHLT_AXI_XPU3_RG5_CR0</t>
  </si>
  <si>
    <t>00001310</t>
  </si>
  <si>
    <t>MPU32Q2N7S1V0_25_CL36M35L12P_CLHLT_AXI_XPU3_RG6_CR0</t>
  </si>
  <si>
    <t>00001390</t>
  </si>
  <si>
    <t>MPU32Q2N7S1V0_25_CL36M35L12P_CLHLT_AXI_XPU3_RG7_CR0</t>
  </si>
  <si>
    <t>MPU32Q2N7S1V0_25_CL36M35L12P_CLHLT_AXI_XPU3_RG8_CR0</t>
  </si>
  <si>
    <t>00001490</t>
  </si>
  <si>
    <t>MPU32Q2N7S1V0_25_CL36M35L12P_CLHLT_AXI_XPU3_RG9_CR0</t>
  </si>
  <si>
    <t>00001510</t>
  </si>
  <si>
    <t>MPU32Q2N7S1V0_25_CL36M35L12P_CLHLT_AXI_XPU3_RG10_CR0</t>
  </si>
  <si>
    <t>00001590</t>
  </si>
  <si>
    <t>MPU32Q2N7S1V0_25_CL36M35L12P_CLHLT_AXI_XPU3_RG11_CR0</t>
  </si>
  <si>
    <t>MPU32Q2N7S1V0_25_CL36M35L12P_CLHLT_AXI_XPU3_RG12_CR0</t>
  </si>
  <si>
    <t>00001690</t>
  </si>
  <si>
    <t>MPU32Q2N7S1V0_25_CL36M35L12P_CLHLT_AXI_XPU3_RG13_CR0</t>
  </si>
  <si>
    <t>00001710</t>
  </si>
  <si>
    <t>MPU32Q2N7S1V0_25_CL36M35L12P_CLHLT_AXI_XPU3_RG14_CR0</t>
  </si>
  <si>
    <t>00001790</t>
  </si>
  <si>
    <t>MPU32Q2N7S1V0_25_CL36M35L12P_CLHLT_AXI_XPU3_RG15_CR0</t>
  </si>
  <si>
    <t>MPU32Q2N7S1V0_25_CL36M35L12P_CLHLT_AXI_XPU3_RG16_CR0</t>
  </si>
  <si>
    <t>00001890</t>
  </si>
  <si>
    <t>MPU32Q2N7S1V0_25_CL36M35L12P_CLHLT_AXI_XPU3_RG17_CR0</t>
  </si>
  <si>
    <t>00001910</t>
  </si>
  <si>
    <t>MPU32Q2N7S1V0_25_CL36M35L12P_CLHLT_AXI_XPU3_RG18_CR0</t>
  </si>
  <si>
    <t>00001990</t>
  </si>
  <si>
    <t>MPU32Q2N7S1V0_25_CL36M35L12P_CLHLT_AXI_XPU3_RG19_CR0</t>
  </si>
  <si>
    <t>MPU32Q2N7S1V0_25_CL36M35L12P_CLHLT_AXI_XPU3_RG20_CR0</t>
  </si>
  <si>
    <t>00001a90</t>
  </si>
  <si>
    <t>MPU32Q2N7S1V0_25_CL36M35L12P_CLHLT_AXI_XPU3_RG21_CR0</t>
  </si>
  <si>
    <t>00001b10</t>
  </si>
  <si>
    <t>MPU32Q2N7S1V0_25_CL36M35L12P_CLHLT_AXI_XPU3_RG22_CR0</t>
  </si>
  <si>
    <t>00001b90</t>
  </si>
  <si>
    <t>MPU32Q2N7S1V0_25_CL36M35L12P_CLHLT_AXI_XPU3_RG23_CR0</t>
  </si>
  <si>
    <t>MPU32Q2N7S1V0_25_CL36M35L12P_CLHLT_AXI_XPU3_RG24_CR0</t>
  </si>
  <si>
    <t>MPU32Q2N7S1V0_25_CL36M35L12P_CLHLT_AXI_XPU3_RG0_CR1</t>
  </si>
  <si>
    <t>00001094</t>
  </si>
  <si>
    <t>MPU32Q2N7S1V0_25_CL36M35L12P_CLHLT_AXI_XPU3_RG1_CR1</t>
  </si>
  <si>
    <t>00001114</t>
  </si>
  <si>
    <t>MPU32Q2N7S1V0_25_CL36M35L12P_CLHLT_AXI_XPU3_RG2_CR1</t>
  </si>
  <si>
    <t>00001194</t>
  </si>
  <si>
    <t>MPU32Q2N7S1V0_25_CL36M35L12P_CLHLT_AXI_XPU3_RG3_CR1</t>
  </si>
  <si>
    <t>00001214</t>
  </si>
  <si>
    <t>MPU32Q2N7S1V0_25_CL36M35L12P_CLHLT_AXI_XPU3_RG4_CR1</t>
  </si>
  <si>
    <t>00001294</t>
  </si>
  <si>
    <t>MPU32Q2N7S1V0_25_CL36M35L12P_CLHLT_AXI_XPU3_RG5_CR1</t>
  </si>
  <si>
    <t>00001314</t>
  </si>
  <si>
    <t>MPU32Q2N7S1V0_25_CL36M35L12P_CLHLT_AXI_XPU3_RG6_CR1</t>
  </si>
  <si>
    <t>00001394</t>
  </si>
  <si>
    <t>MPU32Q2N7S1V0_25_CL36M35L12P_CLHLT_AXI_XPU3_RG7_CR1</t>
  </si>
  <si>
    <t>00001414</t>
  </si>
  <si>
    <t>MPU32Q2N7S1V0_25_CL36M35L12P_CLHLT_AXI_XPU3_RG8_CR1</t>
  </si>
  <si>
    <t>00001494</t>
  </si>
  <si>
    <t>MPU32Q2N7S1V0_25_CL36M35L12P_CLHLT_AXI_XPU3_RG9_CR1</t>
  </si>
  <si>
    <t>00001514</t>
  </si>
  <si>
    <t>MPU32Q2N7S1V0_25_CL36M35L12P_CLHLT_AXI_XPU3_RG10_CR1</t>
  </si>
  <si>
    <t>00001594</t>
  </si>
  <si>
    <t>MPU32Q2N7S1V0_25_CL36M35L12P_CLHLT_AXI_XPU3_RG11_CR1</t>
  </si>
  <si>
    <t>00001614</t>
  </si>
  <si>
    <t>MPU32Q2N7S1V0_25_CL36M35L12P_CLHLT_AXI_XPU3_RG12_CR1</t>
  </si>
  <si>
    <t>00001694</t>
  </si>
  <si>
    <t>MPU32Q2N7S1V0_25_CL36M35L12P_CLHLT_AXI_XPU3_RG13_CR1</t>
  </si>
  <si>
    <t>00001714</t>
  </si>
  <si>
    <t>MPU32Q2N7S1V0_25_CL36M35L12P_CLHLT_AXI_XPU3_RG14_CR1</t>
  </si>
  <si>
    <t>00001794</t>
  </si>
  <si>
    <t>MPU32Q2N7S1V0_25_CL36M35L12P_CLHLT_AXI_XPU3_RG15_CR1</t>
  </si>
  <si>
    <t>00001814</t>
  </si>
  <si>
    <t>MPU32Q2N7S1V0_25_CL36M35L12P_CLHLT_AXI_XPU3_RG16_CR1</t>
  </si>
  <si>
    <t>00001894</t>
  </si>
  <si>
    <t>MPU32Q2N7S1V0_25_CL36M35L12P_CLHLT_AXI_XPU3_RG17_CR1</t>
  </si>
  <si>
    <t>00001914</t>
  </si>
  <si>
    <t>MPU32Q2N7S1V0_25_CL36M35L12P_CLHLT_AXI_XPU3_RG18_CR1</t>
  </si>
  <si>
    <t>00001994</t>
  </si>
  <si>
    <t>MPU32Q2N7S1V0_25_CL36M35L12P_CLHLT_AXI_XPU3_RG19_CR1</t>
  </si>
  <si>
    <t>00001a14</t>
  </si>
  <si>
    <t>MPU32Q2N7S1V0_25_CL36M35L12P_CLHLT_AXI_XPU3_RG20_CR1</t>
  </si>
  <si>
    <t>00001a94</t>
  </si>
  <si>
    <t>MPU32Q2N7S1V0_25_CL36M35L12P_CLHLT_AXI_XPU3_RG21_CR1</t>
  </si>
  <si>
    <t>00001b14</t>
  </si>
  <si>
    <t>MPU32Q2N7S1V0_25_CL36M35L12P_CLHLT_AXI_XPU3_RG22_CR1</t>
  </si>
  <si>
    <t>00001b94</t>
  </si>
  <si>
    <t>MPU32Q2N7S1V0_25_CL36M35L12P_CLHLT_AXI_XPU3_RG23_CR1</t>
  </si>
  <si>
    <t>00001c14</t>
  </si>
  <si>
    <t>MPU32Q2N7S1V0_25_CL36M35L12P_CLHLT_AXI_XPU3_RG24_CR1</t>
  </si>
  <si>
    <t>MPU32Q2N7S1V0_25_CL36M35L12P_CLHLT_AXI_XPU3_RG0_CR2</t>
  </si>
  <si>
    <t>00001098</t>
  </si>
  <si>
    <t>MPU32Q2N7S1V0_25_CL36M35L12P_CLHLT_AXI_XPU3_RG1_CR2</t>
  </si>
  <si>
    <t>00001118</t>
  </si>
  <si>
    <t>MPU32Q2N7S1V0_25_CL36M35L12P_CLHLT_AXI_XPU3_RG2_CR2</t>
  </si>
  <si>
    <t>00001198</t>
  </si>
  <si>
    <t>MPU32Q2N7S1V0_25_CL36M35L12P_CLHLT_AXI_XPU3_RG3_CR2</t>
  </si>
  <si>
    <t>MPU32Q2N7S1V0_25_CL36M35L12P_CLHLT_AXI_XPU3_RG4_CR2</t>
  </si>
  <si>
    <t>00001298</t>
  </si>
  <si>
    <t>MPU32Q2N7S1V0_25_CL36M35L12P_CLHLT_AXI_XPU3_RG5_CR2</t>
  </si>
  <si>
    <t>00001318</t>
  </si>
  <si>
    <t>MPU32Q2N7S1V0_25_CL36M35L12P_CLHLT_AXI_XPU3_RG6_CR2</t>
  </si>
  <si>
    <t>00001398</t>
  </si>
  <si>
    <t>MPU32Q2N7S1V0_25_CL36M35L12P_CLHLT_AXI_XPU3_RG7_CR2</t>
  </si>
  <si>
    <t>MPU32Q2N7S1V0_25_CL36M35L12P_CLHLT_AXI_XPU3_RG8_CR2</t>
  </si>
  <si>
    <t>00001498</t>
  </si>
  <si>
    <t>MPU32Q2N7S1V0_25_CL36M35L12P_CLHLT_AXI_XPU3_RG9_CR2</t>
  </si>
  <si>
    <t>00001518</t>
  </si>
  <si>
    <t>MPU32Q2N7S1V0_25_CL36M35L12P_CLHLT_AXI_XPU3_RG10_CR2</t>
  </si>
  <si>
    <t>00001598</t>
  </si>
  <si>
    <t>MPU32Q2N7S1V0_25_CL36M35L12P_CLHLT_AXI_XPU3_RG11_CR2</t>
  </si>
  <si>
    <t>MPU32Q2N7S1V0_25_CL36M35L12P_CLHLT_AXI_XPU3_RG12_CR2</t>
  </si>
  <si>
    <t>00001698</t>
  </si>
  <si>
    <t>MPU32Q2N7S1V0_25_CL36M35L12P_CLHLT_AXI_XPU3_RG13_CR2</t>
  </si>
  <si>
    <t>00001718</t>
  </si>
  <si>
    <t>MPU32Q2N7S1V0_25_CL36M35L12P_CLHLT_AXI_XPU3_RG14_CR2</t>
  </si>
  <si>
    <t>00001798</t>
  </si>
  <si>
    <t>MPU32Q2N7S1V0_25_CL36M35L12P_CLHLT_AXI_XPU3_RG15_CR2</t>
  </si>
  <si>
    <t>MPU32Q2N7S1V0_25_CL36M35L12P_CLHLT_AXI_XPU3_RG16_CR2</t>
  </si>
  <si>
    <t>00001898</t>
  </si>
  <si>
    <t>MPU32Q2N7S1V0_25_CL36M35L12P_CLHLT_AXI_XPU3_RG17_CR2</t>
  </si>
  <si>
    <t>00001918</t>
  </si>
  <si>
    <t>MPU32Q2N7S1V0_25_CL36M35L12P_CLHLT_AXI_XPU3_RG18_CR2</t>
  </si>
  <si>
    <t>00001998</t>
  </si>
  <si>
    <t>MPU32Q2N7S1V0_25_CL36M35L12P_CLHLT_AXI_XPU3_RG19_CR2</t>
  </si>
  <si>
    <t>MPU32Q2N7S1V0_25_CL36M35L12P_CLHLT_AXI_XPU3_RG20_CR2</t>
  </si>
  <si>
    <t>00001a98</t>
  </si>
  <si>
    <t>MPU32Q2N7S1V0_25_CL36M35L12P_CLHLT_AXI_XPU3_RG21_CR2</t>
  </si>
  <si>
    <t>00001b18</t>
  </si>
  <si>
    <t>MPU32Q2N7S1V0_25_CL36M35L12P_CLHLT_AXI_XPU3_RG22_CR2</t>
  </si>
  <si>
    <t>00001b98</t>
  </si>
  <si>
    <t>MPU32Q2N7S1V0_25_CL36M35L12P_CLHLT_AXI_XPU3_RG23_CR2</t>
  </si>
  <si>
    <t>MPU32Q2N7S1V0_25_CL36M35L12P_CLHLT_AXI_XPU3_RG24_CR2</t>
  </si>
  <si>
    <t>MPU32Q2N7S1V0_25_CL36M35L12P_CLHLT_AXI_XPU3_RG0_CR3</t>
  </si>
  <si>
    <t>0000109c</t>
  </si>
  <si>
    <t>MPU32Q2N7S1V0_25_CL36M35L12P_CLHLT_AXI_XPU3_RG1_CR3</t>
  </si>
  <si>
    <t>0000111c</t>
  </si>
  <si>
    <t>MPU32Q2N7S1V0_25_CL36M35L12P_CLHLT_AXI_XPU3_RG2_CR3</t>
  </si>
  <si>
    <t>0000119c</t>
  </si>
  <si>
    <t>MPU32Q2N7S1V0_25_CL36M35L12P_CLHLT_AXI_XPU3_RG3_CR3</t>
  </si>
  <si>
    <t>0000121c</t>
  </si>
  <si>
    <t>MPU32Q2N7S1V0_25_CL36M35L12P_CLHLT_AXI_XPU3_RG4_CR3</t>
  </si>
  <si>
    <t>0000129c</t>
  </si>
  <si>
    <t>MPU32Q2N7S1V0_25_CL36M35L12P_CLHLT_AXI_XPU3_RG5_CR3</t>
  </si>
  <si>
    <t>0000131c</t>
  </si>
  <si>
    <t>MPU32Q2N7S1V0_25_CL36M35L12P_CLHLT_AXI_XPU3_RG6_CR3</t>
  </si>
  <si>
    <t>0000139c</t>
  </si>
  <si>
    <t>MPU32Q2N7S1V0_25_CL36M35L12P_CLHLT_AXI_XPU3_RG7_CR3</t>
  </si>
  <si>
    <t>0000141c</t>
  </si>
  <si>
    <t>MPU32Q2N7S1V0_25_CL36M35L12P_CLHLT_AXI_XPU3_RG8_CR3</t>
  </si>
  <si>
    <t>0000149c</t>
  </si>
  <si>
    <t>MPU32Q2N7S1V0_25_CL36M35L12P_CLHLT_AXI_XPU3_RG9_CR3</t>
  </si>
  <si>
    <t>0000151c</t>
  </si>
  <si>
    <t>MPU32Q2N7S1V0_25_CL36M35L12P_CLHLT_AXI_XPU3_RG10_CR3</t>
  </si>
  <si>
    <t>0000159c</t>
  </si>
  <si>
    <t>MPU32Q2N7S1V0_25_CL36M35L12P_CLHLT_AXI_XPU3_RG11_CR3</t>
  </si>
  <si>
    <t>0000161c</t>
  </si>
  <si>
    <t>MPU32Q2N7S1V0_25_CL36M35L12P_CLHLT_AXI_XPU3_RG12_CR3</t>
  </si>
  <si>
    <t>0000169c</t>
  </si>
  <si>
    <t>MPU32Q2N7S1V0_25_CL36M35L12P_CLHLT_AXI_XPU3_RG13_CR3</t>
  </si>
  <si>
    <t>0000171c</t>
  </si>
  <si>
    <t>MPU32Q2N7S1V0_25_CL36M35L12P_CLHLT_AXI_XPU3_RG14_CR3</t>
  </si>
  <si>
    <t>0000179c</t>
  </si>
  <si>
    <t>MPU32Q2N7S1V0_25_CL36M35L12P_CLHLT_AXI_XPU3_RG15_CR3</t>
  </si>
  <si>
    <t>0000181c</t>
  </si>
  <si>
    <t>MPU32Q2N7S1V0_25_CL36M35L12P_CLHLT_AXI_XPU3_RG16_CR3</t>
  </si>
  <si>
    <t>0000189c</t>
  </si>
  <si>
    <t>MPU32Q2N7S1V0_25_CL36M35L12P_CLHLT_AXI_XPU3_RG17_CR3</t>
  </si>
  <si>
    <t>0000191c</t>
  </si>
  <si>
    <t>MPU32Q2N7S1V0_25_CL36M35L12P_CLHLT_AXI_XPU3_RG18_CR3</t>
  </si>
  <si>
    <t>0000199c</t>
  </si>
  <si>
    <t>MPU32Q2N7S1V0_25_CL36M35L12P_CLHLT_AXI_XPU3_RG19_CR3</t>
  </si>
  <si>
    <t>00001a1c</t>
  </si>
  <si>
    <t>MPU32Q2N7S1V0_25_CL36M35L12P_CLHLT_AXI_XPU3_RG20_CR3</t>
  </si>
  <si>
    <t>00001a9c</t>
  </si>
  <si>
    <t>MPU32Q2N7S1V0_25_CL36M35L12P_CLHLT_AXI_XPU3_RG21_CR3</t>
  </si>
  <si>
    <t>00001b1c</t>
  </si>
  <si>
    <t>MPU32Q2N7S1V0_25_CL36M35L12P_CLHLT_AXI_XPU3_RG22_CR3</t>
  </si>
  <si>
    <t>00001b9c</t>
  </si>
  <si>
    <t>MPU32Q2N7S1V0_25_CL36M35L12P_CLHLT_AXI_XPU3_RG23_CR3</t>
  </si>
  <si>
    <t>00001c1c</t>
  </si>
  <si>
    <t>MPU32Q2N7S1V0_25_CL36M35L12P_CLHLT_AXI_XPU3_RG24_CR3</t>
  </si>
  <si>
    <t>MPU32Q2N7S1V0_25_CL36M35L12P_CLHLT_AXI_XPU3_RG0_START0</t>
  </si>
  <si>
    <t>000010b0</t>
  </si>
  <si>
    <t>MPU32Q2N7S1V0_25_CL36M35L12P_CLHLT_AXI_XPU3_RG1_START0</t>
  </si>
  <si>
    <t>00001130</t>
  </si>
  <si>
    <t>MPU32Q2N7S1V0_25_CL36M35L12P_CLHLT_AXI_XPU3_RG2_START0</t>
  </si>
  <si>
    <t>000011b0</t>
  </si>
  <si>
    <t>MPU32Q2N7S1V0_25_CL36M35L12P_CLHLT_AXI_XPU3_RG3_START0</t>
  </si>
  <si>
    <t>00001230</t>
  </si>
  <si>
    <t>MPU32Q2N7S1V0_25_CL36M35L12P_CLHLT_AXI_XPU3_RG4_START0</t>
  </si>
  <si>
    <t>000012b0</t>
  </si>
  <si>
    <t>MPU32Q2N7S1V0_25_CL36M35L12P_CLHLT_AXI_XPU3_RG5_START0</t>
  </si>
  <si>
    <t>00001330</t>
  </si>
  <si>
    <t>MPU32Q2N7S1V0_25_CL36M35L12P_CLHLT_AXI_XPU3_RG6_START0</t>
  </si>
  <si>
    <t>000013b0</t>
  </si>
  <si>
    <t>MPU32Q2N7S1V0_25_CL36M35L12P_CLHLT_AXI_XPU3_RG7_START0</t>
  </si>
  <si>
    <t>00001430</t>
  </si>
  <si>
    <t>MPU32Q2N7S1V0_25_CL36M35L12P_CLHLT_AXI_XPU3_RG8_START0</t>
  </si>
  <si>
    <t>000014b0</t>
  </si>
  <si>
    <t>MPU32Q2N7S1V0_25_CL36M35L12P_CLHLT_AXI_XPU3_RG9_START0</t>
  </si>
  <si>
    <t>00001530</t>
  </si>
  <si>
    <t>MPU32Q2N7S1V0_25_CL36M35L12P_CLHLT_AXI_XPU3_RG10_START0</t>
  </si>
  <si>
    <t>000015b0</t>
  </si>
  <si>
    <t>MPU32Q2N7S1V0_25_CL36M35L12P_CLHLT_AXI_XPU3_RG11_START0</t>
  </si>
  <si>
    <t>00001630</t>
  </si>
  <si>
    <t>MPU32Q2N7S1V0_25_CL36M35L12P_CLHLT_AXI_XPU3_RG12_START0</t>
  </si>
  <si>
    <t>000016b0</t>
  </si>
  <si>
    <t>MPU32Q2N7S1V0_25_CL36M35L12P_CLHLT_AXI_XPU3_RG13_START0</t>
  </si>
  <si>
    <t>00001730</t>
  </si>
  <si>
    <t>MPU32Q2N7S1V0_25_CL36M35L12P_CLHLT_AXI_XPU3_RG14_START0</t>
  </si>
  <si>
    <t>000017b0</t>
  </si>
  <si>
    <t>MPU32Q2N7S1V0_25_CL36M35L12P_CLHLT_AXI_XPU3_RG15_START0</t>
  </si>
  <si>
    <t>00001830</t>
  </si>
  <si>
    <t>MPU32Q2N7S1V0_25_CL36M35L12P_CLHLT_AXI_XPU3_RG16_START0</t>
  </si>
  <si>
    <t>000018b0</t>
  </si>
  <si>
    <t>MPU32Q2N7S1V0_25_CL36M35L12P_CLHLT_AXI_XPU3_RG17_START0</t>
  </si>
  <si>
    <t>00001930</t>
  </si>
  <si>
    <t>MPU32Q2N7S1V0_25_CL36M35L12P_CLHLT_AXI_XPU3_RG18_START0</t>
  </si>
  <si>
    <t>000019b0</t>
  </si>
  <si>
    <t>MPU32Q2N7S1V0_25_CL36M35L12P_CLHLT_AXI_XPU3_RG19_START0</t>
  </si>
  <si>
    <t>00001a30</t>
  </si>
  <si>
    <t>MPU32Q2N7S1V0_25_CL36M35L12P_CLHLT_AXI_XPU3_RG20_START0</t>
  </si>
  <si>
    <t>00001ab0</t>
  </si>
  <si>
    <t>MPU32Q2N7S1V0_25_CL36M35L12P_CLHLT_AXI_XPU3_RG21_START0</t>
  </si>
  <si>
    <t>00001b30</t>
  </si>
  <si>
    <t>MPU32Q2N7S1V0_25_CL36M35L12P_CLHLT_AXI_XPU3_RG22_START0</t>
  </si>
  <si>
    <t>00001bb0</t>
  </si>
  <si>
    <t>MPU32Q2N7S1V0_25_CL36M35L12P_CLHLT_AXI_XPU3_RG23_START0</t>
  </si>
  <si>
    <t>00001c30</t>
  </si>
  <si>
    <t>MPU32Q2N7S1V0_25_CL36M35L12P_CLHLT_AXI_XPU3_RG24_START0</t>
  </si>
  <si>
    <t>MPU32Q2N7S1V0_25_CL36M35L12P_CLHLT_AXI_XPU3_RG0_START1</t>
  </si>
  <si>
    <t>000010b4</t>
  </si>
  <si>
    <t>MPU32Q2N7S1V0_25_CL36M35L12P_CLHLT_AXI_XPU3_RG1_START1</t>
  </si>
  <si>
    <t>00001134</t>
  </si>
  <si>
    <t>MPU32Q2N7S1V0_25_CL36M35L12P_CLHLT_AXI_XPU3_RG2_START1</t>
  </si>
  <si>
    <t>000011b4</t>
  </si>
  <si>
    <t>MPU32Q2N7S1V0_25_CL36M35L12P_CLHLT_AXI_XPU3_RG3_START1</t>
  </si>
  <si>
    <t>00001234</t>
  </si>
  <si>
    <t>MPU32Q2N7S1V0_25_CL36M35L12P_CLHLT_AXI_XPU3_RG4_START1</t>
  </si>
  <si>
    <t>000012b4</t>
  </si>
  <si>
    <t>MPU32Q2N7S1V0_25_CL36M35L12P_CLHLT_AXI_XPU3_RG5_START1</t>
  </si>
  <si>
    <t>00001334</t>
  </si>
  <si>
    <t>MPU32Q2N7S1V0_25_CL36M35L12P_CLHLT_AXI_XPU3_RG6_START1</t>
  </si>
  <si>
    <t>000013b4</t>
  </si>
  <si>
    <t>MPU32Q2N7S1V0_25_CL36M35L12P_CLHLT_AXI_XPU3_RG7_START1</t>
  </si>
  <si>
    <t>00001434</t>
  </si>
  <si>
    <t>MPU32Q2N7S1V0_25_CL36M35L12P_CLHLT_AXI_XPU3_RG8_START1</t>
  </si>
  <si>
    <t>000014b4</t>
  </si>
  <si>
    <t>MPU32Q2N7S1V0_25_CL36M35L12P_CLHLT_AXI_XPU3_RG9_START1</t>
  </si>
  <si>
    <t>00001534</t>
  </si>
  <si>
    <t>MPU32Q2N7S1V0_25_CL36M35L12P_CLHLT_AXI_XPU3_RG10_START1</t>
  </si>
  <si>
    <t>000015b4</t>
  </si>
  <si>
    <t>MPU32Q2N7S1V0_25_CL36M35L12P_CLHLT_AXI_XPU3_RG11_START1</t>
  </si>
  <si>
    <t>00001634</t>
  </si>
  <si>
    <t>MPU32Q2N7S1V0_25_CL36M35L12P_CLHLT_AXI_XPU3_RG12_START1</t>
  </si>
  <si>
    <t>000016b4</t>
  </si>
  <si>
    <t>MPU32Q2N7S1V0_25_CL36M35L12P_CLHLT_AXI_XPU3_RG13_START1</t>
  </si>
  <si>
    <t>00001734</t>
  </si>
  <si>
    <t>MPU32Q2N7S1V0_25_CL36M35L12P_CLHLT_AXI_XPU3_RG14_START1</t>
  </si>
  <si>
    <t>000017b4</t>
  </si>
  <si>
    <t>MPU32Q2N7S1V0_25_CL36M35L12P_CLHLT_AXI_XPU3_RG15_START1</t>
  </si>
  <si>
    <t>00001834</t>
  </si>
  <si>
    <t>MPU32Q2N7S1V0_25_CL36M35L12P_CLHLT_AXI_XPU3_RG16_START1</t>
  </si>
  <si>
    <t>000018b4</t>
  </si>
  <si>
    <t>MPU32Q2N7S1V0_25_CL36M35L12P_CLHLT_AXI_XPU3_RG17_START1</t>
  </si>
  <si>
    <t>00001934</t>
  </si>
  <si>
    <t>MPU32Q2N7S1V0_25_CL36M35L12P_CLHLT_AXI_XPU3_RG18_START1</t>
  </si>
  <si>
    <t>000019b4</t>
  </si>
  <si>
    <t>MPU32Q2N7S1V0_25_CL36M35L12P_CLHLT_AXI_XPU3_RG19_START1</t>
  </si>
  <si>
    <t>00001a34</t>
  </si>
  <si>
    <t>MPU32Q2N7S1V0_25_CL36M35L12P_CLHLT_AXI_XPU3_RG20_START1</t>
  </si>
  <si>
    <t>00001ab4</t>
  </si>
  <si>
    <t>MPU32Q2N7S1V0_25_CL36M35L12P_CLHLT_AXI_XPU3_RG21_START1</t>
  </si>
  <si>
    <t>00001b34</t>
  </si>
  <si>
    <t>MPU32Q2N7S1V0_25_CL36M35L12P_CLHLT_AXI_XPU3_RG22_START1</t>
  </si>
  <si>
    <t>00001bb4</t>
  </si>
  <si>
    <t>MPU32Q2N7S1V0_25_CL36M35L12P_CLHLT_AXI_XPU3_RG23_START1</t>
  </si>
  <si>
    <t>00001c34</t>
  </si>
  <si>
    <t>MPU32Q2N7S1V0_25_CL36M35L12P_CLHLT_AXI_XPU3_RG24_START1</t>
  </si>
  <si>
    <t>MPU32Q2N7S1V0_25_CL36M35L12P_CLHLT_AXI_XPU3_RG0_END0</t>
  </si>
  <si>
    <t>000010b8</t>
  </si>
  <si>
    <t>MPU32Q2N7S1V0_25_CL36M35L12P_CLHLT_AXI_XPU3_RG1_END0</t>
  </si>
  <si>
    <t>MPU32Q2N7S1V0_25_CL36M35L12P_CLHLT_AXI_XPU3_RG2_END0</t>
  </si>
  <si>
    <t>000011b8</t>
  </si>
  <si>
    <t>MPU32Q2N7S1V0_25_CL36M35L12P_CLHLT_AXI_XPU3_RG3_END0</t>
  </si>
  <si>
    <t>00001238</t>
  </si>
  <si>
    <t>MPU32Q2N7S1V0_25_CL36M35L12P_CLHLT_AXI_XPU3_RG4_END0</t>
  </si>
  <si>
    <t>000012b8</t>
  </si>
  <si>
    <t>MPU32Q2N7S1V0_25_CL36M35L12P_CLHLT_AXI_XPU3_RG5_END0</t>
  </si>
  <si>
    <t>MPU32Q2N7S1V0_25_CL36M35L12P_CLHLT_AXI_XPU3_RG6_END0</t>
  </si>
  <si>
    <t>000013b8</t>
  </si>
  <si>
    <t>MPU32Q2N7S1V0_25_CL36M35L12P_CLHLT_AXI_XPU3_RG7_END0</t>
  </si>
  <si>
    <t>00001438</t>
  </si>
  <si>
    <t>MPU32Q2N7S1V0_25_CL36M35L12P_CLHLT_AXI_XPU3_RG8_END0</t>
  </si>
  <si>
    <t>000014b8</t>
  </si>
  <si>
    <t>MPU32Q2N7S1V0_25_CL36M35L12P_CLHLT_AXI_XPU3_RG9_END0</t>
  </si>
  <si>
    <t>MPU32Q2N7S1V0_25_CL36M35L12P_CLHLT_AXI_XPU3_RG10_END0</t>
  </si>
  <si>
    <t>000015b8</t>
  </si>
  <si>
    <t>MPU32Q2N7S1V0_25_CL36M35L12P_CLHLT_AXI_XPU3_RG11_END0</t>
  </si>
  <si>
    <t>00001638</t>
  </si>
  <si>
    <t>MPU32Q2N7S1V0_25_CL36M35L12P_CLHLT_AXI_XPU3_RG12_END0</t>
  </si>
  <si>
    <t>000016b8</t>
  </si>
  <si>
    <t>MPU32Q2N7S1V0_25_CL36M35L12P_CLHLT_AXI_XPU3_RG13_END0</t>
  </si>
  <si>
    <t>MPU32Q2N7S1V0_25_CL36M35L12P_CLHLT_AXI_XPU3_RG14_END0</t>
  </si>
  <si>
    <t>000017b8</t>
  </si>
  <si>
    <t>MPU32Q2N7S1V0_25_CL36M35L12P_CLHLT_AXI_XPU3_RG15_END0</t>
  </si>
  <si>
    <t>00001838</t>
  </si>
  <si>
    <t>MPU32Q2N7S1V0_25_CL36M35L12P_CLHLT_AXI_XPU3_RG16_END0</t>
  </si>
  <si>
    <t>000018b8</t>
  </si>
  <si>
    <t>MPU32Q2N7S1V0_25_CL36M35L12P_CLHLT_AXI_XPU3_RG17_END0</t>
  </si>
  <si>
    <t>MPU32Q2N7S1V0_25_CL36M35L12P_CLHLT_AXI_XPU3_RG18_END0</t>
  </si>
  <si>
    <t>000019b8</t>
  </si>
  <si>
    <t>MPU32Q2N7S1V0_25_CL36M35L12P_CLHLT_AXI_XPU3_RG19_END0</t>
  </si>
  <si>
    <t>00001a38</t>
  </si>
  <si>
    <t>MPU32Q2N7S1V0_25_CL36M35L12P_CLHLT_AXI_XPU3_RG20_END0</t>
  </si>
  <si>
    <t>00001ab8</t>
  </si>
  <si>
    <t>MPU32Q2N7S1V0_25_CL36M35L12P_CLHLT_AXI_XPU3_RG21_END0</t>
  </si>
  <si>
    <t>MPU32Q2N7S1V0_25_CL36M35L12P_CLHLT_AXI_XPU3_RG22_END0</t>
  </si>
  <si>
    <t>00001bb8</t>
  </si>
  <si>
    <t>MPU32Q2N7S1V0_25_CL36M35L12P_CLHLT_AXI_XPU3_RG23_END0</t>
  </si>
  <si>
    <t>00001c38</t>
  </si>
  <si>
    <t>MPU32Q2N7S1V0_25_CL36M35L12P_CLHLT_AXI_XPU3_RG24_END0</t>
  </si>
  <si>
    <t>MPU32Q2N7S1V0_25_CL36M35L12P_CLHLT_AXI_XPU3_RG0_END1</t>
  </si>
  <si>
    <t>000010bc</t>
  </si>
  <si>
    <t>MPU32Q2N7S1V0_25_CL36M35L12P_CLHLT_AXI_XPU3_RG1_END1</t>
  </si>
  <si>
    <t>0000113c</t>
  </si>
  <si>
    <t>MPU32Q2N7S1V0_25_CL36M35L12P_CLHLT_AXI_XPU3_RG2_END1</t>
  </si>
  <si>
    <t>000011bc</t>
  </si>
  <si>
    <t>MPU32Q2N7S1V0_25_CL36M35L12P_CLHLT_AXI_XPU3_RG3_END1</t>
  </si>
  <si>
    <t>0000123c</t>
  </si>
  <si>
    <t>MPU32Q2N7S1V0_25_CL36M35L12P_CLHLT_AXI_XPU3_RG4_END1</t>
  </si>
  <si>
    <t>000012bc</t>
  </si>
  <si>
    <t>MPU32Q2N7S1V0_25_CL36M35L12P_CLHLT_AXI_XPU3_RG5_END1</t>
  </si>
  <si>
    <t>0000133c</t>
  </si>
  <si>
    <t>MPU32Q2N7S1V0_25_CL36M35L12P_CLHLT_AXI_XPU3_RG6_END1</t>
  </si>
  <si>
    <t>000013bc</t>
  </si>
  <si>
    <t>MPU32Q2N7S1V0_25_CL36M35L12P_CLHLT_AXI_XPU3_RG7_END1</t>
  </si>
  <si>
    <t>0000143c</t>
  </si>
  <si>
    <t>MPU32Q2N7S1V0_25_CL36M35L12P_CLHLT_AXI_XPU3_RG8_END1</t>
  </si>
  <si>
    <t>000014bc</t>
  </si>
  <si>
    <t>MPU32Q2N7S1V0_25_CL36M35L12P_CLHLT_AXI_XPU3_RG9_END1</t>
  </si>
  <si>
    <t>0000153c</t>
  </si>
  <si>
    <t>MPU32Q2N7S1V0_25_CL36M35L12P_CLHLT_AXI_XPU3_RG10_END1</t>
  </si>
  <si>
    <t>000015bc</t>
  </si>
  <si>
    <t>MPU32Q2N7S1V0_25_CL36M35L12P_CLHLT_AXI_XPU3_RG11_END1</t>
  </si>
  <si>
    <t>0000163c</t>
  </si>
  <si>
    <t>MPU32Q2N7S1V0_25_CL36M35L12P_CLHLT_AXI_XPU3_RG12_END1</t>
  </si>
  <si>
    <t>000016bc</t>
  </si>
  <si>
    <t>MPU32Q2N7S1V0_25_CL36M35L12P_CLHLT_AXI_XPU3_RG13_END1</t>
  </si>
  <si>
    <t>0000173c</t>
  </si>
  <si>
    <t>MPU32Q2N7S1V0_25_CL36M35L12P_CLHLT_AXI_XPU3_RG14_END1</t>
  </si>
  <si>
    <t>000017bc</t>
  </si>
  <si>
    <t>MPU32Q2N7S1V0_25_CL36M35L12P_CLHLT_AXI_XPU3_RG15_END1</t>
  </si>
  <si>
    <t>0000183c</t>
  </si>
  <si>
    <t>MPU32Q2N7S1V0_25_CL36M35L12P_CLHLT_AXI_XPU3_RG16_END1</t>
  </si>
  <si>
    <t>000018bc</t>
  </si>
  <si>
    <t>MPU32Q2N7S1V0_25_CL36M35L12P_CLHLT_AXI_XPU3_RG17_END1</t>
  </si>
  <si>
    <t>0000193c</t>
  </si>
  <si>
    <t>MPU32Q2N7S1V0_25_CL36M35L12P_CLHLT_AXI_XPU3_RG18_END1</t>
  </si>
  <si>
    <t>000019bc</t>
  </si>
  <si>
    <t>MPU32Q2N7S1V0_25_CL36M35L12P_CLHLT_AXI_XPU3_RG19_END1</t>
  </si>
  <si>
    <t>00001a3c</t>
  </si>
  <si>
    <t>MPU32Q2N7S1V0_25_CL36M35L12P_CLHLT_AXI_XPU3_RG20_END1</t>
  </si>
  <si>
    <t>00001abc</t>
  </si>
  <si>
    <t>MPU32Q2N7S1V0_25_CL36M35L12P_CLHLT_AXI_XPU3_RG21_END1</t>
  </si>
  <si>
    <t>00001b3c</t>
  </si>
  <si>
    <t>MPU32Q2N7S1V0_25_CL36M35L12P_CLHLT_AXI_XPU3_RG22_END1</t>
  </si>
  <si>
    <t>00001bbc</t>
  </si>
  <si>
    <t>MPU32Q2N7S1V0_25_CL36M35L12P_CLHLT_AXI_XPU3_RG23_END1</t>
  </si>
  <si>
    <t>00001c3c</t>
  </si>
  <si>
    <t>MPU32Q2N7S1V0_25_CL36M35L12P_CLHLT_AXI_XPU3_RG24_END1</t>
  </si>
  <si>
    <t>DTTS_CSR_HW_INFO</t>
  </si>
  <si>
    <t>DTTS_CSR_HW_VERSION</t>
  </si>
  <si>
    <t>DTTS_CSR_PXI_RDWR_LATENCY</t>
  </si>
  <si>
    <t>DTTS_CSR_PXI_CLK_ON</t>
  </si>
  <si>
    <t>DTTS_CSR_PXI_SEL</t>
  </si>
  <si>
    <t>DTTS_CSR_PXI_OPCODE_SEL</t>
  </si>
  <si>
    <t>DTTS_CSR_PXI_CTL</t>
  </si>
  <si>
    <t>DTTS_CSR_PXI_WR_START_ADDR</t>
  </si>
  <si>
    <t>DTTS_CSR_PXI_RD_START_ADDR</t>
  </si>
  <si>
    <t>DTTS_CSR_PXI_STATUS</t>
  </si>
  <si>
    <t>DTTS_CSR_PXI_CAOP_STATUS</t>
  </si>
  <si>
    <t>DTTS_CSR_PXI_CAWD_STATUS</t>
  </si>
  <si>
    <t>DTTS_CSR_PXI_DQOP_STATUS</t>
  </si>
  <si>
    <t>DTTS_CSR_PXI_DQWD_STATUS</t>
  </si>
  <si>
    <t>DTTS_CSR_PXI_DQRD_STATUS</t>
  </si>
  <si>
    <t>DTTS_CSR_PXI_CGC_CFG</t>
  </si>
  <si>
    <t>DTTS_CSR_PXI_STATUS_TRACK_CTRL</t>
  </si>
  <si>
    <t>DTTS_CSR_PXI_FIFO_CAOP_STATUS</t>
  </si>
  <si>
    <t>DTTS_CSR_PXI_FIFO_CAWD_STATUS</t>
  </si>
  <si>
    <t>DTTS_CSR_PXI_FIFO_DQOP_STATUS</t>
  </si>
  <si>
    <t>DTTS_CSR_PXI_FIFO_DQWD_STATUS</t>
  </si>
  <si>
    <t>DTTS_CSR_PXI_FIFO_DQRD_STATUS</t>
  </si>
  <si>
    <t>DTTS_CSR_PXI_MSI_FIFO_STATUS</t>
  </si>
  <si>
    <t>DTTS_CSR_PXI_GPIO_CTRL</t>
  </si>
  <si>
    <t>DTTS_CSR_PXI_GPIO_MASK</t>
  </si>
  <si>
    <t>DTTS_CSR_PXI_RD_BEAT_STATUS</t>
  </si>
  <si>
    <t>DTTS_CSR_PXI_RD_BEAT_CNTL</t>
  </si>
  <si>
    <t>DTTS_CSR_PXI_MISR_CNTL</t>
  </si>
  <si>
    <t>DTTS_CSR_PXI_MISR_SEED_LSB</t>
  </si>
  <si>
    <t>DTTS_CSR_PXI_MISR_SEED_MSB</t>
  </si>
  <si>
    <t>DTTS_CSR_PXI_MISR_STATUS_LSB</t>
  </si>
  <si>
    <t>DTTS_CSR_PXI_MISR_STATUS_MSB</t>
  </si>
  <si>
    <t>DTTS_CSR_PXI_RD_PATH_CTRL</t>
  </si>
  <si>
    <t>DTTS_CSR_PXI_ALIGN_MUX_MODE_CTRL</t>
  </si>
  <si>
    <t>DTTS_CSR_PXI_ALU_0_CTRL</t>
  </si>
  <si>
    <t>DTTS_CSR_PXI_ALU_1_CTRL</t>
  </si>
  <si>
    <t>DTTS_CSR_PXI_ALU_0_VALUE</t>
  </si>
  <si>
    <t>DTTS_CSR_PXI_ALU_1_VALUE</t>
  </si>
  <si>
    <t>DTTS_RAM_PXI_CAOP_0_PAYLOAD</t>
  </si>
  <si>
    <t>DTTS_RAM_PXI_CAOP_1_PAYLOAD</t>
  </si>
  <si>
    <t>DTTS_RAM_PXI_CAOP_2_PAYLOAD</t>
  </si>
  <si>
    <t>DTTS_RAM_PXI_CAOP_3_PAYLOAD</t>
  </si>
  <si>
    <t>DTTS_RAM_PXI_CAOP_4_PAYLOAD</t>
  </si>
  <si>
    <t>DTTS_RAM_PXI_CAOP_5_PAYLOAD</t>
  </si>
  <si>
    <t>DTTS_RAM_PXI_CAOP_6_PAYLOAD</t>
  </si>
  <si>
    <t>DTTS_RAM_PXI_CAOP_7_PAYLOAD</t>
  </si>
  <si>
    <t>DTTS_RAM_PXI_CAOP_8_PAYLOAD</t>
  </si>
  <si>
    <t>DTTS_RAM_PXI_CAOP_9_PAYLOAD</t>
  </si>
  <si>
    <t>DTTS_RAM_PXI_CAOP_10_PAYLOAD</t>
  </si>
  <si>
    <t>DTTS_RAM_PXI_CAOP_11_PAYLOAD</t>
  </si>
  <si>
    <t>DTTS_RAM_PXI_CAOP_12_PAYLOAD</t>
  </si>
  <si>
    <t>DTTS_RAM_PXI_CAOP_13_PAYLOAD</t>
  </si>
  <si>
    <t>DTTS_RAM_PXI_CAOP_14_PAYLOAD</t>
  </si>
  <si>
    <t>DTTS_RAM_PXI_CAOP_15_PAYLOAD</t>
  </si>
  <si>
    <t>DTTS_RAM_PXI_CAOP_16_PAYLOAD</t>
  </si>
  <si>
    <t>DTTS_RAM_PXI_CAOP_17_PAYLOAD</t>
  </si>
  <si>
    <t>DTTS_RAM_PXI_CAOP_18_PAYLOAD</t>
  </si>
  <si>
    <t>DTTS_RAM_PXI_CAOP_19_PAYLOAD</t>
  </si>
  <si>
    <t>DTTS_RAM_PXI_CAOP_20_PAYLOAD</t>
  </si>
  <si>
    <t>DTTS_RAM_PXI_CAOP_21_PAYLOAD</t>
  </si>
  <si>
    <t>DTTS_RAM_PXI_CAOP_22_PAYLOAD</t>
  </si>
  <si>
    <t>DTTS_RAM_PXI_CAOP_23_PAYLOAD</t>
  </si>
  <si>
    <t>DTTS_RAM_PXI_CAOP_24_PAYLOAD</t>
  </si>
  <si>
    <t>DTTS_RAM_PXI_CAOP_25_PAYLOAD</t>
  </si>
  <si>
    <t>DTTS_RAM_PXI_CAOP_26_PAYLOAD</t>
  </si>
  <si>
    <t>DTTS_RAM_PXI_CAOP_27_PAYLOAD</t>
  </si>
  <si>
    <t>DTTS_RAM_PXI_CAOP_28_PAYLOAD</t>
  </si>
  <si>
    <t>DTTS_RAM_PXI_CAOP_29_PAYLOAD</t>
  </si>
  <si>
    <t>DTTS_RAM_PXI_CAOP_30_PAYLOAD</t>
  </si>
  <si>
    <t>DTTS_RAM_PXI_CAOP_31_PAYLOAD</t>
  </si>
  <si>
    <t>DTTS_RAM_PXI_CAOP_0_TASK</t>
  </si>
  <si>
    <t>DTTS_RAM_PXI_CAOP_1_TASK</t>
  </si>
  <si>
    <t>DTTS_RAM_PXI_CAOP_2_TASK</t>
  </si>
  <si>
    <t>DTTS_RAM_PXI_CAOP_3_TASK</t>
  </si>
  <si>
    <t>DTTS_RAM_PXI_CAOP_4_TASK</t>
  </si>
  <si>
    <t>DTTS_RAM_PXI_CAOP_5_TASK</t>
  </si>
  <si>
    <t>DTTS_RAM_PXI_CAOP_6_TASK</t>
  </si>
  <si>
    <t>DTTS_RAM_PXI_CAOP_7_TASK</t>
  </si>
  <si>
    <t>DTTS_RAM_PXI_CAOP_8_TASK</t>
  </si>
  <si>
    <t>DTTS_RAM_PXI_CAOP_9_TASK</t>
  </si>
  <si>
    <t>DTTS_RAM_PXI_CAOP_10_TASK</t>
  </si>
  <si>
    <t>DTTS_RAM_PXI_CAOP_11_TASK</t>
  </si>
  <si>
    <t>DTTS_RAM_PXI_CAOP_12_TASK</t>
  </si>
  <si>
    <t>DTTS_RAM_PXI_CAOP_13_TASK</t>
  </si>
  <si>
    <t>DTTS_RAM_PXI_CAOP_14_TASK</t>
  </si>
  <si>
    <t>DTTS_RAM_PXI_CAOP_15_TASK</t>
  </si>
  <si>
    <t>DTTS_RAM_PXI_CAOP_16_TASK</t>
  </si>
  <si>
    <t>DTTS_RAM_PXI_CAOP_17_TASK</t>
  </si>
  <si>
    <t>DTTS_RAM_PXI_CAOP_18_TASK</t>
  </si>
  <si>
    <t>DTTS_RAM_PXI_CAOP_19_TASK</t>
  </si>
  <si>
    <t>DTTS_RAM_PXI_CAOP_20_TASK</t>
  </si>
  <si>
    <t>DTTS_RAM_PXI_CAOP_21_TASK</t>
  </si>
  <si>
    <t>DTTS_RAM_PXI_CAOP_22_TASK</t>
  </si>
  <si>
    <t>DTTS_RAM_PXI_CAOP_23_TASK</t>
  </si>
  <si>
    <t>DTTS_RAM_PXI_CAOP_24_TASK</t>
  </si>
  <si>
    <t>DTTS_RAM_PXI_CAOP_25_TASK</t>
  </si>
  <si>
    <t>DTTS_RAM_PXI_CAOP_26_TASK</t>
  </si>
  <si>
    <t>DTTS_RAM_PXI_CAOP_27_TASK</t>
  </si>
  <si>
    <t>DTTS_RAM_PXI_CAOP_28_TASK</t>
  </si>
  <si>
    <t>DTTS_RAM_PXI_CAOP_29_TASK</t>
  </si>
  <si>
    <t>DTTS_RAM_PXI_CAOP_30_TASK</t>
  </si>
  <si>
    <t>DTTS_RAM_PXI_CAOP_31_TASK</t>
  </si>
  <si>
    <t>DTTS_RAM_PXI_CAOP_0_GPR</t>
  </si>
  <si>
    <t>DTTS_RAM_PXI_CAOP_1_GPR</t>
  </si>
  <si>
    <t>DTTS_RAM_PXI_CAOP_2_GPR</t>
  </si>
  <si>
    <t>DTTS_RAM_PXI_CAOP_3_GPR</t>
  </si>
  <si>
    <t>DTTS_RAM_PXI_CAOP_0_DATA</t>
  </si>
  <si>
    <t>DTTS_RAM_PXI_CAOP_1_DATA</t>
  </si>
  <si>
    <t>DTTS_RAM_PXI_CAOP_2_DATA</t>
  </si>
  <si>
    <t>DTTS_RAM_PXI_CAOP_3_DATA</t>
  </si>
  <si>
    <t>DTTS_RAM_PXI_CAOP_4_DATA</t>
  </si>
  <si>
    <t>DTTS_RAM_PXI_CAOP_5_DATA</t>
  </si>
  <si>
    <t>DTTS_RAM_PXI_CAOP_6_DATA</t>
  </si>
  <si>
    <t>DTTS_RAM_PXI_CAOP_7_DATA</t>
  </si>
  <si>
    <t>DTTS_RAM_PXI_CAOP_8_DATA</t>
  </si>
  <si>
    <t>000001a4</t>
  </si>
  <si>
    <t>DTTS_RAM_PXI_CAOP_9_DATA</t>
  </si>
  <si>
    <t>000001a8</t>
  </si>
  <si>
    <t>DTTS_RAM_PXI_CAOP_10_DATA</t>
  </si>
  <si>
    <t>000001ac</t>
  </si>
  <si>
    <t>DTTS_RAM_PXI_CAOP_11_DATA</t>
  </si>
  <si>
    <t>DTTS_RAM_PXI_CAOP_12_DATA</t>
  </si>
  <si>
    <t>DTTS_RAM_PXI_CAOP_13_DATA</t>
  </si>
  <si>
    <t>DTTS_RAM_PXI_CAOP_14_DATA</t>
  </si>
  <si>
    <t>DTTS_RAM_PXI_CAOP_15_DATA</t>
  </si>
  <si>
    <t>DTTS_RAM_PXI_CAOP_16_DATA</t>
  </si>
  <si>
    <t>DTTS_RAM_PXI_CAOP_17_DATA</t>
  </si>
  <si>
    <t>DTTS_RAM_PXI_CAOP_18_DATA</t>
  </si>
  <si>
    <t>DTTS_RAM_PXI_CAOP_19_DATA</t>
  </si>
  <si>
    <t>DTTS_RAM_PXI_CAOP_20_DATA</t>
  </si>
  <si>
    <t>DTTS_RAM_PXI_CAOP_21_DATA</t>
  </si>
  <si>
    <t>DTTS_RAM_PXI_CAOP_22_DATA</t>
  </si>
  <si>
    <t>DTTS_RAM_PXI_CAOP_23_DATA</t>
  </si>
  <si>
    <t>DTTS_RAM_PXI_CAOP_24_DATA</t>
  </si>
  <si>
    <t>DTTS_RAM_PXI_CAOP_25_DATA</t>
  </si>
  <si>
    <t>DTTS_RAM_PXI_CAOP_26_DATA</t>
  </si>
  <si>
    <t>DTTS_RAM_PXI_CAOP_27_DATA</t>
  </si>
  <si>
    <t>DTTS_RAM_PXI_CAOP_28_DATA</t>
  </si>
  <si>
    <t>000001f4</t>
  </si>
  <si>
    <t>DTTS_RAM_PXI_CAOP_29_DATA</t>
  </si>
  <si>
    <t>000001f8</t>
  </si>
  <si>
    <t>DTTS_RAM_PXI_CAOP_30_DATA</t>
  </si>
  <si>
    <t>000001fc</t>
  </si>
  <si>
    <t>DTTS_RAM_PXI_CAOP_31_DATA</t>
  </si>
  <si>
    <t>DTTS_RAM_PXI_CADATA_0_PAYLOAD</t>
  </si>
  <si>
    <t>DTTS_RAM_PXI_CADATA_1_PAYLOAD</t>
  </si>
  <si>
    <t>DTTS_RAM_PXI_CADATA_2_PAYLOAD</t>
  </si>
  <si>
    <t>DTTS_RAM_PXI_CADATA_3_PAYLOAD</t>
  </si>
  <si>
    <t>DTTS_RAM_PXI_CADATA_4_PAYLOAD</t>
  </si>
  <si>
    <t>DTTS_RAM_PXI_CADATA_5_PAYLOAD</t>
  </si>
  <si>
    <t>DTTS_RAM_PXI_CADATA_6_PAYLOAD</t>
  </si>
  <si>
    <t>DTTS_RAM_PXI_CADATA_7_PAYLOAD</t>
  </si>
  <si>
    <t>DTTS_RAM_PXI_CADATA_8_PAYLOAD</t>
  </si>
  <si>
    <t>DTTS_RAM_PXI_CADATA_9_PAYLOAD</t>
  </si>
  <si>
    <t>DTTS_RAM_PXI_CADATA_10_PAYLOAD</t>
  </si>
  <si>
    <t>DTTS_RAM_PXI_CADATA_11_PAYLOAD</t>
  </si>
  <si>
    <t>DTTS_RAM_PXI_CADATA_12_PAYLOAD</t>
  </si>
  <si>
    <t>DTTS_RAM_PXI_CADATA_13_PAYLOAD</t>
  </si>
  <si>
    <t>DTTS_RAM_PXI_CADATA_14_PAYLOAD</t>
  </si>
  <si>
    <t>DTTS_RAM_PXI_CADATA_15_PAYLOAD</t>
  </si>
  <si>
    <t>DTTS_RAM_PXI_CADATA_16_PAYLOAD</t>
  </si>
  <si>
    <t>DTTS_RAM_PXI_CADATA_17_PAYLOAD</t>
  </si>
  <si>
    <t>DTTS_RAM_PXI_CADATA_18_PAYLOAD</t>
  </si>
  <si>
    <t>DTTS_RAM_PXI_CADATA_19_PAYLOAD</t>
  </si>
  <si>
    <t>DTTS_RAM_PXI_CADATA_20_PAYLOAD</t>
  </si>
  <si>
    <t>DTTS_RAM_PXI_CADATA_21_PAYLOAD</t>
  </si>
  <si>
    <t>DTTS_RAM_PXI_CADATA_22_PAYLOAD</t>
  </si>
  <si>
    <t>DTTS_RAM_PXI_CADATA_23_PAYLOAD</t>
  </si>
  <si>
    <t>DTTS_RAM_PXI_CADATA_24_PAYLOAD</t>
  </si>
  <si>
    <t>DTTS_RAM_PXI_CADATA_25_PAYLOAD</t>
  </si>
  <si>
    <t>DTTS_RAM_PXI_CADATA_26_PAYLOAD</t>
  </si>
  <si>
    <t>DTTS_RAM_PXI_CADATA_27_PAYLOAD</t>
  </si>
  <si>
    <t>DTTS_RAM_PXI_CADATA_28_PAYLOAD</t>
  </si>
  <si>
    <t>DTTS_RAM_PXI_CADATA_29_PAYLOAD</t>
  </si>
  <si>
    <t>DTTS_RAM_PXI_CADATA_30_PAYLOAD</t>
  </si>
  <si>
    <t>0000027c</t>
  </si>
  <si>
    <t>DTTS_RAM_PXI_CADATA_31_PAYLOAD</t>
  </si>
  <si>
    <t>DTTS_RAM_PXI_CADATA_0_TASK</t>
  </si>
  <si>
    <t>DTTS_RAM_PXI_CADATA_1_TASK</t>
  </si>
  <si>
    <t>DTTS_RAM_PXI_CADATA_2_TASK</t>
  </si>
  <si>
    <t>DTTS_RAM_PXI_CADATA_3_TASK</t>
  </si>
  <si>
    <t>DTTS_RAM_PXI_CADATA_4_TASK</t>
  </si>
  <si>
    <t>DTTS_RAM_PXI_CADATA_5_TASK</t>
  </si>
  <si>
    <t>DTTS_RAM_PXI_CADATA_6_TASK</t>
  </si>
  <si>
    <t>DTTS_RAM_PXI_CADATA_7_TASK</t>
  </si>
  <si>
    <t>DTTS_RAM_PXI_CADATA_8_TASK</t>
  </si>
  <si>
    <t>000002a4</t>
  </si>
  <si>
    <t>DTTS_RAM_PXI_CADATA_9_TASK</t>
  </si>
  <si>
    <t>000002a8</t>
  </si>
  <si>
    <t>DTTS_RAM_PXI_CADATA_10_TASK</t>
  </si>
  <si>
    <t>000002ac</t>
  </si>
  <si>
    <t>DTTS_RAM_PXI_CADATA_11_TASK</t>
  </si>
  <si>
    <t>DTTS_RAM_PXI_CADATA_12_TASK</t>
  </si>
  <si>
    <t>DTTS_RAM_PXI_CADATA_13_TASK</t>
  </si>
  <si>
    <t>DTTS_RAM_PXI_CADATA_14_TASK</t>
  </si>
  <si>
    <t>000002bc</t>
  </si>
  <si>
    <t>DTTS_RAM_PXI_CADATA_15_TASK</t>
  </si>
  <si>
    <t>000002c0</t>
  </si>
  <si>
    <t>DTTS_RAM_PXI_CADATA_16_TASK</t>
  </si>
  <si>
    <t>000002c4</t>
  </si>
  <si>
    <t>DTTS_RAM_PXI_CADATA_17_TASK</t>
  </si>
  <si>
    <t>000002c8</t>
  </si>
  <si>
    <t>DTTS_RAM_PXI_CADATA_18_TASK</t>
  </si>
  <si>
    <t>000002cc</t>
  </si>
  <si>
    <t>DTTS_RAM_PXI_CADATA_19_TASK</t>
  </si>
  <si>
    <t>DTTS_RAM_PXI_CADATA_20_TASK</t>
  </si>
  <si>
    <t>DTTS_RAM_PXI_CADATA_21_TASK</t>
  </si>
  <si>
    <t>DTTS_RAM_PXI_CADATA_22_TASK</t>
  </si>
  <si>
    <t>DTTS_RAM_PXI_CADATA_23_TASK</t>
  </si>
  <si>
    <t>DTTS_RAM_PXI_CADATA_24_TASK</t>
  </si>
  <si>
    <t>DTTS_RAM_PXI_CADATA_25_TASK</t>
  </si>
  <si>
    <t>DTTS_RAM_PXI_CADATA_26_TASK</t>
  </si>
  <si>
    <t>DTTS_RAM_PXI_CADATA_27_TASK</t>
  </si>
  <si>
    <t>DTTS_RAM_PXI_CADATA_28_TASK</t>
  </si>
  <si>
    <t>DTTS_RAM_PXI_CADATA_29_TASK</t>
  </si>
  <si>
    <t>DTTS_RAM_PXI_CADATA_30_TASK</t>
  </si>
  <si>
    <t>DTTS_RAM_PXI_CADATA_31_TASK</t>
  </si>
  <si>
    <t>DTTS_RAM_PXI_CADATA_0_GPR</t>
  </si>
  <si>
    <t>DTTS_RAM_PXI_CADATA_1_GPR</t>
  </si>
  <si>
    <t>DTTS_RAM_PXI_CADATA_2_GPR</t>
  </si>
  <si>
    <t>DTTS_RAM_PXI_CADATA_3_GPR</t>
  </si>
  <si>
    <t>DTTS_RAM_PXI_CADATA_4_GPR</t>
  </si>
  <si>
    <t>DTTS_RAM_PXI_CADATA_5_GPR</t>
  </si>
  <si>
    <t>DTTS_RAM_PXI_CADATA_6_GPR</t>
  </si>
  <si>
    <t>DTTS_RAM_PXI_CADATA_7_GPR</t>
  </si>
  <si>
    <t>DTTS_RAM_PXI_CADATA_0_DATA</t>
  </si>
  <si>
    <t>00000384</t>
  </si>
  <si>
    <t>DTTS_RAM_PXI_CADATA_1_DATA</t>
  </si>
  <si>
    <t>DTTS_RAM_PXI_CADATA_2_DATA</t>
  </si>
  <si>
    <t>0000038c</t>
  </si>
  <si>
    <t>DTTS_RAM_PXI_CADATA_3_DATA</t>
  </si>
  <si>
    <t>DTTS_RAM_PXI_CADATA_4_DATA</t>
  </si>
  <si>
    <t>DTTS_RAM_PXI_CADATA_5_DATA</t>
  </si>
  <si>
    <t>DTTS_RAM_PXI_CADATA_6_DATA</t>
  </si>
  <si>
    <t>DTTS_RAM_PXI_CADATA_7_DATA</t>
  </si>
  <si>
    <t>DTTS_RAM_PXI_CADATA_8_DATA</t>
  </si>
  <si>
    <t>DTTS_RAM_PXI_CADATA_9_DATA</t>
  </si>
  <si>
    <t>DTTS_RAM_PXI_CADATA_10_DATA</t>
  </si>
  <si>
    <t>DTTS_RAM_PXI_CADATA_11_DATA</t>
  </si>
  <si>
    <t>DTTS_RAM_PXI_CADATA_12_DATA</t>
  </si>
  <si>
    <t>DTTS_RAM_PXI_CADATA_13_DATA</t>
  </si>
  <si>
    <t>000003b8</t>
  </si>
  <si>
    <t>DTTS_RAM_PXI_CADATA_14_DATA</t>
  </si>
  <si>
    <t>000003bc</t>
  </si>
  <si>
    <t>DTTS_RAM_PXI_CADATA_15_DATA</t>
  </si>
  <si>
    <t>DTTS_RAM_PXI_CADATA_16_DATA</t>
  </si>
  <si>
    <t>DTTS_RAM_PXI_CADATA_17_DATA</t>
  </si>
  <si>
    <t>DTTS_RAM_PXI_CADATA_18_DATA</t>
  </si>
  <si>
    <t>DTTS_RAM_PXI_CADATA_19_DATA</t>
  </si>
  <si>
    <t>DTTS_RAM_PXI_CADATA_20_DATA</t>
  </si>
  <si>
    <t>DTTS_RAM_PXI_CADATA_21_DATA</t>
  </si>
  <si>
    <t>DTTS_RAM_PXI_CADATA_22_DATA</t>
  </si>
  <si>
    <t>DTTS_RAM_PXI_CADATA_23_DATA</t>
  </si>
  <si>
    <t>DTTS_RAM_PXI_CADATA_24_DATA</t>
  </si>
  <si>
    <t>DTTS_RAM_PXI_CADATA_25_DATA</t>
  </si>
  <si>
    <t>DTTS_RAM_PXI_CADATA_26_DATA</t>
  </si>
  <si>
    <t>DTTS_RAM_PXI_CADATA_27_DATA</t>
  </si>
  <si>
    <t>DTTS_RAM_PXI_CADATA_28_DATA</t>
  </si>
  <si>
    <t>DTTS_RAM_PXI_CADATA_29_DATA</t>
  </si>
  <si>
    <t>DTTS_RAM_PXI_CADATA_30_DATA</t>
  </si>
  <si>
    <t>DTTS_RAM_PXI_CADATA_31_DATA</t>
  </si>
  <si>
    <t>DTTS_RAM_PXI_DQOP_0_PAYLOAD</t>
  </si>
  <si>
    <t>DTTS_RAM_PXI_DQOP_1_PAYLOAD</t>
  </si>
  <si>
    <t>DTTS_RAM_PXI_DQOP_2_PAYLOAD</t>
  </si>
  <si>
    <t>DTTS_RAM_PXI_DQOP_3_PAYLOAD</t>
  </si>
  <si>
    <t>DTTS_RAM_PXI_DQOP_4_PAYLOAD</t>
  </si>
  <si>
    <t>DTTS_RAM_PXI_DQOP_5_PAYLOAD</t>
  </si>
  <si>
    <t>DTTS_RAM_PXI_DQOP_6_PAYLOAD</t>
  </si>
  <si>
    <t>DTTS_RAM_PXI_DQOP_7_PAYLOAD</t>
  </si>
  <si>
    <t>DTTS_RAM_PXI_DQOP_8_PAYLOAD</t>
  </si>
  <si>
    <t>DTTS_RAM_PXI_DQOP_9_PAYLOAD</t>
  </si>
  <si>
    <t>DTTS_RAM_PXI_DQOP_10_PAYLOAD</t>
  </si>
  <si>
    <t>DTTS_RAM_PXI_DQOP_11_PAYLOAD</t>
  </si>
  <si>
    <t>DTTS_RAM_PXI_DQOP_12_PAYLOAD</t>
  </si>
  <si>
    <t>DTTS_RAM_PXI_DQOP_13_PAYLOAD</t>
  </si>
  <si>
    <t>DTTS_RAM_PXI_DQOP_14_PAYLOAD</t>
  </si>
  <si>
    <t>0000043c</t>
  </si>
  <si>
    <t>DTTS_RAM_PXI_DQOP_15_PAYLOAD</t>
  </si>
  <si>
    <t>DTTS_RAM_PXI_DQOP_16_PAYLOAD</t>
  </si>
  <si>
    <t>DTTS_RAM_PXI_DQOP_17_PAYLOAD</t>
  </si>
  <si>
    <t>DTTS_RAM_PXI_DQOP_18_PAYLOAD</t>
  </si>
  <si>
    <t>DTTS_RAM_PXI_DQOP_19_PAYLOAD</t>
  </si>
  <si>
    <t>00000450</t>
  </si>
  <si>
    <t>DTTS_RAM_PXI_DQOP_20_PAYLOAD</t>
  </si>
  <si>
    <t>00000454</t>
  </si>
  <si>
    <t>DTTS_RAM_PXI_DQOP_21_PAYLOAD</t>
  </si>
  <si>
    <t>00000458</t>
  </si>
  <si>
    <t>DTTS_RAM_PXI_DQOP_22_PAYLOAD</t>
  </si>
  <si>
    <t>0000045c</t>
  </si>
  <si>
    <t>DTTS_RAM_PXI_DQOP_23_PAYLOAD</t>
  </si>
  <si>
    <t>DTTS_RAM_PXI_DQOP_24_PAYLOAD</t>
  </si>
  <si>
    <t>DTTS_RAM_PXI_DQOP_25_PAYLOAD</t>
  </si>
  <si>
    <t>DTTS_RAM_PXI_DQOP_26_PAYLOAD</t>
  </si>
  <si>
    <t>DTTS_RAM_PXI_DQOP_27_PAYLOAD</t>
  </si>
  <si>
    <t>DTTS_RAM_PXI_DQOP_28_PAYLOAD</t>
  </si>
  <si>
    <t>DTTS_RAM_PXI_DQOP_29_PAYLOAD</t>
  </si>
  <si>
    <t>DTTS_RAM_PXI_DQOP_30_PAYLOAD</t>
  </si>
  <si>
    <t>DTTS_RAM_PXI_DQOP_31_PAYLOAD</t>
  </si>
  <si>
    <t>DTTS_RAM_PXI_DQOP_0_TASK</t>
  </si>
  <si>
    <t>DTTS_RAM_PXI_DQOP_1_TASK</t>
  </si>
  <si>
    <t>DTTS_RAM_PXI_DQOP_2_TASK</t>
  </si>
  <si>
    <t>DTTS_RAM_PXI_DQOP_3_TASK</t>
  </si>
  <si>
    <t>DTTS_RAM_PXI_DQOP_4_TASK</t>
  </si>
  <si>
    <t>DTTS_RAM_PXI_DQOP_5_TASK</t>
  </si>
  <si>
    <t>DTTS_RAM_PXI_DQOP_6_TASK</t>
  </si>
  <si>
    <t>DTTS_RAM_PXI_DQOP_7_TASK</t>
  </si>
  <si>
    <t>DTTS_RAM_PXI_DQOP_8_TASK</t>
  </si>
  <si>
    <t>DTTS_RAM_PXI_DQOP_9_TASK</t>
  </si>
  <si>
    <t>DTTS_RAM_PXI_DQOP_10_TASK</t>
  </si>
  <si>
    <t>DTTS_RAM_PXI_DQOP_11_TASK</t>
  </si>
  <si>
    <t>DTTS_RAM_PXI_DQOP_12_TASK</t>
  </si>
  <si>
    <t>DTTS_RAM_PXI_DQOP_13_TASK</t>
  </si>
  <si>
    <t>DTTS_RAM_PXI_DQOP_14_TASK</t>
  </si>
  <si>
    <t>DTTS_RAM_PXI_DQOP_15_TASK</t>
  </si>
  <si>
    <t>DTTS_RAM_PXI_DQOP_16_TASK</t>
  </si>
  <si>
    <t>DTTS_RAM_PXI_DQOP_17_TASK</t>
  </si>
  <si>
    <t>DTTS_RAM_PXI_DQOP_18_TASK</t>
  </si>
  <si>
    <t>DTTS_RAM_PXI_DQOP_19_TASK</t>
  </si>
  <si>
    <t>DTTS_RAM_PXI_DQOP_20_TASK</t>
  </si>
  <si>
    <t>DTTS_RAM_PXI_DQOP_21_TASK</t>
  </si>
  <si>
    <t>DTTS_RAM_PXI_DQOP_22_TASK</t>
  </si>
  <si>
    <t>DTTS_RAM_PXI_DQOP_23_TASK</t>
  </si>
  <si>
    <t>DTTS_RAM_PXI_DQOP_24_TASK</t>
  </si>
  <si>
    <t>DTTS_RAM_PXI_DQOP_25_TASK</t>
  </si>
  <si>
    <t>DTTS_RAM_PXI_DQOP_26_TASK</t>
  </si>
  <si>
    <t>DTTS_RAM_PXI_DQOP_27_TASK</t>
  </si>
  <si>
    <t>DTTS_RAM_PXI_DQOP_28_TASK</t>
  </si>
  <si>
    <t>DTTS_RAM_PXI_DQOP_29_TASK</t>
  </si>
  <si>
    <t>DTTS_RAM_PXI_DQOP_30_TASK</t>
  </si>
  <si>
    <t>DTTS_RAM_PXI_DQOP_31_TASK</t>
  </si>
  <si>
    <t>DTTS_RAM_PXI_DQOP_0_GPR</t>
  </si>
  <si>
    <t>DTTS_RAM_PXI_DQOP_1_GPR</t>
  </si>
  <si>
    <t>DTTS_RAM_PXI_DQOP_2_GPR</t>
  </si>
  <si>
    <t>DTTS_RAM_PXI_DQOP_3_GPR</t>
  </si>
  <si>
    <t>DTTS_RAM_PXI_DQOP_0_DATA</t>
  </si>
  <si>
    <t>DTTS_RAM_PXI_DQOP_1_DATA</t>
  </si>
  <si>
    <t>DTTS_RAM_PXI_DQOP_2_DATA</t>
  </si>
  <si>
    <t>DTTS_RAM_PXI_DQOP_3_DATA</t>
  </si>
  <si>
    <t>DTTS_RAM_PXI_DQOP_4_DATA</t>
  </si>
  <si>
    <t>DTTS_RAM_PXI_DQOP_5_DATA</t>
  </si>
  <si>
    <t>DTTS_RAM_PXI_DQOP_6_DATA</t>
  </si>
  <si>
    <t>DTTS_RAM_PXI_DQOP_7_DATA</t>
  </si>
  <si>
    <t>DTTS_RAM_PXI_DQOP_8_DATA</t>
  </si>
  <si>
    <t>DTTS_RAM_PXI_DQOP_9_DATA</t>
  </si>
  <si>
    <t>DTTS_RAM_PXI_DQOP_10_DATA</t>
  </si>
  <si>
    <t>DTTS_RAM_PXI_DQOP_11_DATA</t>
  </si>
  <si>
    <t>000005b0</t>
  </si>
  <si>
    <t>DTTS_RAM_PXI_DQOP_12_DATA</t>
  </si>
  <si>
    <t>000005b4</t>
  </si>
  <si>
    <t>DTTS_RAM_PXI_DQOP_13_DATA</t>
  </si>
  <si>
    <t>000005b8</t>
  </si>
  <si>
    <t>DTTS_RAM_PXI_DQOP_14_DATA</t>
  </si>
  <si>
    <t>000005bc</t>
  </si>
  <si>
    <t>DTTS_RAM_PXI_DQOP_15_DATA</t>
  </si>
  <si>
    <t>DTTS_RAM_PXI_DQOP_16_DATA</t>
  </si>
  <si>
    <t>DTTS_RAM_PXI_DQOP_17_DATA</t>
  </si>
  <si>
    <t>DTTS_RAM_PXI_DQOP_18_DATA</t>
  </si>
  <si>
    <t>DTTS_RAM_PXI_DQOP_19_DATA</t>
  </si>
  <si>
    <t>000005d0</t>
  </si>
  <si>
    <t>DTTS_RAM_PXI_DQOP_20_DATA</t>
  </si>
  <si>
    <t>000005d4</t>
  </si>
  <si>
    <t>DTTS_RAM_PXI_DQOP_21_DATA</t>
  </si>
  <si>
    <t>000005d8</t>
  </si>
  <si>
    <t>DTTS_RAM_PXI_DQOP_22_DATA</t>
  </si>
  <si>
    <t>000005dc</t>
  </si>
  <si>
    <t>DTTS_RAM_PXI_DQOP_23_DATA</t>
  </si>
  <si>
    <t>DTTS_RAM_PXI_DQOP_24_DATA</t>
  </si>
  <si>
    <t>DTTS_RAM_PXI_DQOP_25_DATA</t>
  </si>
  <si>
    <t>DTTS_RAM_PXI_DQOP_26_DATA</t>
  </si>
  <si>
    <t>DTTS_RAM_PXI_DQOP_27_DATA</t>
  </si>
  <si>
    <t>000005f0</t>
  </si>
  <si>
    <t>DTTS_RAM_PXI_DQOP_28_DATA</t>
  </si>
  <si>
    <t>000005f4</t>
  </si>
  <si>
    <t>DTTS_RAM_PXI_DQOP_29_DATA</t>
  </si>
  <si>
    <t>000005f8</t>
  </si>
  <si>
    <t>DTTS_RAM_PXI_DQOP_30_DATA</t>
  </si>
  <si>
    <t>000005fc</t>
  </si>
  <si>
    <t>DTTS_RAM_PXI_DQOP_31_DATA</t>
  </si>
  <si>
    <t>DTTS_RAM_PXI_DQDATA_0_PAYLOAD</t>
  </si>
  <si>
    <t>DTTS_RAM_PXI_DQDATA_1_PAYLOAD</t>
  </si>
  <si>
    <t>DTTS_RAM_PXI_DQDATA_2_PAYLOAD</t>
  </si>
  <si>
    <t>DTTS_RAM_PXI_DQDATA_3_PAYLOAD</t>
  </si>
  <si>
    <t>DTTS_RAM_PXI_DQDATA_4_PAYLOAD</t>
  </si>
  <si>
    <t>DTTS_RAM_PXI_DQDATA_5_PAYLOAD</t>
  </si>
  <si>
    <t>DTTS_RAM_PXI_DQDATA_6_PAYLOAD</t>
  </si>
  <si>
    <t>DTTS_RAM_PXI_DQDATA_7_PAYLOAD</t>
  </si>
  <si>
    <t>DTTS_RAM_PXI_DQDATA_8_PAYLOAD</t>
  </si>
  <si>
    <t>DTTS_RAM_PXI_DQDATA_9_PAYLOAD</t>
  </si>
  <si>
    <t>DTTS_RAM_PXI_DQDATA_10_PAYLOAD</t>
  </si>
  <si>
    <t>DTTS_RAM_PXI_DQDATA_11_PAYLOAD</t>
  </si>
  <si>
    <t>DTTS_RAM_PXI_DQDATA_12_PAYLOAD</t>
  </si>
  <si>
    <t>DTTS_RAM_PXI_DQDATA_13_PAYLOAD</t>
  </si>
  <si>
    <t>DTTS_RAM_PXI_DQDATA_14_PAYLOAD</t>
  </si>
  <si>
    <t>DTTS_RAM_PXI_DQDATA_15_PAYLOAD</t>
  </si>
  <si>
    <t>DTTS_RAM_PXI_DQDATA_16_PAYLOAD</t>
  </si>
  <si>
    <t>DTTS_RAM_PXI_DQDATA_17_PAYLOAD</t>
  </si>
  <si>
    <t>DTTS_RAM_PXI_DQDATA_18_PAYLOAD</t>
  </si>
  <si>
    <t>DTTS_RAM_PXI_DQDATA_19_PAYLOAD</t>
  </si>
  <si>
    <t>DTTS_RAM_PXI_DQDATA_20_PAYLOAD</t>
  </si>
  <si>
    <t>DTTS_RAM_PXI_DQDATA_21_PAYLOAD</t>
  </si>
  <si>
    <t>DTTS_RAM_PXI_DQDATA_22_PAYLOAD</t>
  </si>
  <si>
    <t>DTTS_RAM_PXI_DQDATA_23_PAYLOAD</t>
  </si>
  <si>
    <t>DTTS_RAM_PXI_DQDATA_24_PAYLOAD</t>
  </si>
  <si>
    <t>DTTS_RAM_PXI_DQDATA_25_PAYLOAD</t>
  </si>
  <si>
    <t>DTTS_RAM_PXI_DQDATA_26_PAYLOAD</t>
  </si>
  <si>
    <t>DTTS_RAM_PXI_DQDATA_27_PAYLOAD</t>
  </si>
  <si>
    <t>DTTS_RAM_PXI_DQDATA_28_PAYLOAD</t>
  </si>
  <si>
    <t>DTTS_RAM_PXI_DQDATA_29_PAYLOAD</t>
  </si>
  <si>
    <t>DTTS_RAM_PXI_DQDATA_30_PAYLOAD</t>
  </si>
  <si>
    <t>DTTS_RAM_PXI_DQDATA_31_PAYLOAD</t>
  </si>
  <si>
    <t>DTTS_RAM_PXI_DQDATA_0_TASK</t>
  </si>
  <si>
    <t>DTTS_RAM_PXI_DQDATA_1_TASK</t>
  </si>
  <si>
    <t>DTTS_RAM_PXI_DQDATA_2_TASK</t>
  </si>
  <si>
    <t>DTTS_RAM_PXI_DQDATA_3_TASK</t>
  </si>
  <si>
    <t>DTTS_RAM_PXI_DQDATA_4_TASK</t>
  </si>
  <si>
    <t>DTTS_RAM_PXI_DQDATA_5_TASK</t>
  </si>
  <si>
    <t>DTTS_RAM_PXI_DQDATA_6_TASK</t>
  </si>
  <si>
    <t>DTTS_RAM_PXI_DQDATA_7_TASK</t>
  </si>
  <si>
    <t>DTTS_RAM_PXI_DQDATA_8_TASK</t>
  </si>
  <si>
    <t>DTTS_RAM_PXI_DQDATA_9_TASK</t>
  </si>
  <si>
    <t>DTTS_RAM_PXI_DQDATA_10_TASK</t>
  </si>
  <si>
    <t>DTTS_RAM_PXI_DQDATA_11_TASK</t>
  </si>
  <si>
    <t>DTTS_RAM_PXI_DQDATA_12_TASK</t>
  </si>
  <si>
    <t>DTTS_RAM_PXI_DQDATA_13_TASK</t>
  </si>
  <si>
    <t>DTTS_RAM_PXI_DQDATA_14_TASK</t>
  </si>
  <si>
    <t>DTTS_RAM_PXI_DQDATA_15_TASK</t>
  </si>
  <si>
    <t>DTTS_RAM_PXI_DQDATA_16_TASK</t>
  </si>
  <si>
    <t>DTTS_RAM_PXI_DQDATA_17_TASK</t>
  </si>
  <si>
    <t>DTTS_RAM_PXI_DQDATA_18_TASK</t>
  </si>
  <si>
    <t>DTTS_RAM_PXI_DQDATA_19_TASK</t>
  </si>
  <si>
    <t>DTTS_RAM_PXI_DQDATA_20_TASK</t>
  </si>
  <si>
    <t>DTTS_RAM_PXI_DQDATA_21_TASK</t>
  </si>
  <si>
    <t>000006d8</t>
  </si>
  <si>
    <t>DTTS_RAM_PXI_DQDATA_22_TASK</t>
  </si>
  <si>
    <t>000006dc</t>
  </si>
  <si>
    <t>DTTS_RAM_PXI_DQDATA_23_TASK</t>
  </si>
  <si>
    <t>DTTS_RAM_PXI_DQDATA_24_TASK</t>
  </si>
  <si>
    <t>DTTS_RAM_PXI_DQDATA_25_TASK</t>
  </si>
  <si>
    <t>DTTS_RAM_PXI_DQDATA_26_TASK</t>
  </si>
  <si>
    <t>DTTS_RAM_PXI_DQDATA_27_TASK</t>
  </si>
  <si>
    <t>DTTS_RAM_PXI_DQDATA_28_TASK</t>
  </si>
  <si>
    <t>DTTS_RAM_PXI_DQDATA_29_TASK</t>
  </si>
  <si>
    <t>DTTS_RAM_PXI_DQDATA_30_TASK</t>
  </si>
  <si>
    <t>DTTS_RAM_PXI_DQDATA_31_TASK</t>
  </si>
  <si>
    <t>DTTS_RAM_PXI_DQDATA_0_GPR</t>
  </si>
  <si>
    <t>DTTS_RAM_PXI_DQDATA_1_GPR</t>
  </si>
  <si>
    <t>DTTS_RAM_PXI_DQDATA_2_GPR</t>
  </si>
  <si>
    <t>DTTS_RAM_PXI_DQDATA_3_GPR</t>
  </si>
  <si>
    <t>DTTS_RAM_PXI_DQDATA_0_0_2_15_ENTRY</t>
  </si>
  <si>
    <t>DTTS_RAM_PXI_DQDATA_1_0_2_15_ENTRY</t>
  </si>
  <si>
    <t>DTTS_RAM_PXI_DQDATA_2_0_2_15_ENTRY</t>
  </si>
  <si>
    <t>DTTS_RAM_PXI_DQDATA_3_0_2_15_ENTRY</t>
  </si>
  <si>
    <t>DTTS_RAM_PXI_DQDATA_4_0_2_15_ENTRY</t>
  </si>
  <si>
    <t>DTTS_RAM_PXI_DQDATA_5_0_2_15_ENTRY</t>
  </si>
  <si>
    <t>DTTS_RAM_PXI_DQDATA_6_0_2_15_ENTRY</t>
  </si>
  <si>
    <t>DTTS_RAM_PXI_DQDATA_7_0_2_15_ENTRY</t>
  </si>
  <si>
    <t>DTTS_RAM_PXI_DQDATA_8_0_2_15_ENTRY</t>
  </si>
  <si>
    <t>DTTS_RAM_PXI_DQDATA_9_0_2_15_ENTRY</t>
  </si>
  <si>
    <t>DTTS_RAM_PXI_DQDATA_10_0_2_15_ENTRY</t>
  </si>
  <si>
    <t>DTTS_RAM_PXI_DQDATA_11_0_2_15_ENTRY</t>
  </si>
  <si>
    <t>DTTS_RAM_PXI_DQDATA_12_0_2_15_ENTRY</t>
  </si>
  <si>
    <t>DTTS_RAM_PXI_DQDATA_13_0_2_15_ENTRY</t>
  </si>
  <si>
    <t>DTTS_RAM_PXI_DQDATA_14_0_2_15_ENTRY</t>
  </si>
  <si>
    <t>DTTS_RAM_PXI_DQDATA_15_0_2_15_ENTRY</t>
  </si>
  <si>
    <t>DTTS_RAM_PXI_DQDATA_16_0_2_15_ENTRY</t>
  </si>
  <si>
    <t>DTTS_RAM_PXI_DQDATA_17_0_2_15_ENTRY</t>
  </si>
  <si>
    <t>DTTS_RAM_PXI_DQDATA_18_0_2_15_ENTRY</t>
  </si>
  <si>
    <t>DTTS_RAM_PXI_DQDATA_19_0_2_15_ENTRY</t>
  </si>
  <si>
    <t>DTTS_RAM_PXI_DQDATA_20_0_2_15_ENTRY</t>
  </si>
  <si>
    <t>DTTS_RAM_PXI_DQDATA_21_0_2_15_ENTRY</t>
  </si>
  <si>
    <t>DTTS_RAM_PXI_DQDATA_22_0_2_15_ENTRY</t>
  </si>
  <si>
    <t>DTTS_RAM_PXI_DQDATA_23_0_2_15_ENTRY</t>
  </si>
  <si>
    <t>DTTS_RAM_PXI_DQDATA_24_0_2_15_ENTRY</t>
  </si>
  <si>
    <t>DTTS_RAM_PXI_DQDATA_25_0_2_15_ENTRY</t>
  </si>
  <si>
    <t>DTTS_RAM_PXI_DQDATA_26_0_2_15_ENTRY</t>
  </si>
  <si>
    <t>DTTS_RAM_PXI_DQDATA_27_0_2_15_ENTRY</t>
  </si>
  <si>
    <t>DTTS_RAM_PXI_DQDATA_28_0_2_15_ENTRY</t>
  </si>
  <si>
    <t>DTTS_RAM_PXI_DQDATA_29_0_2_15_ENTRY</t>
  </si>
  <si>
    <t>DTTS_RAM_PXI_DQDATA_30_0_2_15_ENTRY</t>
  </si>
  <si>
    <t>DTTS_RAM_PXI_DQDATA_31_0_2_15_ENTRY</t>
  </si>
  <si>
    <t>00000f80</t>
  </si>
  <si>
    <t>DTTS_RAM_PXI_DQDATA_0_16_2_31_ENTRY</t>
  </si>
  <si>
    <t>00000f84</t>
  </si>
  <si>
    <t>DTTS_RAM_PXI_DQDATA_1_16_2_31_ENTRY</t>
  </si>
  <si>
    <t>00000f88</t>
  </si>
  <si>
    <t>DTTS_RAM_PXI_DQDATA_2_16_2_31_ENTRY</t>
  </si>
  <si>
    <t>00000f8c</t>
  </si>
  <si>
    <t>DTTS_RAM_PXI_DQDATA_3_16_2_31_ENTRY</t>
  </si>
  <si>
    <t>00000f90</t>
  </si>
  <si>
    <t>DTTS_RAM_PXI_DQDATA_4_16_2_31_ENTRY</t>
  </si>
  <si>
    <t>00000f94</t>
  </si>
  <si>
    <t>DTTS_RAM_PXI_DQDATA_5_16_2_31_ENTRY</t>
  </si>
  <si>
    <t>00000f98</t>
  </si>
  <si>
    <t>DTTS_RAM_PXI_DQDATA_6_16_2_31_ENTRY</t>
  </si>
  <si>
    <t>00000f9c</t>
  </si>
  <si>
    <t>DTTS_RAM_PXI_DQDATA_7_16_2_31_ENTRY</t>
  </si>
  <si>
    <t>00000fa0</t>
  </si>
  <si>
    <t>DTTS_RAM_PXI_DQDATA_8_16_2_31_ENTRY</t>
  </si>
  <si>
    <t>00000fa4</t>
  </si>
  <si>
    <t>DTTS_RAM_PXI_DQDATA_9_16_2_31_ENTRY</t>
  </si>
  <si>
    <t>00000fa8</t>
  </si>
  <si>
    <t>DTTS_RAM_PXI_DQDATA_10_16_2_31_ENTRY</t>
  </si>
  <si>
    <t>00000fac</t>
  </si>
  <si>
    <t>DTTS_RAM_PXI_DQDATA_11_16_2_31_ENTRY</t>
  </si>
  <si>
    <t>00000fb0</t>
  </si>
  <si>
    <t>DTTS_RAM_PXI_DQDATA_12_16_2_31_ENTRY</t>
  </si>
  <si>
    <t>00000fb4</t>
  </si>
  <si>
    <t>DTTS_RAM_PXI_DQDATA_13_16_2_31_ENTRY</t>
  </si>
  <si>
    <t>00000fb8</t>
  </si>
  <si>
    <t>DTTS_RAM_PXI_DQDATA_14_16_2_31_ENTRY</t>
  </si>
  <si>
    <t>00000fbc</t>
  </si>
  <si>
    <t>DTTS_RAM_PXI_DQDATA_15_16_2_31_ENTRY</t>
  </si>
  <si>
    <t>00000fc0</t>
  </si>
  <si>
    <t>DTTS_RAM_PXI_DQDATA_16_16_2_31_ENTRY</t>
  </si>
  <si>
    <t>00000fc4</t>
  </si>
  <si>
    <t>DTTS_RAM_PXI_DQDATA_17_16_2_31_ENTRY</t>
  </si>
  <si>
    <t>00000fc8</t>
  </si>
  <si>
    <t>DTTS_RAM_PXI_DQDATA_18_16_2_31_ENTRY</t>
  </si>
  <si>
    <t>00000fcc</t>
  </si>
  <si>
    <t>DTTS_RAM_PXI_DQDATA_19_16_2_31_ENTRY</t>
  </si>
  <si>
    <t>00000fd0</t>
  </si>
  <si>
    <t>DTTS_RAM_PXI_DQDATA_20_16_2_31_ENTRY</t>
  </si>
  <si>
    <t>00000fd4</t>
  </si>
  <si>
    <t>DTTS_RAM_PXI_DQDATA_21_16_2_31_ENTRY</t>
  </si>
  <si>
    <t>00000fd8</t>
  </si>
  <si>
    <t>DTTS_RAM_PXI_DQDATA_22_16_2_31_ENTRY</t>
  </si>
  <si>
    <t>00000fdc</t>
  </si>
  <si>
    <t>DTTS_RAM_PXI_DQDATA_23_16_2_31_ENTRY</t>
  </si>
  <si>
    <t>00000fe0</t>
  </si>
  <si>
    <t>DTTS_RAM_PXI_DQDATA_24_16_2_31_ENTRY</t>
  </si>
  <si>
    <t>00000fe4</t>
  </si>
  <si>
    <t>DTTS_RAM_PXI_DQDATA_25_16_2_31_ENTRY</t>
  </si>
  <si>
    <t>00000fe8</t>
  </si>
  <si>
    <t>DTTS_RAM_PXI_DQDATA_26_16_2_31_ENTRY</t>
  </si>
  <si>
    <t>00000fec</t>
  </si>
  <si>
    <t>DTTS_RAM_PXI_DQDATA_27_16_2_31_ENTRY</t>
  </si>
  <si>
    <t>00000ff0</t>
  </si>
  <si>
    <t>DTTS_RAM_PXI_DQDATA_28_16_2_31_ENTRY</t>
  </si>
  <si>
    <t>00000ff4</t>
  </si>
  <si>
    <t>DTTS_RAM_PXI_DQDATA_29_16_2_31_ENTRY</t>
  </si>
  <si>
    <t>00000ff8</t>
  </si>
  <si>
    <t>DTTS_RAM_PXI_DQDATA_30_16_2_31_ENTRY</t>
  </si>
  <si>
    <t>00000ffc</t>
  </si>
  <si>
    <t>DTTS_RAM_PXI_DQDATA_31_16_2_31_ENTRY</t>
  </si>
  <si>
    <t>DTTS_RAM_PXI_DMDATA_0_DATA</t>
  </si>
  <si>
    <t>DTTS_RAM_PXI_DMDATA_1_DATA</t>
  </si>
  <si>
    <t>DTTS_RAM_PXI_DMDATA_2_DATA</t>
  </si>
  <si>
    <t>DTTS_RAM_PXI_DMDATA_3_DATA</t>
  </si>
  <si>
    <t>DTTS_RAM_PXI_DMDATA_4_DATA</t>
  </si>
  <si>
    <t>DTTS_RAM_PXI_DMDATA_5_DATA</t>
  </si>
  <si>
    <t>DTTS_RAM_PXI_DMDATA_6_DATA</t>
  </si>
  <si>
    <t>DTTS_RAM_PXI_DMDATA_7_DATA</t>
  </si>
  <si>
    <t>DTTS_RAM_PXI_DMDATA_8_DATA</t>
  </si>
  <si>
    <t>DTTS_RAM_PXI_DMDATA_9_DATA</t>
  </si>
  <si>
    <t>DTTS_RAM_PXI_DMDATA_10_DATA</t>
  </si>
  <si>
    <t>DTTS_RAM_PXI_DMDATA_11_DATA</t>
  </si>
  <si>
    <t>DTTS_RAM_PXI_DMDATA_12_DATA</t>
  </si>
  <si>
    <t>DTTS_RAM_PXI_DMDATA_13_DATA</t>
  </si>
  <si>
    <t>DTTS_RAM_PXI_DMDATA_14_DATA</t>
  </si>
  <si>
    <t>DTTS_RAM_PXI_DMDATA_15_DATA</t>
  </si>
  <si>
    <t>DTTS_RAM_PXI_DMDATA_16_DATA</t>
  </si>
  <si>
    <t>DTTS_RAM_PXI_DMDATA_17_DATA</t>
  </si>
  <si>
    <t>DTTS_RAM_PXI_DMDATA_18_DATA</t>
  </si>
  <si>
    <t>DTTS_RAM_PXI_DMDATA_19_DATA</t>
  </si>
  <si>
    <t>DTTS_RAM_PXI_DMDATA_20_DATA</t>
  </si>
  <si>
    <t>DTTS_RAM_PXI_DMDATA_21_DATA</t>
  </si>
  <si>
    <t>DTTS_RAM_PXI_DMDATA_22_DATA</t>
  </si>
  <si>
    <t>DTTS_RAM_PXI_DMDATA_23_DATA</t>
  </si>
  <si>
    <t>DTTS_RAM_PXI_DMDATA_24_DATA</t>
  </si>
  <si>
    <t>DTTS_RAM_PXI_DMDATA_25_DATA</t>
  </si>
  <si>
    <t>DTTS_RAM_PXI_DMDATA_26_DATA</t>
  </si>
  <si>
    <t>DTTS_RAM_PXI_DMDATA_27_DATA</t>
  </si>
  <si>
    <t>DTTS_RAM_PXI_DMDATA_28_DATA</t>
  </si>
  <si>
    <t>DTTS_RAM_PXI_DMDATA_29_DATA</t>
  </si>
  <si>
    <t>DTTS_RAM_PXI_DMDATA_30_DATA</t>
  </si>
  <si>
    <t>DTTS_RAM_PXI_DMDATA_31_DATA</t>
  </si>
  <si>
    <t>DTTS_RAM_PXI_DMDATA_0_GPR</t>
  </si>
  <si>
    <t>DTTS_RAM_PXI_DMDATA_1_GPR</t>
  </si>
  <si>
    <t>DTTS_RAM_PXI_DMDATA_2_GPR</t>
  </si>
  <si>
    <t>DTTS_RAM_PXI_DMDATA_3_GPR</t>
  </si>
  <si>
    <t>DTTS_RAM_PXI_RD_0_PAYLOAD</t>
  </si>
  <si>
    <t>DTTS_RAM_PXI_RD_1_PAYLOAD</t>
  </si>
  <si>
    <t>DTTS_RAM_PXI_RD_2_PAYLOAD</t>
  </si>
  <si>
    <t>DTTS_RAM_PXI_RD_3_PAYLOAD</t>
  </si>
  <si>
    <t>DTTS_RAM_PXI_RD_4_PAYLOAD</t>
  </si>
  <si>
    <t>DTTS_RAM_PXI_RD_5_PAYLOAD</t>
  </si>
  <si>
    <t>DTTS_RAM_PXI_RD_6_PAYLOAD</t>
  </si>
  <si>
    <t>DTTS_RAM_PXI_RD_7_PAYLOAD</t>
  </si>
  <si>
    <t>DTTS_RAM_PXI_RD_8_PAYLOAD</t>
  </si>
  <si>
    <t>DTTS_RAM_PXI_RD_9_PAYLOAD</t>
  </si>
  <si>
    <t>DTTS_RAM_PXI_RD_10_PAYLOAD</t>
  </si>
  <si>
    <t>DTTS_RAM_PXI_RD_11_PAYLOAD</t>
  </si>
  <si>
    <t>DTTS_RAM_PXI_RD_12_PAYLOAD</t>
  </si>
  <si>
    <t>DTTS_RAM_PXI_RD_13_PAYLOAD</t>
  </si>
  <si>
    <t>DTTS_RAM_PXI_RD_14_PAYLOAD</t>
  </si>
  <si>
    <t>DTTS_RAM_PXI_RD_15_PAYLOAD</t>
  </si>
  <si>
    <t>DTTS_RAM_PXI_RD_16_PAYLOAD</t>
  </si>
  <si>
    <t>DTTS_RAM_PXI_RD_17_PAYLOAD</t>
  </si>
  <si>
    <t>DTTS_RAM_PXI_RD_18_PAYLOAD</t>
  </si>
  <si>
    <t>DTTS_RAM_PXI_RD_19_PAYLOAD</t>
  </si>
  <si>
    <t>DTTS_RAM_PXI_RD_20_PAYLOAD</t>
  </si>
  <si>
    <t>DTTS_RAM_PXI_RD_21_PAYLOAD</t>
  </si>
  <si>
    <t>DTTS_RAM_PXI_RD_22_PAYLOAD</t>
  </si>
  <si>
    <t>DTTS_RAM_PXI_RD_23_PAYLOAD</t>
  </si>
  <si>
    <t>DTTS_RAM_PXI_RD_24_PAYLOAD</t>
  </si>
  <si>
    <t>DTTS_RAM_PXI_RD_25_PAYLOAD</t>
  </si>
  <si>
    <t>DTTS_RAM_PXI_RD_26_PAYLOAD</t>
  </si>
  <si>
    <t>DTTS_RAM_PXI_RD_27_PAYLOAD</t>
  </si>
  <si>
    <t>DTTS_RAM_PXI_RD_28_PAYLOAD</t>
  </si>
  <si>
    <t>DTTS_RAM_PXI_RD_29_PAYLOAD</t>
  </si>
  <si>
    <t>DTTS_RAM_PXI_RD_30_PAYLOAD</t>
  </si>
  <si>
    <t>DTTS_RAM_PXI_RD_31_PAYLOAD</t>
  </si>
  <si>
    <t>00000a80</t>
  </si>
  <si>
    <t>DTTS_RAM_PXI_RD_0_TASK</t>
  </si>
  <si>
    <t>00000a84</t>
  </si>
  <si>
    <t>DTTS_RAM_PXI_RD_1_TASK</t>
  </si>
  <si>
    <t>00000a88</t>
  </si>
  <si>
    <t>DTTS_RAM_PXI_RD_2_TASK</t>
  </si>
  <si>
    <t>00000a8c</t>
  </si>
  <si>
    <t>DTTS_RAM_PXI_RD_3_TASK</t>
  </si>
  <si>
    <t>00000a90</t>
  </si>
  <si>
    <t>DTTS_RAM_PXI_RD_4_TASK</t>
  </si>
  <si>
    <t>00000a94</t>
  </si>
  <si>
    <t>DTTS_RAM_PXI_RD_5_TASK</t>
  </si>
  <si>
    <t>00000a98</t>
  </si>
  <si>
    <t>DTTS_RAM_PXI_RD_6_TASK</t>
  </si>
  <si>
    <t>00000a9c</t>
  </si>
  <si>
    <t>DTTS_RAM_PXI_RD_7_TASK</t>
  </si>
  <si>
    <t>DTTS_RAM_PXI_RD_8_TASK</t>
  </si>
  <si>
    <t>DTTS_RAM_PXI_RD_9_TASK</t>
  </si>
  <si>
    <t>DTTS_RAM_PXI_RD_10_TASK</t>
  </si>
  <si>
    <t>DTTS_RAM_PXI_RD_11_TASK</t>
  </si>
  <si>
    <t>DTTS_RAM_PXI_RD_12_TASK</t>
  </si>
  <si>
    <t>DTTS_RAM_PXI_RD_13_TASK</t>
  </si>
  <si>
    <t>DTTS_RAM_PXI_RD_14_TASK</t>
  </si>
  <si>
    <t>DTTS_RAM_PXI_RD_15_TASK</t>
  </si>
  <si>
    <t>DTTS_RAM_PXI_RD_16_TASK</t>
  </si>
  <si>
    <t>DTTS_RAM_PXI_RD_17_TASK</t>
  </si>
  <si>
    <t>DTTS_RAM_PXI_RD_18_TASK</t>
  </si>
  <si>
    <t>DTTS_RAM_PXI_RD_19_TASK</t>
  </si>
  <si>
    <t>DTTS_RAM_PXI_RD_20_TASK</t>
  </si>
  <si>
    <t>DTTS_RAM_PXI_RD_21_TASK</t>
  </si>
  <si>
    <t>DTTS_RAM_PXI_RD_22_TASK</t>
  </si>
  <si>
    <t>DTTS_RAM_PXI_RD_23_TASK</t>
  </si>
  <si>
    <t>00000ae0</t>
  </si>
  <si>
    <t>DTTS_RAM_PXI_RD_24_TASK</t>
  </si>
  <si>
    <t>00000ae4</t>
  </si>
  <si>
    <t>DTTS_RAM_PXI_RD_25_TASK</t>
  </si>
  <si>
    <t>00000ae8</t>
  </si>
  <si>
    <t>DTTS_RAM_PXI_RD_26_TASK</t>
  </si>
  <si>
    <t>00000aec</t>
  </si>
  <si>
    <t>DTTS_RAM_PXI_RD_27_TASK</t>
  </si>
  <si>
    <t>00000af0</t>
  </si>
  <si>
    <t>DTTS_RAM_PXI_RD_28_TASK</t>
  </si>
  <si>
    <t>00000af4</t>
  </si>
  <si>
    <t>DTTS_RAM_PXI_RD_29_TASK</t>
  </si>
  <si>
    <t>00000af8</t>
  </si>
  <si>
    <t>DTTS_RAM_PXI_RD_30_TASK</t>
  </si>
  <si>
    <t>00000afc</t>
  </si>
  <si>
    <t>DTTS_RAM_PXI_RD_31_TASK</t>
  </si>
  <si>
    <t>DTTS_RAM_PXI_RD_0_GPR</t>
  </si>
  <si>
    <t>DTTS_RAM_PXI_RD_1_GPR</t>
  </si>
  <si>
    <t>DTTS_RAM_PXI_RD_2_GPR</t>
  </si>
  <si>
    <t>DTTS_RAM_PXI_RD_3_GPR</t>
  </si>
  <si>
    <t>DTTS_RAM_PXI_RD_4_GPR</t>
  </si>
  <si>
    <t>DTTS_RAM_PXI_RD_5_GPR</t>
  </si>
  <si>
    <t>DTTS_RAM_PXI_RD_6_GPR</t>
  </si>
  <si>
    <t>DTTS_RAM_PXI_RD_7_GPR</t>
  </si>
  <si>
    <t>DTTS_RAM_PXI_RD_8_GPR</t>
  </si>
  <si>
    <t>DTTS_RAM_PXI_RD_9_GPR</t>
  </si>
  <si>
    <t>DTTS_RAM_PXI_RD_10_GPR</t>
  </si>
  <si>
    <t>DTTS_RAM_PXI_RD_11_GPR</t>
  </si>
  <si>
    <t>DTTS_RAM_PXI_RD_12_GPR</t>
  </si>
  <si>
    <t>DTTS_RAM_PXI_RD_13_GPR</t>
  </si>
  <si>
    <t>DTTS_RAM_PXI_RD_14_GPR</t>
  </si>
  <si>
    <t>DTTS_RAM_PXI_RD_15_GPR</t>
  </si>
  <si>
    <t>DTTS_RAM_PXI_RD_16_GPR</t>
  </si>
  <si>
    <t>00000b44</t>
  </si>
  <si>
    <t>DTTS_RAM_PXI_RD_17_GPR</t>
  </si>
  <si>
    <t>00000b80</t>
  </si>
  <si>
    <t>DTTS_RAM_PXI_RD_0_0_2_15_ENTRY</t>
  </si>
  <si>
    <t>DTTS_RAM_PXI_RD_1_0_2_15_ENTRY</t>
  </si>
  <si>
    <t>DTTS_RAM_PXI_RD_2_0_2_15_ENTRY</t>
  </si>
  <si>
    <t>00000b8c</t>
  </si>
  <si>
    <t>DTTS_RAM_PXI_RD_3_0_2_15_ENTRY</t>
  </si>
  <si>
    <t>00000b90</t>
  </si>
  <si>
    <t>DTTS_RAM_PXI_RD_4_0_2_15_ENTRY</t>
  </si>
  <si>
    <t>DTTS_RAM_PXI_RD_5_0_2_15_ENTRY</t>
  </si>
  <si>
    <t>00000b98</t>
  </si>
  <si>
    <t>DTTS_RAM_PXI_RD_6_0_2_15_ENTRY</t>
  </si>
  <si>
    <t>00000b9c</t>
  </si>
  <si>
    <t>DTTS_RAM_PXI_RD_7_0_2_15_ENTRY</t>
  </si>
  <si>
    <t>00000ba0</t>
  </si>
  <si>
    <t>DTTS_RAM_PXI_RD_8_0_2_15_ENTRY</t>
  </si>
  <si>
    <t>DTTS_RAM_PXI_RD_9_0_2_15_ENTRY</t>
  </si>
  <si>
    <t>DTTS_RAM_PXI_RD_10_0_2_15_ENTRY</t>
  </si>
  <si>
    <t>00000bac</t>
  </si>
  <si>
    <t>DTTS_RAM_PXI_RD_11_0_2_15_ENTRY</t>
  </si>
  <si>
    <t>00000bb0</t>
  </si>
  <si>
    <t>DTTS_RAM_PXI_RD_12_0_2_15_ENTRY</t>
  </si>
  <si>
    <t>DTTS_RAM_PXI_RD_13_0_2_15_ENTRY</t>
  </si>
  <si>
    <t>00000bb8</t>
  </si>
  <si>
    <t>DTTS_RAM_PXI_RD_14_0_2_15_ENTRY</t>
  </si>
  <si>
    <t>DTTS_RAM_PXI_RD_15_0_2_15_ENTRY</t>
  </si>
  <si>
    <t>DTTS_RAM_PXI_RD_16_0_2_15_ENTRY</t>
  </si>
  <si>
    <t>00000bc4</t>
  </si>
  <si>
    <t>DTTS_RAM_PXI_RD_17_0_2_15_ENTRY</t>
  </si>
  <si>
    <t>00000bc8</t>
  </si>
  <si>
    <t>DTTS_RAM_PXI_RD_18_0_2_15_ENTRY</t>
  </si>
  <si>
    <t>DTTS_RAM_PXI_RD_19_0_2_15_ENTRY</t>
  </si>
  <si>
    <t>00000bd0</t>
  </si>
  <si>
    <t>DTTS_RAM_PXI_RD_20_0_2_15_ENTRY</t>
  </si>
  <si>
    <t>DTTS_RAM_PXI_RD_21_0_2_15_ENTRY</t>
  </si>
  <si>
    <t>DTTS_RAM_PXI_RD_22_0_2_15_ENTRY</t>
  </si>
  <si>
    <t>DTTS_RAM_PXI_RD_23_0_2_15_ENTRY</t>
  </si>
  <si>
    <t>DTTS_RAM_PXI_RD_24_0_2_15_ENTRY</t>
  </si>
  <si>
    <t>DTTS_RAM_PXI_RD_25_0_2_15_ENTRY</t>
  </si>
  <si>
    <t>DTTS_RAM_PXI_RD_26_0_2_15_ENTRY</t>
  </si>
  <si>
    <t>DTTS_RAM_PXI_RD_27_0_2_15_ENTRY</t>
  </si>
  <si>
    <t>00000bf0</t>
  </si>
  <si>
    <t>DTTS_RAM_PXI_RD_28_0_2_15_ENTRY</t>
  </si>
  <si>
    <t>00000bf4</t>
  </si>
  <si>
    <t>DTTS_RAM_PXI_RD_29_0_2_15_ENTRY</t>
  </si>
  <si>
    <t>00000bf8</t>
  </si>
  <si>
    <t>DTTS_RAM_PXI_RD_30_0_2_15_ENTRY</t>
  </si>
  <si>
    <t>00000bfc</t>
  </si>
  <si>
    <t>DTTS_RAM_PXI_RD_31_0_2_15_ENTRY</t>
  </si>
  <si>
    <t>DTTS_RAM_PXI_RD_0_16_2_31_ENTRY</t>
  </si>
  <si>
    <t>DTTS_RAM_PXI_RD_1_16_2_31_ENTRY</t>
  </si>
  <si>
    <t>DTTS_RAM_PXI_RD_2_16_2_31_ENTRY</t>
  </si>
  <si>
    <t>DTTS_RAM_PXI_RD_3_16_2_31_ENTRY</t>
  </si>
  <si>
    <t>DTTS_RAM_PXI_RD_4_16_2_31_ENTRY</t>
  </si>
  <si>
    <t>DTTS_RAM_PXI_RD_5_16_2_31_ENTRY</t>
  </si>
  <si>
    <t>DTTS_RAM_PXI_RD_6_16_2_31_ENTRY</t>
  </si>
  <si>
    <t>DTTS_RAM_PXI_RD_7_16_2_31_ENTRY</t>
  </si>
  <si>
    <t>DTTS_RAM_PXI_RD_8_16_2_31_ENTRY</t>
  </si>
  <si>
    <t>DTTS_RAM_PXI_RD_9_16_2_31_ENTRY</t>
  </si>
  <si>
    <t>DTTS_RAM_PXI_RD_10_16_2_31_ENTRY</t>
  </si>
  <si>
    <t>DTTS_RAM_PXI_RD_11_16_2_31_ENTRY</t>
  </si>
  <si>
    <t>DTTS_RAM_PXI_RD_12_16_2_31_ENTRY</t>
  </si>
  <si>
    <t>DTTS_RAM_PXI_RD_13_16_2_31_ENTRY</t>
  </si>
  <si>
    <t>DTTS_RAM_PXI_RD_14_16_2_31_ENTRY</t>
  </si>
  <si>
    <t>DTTS_RAM_PXI_RD_15_16_2_31_ENTRY</t>
  </si>
  <si>
    <t>DTTS_RAM_PXI_RD_16_16_2_31_ENTRY</t>
  </si>
  <si>
    <t>DTTS_RAM_PXI_RD_17_16_2_31_ENTRY</t>
  </si>
  <si>
    <t>DTTS_RAM_PXI_RD_18_16_2_31_ENTRY</t>
  </si>
  <si>
    <t>DTTS_RAM_PXI_RD_19_16_2_31_ENTRY</t>
  </si>
  <si>
    <t>DTTS_RAM_PXI_RD_20_16_2_31_ENTRY</t>
  </si>
  <si>
    <t>DTTS_RAM_PXI_RD_21_16_2_31_ENTRY</t>
  </si>
  <si>
    <t>DTTS_RAM_PXI_RD_22_16_2_31_ENTRY</t>
  </si>
  <si>
    <t>DTTS_RAM_PXI_RD_23_16_2_31_ENTRY</t>
  </si>
  <si>
    <t>DTTS_RAM_PXI_RD_24_16_2_31_ENTRY</t>
  </si>
  <si>
    <t>DTTS_RAM_PXI_RD_25_16_2_31_ENTRY</t>
  </si>
  <si>
    <t>00000de8</t>
  </si>
  <si>
    <t>DTTS_RAM_PXI_RD_26_16_2_31_ENTRY</t>
  </si>
  <si>
    <t>00000dec</t>
  </si>
  <si>
    <t>DTTS_RAM_PXI_RD_27_16_2_31_ENTRY</t>
  </si>
  <si>
    <t>00000df0</t>
  </si>
  <si>
    <t>DTTS_RAM_PXI_RD_28_16_2_31_ENTRY</t>
  </si>
  <si>
    <t>00000df4</t>
  </si>
  <si>
    <t>DTTS_RAM_PXI_RD_29_16_2_31_ENTRY</t>
  </si>
  <si>
    <t>00000df8</t>
  </si>
  <si>
    <t>DTTS_RAM_PXI_RD_30_16_2_31_ENTRY</t>
  </si>
  <si>
    <t>00000dfc</t>
  </si>
  <si>
    <t>DTTS_RAM_PXI_RD_31_16_2_31_ENTRY</t>
  </si>
  <si>
    <t>DTTS_RAM_PXI_RD_0_ELOG_TABLE_RW</t>
  </si>
  <si>
    <t>DTTS_RAM_PXI_RD_1_ELOG_TABLE_RW</t>
  </si>
  <si>
    <t>DTTS_RAM_PXI_RD_0_ELOG_TABLE_RD_ONLY</t>
  </si>
  <si>
    <t>DTTS_RAM_PXI_RD_1_ELOG_TABLE_RD_ONLY</t>
  </si>
  <si>
    <t>DTTS_RAM_PXI_RD_2_ELOG_TABLE_RD_ONLY</t>
  </si>
  <si>
    <t>DTTS_RAM_PXI_RD_3_ELOG_TABLE_RD_ONLY</t>
  </si>
  <si>
    <t>DTTS_RAM_PXI_RD_4_ELOG_TABLE_RD_ONLY</t>
  </si>
  <si>
    <t>DTTS_RAM_PXI_RD_5_ELOG_TABLE_RD_ONLY</t>
  </si>
  <si>
    <t>DTTS_RAM_PXI_RD_6_ELOG_TABLE_RD_ONLY</t>
  </si>
  <si>
    <t>DTTS_RAM_PXI_RD_7_ELOG_TABLE_RD_ONLY</t>
  </si>
  <si>
    <t>DTTS_RAM_PXI_RD_8_ELOG_TABLE_RD_ONLY</t>
  </si>
  <si>
    <t>DTTS_RAM_PXI_RD_9_ELOG_TABLE_RD_ONLY</t>
  </si>
  <si>
    <t>DTTS_RAM_PXI_RD_10_ELOG_TABLE_RD_ONLY</t>
  </si>
  <si>
    <t>DTTS_RAM_PXI_RD_11_ELOG_TABLE_RD_ONLY</t>
  </si>
  <si>
    <t>DTTS_RAM_PXI_RD_12_ELOG_TABLE_RD_ONLY</t>
  </si>
  <si>
    <t>DTTS_RAM_PXI_RD_13_ELOG_TABLE_RD_ONLY</t>
  </si>
  <si>
    <t>DTTS_RAM_PXI_RD_14_ELOG_TABLE_RD_ONLY</t>
  </si>
  <si>
    <t>DTTS_RAM_PXI_RD_15_ELOG_TABLE_RD_ONLY</t>
  </si>
  <si>
    <t>DTTS_RAM_PXI_RD_16_ELOG_TABLE_RD_ONLY</t>
  </si>
  <si>
    <t>DTTS_RAM_PXI_RD_17_ELOG_TABLE_RD_ONLY</t>
  </si>
  <si>
    <t>PERFMON_CONFIGURATION_INFO</t>
  </si>
  <si>
    <t>PERFMON_ATB_CLOCK_CTRL</t>
  </si>
  <si>
    <t>PERFMON_CORE_CLOCK_CTRL</t>
  </si>
  <si>
    <t>PERFMON_ATB_MODE</t>
  </si>
  <si>
    <t>PERFMON_DUMP</t>
  </si>
  <si>
    <t>PERFMON_TIMED_MODE_INTERVAL_REG</t>
  </si>
  <si>
    <t>PERFMON_TIMED_MODE_ITERATIONS_REG</t>
  </si>
  <si>
    <t>PERFMON_STATUS</t>
  </si>
  <si>
    <t>PERFMON_COUNTER_0_CONFIG</t>
  </si>
  <si>
    <t>PERFMON_COUNTER_1_CONFIG</t>
  </si>
  <si>
    <t>PERFMON_COUNTER_2_CONFIG</t>
  </si>
  <si>
    <t>PERFMON_COUNTER_3_CONFIG</t>
  </si>
  <si>
    <t>PERFMON_COUNTER_4_CONFIG</t>
  </si>
  <si>
    <t>PERFMON_COUNTER_5_CONFIG</t>
  </si>
  <si>
    <t>PERFMON_COUNTER_6_CONFIG</t>
  </si>
  <si>
    <t>PERFMON_COUNTER_7_CONFIG</t>
  </si>
  <si>
    <t>PERFMON_COUNTER_8_CONFIG</t>
  </si>
  <si>
    <t>PERFMON_COUNTER_9_CONFIG</t>
  </si>
  <si>
    <t>PERFMON_COUNTER_10_CONFIG</t>
  </si>
  <si>
    <t>PERFMON_COUNTER_11_CONFIG</t>
  </si>
  <si>
    <t>PERFMON_COUNTER_12_CONFIG</t>
  </si>
  <si>
    <t>PERFMON_COUNTER_13_CONFIG</t>
  </si>
  <si>
    <t>PERFMON_COUNTER_14_CONFIG</t>
  </si>
  <si>
    <t>PERFMON_COUNTER_15_CONFIG</t>
  </si>
  <si>
    <t>PERFMON_COUNTER_0_VALUE</t>
  </si>
  <si>
    <t>PERFMON_COUNTER_1_VALUE</t>
  </si>
  <si>
    <t>PERFMON_COUNTER_2_VALUE</t>
  </si>
  <si>
    <t>PERFMON_COUNTER_3_VALUE</t>
  </si>
  <si>
    <t>PERFMON_COUNTER_4_VALUE</t>
  </si>
  <si>
    <t>PERFMON_COUNTER_5_VALUE</t>
  </si>
  <si>
    <t>PERFMON_COUNTER_6_VALUE</t>
  </si>
  <si>
    <t>PERFMON_COUNTER_7_VALUE</t>
  </si>
  <si>
    <t>PERFMON_COUNTER_8_VALUE</t>
  </si>
  <si>
    <t>PERFMON_COUNTER_9_VALUE</t>
  </si>
  <si>
    <t>PERFMON_COUNTER_10_VALUE</t>
  </si>
  <si>
    <t>PERFMON_COUNTER_11_VALUE</t>
  </si>
  <si>
    <t>PERFMON_COUNTER_12_VALUE</t>
  </si>
  <si>
    <t>PERFMON_COUNTER_13_VALUE</t>
  </si>
  <si>
    <t>PERFMON_COUNTER_14_VALUE</t>
  </si>
  <si>
    <t>PERFMON_COUNTER_15_VALUE</t>
  </si>
  <si>
    <t>PERFMON_COUNTER_0_OVERFLOW</t>
  </si>
  <si>
    <t>PERFMON_COUNTER_1_OVERFLOW</t>
  </si>
  <si>
    <t>PERFMON_COUNTER_2_OVERFLOW</t>
  </si>
  <si>
    <t>PERFMON_COUNTER_3_OVERFLOW</t>
  </si>
  <si>
    <t>PERFMON_COUNTER_4_OVERFLOW</t>
  </si>
  <si>
    <t>PERFMON_COUNTER_5_OVERFLOW</t>
  </si>
  <si>
    <t>PERFMON_COUNTER_6_OVERFLOW</t>
  </si>
  <si>
    <t>PERFMON_COUNTER_7_OVERFLOW</t>
  </si>
  <si>
    <t>PERFMON_COUNTER_8_OVERFLOW</t>
  </si>
  <si>
    <t>PERFMON_COUNTER_9_OVERFLOW</t>
  </si>
  <si>
    <t>PERFMON_COUNTER_10_OVERFLOW</t>
  </si>
  <si>
    <t>PERFMON_COUNTER_11_OVERFLOW</t>
  </si>
  <si>
    <t>PERFMON_COUNTER_12_OVERFLOW</t>
  </si>
  <si>
    <t>PERFMON_COUNTER_13_OVERFLOW</t>
  </si>
  <si>
    <t>PERFMON_COUNTER_14_OVERFLOW</t>
  </si>
  <si>
    <t>PERFMON_COUNTER_15_OVERFLOW</t>
  </si>
  <si>
    <t>PERFMON_PG_STATS_FILTER_CFG</t>
  </si>
  <si>
    <t>PERFMON_CQ_OCC_FILTER_CFG</t>
  </si>
  <si>
    <t>PERFMON_LAT_FILTER_CFG</t>
  </si>
  <si>
    <t>PERFMON_CBU_RDCMD_EVENT_FILTER_CFG</t>
  </si>
  <si>
    <t>PERFMON_CBU_WRCMD_EVENT_FILTER_CFG</t>
  </si>
  <si>
    <t>PERFMON_EFF_FILTER_CFG</t>
  </si>
  <si>
    <t>PERFMON_RD_BW_FILTER_CFG</t>
  </si>
  <si>
    <t>PERFMON_WR_BW_FILTER_CFG</t>
  </si>
  <si>
    <t>PERFMON_MEM_SPM_FILTER_CFG</t>
  </si>
  <si>
    <t>PERFMON_MEM_WRCMD_EVENT_FILTER_CFG</t>
  </si>
  <si>
    <t>PERFMON_MEM_RDCMD_EVENT_FILTER_CFG</t>
  </si>
  <si>
    <t>PERFMON_MEM_CMD_EVENT_FILTER_CFG</t>
  </si>
  <si>
    <t>PERFMON_RCH_OCC_FILTER_CFG</t>
  </si>
  <si>
    <t>PERFMON_RW_SWITCH_FILTER_CFG</t>
  </si>
  <si>
    <t>PERFMON_ARB_FILTER_CFG</t>
  </si>
  <si>
    <t>PERFMON_QFI_SPM_FILTER_CFG</t>
  </si>
  <si>
    <t>PERFMON_MC_SPM_FILTER_CFG</t>
  </si>
  <si>
    <t>PERFMON_QFI_PWRS_FILTER_CFG</t>
  </si>
  <si>
    <t>PERFMON_SHKE_CMD_EVENT_FILTER_CFG</t>
  </si>
  <si>
    <t>PERFMON_FSW_START_END_FILTER_CFG</t>
  </si>
  <si>
    <t>PERFMON_FSW_STATE_FILTER_0_CFG</t>
  </si>
  <si>
    <t>PERFMON_FSW_STATE_FILTER_1_CFG</t>
  </si>
  <si>
    <t>PERFMON_FSW_STATE_FILTER_2_CFG</t>
  </si>
  <si>
    <t>PERFMON_FSW_STATE_FILTER_3_CFG</t>
  </si>
  <si>
    <t>PERFMON_FSW_STATE_FILTER_4_CFG</t>
  </si>
  <si>
    <t>PERFMON_FSW_STATE_FILTER_5_CFG</t>
  </si>
  <si>
    <t>PERFMON_FSW_TASK_FILTER_0_CFG</t>
  </si>
  <si>
    <t>PERFMON_FSW_TASK_FILTER_1_CFG</t>
  </si>
  <si>
    <t>PERFMON_FSW_TASK_FILTER_2_CFG</t>
  </si>
  <si>
    <t>PERFMON_FSW_TASK_FILTER_3_CFG</t>
  </si>
  <si>
    <t>PERFMON_STALL_FILTER_CFG</t>
  </si>
  <si>
    <t>DDRCC_TOP_HW_INFO</t>
  </si>
  <si>
    <t>DDRCC_TOP_HW_VERSION</t>
  </si>
  <si>
    <t>DDRCC_TOP_CORE_INFO</t>
  </si>
  <si>
    <t>DDRCC_TOP_HW_EVENT_STA0</t>
  </si>
  <si>
    <t>DDRCC_PLLCTRL_CLK_SWITCH_STATUS</t>
  </si>
  <si>
    <t>DDRCC_PLLCTRL_STATUS</t>
  </si>
  <si>
    <t>DDRCC_TXPHYCTRL_STATUS</t>
  </si>
  <si>
    <t>DDRCC_TXMCCTRL_STATUS</t>
  </si>
  <si>
    <t>DDRCC_MCCC_TOP_STATUS</t>
  </si>
  <si>
    <t>DDRCC_MCCC_TOP_STA1</t>
  </si>
  <si>
    <t>DDRCC_TX0_STATUS</t>
  </si>
  <si>
    <t>DDRCC_TX1_STATUS</t>
  </si>
  <si>
    <t>DDRCC_TXPHY_STATUS</t>
  </si>
  <si>
    <t>DDRCC_PLLCTRL_CLK_SWITCH_STATUS_CH1_STA</t>
  </si>
  <si>
    <t>DDRCC_PLLCTRL_STATUS_CH1_STA</t>
  </si>
  <si>
    <t>DDRCC_TXPHYCTRL_STATUS_CH1_STA</t>
  </si>
  <si>
    <t>DDRCC_TXPHY_STATUS_CH1_STA</t>
  </si>
  <si>
    <t>DDRCC_MCCC_TOP_CH1_STA</t>
  </si>
  <si>
    <t>DDRCC_MCCC_TOP_CH1_STA1</t>
  </si>
  <si>
    <t>DDRCC_UPDATE_INTF_STA0</t>
  </si>
  <si>
    <t>DDRCC_SPM_STATUS_STA0</t>
  </si>
  <si>
    <t>DDRCC_SPM_STATUS_STA1</t>
  </si>
  <si>
    <t>DDRCC_SPM_STATUS_STA2</t>
  </si>
  <si>
    <t>DDRCC_SPM_STATUS_STA3</t>
  </si>
  <si>
    <t>DDRCC_SPM_STATUS_STA4</t>
  </si>
  <si>
    <t>DDRCC_SPM_STATUS_STA5</t>
  </si>
  <si>
    <t>DDRCC_SPM_STATUS_STA6</t>
  </si>
  <si>
    <t>DDRCC_SPM_STATUS_STA7</t>
  </si>
  <si>
    <t>DDRCC_PCC_PC_STA</t>
  </si>
  <si>
    <t>DDRCC_PCC_HS_STA</t>
  </si>
  <si>
    <t>DDRCC_QLINKPLL0_COMMON_STATUS_ONE</t>
  </si>
  <si>
    <t>DDRCC_QLINKPLL0_COMMON_STATUS_TWO</t>
  </si>
  <si>
    <t>DDRCC_QLINKPLL0_BAND_SEL_CAL</t>
  </si>
  <si>
    <t>DDRCC_QLINKPLL0_ICODE_ACCUM_STATUS_HIGH</t>
  </si>
  <si>
    <t>DDRCC_QLINKPLL0_ICODE_ACCUM_STATUS_LOW</t>
  </si>
  <si>
    <t>DDRCC_QLINKPLL0_FD_OUT_HIGH</t>
  </si>
  <si>
    <t>DDRCC_QLINKPLL0_FD_OUT_LOW</t>
  </si>
  <si>
    <t>DDRCC_QLINKPLL0_ALOG_OBSV_BUS_STATUS_1</t>
  </si>
  <si>
    <t>DDRCC_QLINKPLL1_COMMON_STATUS_ONE</t>
  </si>
  <si>
    <t>DDRCC_QLINKPLL1_COMMON_STATUS_TWO</t>
  </si>
  <si>
    <t>DDRCC_QLINKPLL1_BAND_SEL_CAL</t>
  </si>
  <si>
    <t>DDRCC_QLINKPLL1_ICODE_ACCUM_STATUS_HIGH</t>
  </si>
  <si>
    <t>DDRCC_QLINKPLL1_ICODE_ACCUM_STATUS_LOW</t>
  </si>
  <si>
    <t>DDRCC_QLINKPLL1_FD_OUT_HIGH</t>
  </si>
  <si>
    <t>DDRCC_QLINKPLL1_FD_OUT_LOW</t>
  </si>
  <si>
    <t>DDRCC_QLINKPLL1_ALOG_OBSV_BUS_STATUS_1</t>
  </si>
  <si>
    <t>DDRCC_FPM_TOP_STA</t>
  </si>
  <si>
    <t>DDRCC_FPM_TOP_STA0</t>
  </si>
  <si>
    <t>DDRPHY_TOP_HW_INFO</t>
  </si>
  <si>
    <t>DDRPHY_TOP_HW_VERSION</t>
  </si>
  <si>
    <t>DDRPHY_TOP_CORE_INFO</t>
  </si>
  <si>
    <t>DDRPHY_TOP_DEBUG_BUS_STA_0</t>
  </si>
  <si>
    <t>DDRPHY_TOP_DEBUG_BUS_STA_1</t>
  </si>
  <si>
    <t>DDRPHY_TOP_DEBUG_BUS_STA_2</t>
  </si>
  <si>
    <t>DDRPHY_TOP_DEBUG_BUS_STA_3</t>
  </si>
  <si>
    <t>DDRPHY_TOP_DEBUG_BUS_STA_4</t>
  </si>
  <si>
    <t>DDRPHY_TOP_DEBUG_BUS_STA_5</t>
  </si>
  <si>
    <t>DDRPHY_TOP_STA_0</t>
  </si>
  <si>
    <t>DDRPHY_IOCS_DQ_STA</t>
  </si>
  <si>
    <t>DDRPHY_IOCS_DQS_STA</t>
  </si>
  <si>
    <t>DDRPHY_IOCTLR_TOP_0_STA</t>
  </si>
  <si>
    <t>DDRPHY_IOCTLR_TOP_1_STA</t>
  </si>
  <si>
    <t>DDRPHY_IOCTLR_TIMER_STA</t>
  </si>
  <si>
    <t>DDRPHY_CMLDO_STATUS_STA</t>
  </si>
  <si>
    <t>DDRPHY_CMSBLB_P0_STA</t>
  </si>
  <si>
    <t>DDRPHY_CMSBLB_P1_STA</t>
  </si>
  <si>
    <t>DDRPHY_CMHUB_STAT_0_STA</t>
  </si>
  <si>
    <t>DDRPHY_CMHUB_STAT_1_STA</t>
  </si>
  <si>
    <t>DDRPHY_DCC_STATUS_0_STA</t>
  </si>
  <si>
    <t>DDRPHY_DCC_STATUS_1_STA</t>
  </si>
  <si>
    <t>DDRPHY_DCC_STATUS_2_STA</t>
  </si>
  <si>
    <t>DDRPHY_DCC_STATUS_3_STA</t>
  </si>
  <si>
    <t>DDRPHY_DCC_STATUS_4_STA</t>
  </si>
  <si>
    <t>DDRPHY_DCC_STATUS_5_STA</t>
  </si>
  <si>
    <t>DDRPHY_DCC_STATUS_6_STA</t>
  </si>
  <si>
    <t>DDRPHY_DCC_STATUS_7_STA</t>
  </si>
  <si>
    <t>DDRPHY_DCC_STATUS_8_STA</t>
  </si>
  <si>
    <t>DDRPHY_DCC_STATUS_9_STA</t>
  </si>
  <si>
    <t>DDRPHY_CMRX_STATUS_STA</t>
  </si>
  <si>
    <t>DDRPHY_FPM_TOP_STA</t>
  </si>
  <si>
    <t>DDRPHY_BIST_FAIL_CMP_ERR_STA</t>
  </si>
  <si>
    <t>DDRPHY_BIST_MISR_OSIG_STA</t>
  </si>
  <si>
    <t>DDRPHY_BIST_MISR_HI_OSIG_STA</t>
  </si>
  <si>
    <t>DDRPHY_BIST_PERDQ_ERR_STA</t>
  </si>
  <si>
    <t>DDRPHY_UPDATE_INTF_STA</t>
  </si>
  <si>
    <t>DDRPHY_QFI2_STA0</t>
  </si>
  <si>
    <t>DDRPHY_QFI2_STA1</t>
  </si>
  <si>
    <t>DDRPHY_DM_STA0</t>
  </si>
  <si>
    <t>AHB2PHY_BROADCAST_SWMAN1_AHB2PHY_BROADCAST_ADDRESS_SPACE_0</t>
  </si>
  <si>
    <t>AHB2PHY_BROADCAST_SWMAN1_AHB2PHY_BROADCAST_ADDRESS_SPACE_1</t>
  </si>
  <si>
    <t>AHB2PHY_BROADCAST_SWMAN1_AHB2PHY_BROADCAST_ADDRESS_SPACE_2</t>
  </si>
  <si>
    <t>AHB2PHY_BROADCAST_SWMAN1_AHB2PHY_BROADCAST_ADDRESS_SPACE_3</t>
  </si>
  <si>
    <t>AHB2PHY_BROADCAST_SWMAN1_AHB2PHY_BROADCAST_ADDRESS_SPACE_4</t>
  </si>
  <si>
    <t>AHB2PHY_BROADCAST_SWMAN1_AHB2PHY_BROADCAST_ADDRESS_SPACE_5</t>
  </si>
  <si>
    <t>AHB2PHY_BROADCAST_SWMAN1_AHB2PHY_BROADCAST_ADDRESS_SPACE_6</t>
  </si>
  <si>
    <t>AHB2PHY_BROADCAST_SWMAN1_AHB2PHY_BROADCAST_ADDRESS_SPACE_7</t>
  </si>
  <si>
    <t>AHB2PHY_BROADCAST_SWMAN1_AHB2PHY_BROADCAST_ADDRESS_SPACE_8</t>
  </si>
  <si>
    <t>AHB2PHY_BROADCAST_SWMAN1_AHB2PHY_BROADCAST_ADDRESS_SPACE_9</t>
  </si>
  <si>
    <t>AHB2PHY_BROADCAST_SWMAN1_AHB2PHY_BROADCAST_ADDRESS_SPACE_10</t>
  </si>
  <si>
    <t>AHB2PHY_BROADCAST_SWMAN1_AHB2PHY_BROADCAST_ADDRESS_SPACE_11</t>
  </si>
  <si>
    <t>AHB2PHY_BROADCAST_SWMAN1_AHB2PHY_BROADCAST_ADDRESS_SPACE_12</t>
  </si>
  <si>
    <t>AHB2PHY_BROADCAST_SWMAN1_AHB2PHY_BROADCAST_ADDRESS_SPACE_13</t>
  </si>
  <si>
    <t>AHB2PHY_BROADCAST_SWMAN1_AHB2PHY_BROADCAST_ADDRESS_SPACE_14</t>
  </si>
  <si>
    <t>AHB2PHY_BROADCAST_SWMAN1_AHB2PHY_BROADCAST_ADDRESS_SPACE_15</t>
  </si>
  <si>
    <t>AHB2PHY_BROADCAST_SWMAN1_AHB2PHY_BROADCAST_ADDRESS_SPACE_16</t>
  </si>
  <si>
    <t>AHB2PHY_BROADCAST_SWMAN1_AHB2PHY_BROADCAST_ADDRESS_SPACE_17</t>
  </si>
  <si>
    <t>AHB2PHY_BROADCAST_SWMAN1_AHB2PHY_BROADCAST_ADDRESS_SPACE_18</t>
  </si>
  <si>
    <t>AHB2PHY_BROADCAST_SWMAN1_AHB2PHY_BROADCAST_ADDRESS_SPACE_19</t>
  </si>
  <si>
    <t>AHB2PHY_BROADCAST_SWMAN1_AHB2PHY_BROADCAST_ADDRESS_SPACE_20</t>
  </si>
  <si>
    <t>AHB2PHY_BROADCAST_SWMAN1_AHB2PHY_BROADCAST_ADDRESS_SPACE_21</t>
  </si>
  <si>
    <t>AHB2PHY_BROADCAST_SWMAN1_AHB2PHY_BROADCAST_ADDRESS_SPACE_22</t>
  </si>
  <si>
    <t>AHB2PHY_BROADCAST_SWMAN1_AHB2PHY_BROADCAST_ADDRESS_SPACE_23</t>
  </si>
  <si>
    <t>AHB2PHY_BROADCAST_SWMAN1_AHB2PHY_BROADCAST_ADDRESS_SPACE_24</t>
  </si>
  <si>
    <t>AHB2PHY_BROADCAST_SWMAN1_AHB2PHY_BROADCAST_ADDRESS_SPACE_25</t>
  </si>
  <si>
    <t>AHB2PHY_BROADCAST_SWMAN1_AHB2PHY_BROADCAST_ADDRESS_SPACE_26</t>
  </si>
  <si>
    <t>AHB2PHY_BROADCAST_SWMAN1_AHB2PHY_BROADCAST_ADDRESS_SPACE_27</t>
  </si>
  <si>
    <t>AHB2PHY_BROADCAST_SWMAN1_AHB2PHY_BROADCAST_ADDRESS_SPACE_28</t>
  </si>
  <si>
    <t>AHB2PHY_BROADCAST_SWMAN1_AHB2PHY_BROADCAST_ADDRESS_SPACE_29</t>
  </si>
  <si>
    <t>AHB2PHY_BROADCAST_SWMAN1_AHB2PHY_BROADCAST_ADDRESS_SPACE_30</t>
  </si>
  <si>
    <t>AHB2PHY_BROADCAST_SWMAN1_AHB2PHY_BROADCAST_ADDRESS_SPACE_31</t>
  </si>
  <si>
    <t>AHB2PHY_BROADCAST_SWMAN1_AHB2PHY_BROADCAST_ADDRESS_SPACE_32</t>
  </si>
  <si>
    <t>AHB2PHY_BROADCAST_SWMAN1_AHB2PHY_BROADCAST_ADDRESS_SPACE_33</t>
  </si>
  <si>
    <t>AHB2PHY_BROADCAST_SWMAN1_AHB2PHY_BROADCAST_ADDRESS_SPACE_34</t>
  </si>
  <si>
    <t>AHB2PHY_BROADCAST_SWMAN1_AHB2PHY_BROADCAST_ADDRESS_SPACE_35</t>
  </si>
  <si>
    <t>AHB2PHY_BROADCAST_SWMAN1_AHB2PHY_BROADCAST_ADDRESS_SPACE_36</t>
  </si>
  <si>
    <t>AHB2PHY_BROADCAST_SWMAN1_AHB2PHY_BROADCAST_ADDRESS_SPACE_37</t>
  </si>
  <si>
    <t>AHB2PHY_BROADCAST_SWMAN1_AHB2PHY_BROADCAST_ADDRESS_SPACE_38</t>
  </si>
  <si>
    <t>AHB2PHY_BROADCAST_SWMAN1_AHB2PHY_BROADCAST_ADDRESS_SPACE_39</t>
  </si>
  <si>
    <t>AHB2PHY_BROADCAST_SWMAN1_AHB2PHY_BROADCAST_ADDRESS_SPACE_40</t>
  </si>
  <si>
    <t>AHB2PHY_BROADCAST_SWMAN1_AHB2PHY_BROADCAST_ADDRESS_SPACE_41</t>
  </si>
  <si>
    <t>AHB2PHY_BROADCAST_SWMAN1_AHB2PHY_BROADCAST_ADDRESS_SPACE_42</t>
  </si>
  <si>
    <t>AHB2PHY_BROADCAST_SWMAN1_AHB2PHY_BROADCAST_ADDRESS_SPACE_43</t>
  </si>
  <si>
    <t>AHB2PHY_BROADCAST_SWMAN1_AHB2PHY_BROADCAST_ADDRESS_SPACE_44</t>
  </si>
  <si>
    <t>AHB2PHY_BROADCAST_SWMAN1_AHB2PHY_BROADCAST_ADDRESS_SPACE_45</t>
  </si>
  <si>
    <t>AHB2PHY_BROADCAST_SWMAN1_AHB2PHY_BROADCAST_ADDRESS_SPACE_46</t>
  </si>
  <si>
    <t>AHB2PHY_BROADCAST_SWMAN1_AHB2PHY_BROADCAST_ADDRESS_SPACE_47</t>
  </si>
  <si>
    <t>AHB2PHY_BROADCAST_SWMAN1_AHB2PHY_BROADCAST_ADDRESS_SPACE_48</t>
  </si>
  <si>
    <t>AHB2PHY_BROADCAST_SWMAN1_AHB2PHY_BROADCAST_ADDRESS_SPACE_49</t>
  </si>
  <si>
    <t>AHB2PHY_BROADCAST_SWMAN1_AHB2PHY_BROADCAST_ADDRESS_SPACE_50</t>
  </si>
  <si>
    <t>AHB2PHY_BROADCAST_SWMAN1_AHB2PHY_BROADCAST_ADDRESS_SPACE_51</t>
  </si>
  <si>
    <t>AHB2PHY_BROADCAST_SWMAN1_AHB2PHY_BROADCAST_ADDRESS_SPACE_52</t>
  </si>
  <si>
    <t>AHB2PHY_BROADCAST_SWMAN1_AHB2PHY_BROADCAST_ADDRESS_SPACE_53</t>
  </si>
  <si>
    <t>AHB2PHY_BROADCAST_SWMAN1_AHB2PHY_BROADCAST_ADDRESS_SPACE_54</t>
  </si>
  <si>
    <t>AHB2PHY_BROADCAST_SWMAN1_AHB2PHY_BROADCAST_ADDRESS_SPACE_55</t>
  </si>
  <si>
    <t>AHB2PHY_BROADCAST_SWMAN1_AHB2PHY_BROADCAST_ADDRESS_SPACE_56</t>
  </si>
  <si>
    <t>AHB2PHY_BROADCAST_SWMAN1_AHB2PHY_BROADCAST_ADDRESS_SPACE_57</t>
  </si>
  <si>
    <t>AHB2PHY_BROADCAST_SWMAN1_AHB2PHY_BROADCAST_ADDRESS_SPACE_58</t>
  </si>
  <si>
    <t>AHB2PHY_BROADCAST_SWMAN1_AHB2PHY_BROADCAST_ADDRESS_SPACE_59</t>
  </si>
  <si>
    <t>AHB2PHY_BROADCAST_SWMAN1_AHB2PHY_BROADCAST_ADDRESS_SPACE_60</t>
  </si>
  <si>
    <t>AHB2PHY_BROADCAST_SWMAN1_AHB2PHY_BROADCAST_ADDRESS_SPACE_61</t>
  </si>
  <si>
    <t>AHB2PHY_BROADCAST_SWMAN1_AHB2PHY_BROADCAST_ADDRESS_SPACE_62</t>
  </si>
  <si>
    <t>AHB2PHY_BROADCAST_SWMAN1_AHB2PHY_BROADCAST_ADDRESS_SPACE_63</t>
  </si>
  <si>
    <t>AHB2PHY_BROADCAST_SWMAN1_AHB2PHY_BROADCAST_ADDRESS_SPACE_64</t>
  </si>
  <si>
    <t>AHB2PHY_BROADCAST_SWMAN1_AHB2PHY_BROADCAST_ADDRESS_SPACE_65</t>
  </si>
  <si>
    <t>AHB2PHY_BROADCAST_SWMAN1_AHB2PHY_BROADCAST_ADDRESS_SPACE_66</t>
  </si>
  <si>
    <t>AHB2PHY_BROADCAST_SWMAN1_AHB2PHY_BROADCAST_ADDRESS_SPACE_67</t>
  </si>
  <si>
    <t>AHB2PHY_BROADCAST_SWMAN1_AHB2PHY_BROADCAST_ADDRESS_SPACE_68</t>
  </si>
  <si>
    <t>AHB2PHY_BROADCAST_SWMAN1_AHB2PHY_BROADCAST_ADDRESS_SPACE_69</t>
  </si>
  <si>
    <t>AHB2PHY_BROADCAST_SWMAN1_AHB2PHY_BROADCAST_ADDRESS_SPACE_70</t>
  </si>
  <si>
    <t>AHB2PHY_BROADCAST_SWMAN1_AHB2PHY_BROADCAST_ADDRESS_SPACE_71</t>
  </si>
  <si>
    <t>AHB2PHY_BROADCAST_SWMAN1_AHB2PHY_BROADCAST_ADDRESS_SPACE_72</t>
  </si>
  <si>
    <t>AHB2PHY_BROADCAST_SWMAN1_AHB2PHY_BROADCAST_ADDRESS_SPACE_73</t>
  </si>
  <si>
    <t>AHB2PHY_BROADCAST_SWMAN1_AHB2PHY_BROADCAST_ADDRESS_SPACE_74</t>
  </si>
  <si>
    <t>AHB2PHY_BROADCAST_SWMAN1_AHB2PHY_BROADCAST_ADDRESS_SPACE_75</t>
  </si>
  <si>
    <t>AHB2PHY_BROADCAST_SWMAN1_AHB2PHY_BROADCAST_ADDRESS_SPACE_76</t>
  </si>
  <si>
    <t>AHB2PHY_BROADCAST_SWMAN1_AHB2PHY_BROADCAST_ADDRESS_SPACE_77</t>
  </si>
  <si>
    <t>AHB2PHY_BROADCAST_SWMAN1_AHB2PHY_BROADCAST_ADDRESS_SPACE_78</t>
  </si>
  <si>
    <t>AHB2PHY_BROADCAST_SWMAN1_AHB2PHY_BROADCAST_ADDRESS_SPACE_79</t>
  </si>
  <si>
    <t>AHB2PHY_BROADCAST_SWMAN1_AHB2PHY_BROADCAST_ADDRESS_SPACE_80</t>
  </si>
  <si>
    <t>AHB2PHY_BROADCAST_SWMAN1_AHB2PHY_BROADCAST_ADDRESS_SPACE_81</t>
  </si>
  <si>
    <t>AHB2PHY_BROADCAST_SWMAN1_AHB2PHY_BROADCAST_ADDRESS_SPACE_82</t>
  </si>
  <si>
    <t>AHB2PHY_BROADCAST_SWMAN1_AHB2PHY_BROADCAST_ADDRESS_SPACE_83</t>
  </si>
  <si>
    <t>AHB2PHY_BROADCAST_SWMAN1_AHB2PHY_BROADCAST_ADDRESS_SPACE_84</t>
  </si>
  <si>
    <t>AHB2PHY_BROADCAST_SWMAN1_AHB2PHY_BROADCAST_ADDRESS_SPACE_85</t>
  </si>
  <si>
    <t>AHB2PHY_BROADCAST_SWMAN1_AHB2PHY_BROADCAST_ADDRESS_SPACE_86</t>
  </si>
  <si>
    <t>AHB2PHY_BROADCAST_SWMAN1_AHB2PHY_BROADCAST_ADDRESS_SPACE_87</t>
  </si>
  <si>
    <t>AHB2PHY_BROADCAST_SWMAN1_AHB2PHY_BROADCAST_ADDRESS_SPACE_88</t>
  </si>
  <si>
    <t>AHB2PHY_BROADCAST_SWMAN1_AHB2PHY_BROADCAST_ADDRESS_SPACE_89</t>
  </si>
  <si>
    <t>AHB2PHY_BROADCAST_SWMAN1_AHB2PHY_BROADCAST_ADDRESS_SPACE_90</t>
  </si>
  <si>
    <t>AHB2PHY_BROADCAST_SWMAN1_AHB2PHY_BROADCAST_ADDRESS_SPACE_91</t>
  </si>
  <si>
    <t>AHB2PHY_BROADCAST_SWMAN1_AHB2PHY_BROADCAST_ADDRESS_SPACE_92</t>
  </si>
  <si>
    <t>AHB2PHY_BROADCAST_SWMAN1_AHB2PHY_BROADCAST_ADDRESS_SPACE_93</t>
  </si>
  <si>
    <t>AHB2PHY_BROADCAST_SWMAN1_AHB2PHY_BROADCAST_ADDRESS_SPACE_94</t>
  </si>
  <si>
    <t>AHB2PHY_BROADCAST_SWMAN1_AHB2PHY_BROADCAST_ADDRESS_SPACE_95</t>
  </si>
  <si>
    <t>AHB2PHY_BROADCAST_SWMAN1_AHB2PHY_BROADCAST_ADDRESS_SPACE_96</t>
  </si>
  <si>
    <t>AHB2PHY_BROADCAST_SWMAN1_AHB2PHY_BROADCAST_ADDRESS_SPACE_97</t>
  </si>
  <si>
    <t>AHB2PHY_BROADCAST_SWMAN1_AHB2PHY_BROADCAST_ADDRESS_SPACE_98</t>
  </si>
  <si>
    <t>AHB2PHY_BROADCAST_SWMAN1_AHB2PHY_BROADCAST_ADDRESS_SPACE_99</t>
  </si>
  <si>
    <t>AHB2PHY_BROADCAST_SWMAN1_AHB2PHY_BROADCAST_ADDRESS_SPACE_100</t>
  </si>
  <si>
    <t>AHB2PHY_BROADCAST_SWMAN1_AHB2PHY_BROADCAST_ADDRESS_SPACE_101</t>
  </si>
  <si>
    <t>AHB2PHY_BROADCAST_SWMAN1_AHB2PHY_BROADCAST_ADDRESS_SPACE_102</t>
  </si>
  <si>
    <t>AHB2PHY_BROADCAST_SWMAN1_AHB2PHY_BROADCAST_ADDRESS_SPACE_103</t>
  </si>
  <si>
    <t>AHB2PHY_BROADCAST_SWMAN1_AHB2PHY_BROADCAST_ADDRESS_SPACE_104</t>
  </si>
  <si>
    <t>AHB2PHY_BROADCAST_SWMAN1_AHB2PHY_BROADCAST_ADDRESS_SPACE_105</t>
  </si>
  <si>
    <t>AHB2PHY_BROADCAST_SWMAN1_AHB2PHY_BROADCAST_ADDRESS_SPACE_106</t>
  </si>
  <si>
    <t>AHB2PHY_BROADCAST_SWMAN1_AHB2PHY_BROADCAST_ADDRESS_SPACE_107</t>
  </si>
  <si>
    <t>AHB2PHY_BROADCAST_SWMAN1_AHB2PHY_BROADCAST_ADDRESS_SPACE_108</t>
  </si>
  <si>
    <t>AHB2PHY_BROADCAST_SWMAN1_AHB2PHY_BROADCAST_ADDRESS_SPACE_109</t>
  </si>
  <si>
    <t>AHB2PHY_BROADCAST_SWMAN1_AHB2PHY_BROADCAST_ADDRESS_SPACE_110</t>
  </si>
  <si>
    <t>AHB2PHY_BROADCAST_SWMAN1_AHB2PHY_BROADCAST_ADDRESS_SPACE_111</t>
  </si>
  <si>
    <t>AHB2PHY_BROADCAST_SWMAN1_AHB2PHY_BROADCAST_ADDRESS_SPACE_112</t>
  </si>
  <si>
    <t>AHB2PHY_BROADCAST_SWMAN1_AHB2PHY_BROADCAST_ADDRESS_SPACE_113</t>
  </si>
  <si>
    <t>AHB2PHY_BROADCAST_SWMAN1_AHB2PHY_BROADCAST_ADDRESS_SPACE_114</t>
  </si>
  <si>
    <t>AHB2PHY_BROADCAST_SWMAN1_AHB2PHY_BROADCAST_ADDRESS_SPACE_115</t>
  </si>
  <si>
    <t>AHB2PHY_BROADCAST_SWMAN1_AHB2PHY_BROADCAST_ADDRESS_SPACE_116</t>
  </si>
  <si>
    <t>AHB2PHY_BROADCAST_SWMAN1_AHB2PHY_BROADCAST_ADDRESS_SPACE_117</t>
  </si>
  <si>
    <t>AHB2PHY_BROADCAST_SWMAN1_AHB2PHY_BROADCAST_ADDRESS_SPACE_118</t>
  </si>
  <si>
    <t>AHB2PHY_BROADCAST_SWMAN1_AHB2PHY_BROADCAST_ADDRESS_SPACE_119</t>
  </si>
  <si>
    <t>AHB2PHY_BROADCAST_SWMAN1_AHB2PHY_BROADCAST_ADDRESS_SPACE_120</t>
  </si>
  <si>
    <t>AHB2PHY_BROADCAST_SWMAN1_AHB2PHY_BROADCAST_ADDRESS_SPACE_121</t>
  </si>
  <si>
    <t>AHB2PHY_BROADCAST_SWMAN1_AHB2PHY_BROADCAST_ADDRESS_SPACE_122</t>
  </si>
  <si>
    <t>AHB2PHY_BROADCAST_SWMAN1_AHB2PHY_BROADCAST_ADDRESS_SPACE_123</t>
  </si>
  <si>
    <t>AHB2PHY_BROADCAST_SWMAN1_AHB2PHY_BROADCAST_ADDRESS_SPACE_124</t>
  </si>
  <si>
    <t>AHB2PHY_BROADCAST_SWMAN1_AHB2PHY_BROADCAST_ADDRESS_SPACE_125</t>
  </si>
  <si>
    <t>AHB2PHY_BROADCAST_SWMAN1_AHB2PHY_BROADCAST_ADDRESS_SPACE_126</t>
  </si>
  <si>
    <t>AHB2PHY_BROADCAST_SWMAN1_AHB2PHY_BROADCAST_ADDRESS_SPACE_127</t>
  </si>
  <si>
    <t>AHB2PHY_BROADCAST_SWMAN1_AHB2PHY_BROADCAST_ADDRESS_SPACE_128</t>
  </si>
  <si>
    <t>AHB2PHY_BROADCAST_SWMAN1_AHB2PHY_BROADCAST_ADDRESS_SPACE_129</t>
  </si>
  <si>
    <t>AHB2PHY_BROADCAST_SWMAN1_AHB2PHY_BROADCAST_ADDRESS_SPACE_130</t>
  </si>
  <si>
    <t>AHB2PHY_BROADCAST_SWMAN1_AHB2PHY_BROADCAST_ADDRESS_SPACE_131</t>
  </si>
  <si>
    <t>AHB2PHY_BROADCAST_SWMAN1_AHB2PHY_BROADCAST_ADDRESS_SPACE_132</t>
  </si>
  <si>
    <t>AHB2PHY_BROADCAST_SWMAN1_AHB2PHY_BROADCAST_ADDRESS_SPACE_133</t>
  </si>
  <si>
    <t>AHB2PHY_BROADCAST_SWMAN1_AHB2PHY_BROADCAST_ADDRESS_SPACE_134</t>
  </si>
  <si>
    <t>AHB2PHY_BROADCAST_SWMAN1_AHB2PHY_BROADCAST_ADDRESS_SPACE_135</t>
  </si>
  <si>
    <t>AHB2PHY_BROADCAST_SWMAN1_AHB2PHY_BROADCAST_ADDRESS_SPACE_136</t>
  </si>
  <si>
    <t>AHB2PHY_BROADCAST_SWMAN1_AHB2PHY_BROADCAST_ADDRESS_SPACE_137</t>
  </si>
  <si>
    <t>AHB2PHY_BROADCAST_SWMAN1_AHB2PHY_BROADCAST_ADDRESS_SPACE_138</t>
  </si>
  <si>
    <t>AHB2PHY_BROADCAST_SWMAN1_AHB2PHY_BROADCAST_ADDRESS_SPACE_139</t>
  </si>
  <si>
    <t>AHB2PHY_BROADCAST_SWMAN1_AHB2PHY_BROADCAST_ADDRESS_SPACE_140</t>
  </si>
  <si>
    <t>AHB2PHY_BROADCAST_SWMAN1_AHB2PHY_BROADCAST_ADDRESS_SPACE_141</t>
  </si>
  <si>
    <t>AHB2PHY_BROADCAST_SWMAN1_AHB2PHY_BROADCAST_ADDRESS_SPACE_142</t>
  </si>
  <si>
    <t>AHB2PHY_BROADCAST_SWMAN1_AHB2PHY_BROADCAST_ADDRESS_SPACE_143</t>
  </si>
  <si>
    <t>AHB2PHY_BROADCAST_SWMAN1_AHB2PHY_BROADCAST_ADDRESS_SPACE_144</t>
  </si>
  <si>
    <t>AHB2PHY_BROADCAST_SWMAN1_AHB2PHY_BROADCAST_ADDRESS_SPACE_145</t>
  </si>
  <si>
    <t>AHB2PHY_BROADCAST_SWMAN1_AHB2PHY_BROADCAST_ADDRESS_SPACE_146</t>
  </si>
  <si>
    <t>AHB2PHY_BROADCAST_SWMAN1_AHB2PHY_BROADCAST_ADDRESS_SPACE_147</t>
  </si>
  <si>
    <t>AHB2PHY_BROADCAST_SWMAN1_AHB2PHY_BROADCAST_ADDRESS_SPACE_148</t>
  </si>
  <si>
    <t>AHB2PHY_BROADCAST_SWMAN1_AHB2PHY_BROADCAST_ADDRESS_SPACE_149</t>
  </si>
  <si>
    <t>AHB2PHY_BROADCAST_SWMAN1_AHB2PHY_BROADCAST_ADDRESS_SPACE_150</t>
  </si>
  <si>
    <t>AHB2PHY_BROADCAST_SWMAN1_AHB2PHY_BROADCAST_ADDRESS_SPACE_151</t>
  </si>
  <si>
    <t>AHB2PHY_BROADCAST_SWMAN1_AHB2PHY_BROADCAST_ADDRESS_SPACE_152</t>
  </si>
  <si>
    <t>AHB2PHY_BROADCAST_SWMAN1_AHB2PHY_BROADCAST_ADDRESS_SPACE_153</t>
  </si>
  <si>
    <t>AHB2PHY_BROADCAST_SWMAN1_AHB2PHY_BROADCAST_ADDRESS_SPACE_154</t>
  </si>
  <si>
    <t>AHB2PHY_BROADCAST_SWMAN1_AHB2PHY_BROADCAST_ADDRESS_SPACE_155</t>
  </si>
  <si>
    <t>AHB2PHY_BROADCAST_SWMAN1_AHB2PHY_BROADCAST_ADDRESS_SPACE_156</t>
  </si>
  <si>
    <t>AHB2PHY_BROADCAST_SWMAN1_AHB2PHY_BROADCAST_ADDRESS_SPACE_157</t>
  </si>
  <si>
    <t>AHB2PHY_BROADCAST_SWMAN1_AHB2PHY_BROADCAST_ADDRESS_SPACE_158</t>
  </si>
  <si>
    <t>AHB2PHY_BROADCAST_SWMAN1_AHB2PHY_BROADCAST_ADDRESS_SPACE_159</t>
  </si>
  <si>
    <t>AHB2PHY_BROADCAST_SWMAN1_AHB2PHY_BROADCAST_ADDRESS_SPACE_160</t>
  </si>
  <si>
    <t>AHB2PHY_BROADCAST_SWMAN1_AHB2PHY_BROADCAST_ADDRESS_SPACE_161</t>
  </si>
  <si>
    <t>AHB2PHY_BROADCAST_SWMAN1_AHB2PHY_BROADCAST_ADDRESS_SPACE_162</t>
  </si>
  <si>
    <t>AHB2PHY_BROADCAST_SWMAN1_AHB2PHY_BROADCAST_ADDRESS_SPACE_163</t>
  </si>
  <si>
    <t>AHB2PHY_BROADCAST_SWMAN1_AHB2PHY_BROADCAST_ADDRESS_SPACE_164</t>
  </si>
  <si>
    <t>AHB2PHY_BROADCAST_SWMAN1_AHB2PHY_BROADCAST_ADDRESS_SPACE_165</t>
  </si>
  <si>
    <t>AHB2PHY_BROADCAST_SWMAN1_AHB2PHY_BROADCAST_ADDRESS_SPACE_166</t>
  </si>
  <si>
    <t>AHB2PHY_BROADCAST_SWMAN1_AHB2PHY_BROADCAST_ADDRESS_SPACE_167</t>
  </si>
  <si>
    <t>AHB2PHY_BROADCAST_SWMAN1_AHB2PHY_BROADCAST_ADDRESS_SPACE_168</t>
  </si>
  <si>
    <t>AHB2PHY_BROADCAST_SWMAN1_AHB2PHY_BROADCAST_ADDRESS_SPACE_169</t>
  </si>
  <si>
    <t>AHB2PHY_BROADCAST_SWMAN1_AHB2PHY_BROADCAST_ADDRESS_SPACE_170</t>
  </si>
  <si>
    <t>AHB2PHY_BROADCAST_SWMAN1_AHB2PHY_BROADCAST_ADDRESS_SPACE_171</t>
  </si>
  <si>
    <t>AHB2PHY_BROADCAST_SWMAN1_AHB2PHY_BROADCAST_ADDRESS_SPACE_172</t>
  </si>
  <si>
    <t>AHB2PHY_BROADCAST_SWMAN1_AHB2PHY_BROADCAST_ADDRESS_SPACE_173</t>
  </si>
  <si>
    <t>AHB2PHY_BROADCAST_SWMAN1_AHB2PHY_BROADCAST_ADDRESS_SPACE_174</t>
  </si>
  <si>
    <t>AHB2PHY_BROADCAST_SWMAN1_AHB2PHY_BROADCAST_ADDRESS_SPACE_175</t>
  </si>
  <si>
    <t>AHB2PHY_BROADCAST_SWMAN1_AHB2PHY_BROADCAST_ADDRESS_SPACE_176</t>
  </si>
  <si>
    <t>AHB2PHY_BROADCAST_SWMAN1_AHB2PHY_BROADCAST_ADDRESS_SPACE_177</t>
  </si>
  <si>
    <t>AHB2PHY_BROADCAST_SWMAN1_AHB2PHY_BROADCAST_ADDRESS_SPACE_178</t>
  </si>
  <si>
    <t>AHB2PHY_BROADCAST_SWMAN1_AHB2PHY_BROADCAST_ADDRESS_SPACE_179</t>
  </si>
  <si>
    <t>AHB2PHY_BROADCAST_SWMAN1_AHB2PHY_BROADCAST_ADDRESS_SPACE_180</t>
  </si>
  <si>
    <t>AHB2PHY_BROADCAST_SWMAN1_AHB2PHY_BROADCAST_ADDRESS_SPACE_181</t>
  </si>
  <si>
    <t>AHB2PHY_BROADCAST_SWMAN1_AHB2PHY_BROADCAST_ADDRESS_SPACE_182</t>
  </si>
  <si>
    <t>AHB2PHY_BROADCAST_SWMAN1_AHB2PHY_BROADCAST_ADDRESS_SPACE_183</t>
  </si>
  <si>
    <t>AHB2PHY_BROADCAST_SWMAN1_AHB2PHY_BROADCAST_ADDRESS_SPACE_184</t>
  </si>
  <si>
    <t>AHB2PHY_BROADCAST_SWMAN1_AHB2PHY_BROADCAST_ADDRESS_SPACE_185</t>
  </si>
  <si>
    <t>AHB2PHY_BROADCAST_SWMAN1_AHB2PHY_BROADCAST_ADDRESS_SPACE_186</t>
  </si>
  <si>
    <t>AHB2PHY_BROADCAST_SWMAN1_AHB2PHY_BROADCAST_ADDRESS_SPACE_187</t>
  </si>
  <si>
    <t>AHB2PHY_BROADCAST_SWMAN1_AHB2PHY_BROADCAST_ADDRESS_SPACE_188</t>
  </si>
  <si>
    <t>AHB2PHY_BROADCAST_SWMAN1_AHB2PHY_BROADCAST_ADDRESS_SPACE_189</t>
  </si>
  <si>
    <t>AHB2PHY_BROADCAST_SWMAN1_AHB2PHY_BROADCAST_ADDRESS_SPACE_190</t>
  </si>
  <si>
    <t>AHB2PHY_BROADCAST_SWMAN1_AHB2PHY_BROADCAST_ADDRESS_SPACE_191</t>
  </si>
  <si>
    <t>AHB2PHY_BROADCAST_SWMAN1_AHB2PHY_BROADCAST_ADDRESS_SPACE_192</t>
  </si>
  <si>
    <t>AHB2PHY_BROADCAST_SWMAN1_AHB2PHY_BROADCAST_ADDRESS_SPACE_193</t>
  </si>
  <si>
    <t>AHB2PHY_BROADCAST_SWMAN1_AHB2PHY_BROADCAST_ADDRESS_SPACE_194</t>
  </si>
  <si>
    <t>AHB2PHY_BROADCAST_SWMAN1_AHB2PHY_BROADCAST_ADDRESS_SPACE_195</t>
  </si>
  <si>
    <t>AHB2PHY_BROADCAST_SWMAN1_AHB2PHY_BROADCAST_ADDRESS_SPACE_196</t>
  </si>
  <si>
    <t>AHB2PHY_BROADCAST_SWMAN1_AHB2PHY_BROADCAST_ADDRESS_SPACE_197</t>
  </si>
  <si>
    <t>AHB2PHY_BROADCAST_SWMAN1_AHB2PHY_BROADCAST_ADDRESS_SPACE_198</t>
  </si>
  <si>
    <t>AHB2PHY_BROADCAST_SWMAN1_AHB2PHY_BROADCAST_ADDRESS_SPACE_199</t>
  </si>
  <si>
    <t>AHB2PHY_BROADCAST_SWMAN1_AHB2PHY_BROADCAST_ADDRESS_SPACE_200</t>
  </si>
  <si>
    <t>AHB2PHY_BROADCAST_SWMAN1_AHB2PHY_BROADCAST_ADDRESS_SPACE_201</t>
  </si>
  <si>
    <t>AHB2PHY_BROADCAST_SWMAN1_AHB2PHY_BROADCAST_ADDRESS_SPACE_202</t>
  </si>
  <si>
    <t>AHB2PHY_BROADCAST_SWMAN1_AHB2PHY_BROADCAST_ADDRESS_SPACE_203</t>
  </si>
  <si>
    <t>AHB2PHY_BROADCAST_SWMAN1_AHB2PHY_BROADCAST_ADDRESS_SPACE_204</t>
  </si>
  <si>
    <t>AHB2PHY_BROADCAST_SWMAN1_AHB2PHY_BROADCAST_ADDRESS_SPACE_205</t>
  </si>
  <si>
    <t>AHB2PHY_BROADCAST_SWMAN1_AHB2PHY_BROADCAST_ADDRESS_SPACE_206</t>
  </si>
  <si>
    <t>AHB2PHY_BROADCAST_SWMAN1_AHB2PHY_BROADCAST_ADDRESS_SPACE_207</t>
  </si>
  <si>
    <t>AHB2PHY_BROADCAST_SWMAN1_AHB2PHY_BROADCAST_ADDRESS_SPACE_208</t>
  </si>
  <si>
    <t>AHB2PHY_BROADCAST_SWMAN1_AHB2PHY_BROADCAST_ADDRESS_SPACE_209</t>
  </si>
  <si>
    <t>AHB2PHY_BROADCAST_SWMAN1_AHB2PHY_BROADCAST_ADDRESS_SPACE_210</t>
  </si>
  <si>
    <t>AHB2PHY_BROADCAST_SWMAN1_AHB2PHY_BROADCAST_ADDRESS_SPACE_211</t>
  </si>
  <si>
    <t>AHB2PHY_BROADCAST_SWMAN1_AHB2PHY_BROADCAST_ADDRESS_SPACE_212</t>
  </si>
  <si>
    <t>AHB2PHY_BROADCAST_SWMAN1_AHB2PHY_BROADCAST_ADDRESS_SPACE_213</t>
  </si>
  <si>
    <t>AHB2PHY_BROADCAST_SWMAN1_AHB2PHY_BROADCAST_ADDRESS_SPACE_214</t>
  </si>
  <si>
    <t>AHB2PHY_BROADCAST_SWMAN1_AHB2PHY_BROADCAST_ADDRESS_SPACE_215</t>
  </si>
  <si>
    <t>AHB2PHY_BROADCAST_SWMAN1_AHB2PHY_BROADCAST_ADDRESS_SPACE_216</t>
  </si>
  <si>
    <t>AHB2PHY_BROADCAST_SWMAN1_AHB2PHY_BROADCAST_ADDRESS_SPACE_217</t>
  </si>
  <si>
    <t>AHB2PHY_BROADCAST_SWMAN1_AHB2PHY_BROADCAST_ADDRESS_SPACE_218</t>
  </si>
  <si>
    <t>AHB2PHY_BROADCAST_SWMAN1_AHB2PHY_BROADCAST_ADDRESS_SPACE_219</t>
  </si>
  <si>
    <t>AHB2PHY_BROADCAST_SWMAN1_AHB2PHY_BROADCAST_ADDRESS_SPACE_220</t>
  </si>
  <si>
    <t>00000374</t>
  </si>
  <si>
    <t>AHB2PHY_BROADCAST_SWMAN1_AHB2PHY_BROADCAST_ADDRESS_SPACE_221</t>
  </si>
  <si>
    <t>AHB2PHY_BROADCAST_SWMAN1_AHB2PHY_BROADCAST_ADDRESS_SPACE_222</t>
  </si>
  <si>
    <t>0000037c</t>
  </si>
  <si>
    <t>AHB2PHY_BROADCAST_SWMAN1_AHB2PHY_BROADCAST_ADDRESS_SPACE_223</t>
  </si>
  <si>
    <t>AHB2PHY_BROADCAST_SWMAN1_AHB2PHY_BROADCAST_ADDRESS_SPACE_224</t>
  </si>
  <si>
    <t>AHB2PHY_BROADCAST_SWMAN1_AHB2PHY_BROADCAST_ADDRESS_SPACE_225</t>
  </si>
  <si>
    <t>AHB2PHY_BROADCAST_SWMAN1_AHB2PHY_BROADCAST_ADDRESS_SPACE_226</t>
  </si>
  <si>
    <t>AHB2PHY_BROADCAST_SWMAN1_AHB2PHY_BROADCAST_ADDRESS_SPACE_227</t>
  </si>
  <si>
    <t>AHB2PHY_BROADCAST_SWMAN1_AHB2PHY_BROADCAST_ADDRESS_SPACE_228</t>
  </si>
  <si>
    <t>AHB2PHY_BROADCAST_SWMAN1_AHB2PHY_BROADCAST_ADDRESS_SPACE_229</t>
  </si>
  <si>
    <t>AHB2PHY_BROADCAST_SWMAN1_AHB2PHY_BROADCAST_ADDRESS_SPACE_230</t>
  </si>
  <si>
    <t>AHB2PHY_BROADCAST_SWMAN1_AHB2PHY_BROADCAST_ADDRESS_SPACE_231</t>
  </si>
  <si>
    <t>AHB2PHY_BROADCAST_SWMAN1_AHB2PHY_BROADCAST_ADDRESS_SPACE_232</t>
  </si>
  <si>
    <t>AHB2PHY_BROADCAST_SWMAN1_AHB2PHY_BROADCAST_ADDRESS_SPACE_233</t>
  </si>
  <si>
    <t>AHB2PHY_BROADCAST_SWMAN1_AHB2PHY_BROADCAST_ADDRESS_SPACE_234</t>
  </si>
  <si>
    <t>AHB2PHY_BROADCAST_SWMAN1_AHB2PHY_BROADCAST_ADDRESS_SPACE_235</t>
  </si>
  <si>
    <t>AHB2PHY_BROADCAST_SWMAN1_AHB2PHY_BROADCAST_ADDRESS_SPACE_236</t>
  </si>
  <si>
    <t>AHB2PHY_BROADCAST_SWMAN1_AHB2PHY_BROADCAST_ADDRESS_SPACE_237</t>
  </si>
  <si>
    <t>AHB2PHY_BROADCAST_SWMAN1_AHB2PHY_BROADCAST_ADDRESS_SPACE_238</t>
  </si>
  <si>
    <t>AHB2PHY_BROADCAST_SWMAN1_AHB2PHY_BROADCAST_ADDRESS_SPACE_239</t>
  </si>
  <si>
    <t>AHB2PHY_BROADCAST_SWMAN1_AHB2PHY_BROADCAST_ADDRESS_SPACE_240</t>
  </si>
  <si>
    <t>AHB2PHY_BROADCAST_SWMAN1_AHB2PHY_BROADCAST_ADDRESS_SPACE_241</t>
  </si>
  <si>
    <t>AHB2PHY_BROADCAST_SWMAN1_AHB2PHY_BROADCAST_ADDRESS_SPACE_242</t>
  </si>
  <si>
    <t>AHB2PHY_BROADCAST_SWMAN1_AHB2PHY_BROADCAST_ADDRESS_SPACE_243</t>
  </si>
  <si>
    <t>AHB2PHY_BROADCAST_SWMAN1_AHB2PHY_BROADCAST_ADDRESS_SPACE_244</t>
  </si>
  <si>
    <t>AHB2PHY_BROADCAST_SWMAN1_AHB2PHY_BROADCAST_ADDRESS_SPACE_245</t>
  </si>
  <si>
    <t>AHB2PHY_BROADCAST_SWMAN1_AHB2PHY_BROADCAST_ADDRESS_SPACE_246</t>
  </si>
  <si>
    <t>AHB2PHY_BROADCAST_SWMAN1_AHB2PHY_BROADCAST_ADDRESS_SPACE_247</t>
  </si>
  <si>
    <t>AHB2PHY_BROADCAST_SWMAN1_AHB2PHY_BROADCAST_ADDRESS_SPACE_248</t>
  </si>
  <si>
    <t>AHB2PHY_BROADCAST_SWMAN1_AHB2PHY_BROADCAST_ADDRESS_SPACE_249</t>
  </si>
  <si>
    <t>AHB2PHY_BROADCAST_SWMAN1_AHB2PHY_BROADCAST_ADDRESS_SPACE_250</t>
  </si>
  <si>
    <t>AHB2PHY_BROADCAST_SWMAN1_AHB2PHY_BROADCAST_ADDRESS_SPACE_251</t>
  </si>
  <si>
    <t>AHB2PHY_BROADCAST_SWMAN1_AHB2PHY_BROADCAST_ADDRESS_SPACE_252</t>
  </si>
  <si>
    <t>AHB2PHY_BROADCAST_SWMAN1_AHB2PHY_BROADCAST_ADDRESS_SPACE_253</t>
  </si>
  <si>
    <t>AHB2PHY_BROADCAST_SWMAN1_AHB2PHY_BROADCAST_ADDRESS_SPACE_254</t>
  </si>
  <si>
    <t>AHB2PHY_BROADCAST_SWMAN1_AHB2PHY_BROADCAST_ADDRESS_SPACE_255</t>
  </si>
  <si>
    <t>AHB2PHY_BROADCAST_SWMAN1_AHB2PHY_BROADCAST_ADDRESS_SPACE_256</t>
  </si>
  <si>
    <t>AHB2PHY_BROADCAST_SWMAN1_AHB2PHY_BROADCAST_ADDRESS_SPACE_257</t>
  </si>
  <si>
    <t>AHB2PHY_BROADCAST_SWMAN1_AHB2PHY_BROADCAST_ADDRESS_SPACE_258</t>
  </si>
  <si>
    <t>AHB2PHY_BROADCAST_SWMAN1_AHB2PHY_BROADCAST_ADDRESS_SPACE_259</t>
  </si>
  <si>
    <t>AHB2PHY_BROADCAST_SWMAN1_AHB2PHY_BROADCAST_ADDRESS_SPACE_260</t>
  </si>
  <si>
    <t>AHB2PHY_BROADCAST_SWMAN1_AHB2PHY_BROADCAST_ADDRESS_SPACE_261</t>
  </si>
  <si>
    <t>AHB2PHY_BROADCAST_SWMAN1_AHB2PHY_BROADCAST_ADDRESS_SPACE_262</t>
  </si>
  <si>
    <t>AHB2PHY_BROADCAST_SWMAN1_AHB2PHY_BROADCAST_ADDRESS_SPACE_263</t>
  </si>
  <si>
    <t>AHB2PHY_BROADCAST_SWMAN1_AHB2PHY_BROADCAST_ADDRESS_SPACE_264</t>
  </si>
  <si>
    <t>AHB2PHY_BROADCAST_SWMAN1_AHB2PHY_BROADCAST_ADDRESS_SPACE_265</t>
  </si>
  <si>
    <t>AHB2PHY_BROADCAST_SWMAN1_AHB2PHY_BROADCAST_ADDRESS_SPACE_266</t>
  </si>
  <si>
    <t>AHB2PHY_BROADCAST_SWMAN1_AHB2PHY_BROADCAST_ADDRESS_SPACE_267</t>
  </si>
  <si>
    <t>AHB2PHY_BROADCAST_SWMAN1_AHB2PHY_BROADCAST_ADDRESS_SPACE_268</t>
  </si>
  <si>
    <t>AHB2PHY_BROADCAST_SWMAN1_AHB2PHY_BROADCAST_ADDRESS_SPACE_269</t>
  </si>
  <si>
    <t>AHB2PHY_BROADCAST_SWMAN1_AHB2PHY_BROADCAST_ADDRESS_SPACE_270</t>
  </si>
  <si>
    <t>AHB2PHY_BROADCAST_SWMAN1_AHB2PHY_BROADCAST_ADDRESS_SPACE_271</t>
  </si>
  <si>
    <t>AHB2PHY_BROADCAST_SWMAN1_AHB2PHY_BROADCAST_ADDRESS_SPACE_272</t>
  </si>
  <si>
    <t>AHB2PHY_BROADCAST_SWMAN1_AHB2PHY_BROADCAST_ADDRESS_SPACE_273</t>
  </si>
  <si>
    <t>AHB2PHY_BROADCAST_SWMAN1_AHB2PHY_BROADCAST_ADDRESS_SPACE_274</t>
  </si>
  <si>
    <t>AHB2PHY_BROADCAST_SWMAN1_AHB2PHY_BROADCAST_ADDRESS_SPACE_275</t>
  </si>
  <si>
    <t>AHB2PHY_BROADCAST_SWMAN1_AHB2PHY_BROADCAST_ADDRESS_SPACE_276</t>
  </si>
  <si>
    <t>AHB2PHY_BROADCAST_SWMAN1_AHB2PHY_BROADCAST_ADDRESS_SPACE_277</t>
  </si>
  <si>
    <t>AHB2PHY_BROADCAST_SWMAN1_AHB2PHY_BROADCAST_ADDRESS_SPACE_278</t>
  </si>
  <si>
    <t>AHB2PHY_BROADCAST_SWMAN1_AHB2PHY_BROADCAST_ADDRESS_SPACE_279</t>
  </si>
  <si>
    <t>AHB2PHY_BROADCAST_SWMAN1_AHB2PHY_BROADCAST_ADDRESS_SPACE_280</t>
  </si>
  <si>
    <t>AHB2PHY_BROADCAST_SWMAN1_AHB2PHY_BROADCAST_ADDRESS_SPACE_281</t>
  </si>
  <si>
    <t>AHB2PHY_BROADCAST_SWMAN1_AHB2PHY_BROADCAST_ADDRESS_SPACE_282</t>
  </si>
  <si>
    <t>AHB2PHY_BROADCAST_SWMAN1_AHB2PHY_BROADCAST_ADDRESS_SPACE_283</t>
  </si>
  <si>
    <t>AHB2PHY_BROADCAST_SWMAN1_AHB2PHY_BROADCAST_ADDRESS_SPACE_284</t>
  </si>
  <si>
    <t>AHB2PHY_BROADCAST_SWMAN1_AHB2PHY_BROADCAST_ADDRESS_SPACE_285</t>
  </si>
  <si>
    <t>AHB2PHY_BROADCAST_SWMAN1_AHB2PHY_BROADCAST_ADDRESS_SPACE_286</t>
  </si>
  <si>
    <t>AHB2PHY_BROADCAST_SWMAN1_AHB2PHY_BROADCAST_ADDRESS_SPACE_287</t>
  </si>
  <si>
    <t>AHB2PHY_BROADCAST_SWMAN1_AHB2PHY_BROADCAST_ADDRESS_SPACE_288</t>
  </si>
  <si>
    <t>AHB2PHY_BROADCAST_SWMAN1_AHB2PHY_BROADCAST_ADDRESS_SPACE_289</t>
  </si>
  <si>
    <t>AHB2PHY_BROADCAST_SWMAN1_AHB2PHY_BROADCAST_ADDRESS_SPACE_290</t>
  </si>
  <si>
    <t>AHB2PHY_BROADCAST_SWMAN1_AHB2PHY_BROADCAST_ADDRESS_SPACE_291</t>
  </si>
  <si>
    <t>AHB2PHY_BROADCAST_SWMAN1_AHB2PHY_BROADCAST_ADDRESS_SPACE_292</t>
  </si>
  <si>
    <t>AHB2PHY_BROADCAST_SWMAN1_AHB2PHY_BROADCAST_ADDRESS_SPACE_293</t>
  </si>
  <si>
    <t>AHB2PHY_BROADCAST_SWMAN1_AHB2PHY_BROADCAST_ADDRESS_SPACE_294</t>
  </si>
  <si>
    <t>AHB2PHY_BROADCAST_SWMAN1_AHB2PHY_BROADCAST_ADDRESS_SPACE_295</t>
  </si>
  <si>
    <t>AHB2PHY_BROADCAST_SWMAN1_AHB2PHY_BROADCAST_ADDRESS_SPACE_296</t>
  </si>
  <si>
    <t>AHB2PHY_BROADCAST_SWMAN1_AHB2PHY_BROADCAST_ADDRESS_SPACE_297</t>
  </si>
  <si>
    <t>AHB2PHY_BROADCAST_SWMAN1_AHB2PHY_BROADCAST_ADDRESS_SPACE_298</t>
  </si>
  <si>
    <t>AHB2PHY_BROADCAST_SWMAN1_AHB2PHY_BROADCAST_ADDRESS_SPACE_299</t>
  </si>
  <si>
    <t>AHB2PHY_BROADCAST_SWMAN1_AHB2PHY_BROADCAST_ADDRESS_SPACE_300</t>
  </si>
  <si>
    <t>AHB2PHY_BROADCAST_SWMAN1_AHB2PHY_BROADCAST_ADDRESS_SPACE_301</t>
  </si>
  <si>
    <t>AHB2PHY_BROADCAST_SWMAN1_AHB2PHY_BROADCAST_ADDRESS_SPACE_302</t>
  </si>
  <si>
    <t>AHB2PHY_BROADCAST_SWMAN1_AHB2PHY_BROADCAST_ADDRESS_SPACE_303</t>
  </si>
  <si>
    <t>AHB2PHY_BROADCAST_SWMAN1_AHB2PHY_BROADCAST_ADDRESS_SPACE_304</t>
  </si>
  <si>
    <t>AHB2PHY_BROADCAST_SWMAN1_AHB2PHY_BROADCAST_ADDRESS_SPACE_305</t>
  </si>
  <si>
    <t>AHB2PHY_BROADCAST_SWMAN1_AHB2PHY_BROADCAST_ADDRESS_SPACE_306</t>
  </si>
  <si>
    <t>AHB2PHY_BROADCAST_SWMAN1_AHB2PHY_BROADCAST_ADDRESS_SPACE_307</t>
  </si>
  <si>
    <t>AHB2PHY_BROADCAST_SWMAN1_AHB2PHY_BROADCAST_ADDRESS_SPACE_308</t>
  </si>
  <si>
    <t>AHB2PHY_BROADCAST_SWMAN1_AHB2PHY_BROADCAST_ADDRESS_SPACE_309</t>
  </si>
  <si>
    <t>AHB2PHY_BROADCAST_SWMAN1_AHB2PHY_BROADCAST_ADDRESS_SPACE_310</t>
  </si>
  <si>
    <t>AHB2PHY_BROADCAST_SWMAN1_AHB2PHY_BROADCAST_ADDRESS_SPACE_311</t>
  </si>
  <si>
    <t>AHB2PHY_BROADCAST_SWMAN1_AHB2PHY_BROADCAST_ADDRESS_SPACE_312</t>
  </si>
  <si>
    <t>AHB2PHY_BROADCAST_SWMAN1_AHB2PHY_BROADCAST_ADDRESS_SPACE_313</t>
  </si>
  <si>
    <t>AHB2PHY_BROADCAST_SWMAN1_AHB2PHY_BROADCAST_ADDRESS_SPACE_314</t>
  </si>
  <si>
    <t>AHB2PHY_BROADCAST_SWMAN1_AHB2PHY_BROADCAST_ADDRESS_SPACE_315</t>
  </si>
  <si>
    <t>AHB2PHY_BROADCAST_SWMAN1_AHB2PHY_BROADCAST_ADDRESS_SPACE_316</t>
  </si>
  <si>
    <t>AHB2PHY_BROADCAST_SWMAN1_AHB2PHY_BROADCAST_ADDRESS_SPACE_317</t>
  </si>
  <si>
    <t>AHB2PHY_BROADCAST_SWMAN1_AHB2PHY_BROADCAST_ADDRESS_SPACE_318</t>
  </si>
  <si>
    <t>AHB2PHY_BROADCAST_SWMAN1_AHB2PHY_BROADCAST_ADDRESS_SPACE_319</t>
  </si>
  <si>
    <t>AHB2PHY_BROADCAST_SWMAN1_AHB2PHY_BROADCAST_ADDRESS_SPACE_320</t>
  </si>
  <si>
    <t>AHB2PHY_BROADCAST_SWMAN1_AHB2PHY_BROADCAST_ADDRESS_SPACE_321</t>
  </si>
  <si>
    <t>AHB2PHY_BROADCAST_SWMAN1_AHB2PHY_BROADCAST_ADDRESS_SPACE_322</t>
  </si>
  <si>
    <t>AHB2PHY_BROADCAST_SWMAN1_AHB2PHY_BROADCAST_ADDRESS_SPACE_323</t>
  </si>
  <si>
    <t>AHB2PHY_BROADCAST_SWMAN1_AHB2PHY_BROADCAST_ADDRESS_SPACE_324</t>
  </si>
  <si>
    <t>AHB2PHY_BROADCAST_SWMAN1_AHB2PHY_BROADCAST_ADDRESS_SPACE_325</t>
  </si>
  <si>
    <t>AHB2PHY_BROADCAST_SWMAN1_AHB2PHY_BROADCAST_ADDRESS_SPACE_326</t>
  </si>
  <si>
    <t>AHB2PHY_BROADCAST_SWMAN1_AHB2PHY_BROADCAST_ADDRESS_SPACE_327</t>
  </si>
  <si>
    <t>AHB2PHY_BROADCAST_SWMAN1_AHB2PHY_BROADCAST_ADDRESS_SPACE_328</t>
  </si>
  <si>
    <t>AHB2PHY_BROADCAST_SWMAN1_AHB2PHY_BROADCAST_ADDRESS_SPACE_329</t>
  </si>
  <si>
    <t>AHB2PHY_BROADCAST_SWMAN1_AHB2PHY_BROADCAST_ADDRESS_SPACE_330</t>
  </si>
  <si>
    <t>AHB2PHY_BROADCAST_SWMAN1_AHB2PHY_BROADCAST_ADDRESS_SPACE_331</t>
  </si>
  <si>
    <t>AHB2PHY_BROADCAST_SWMAN1_AHB2PHY_BROADCAST_ADDRESS_SPACE_332</t>
  </si>
  <si>
    <t>AHB2PHY_BROADCAST_SWMAN1_AHB2PHY_BROADCAST_ADDRESS_SPACE_333</t>
  </si>
  <si>
    <t>AHB2PHY_BROADCAST_SWMAN1_AHB2PHY_BROADCAST_ADDRESS_SPACE_334</t>
  </si>
  <si>
    <t>AHB2PHY_BROADCAST_SWMAN1_AHB2PHY_BROADCAST_ADDRESS_SPACE_335</t>
  </si>
  <si>
    <t>AHB2PHY_BROADCAST_SWMAN1_AHB2PHY_BROADCAST_ADDRESS_SPACE_336</t>
  </si>
  <si>
    <t>AHB2PHY_BROADCAST_SWMAN1_AHB2PHY_BROADCAST_ADDRESS_SPACE_337</t>
  </si>
  <si>
    <t>AHB2PHY_BROADCAST_SWMAN1_AHB2PHY_BROADCAST_ADDRESS_SPACE_338</t>
  </si>
  <si>
    <t>AHB2PHY_BROADCAST_SWMAN1_AHB2PHY_BROADCAST_ADDRESS_SPACE_339</t>
  </si>
  <si>
    <t>AHB2PHY_BROADCAST_SWMAN1_AHB2PHY_BROADCAST_ADDRESS_SPACE_340</t>
  </si>
  <si>
    <t>AHB2PHY_BROADCAST_SWMAN1_AHB2PHY_BROADCAST_ADDRESS_SPACE_341</t>
  </si>
  <si>
    <t>AHB2PHY_BROADCAST_SWMAN1_AHB2PHY_BROADCAST_ADDRESS_SPACE_342</t>
  </si>
  <si>
    <t>AHB2PHY_BROADCAST_SWMAN1_AHB2PHY_BROADCAST_ADDRESS_SPACE_343</t>
  </si>
  <si>
    <t>AHB2PHY_BROADCAST_SWMAN1_AHB2PHY_BROADCAST_ADDRESS_SPACE_344</t>
  </si>
  <si>
    <t>AHB2PHY_BROADCAST_SWMAN1_AHB2PHY_BROADCAST_ADDRESS_SPACE_345</t>
  </si>
  <si>
    <t>AHB2PHY_BROADCAST_SWMAN1_AHB2PHY_BROADCAST_ADDRESS_SPACE_346</t>
  </si>
  <si>
    <t>AHB2PHY_BROADCAST_SWMAN1_AHB2PHY_BROADCAST_ADDRESS_SPACE_347</t>
  </si>
  <si>
    <t>AHB2PHY_BROADCAST_SWMAN1_AHB2PHY_BROADCAST_ADDRESS_SPACE_348</t>
  </si>
  <si>
    <t>AHB2PHY_BROADCAST_SWMAN1_AHB2PHY_BROADCAST_ADDRESS_SPACE_349</t>
  </si>
  <si>
    <t>AHB2PHY_BROADCAST_SWMAN1_AHB2PHY_BROADCAST_ADDRESS_SPACE_350</t>
  </si>
  <si>
    <t>AHB2PHY_BROADCAST_SWMAN1_AHB2PHY_BROADCAST_ADDRESS_SPACE_351</t>
  </si>
  <si>
    <t>AHB2PHY_BROADCAST_SWMAN1_AHB2PHY_BROADCAST_ADDRESS_SPACE_352</t>
  </si>
  <si>
    <t>AHB2PHY_BROADCAST_SWMAN1_AHB2PHY_BROADCAST_ADDRESS_SPACE_353</t>
  </si>
  <si>
    <t>AHB2PHY_BROADCAST_SWMAN1_AHB2PHY_BROADCAST_ADDRESS_SPACE_354</t>
  </si>
  <si>
    <t>AHB2PHY_BROADCAST_SWMAN1_AHB2PHY_BROADCAST_ADDRESS_SPACE_355</t>
  </si>
  <si>
    <t>AHB2PHY_BROADCAST_SWMAN1_AHB2PHY_BROADCAST_ADDRESS_SPACE_356</t>
  </si>
  <si>
    <t>AHB2PHY_BROADCAST_SWMAN1_AHB2PHY_BROADCAST_ADDRESS_SPACE_357</t>
  </si>
  <si>
    <t>AHB2PHY_BROADCAST_SWMAN1_AHB2PHY_BROADCAST_ADDRESS_SPACE_358</t>
  </si>
  <si>
    <t>AHB2PHY_BROADCAST_SWMAN1_AHB2PHY_BROADCAST_ADDRESS_SPACE_359</t>
  </si>
  <si>
    <t>AHB2PHY_BROADCAST_SWMAN1_AHB2PHY_BROADCAST_ADDRESS_SPACE_360</t>
  </si>
  <si>
    <t>AHB2PHY_BROADCAST_SWMAN1_AHB2PHY_BROADCAST_ADDRESS_SPACE_361</t>
  </si>
  <si>
    <t>AHB2PHY_BROADCAST_SWMAN1_AHB2PHY_BROADCAST_ADDRESS_SPACE_362</t>
  </si>
  <si>
    <t>AHB2PHY_BROADCAST_SWMAN1_AHB2PHY_BROADCAST_ADDRESS_SPACE_363</t>
  </si>
  <si>
    <t>AHB2PHY_BROADCAST_SWMAN1_AHB2PHY_BROADCAST_ADDRESS_SPACE_364</t>
  </si>
  <si>
    <t>AHB2PHY_BROADCAST_SWMAN1_AHB2PHY_BROADCAST_ADDRESS_SPACE_365</t>
  </si>
  <si>
    <t>AHB2PHY_BROADCAST_SWMAN1_AHB2PHY_BROADCAST_ADDRESS_SPACE_366</t>
  </si>
  <si>
    <t>AHB2PHY_BROADCAST_SWMAN1_AHB2PHY_BROADCAST_ADDRESS_SPACE_367</t>
  </si>
  <si>
    <t>AHB2PHY_BROADCAST_SWMAN1_AHB2PHY_BROADCAST_ADDRESS_SPACE_368</t>
  </si>
  <si>
    <t>AHB2PHY_BROADCAST_SWMAN1_AHB2PHY_BROADCAST_ADDRESS_SPACE_369</t>
  </si>
  <si>
    <t>AHB2PHY_BROADCAST_SWMAN1_AHB2PHY_BROADCAST_ADDRESS_SPACE_370</t>
  </si>
  <si>
    <t>AHB2PHY_BROADCAST_SWMAN1_AHB2PHY_BROADCAST_ADDRESS_SPACE_371</t>
  </si>
  <si>
    <t>AHB2PHY_BROADCAST_SWMAN1_AHB2PHY_BROADCAST_ADDRESS_SPACE_372</t>
  </si>
  <si>
    <t>AHB2PHY_BROADCAST_SWMAN1_AHB2PHY_BROADCAST_ADDRESS_SPACE_373</t>
  </si>
  <si>
    <t>AHB2PHY_BROADCAST_SWMAN1_AHB2PHY_BROADCAST_ADDRESS_SPACE_374</t>
  </si>
  <si>
    <t>AHB2PHY_BROADCAST_SWMAN1_AHB2PHY_BROADCAST_ADDRESS_SPACE_375</t>
  </si>
  <si>
    <t>AHB2PHY_BROADCAST_SWMAN1_AHB2PHY_BROADCAST_ADDRESS_SPACE_376</t>
  </si>
  <si>
    <t>AHB2PHY_BROADCAST_SWMAN1_AHB2PHY_BROADCAST_ADDRESS_SPACE_377</t>
  </si>
  <si>
    <t>AHB2PHY_BROADCAST_SWMAN1_AHB2PHY_BROADCAST_ADDRESS_SPACE_378</t>
  </si>
  <si>
    <t>AHB2PHY_BROADCAST_SWMAN1_AHB2PHY_BROADCAST_ADDRESS_SPACE_379</t>
  </si>
  <si>
    <t>AHB2PHY_BROADCAST_SWMAN1_AHB2PHY_BROADCAST_ADDRESS_SPACE_380</t>
  </si>
  <si>
    <t>AHB2PHY_BROADCAST_SWMAN1_AHB2PHY_BROADCAST_ADDRESS_SPACE_381</t>
  </si>
  <si>
    <t>AHB2PHY_BROADCAST_SWMAN1_AHB2PHY_BROADCAST_ADDRESS_SPACE_382</t>
  </si>
  <si>
    <t>AHB2PHY_BROADCAST_SWMAN1_AHB2PHY_BROADCAST_ADDRESS_SPACE_383</t>
  </si>
  <si>
    <t>AHB2PHY_BROADCAST_SWMAN1_AHB2PHY_BROADCAST_ADDRESS_SPACE_384</t>
  </si>
  <si>
    <t>AHB2PHY_BROADCAST_SWMAN1_AHB2PHY_BROADCAST_ADDRESS_SPACE_385</t>
  </si>
  <si>
    <t>AHB2PHY_BROADCAST_SWMAN1_AHB2PHY_BROADCAST_ADDRESS_SPACE_386</t>
  </si>
  <si>
    <t>AHB2PHY_BROADCAST_SWMAN1_AHB2PHY_BROADCAST_ADDRESS_SPACE_387</t>
  </si>
  <si>
    <t>AHB2PHY_BROADCAST_SWMAN1_AHB2PHY_BROADCAST_ADDRESS_SPACE_388</t>
  </si>
  <si>
    <t>AHB2PHY_BROADCAST_SWMAN1_AHB2PHY_BROADCAST_ADDRESS_SPACE_389</t>
  </si>
  <si>
    <t>AHB2PHY_BROADCAST_SWMAN1_AHB2PHY_BROADCAST_ADDRESS_SPACE_390</t>
  </si>
  <si>
    <t>AHB2PHY_BROADCAST_SWMAN1_AHB2PHY_BROADCAST_ADDRESS_SPACE_391</t>
  </si>
  <si>
    <t>AHB2PHY_BROADCAST_SWMAN1_AHB2PHY_BROADCAST_ADDRESS_SPACE_392</t>
  </si>
  <si>
    <t>AHB2PHY_BROADCAST_SWMAN1_AHB2PHY_BROADCAST_ADDRESS_SPACE_393</t>
  </si>
  <si>
    <t>AHB2PHY_BROADCAST_SWMAN1_AHB2PHY_BROADCAST_ADDRESS_SPACE_394</t>
  </si>
  <si>
    <t>AHB2PHY_BROADCAST_SWMAN1_AHB2PHY_BROADCAST_ADDRESS_SPACE_395</t>
  </si>
  <si>
    <t>AHB2PHY_BROADCAST_SWMAN1_AHB2PHY_BROADCAST_ADDRESS_SPACE_396</t>
  </si>
  <si>
    <t>AHB2PHY_BROADCAST_SWMAN1_AHB2PHY_BROADCAST_ADDRESS_SPACE_397</t>
  </si>
  <si>
    <t>AHB2PHY_BROADCAST_SWMAN1_AHB2PHY_BROADCAST_ADDRESS_SPACE_398</t>
  </si>
  <si>
    <t>AHB2PHY_BROADCAST_SWMAN1_AHB2PHY_BROADCAST_ADDRESS_SPACE_399</t>
  </si>
  <si>
    <t>AHB2PHY_BROADCAST_SWMAN1_AHB2PHY_BROADCAST_ADDRESS_SPACE_400</t>
  </si>
  <si>
    <t>AHB2PHY_BROADCAST_SWMAN1_AHB2PHY_BROADCAST_ADDRESS_SPACE_401</t>
  </si>
  <si>
    <t>AHB2PHY_BROADCAST_SWMAN1_AHB2PHY_BROADCAST_ADDRESS_SPACE_402</t>
  </si>
  <si>
    <t>AHB2PHY_BROADCAST_SWMAN1_AHB2PHY_BROADCAST_ADDRESS_SPACE_403</t>
  </si>
  <si>
    <t>AHB2PHY_BROADCAST_SWMAN1_AHB2PHY_BROADCAST_ADDRESS_SPACE_404</t>
  </si>
  <si>
    <t>AHB2PHY_BROADCAST_SWMAN1_AHB2PHY_BROADCAST_ADDRESS_SPACE_405</t>
  </si>
  <si>
    <t>AHB2PHY_BROADCAST_SWMAN1_AHB2PHY_BROADCAST_ADDRESS_SPACE_406</t>
  </si>
  <si>
    <t>AHB2PHY_BROADCAST_SWMAN1_AHB2PHY_BROADCAST_ADDRESS_SPACE_407</t>
  </si>
  <si>
    <t>AHB2PHY_BROADCAST_SWMAN1_AHB2PHY_BROADCAST_ADDRESS_SPACE_408</t>
  </si>
  <si>
    <t>AHB2PHY_BROADCAST_SWMAN1_AHB2PHY_BROADCAST_ADDRESS_SPACE_409</t>
  </si>
  <si>
    <t>AHB2PHY_BROADCAST_SWMAN1_AHB2PHY_BROADCAST_ADDRESS_SPACE_410</t>
  </si>
  <si>
    <t>AHB2PHY_BROADCAST_SWMAN1_AHB2PHY_BROADCAST_ADDRESS_SPACE_411</t>
  </si>
  <si>
    <t>AHB2PHY_BROADCAST_SWMAN1_AHB2PHY_BROADCAST_ADDRESS_SPACE_412</t>
  </si>
  <si>
    <t>AHB2PHY_BROADCAST_SWMAN1_AHB2PHY_BROADCAST_ADDRESS_SPACE_413</t>
  </si>
  <si>
    <t>AHB2PHY_BROADCAST_SWMAN1_AHB2PHY_BROADCAST_ADDRESS_SPACE_414</t>
  </si>
  <si>
    <t>AHB2PHY_BROADCAST_SWMAN1_AHB2PHY_BROADCAST_ADDRESS_SPACE_415</t>
  </si>
  <si>
    <t>AHB2PHY_BROADCAST_SWMAN1_AHB2PHY_BROADCAST_ADDRESS_SPACE_416</t>
  </si>
  <si>
    <t>AHB2PHY_BROADCAST_SWMAN1_AHB2PHY_BROADCAST_ADDRESS_SPACE_417</t>
  </si>
  <si>
    <t>AHB2PHY_BROADCAST_SWMAN1_AHB2PHY_BROADCAST_ADDRESS_SPACE_418</t>
  </si>
  <si>
    <t>AHB2PHY_BROADCAST_SWMAN1_AHB2PHY_BROADCAST_ADDRESS_SPACE_419</t>
  </si>
  <si>
    <t>AHB2PHY_BROADCAST_SWMAN1_AHB2PHY_BROADCAST_ADDRESS_SPACE_420</t>
  </si>
  <si>
    <t>AHB2PHY_BROADCAST_SWMAN1_AHB2PHY_BROADCAST_ADDRESS_SPACE_421</t>
  </si>
  <si>
    <t>AHB2PHY_BROADCAST_SWMAN1_AHB2PHY_BROADCAST_ADDRESS_SPACE_422</t>
  </si>
  <si>
    <t>AHB2PHY_BROADCAST_SWMAN1_AHB2PHY_BROADCAST_ADDRESS_SPACE_423</t>
  </si>
  <si>
    <t>AHB2PHY_BROADCAST_SWMAN1_AHB2PHY_BROADCAST_ADDRESS_SPACE_424</t>
  </si>
  <si>
    <t>AHB2PHY_BROADCAST_SWMAN1_AHB2PHY_BROADCAST_ADDRESS_SPACE_425</t>
  </si>
  <si>
    <t>AHB2PHY_BROADCAST_SWMAN1_AHB2PHY_BROADCAST_ADDRESS_SPACE_426</t>
  </si>
  <si>
    <t>AHB2PHY_BROADCAST_SWMAN1_AHB2PHY_BROADCAST_ADDRESS_SPACE_427</t>
  </si>
  <si>
    <t>AHB2PHY_BROADCAST_SWMAN1_AHB2PHY_BROADCAST_ADDRESS_SPACE_428</t>
  </si>
  <si>
    <t>AHB2PHY_BROADCAST_SWMAN1_AHB2PHY_BROADCAST_ADDRESS_SPACE_429</t>
  </si>
  <si>
    <t>AHB2PHY_BROADCAST_SWMAN1_AHB2PHY_BROADCAST_ADDRESS_SPACE_430</t>
  </si>
  <si>
    <t>AHB2PHY_BROADCAST_SWMAN1_AHB2PHY_BROADCAST_ADDRESS_SPACE_431</t>
  </si>
  <si>
    <t>AHB2PHY_BROADCAST_SWMAN1_AHB2PHY_BROADCAST_ADDRESS_SPACE_432</t>
  </si>
  <si>
    <t>AHB2PHY_BROADCAST_SWMAN1_AHB2PHY_BROADCAST_ADDRESS_SPACE_433</t>
  </si>
  <si>
    <t>AHB2PHY_BROADCAST_SWMAN1_AHB2PHY_BROADCAST_ADDRESS_SPACE_434</t>
  </si>
  <si>
    <t>AHB2PHY_BROADCAST_SWMAN1_AHB2PHY_BROADCAST_ADDRESS_SPACE_435</t>
  </si>
  <si>
    <t>AHB2PHY_BROADCAST_SWMAN1_AHB2PHY_BROADCAST_ADDRESS_SPACE_436</t>
  </si>
  <si>
    <t>AHB2PHY_BROADCAST_SWMAN1_AHB2PHY_BROADCAST_ADDRESS_SPACE_437</t>
  </si>
  <si>
    <t>AHB2PHY_BROADCAST_SWMAN1_AHB2PHY_BROADCAST_ADDRESS_SPACE_438</t>
  </si>
  <si>
    <t>AHB2PHY_BROADCAST_SWMAN1_AHB2PHY_BROADCAST_ADDRESS_SPACE_439</t>
  </si>
  <si>
    <t>AHB2PHY_BROADCAST_SWMAN1_AHB2PHY_BROADCAST_ADDRESS_SPACE_440</t>
  </si>
  <si>
    <t>AHB2PHY_BROADCAST_SWMAN1_AHB2PHY_BROADCAST_ADDRESS_SPACE_441</t>
  </si>
  <si>
    <t>AHB2PHY_BROADCAST_SWMAN1_AHB2PHY_BROADCAST_ADDRESS_SPACE_442</t>
  </si>
  <si>
    <t>AHB2PHY_BROADCAST_SWMAN1_AHB2PHY_BROADCAST_ADDRESS_SPACE_443</t>
  </si>
  <si>
    <t>AHB2PHY_BROADCAST_SWMAN1_AHB2PHY_BROADCAST_ADDRESS_SPACE_444</t>
  </si>
  <si>
    <t>AHB2PHY_BROADCAST_SWMAN1_AHB2PHY_BROADCAST_ADDRESS_SPACE_445</t>
  </si>
  <si>
    <t>AHB2PHY_BROADCAST_SWMAN1_AHB2PHY_BROADCAST_ADDRESS_SPACE_446</t>
  </si>
  <si>
    <t>AHB2PHY_BROADCAST_SWMAN1_AHB2PHY_BROADCAST_ADDRESS_SPACE_447</t>
  </si>
  <si>
    <t>AHB2PHY_BROADCAST_SWMAN1_AHB2PHY_BROADCAST_ADDRESS_SPACE_448</t>
  </si>
  <si>
    <t>AHB2PHY_BROADCAST_SWMAN1_AHB2PHY_BROADCAST_ADDRESS_SPACE_449</t>
  </si>
  <si>
    <t>AHB2PHY_BROADCAST_SWMAN1_AHB2PHY_BROADCAST_ADDRESS_SPACE_450</t>
  </si>
  <si>
    <t>AHB2PHY_BROADCAST_SWMAN1_AHB2PHY_BROADCAST_ADDRESS_SPACE_451</t>
  </si>
  <si>
    <t>AHB2PHY_BROADCAST_SWMAN1_AHB2PHY_BROADCAST_ADDRESS_SPACE_452</t>
  </si>
  <si>
    <t>AHB2PHY_BROADCAST_SWMAN1_AHB2PHY_BROADCAST_ADDRESS_SPACE_453</t>
  </si>
  <si>
    <t>AHB2PHY_BROADCAST_SWMAN1_AHB2PHY_BROADCAST_ADDRESS_SPACE_454</t>
  </si>
  <si>
    <t>AHB2PHY_BROADCAST_SWMAN1_AHB2PHY_BROADCAST_ADDRESS_SPACE_455</t>
  </si>
  <si>
    <t>AHB2PHY_BROADCAST_SWMAN1_AHB2PHY_BROADCAST_ADDRESS_SPACE_456</t>
  </si>
  <si>
    <t>AHB2PHY_BROADCAST_SWMAN1_AHB2PHY_BROADCAST_ADDRESS_SPACE_457</t>
  </si>
  <si>
    <t>AHB2PHY_BROADCAST_SWMAN1_AHB2PHY_BROADCAST_ADDRESS_SPACE_458</t>
  </si>
  <si>
    <t>AHB2PHY_BROADCAST_SWMAN1_AHB2PHY_BROADCAST_ADDRESS_SPACE_459</t>
  </si>
  <si>
    <t>AHB2PHY_BROADCAST_SWMAN1_AHB2PHY_BROADCAST_ADDRESS_SPACE_460</t>
  </si>
  <si>
    <t>AHB2PHY_BROADCAST_SWMAN1_AHB2PHY_BROADCAST_ADDRESS_SPACE_461</t>
  </si>
  <si>
    <t>AHB2PHY_BROADCAST_SWMAN1_AHB2PHY_BROADCAST_ADDRESS_SPACE_462</t>
  </si>
  <si>
    <t>AHB2PHY_BROADCAST_SWMAN1_AHB2PHY_BROADCAST_ADDRESS_SPACE_463</t>
  </si>
  <si>
    <t>AHB2PHY_BROADCAST_SWMAN1_AHB2PHY_BROADCAST_ADDRESS_SPACE_464</t>
  </si>
  <si>
    <t>AHB2PHY_BROADCAST_SWMAN1_AHB2PHY_BROADCAST_ADDRESS_SPACE_465</t>
  </si>
  <si>
    <t>AHB2PHY_BROADCAST_SWMAN1_AHB2PHY_BROADCAST_ADDRESS_SPACE_466</t>
  </si>
  <si>
    <t>AHB2PHY_BROADCAST_SWMAN1_AHB2PHY_BROADCAST_ADDRESS_SPACE_467</t>
  </si>
  <si>
    <t>AHB2PHY_BROADCAST_SWMAN1_AHB2PHY_BROADCAST_ADDRESS_SPACE_468</t>
  </si>
  <si>
    <t>AHB2PHY_BROADCAST_SWMAN1_AHB2PHY_BROADCAST_ADDRESS_SPACE_469</t>
  </si>
  <si>
    <t>AHB2PHY_BROADCAST_SWMAN1_AHB2PHY_BROADCAST_ADDRESS_SPACE_470</t>
  </si>
  <si>
    <t>AHB2PHY_BROADCAST_SWMAN1_AHB2PHY_BROADCAST_ADDRESS_SPACE_471</t>
  </si>
  <si>
    <t>AHB2PHY_BROADCAST_SWMAN1_AHB2PHY_BROADCAST_ADDRESS_SPACE_472</t>
  </si>
  <si>
    <t>AHB2PHY_BROADCAST_SWMAN1_AHB2PHY_BROADCAST_ADDRESS_SPACE_473</t>
  </si>
  <si>
    <t>AHB2PHY_BROADCAST_SWMAN1_AHB2PHY_BROADCAST_ADDRESS_SPACE_474</t>
  </si>
  <si>
    <t>AHB2PHY_BROADCAST_SWMAN1_AHB2PHY_BROADCAST_ADDRESS_SPACE_475</t>
  </si>
  <si>
    <t>AHB2PHY_BROADCAST_SWMAN1_AHB2PHY_BROADCAST_ADDRESS_SPACE_476</t>
  </si>
  <si>
    <t>AHB2PHY_BROADCAST_SWMAN1_AHB2PHY_BROADCAST_ADDRESS_SPACE_477</t>
  </si>
  <si>
    <t>AHB2PHY_BROADCAST_SWMAN1_AHB2PHY_BROADCAST_ADDRESS_SPACE_478</t>
  </si>
  <si>
    <t>AHB2PHY_BROADCAST_SWMAN1_AHB2PHY_BROADCAST_ADDRESS_SPACE_479</t>
  </si>
  <si>
    <t>AHB2PHY_BROADCAST_SWMAN1_AHB2PHY_BROADCAST_ADDRESS_SPACE_480</t>
  </si>
  <si>
    <t>AHB2PHY_BROADCAST_SWMAN1_AHB2PHY_BROADCAST_ADDRESS_SPACE_481</t>
  </si>
  <si>
    <t>AHB2PHY_BROADCAST_SWMAN1_AHB2PHY_BROADCAST_ADDRESS_SPACE_482</t>
  </si>
  <si>
    <t>AHB2PHY_BROADCAST_SWMAN1_AHB2PHY_BROADCAST_ADDRESS_SPACE_483</t>
  </si>
  <si>
    <t>AHB2PHY_BROADCAST_SWMAN1_AHB2PHY_BROADCAST_ADDRESS_SPACE_484</t>
  </si>
  <si>
    <t>AHB2PHY_BROADCAST_SWMAN1_AHB2PHY_BROADCAST_ADDRESS_SPACE_485</t>
  </si>
  <si>
    <t>AHB2PHY_BROADCAST_SWMAN1_AHB2PHY_BROADCAST_ADDRESS_SPACE_486</t>
  </si>
  <si>
    <t>AHB2PHY_BROADCAST_SWMAN1_AHB2PHY_BROADCAST_ADDRESS_SPACE_487</t>
  </si>
  <si>
    <t>AHB2PHY_BROADCAST_SWMAN1_AHB2PHY_BROADCAST_ADDRESS_SPACE_488</t>
  </si>
  <si>
    <t>AHB2PHY_BROADCAST_SWMAN1_AHB2PHY_BROADCAST_ADDRESS_SPACE_489</t>
  </si>
  <si>
    <t>AHB2PHY_BROADCAST_SWMAN1_AHB2PHY_BROADCAST_ADDRESS_SPACE_490</t>
  </si>
  <si>
    <t>AHB2PHY_BROADCAST_SWMAN1_AHB2PHY_BROADCAST_ADDRESS_SPACE_491</t>
  </si>
  <si>
    <t>AHB2PHY_BROADCAST_SWMAN1_AHB2PHY_BROADCAST_ADDRESS_SPACE_492</t>
  </si>
  <si>
    <t>AHB2PHY_BROADCAST_SWMAN1_AHB2PHY_BROADCAST_ADDRESS_SPACE_493</t>
  </si>
  <si>
    <t>AHB2PHY_BROADCAST_SWMAN1_AHB2PHY_BROADCAST_ADDRESS_SPACE_494</t>
  </si>
  <si>
    <t>AHB2PHY_BROADCAST_SWMAN1_AHB2PHY_BROADCAST_ADDRESS_SPACE_495</t>
  </si>
  <si>
    <t>AHB2PHY_BROADCAST_SWMAN1_AHB2PHY_BROADCAST_ADDRESS_SPACE_496</t>
  </si>
  <si>
    <t>AHB2PHY_BROADCAST_SWMAN1_AHB2PHY_BROADCAST_ADDRESS_SPACE_497</t>
  </si>
  <si>
    <t>AHB2PHY_BROADCAST_SWMAN1_AHB2PHY_BROADCAST_ADDRESS_SPACE_498</t>
  </si>
  <si>
    <t>AHB2PHY_BROADCAST_SWMAN1_AHB2PHY_BROADCAST_ADDRESS_SPACE_499</t>
  </si>
  <si>
    <t>AHB2PHY_BROADCAST_SWMAN1_AHB2PHY_BROADCAST_ADDRESS_SPACE_500</t>
  </si>
  <si>
    <t>AHB2PHY_BROADCAST_SWMAN1_AHB2PHY_BROADCAST_ADDRESS_SPACE_501</t>
  </si>
  <si>
    <t>AHB2PHY_BROADCAST_SWMAN1_AHB2PHY_BROADCAST_ADDRESS_SPACE_502</t>
  </si>
  <si>
    <t>AHB2PHY_BROADCAST_SWMAN1_AHB2PHY_BROADCAST_ADDRESS_SPACE_503</t>
  </si>
  <si>
    <t>AHB2PHY_BROADCAST_SWMAN1_AHB2PHY_BROADCAST_ADDRESS_SPACE_504</t>
  </si>
  <si>
    <t>AHB2PHY_BROADCAST_SWMAN1_AHB2PHY_BROADCAST_ADDRESS_SPACE_505</t>
  </si>
  <si>
    <t>AHB2PHY_BROADCAST_SWMAN1_AHB2PHY_BROADCAST_ADDRESS_SPACE_506</t>
  </si>
  <si>
    <t>AHB2PHY_BROADCAST_SWMAN1_AHB2PHY_BROADCAST_ADDRESS_SPACE_507</t>
  </si>
  <si>
    <t>AHB2PHY_BROADCAST_SWMAN1_AHB2PHY_BROADCAST_ADDRESS_SPACE_508</t>
  </si>
  <si>
    <t>AHB2PHY_BROADCAST_SWMAN1_AHB2PHY_BROADCAST_ADDRESS_SPACE_509</t>
  </si>
  <si>
    <t>AHB2PHY_BROADCAST_SWMAN1_AHB2PHY_BROADCAST_ADDRESS_SPACE_510</t>
  </si>
  <si>
    <t>AHB2PHY_BROADCAST_SWMAN1_AHB2PHY_BROADCAST_ADDRESS_SPACE_511</t>
  </si>
  <si>
    <t>AHB2PHY_BROADCAST_SWMAN1_AHB2PHY_BROADCAST_ADDRESS_SPACE_512</t>
  </si>
  <si>
    <t>AHB2PHY_BROADCAST_SWMAN1_AHB2PHY_BROADCAST_ADDRESS_SPACE_513</t>
  </si>
  <si>
    <t>AHB2PHY_BROADCAST_SWMAN1_AHB2PHY_BROADCAST_ADDRESS_SPACE_514</t>
  </si>
  <si>
    <t>AHB2PHY_BROADCAST_SWMAN1_AHB2PHY_BROADCAST_ADDRESS_SPACE_515</t>
  </si>
  <si>
    <t>AHB2PHY_BROADCAST_SWMAN1_AHB2PHY_BROADCAST_ADDRESS_SPACE_516</t>
  </si>
  <si>
    <t>AHB2PHY_BROADCAST_SWMAN1_AHB2PHY_BROADCAST_ADDRESS_SPACE_517</t>
  </si>
  <si>
    <t>AHB2PHY_BROADCAST_SWMAN1_AHB2PHY_BROADCAST_ADDRESS_SPACE_518</t>
  </si>
  <si>
    <t>AHB2PHY_BROADCAST_SWMAN1_AHB2PHY_BROADCAST_ADDRESS_SPACE_519</t>
  </si>
  <si>
    <t>AHB2PHY_BROADCAST_SWMAN1_AHB2PHY_BROADCAST_ADDRESS_SPACE_520</t>
  </si>
  <si>
    <t>AHB2PHY_BROADCAST_SWMAN1_AHB2PHY_BROADCAST_ADDRESS_SPACE_521</t>
  </si>
  <si>
    <t>AHB2PHY_BROADCAST_SWMAN1_AHB2PHY_BROADCAST_ADDRESS_SPACE_522</t>
  </si>
  <si>
    <t>AHB2PHY_BROADCAST_SWMAN1_AHB2PHY_BROADCAST_ADDRESS_SPACE_523</t>
  </si>
  <si>
    <t>AHB2PHY_BROADCAST_SWMAN1_AHB2PHY_BROADCAST_ADDRESS_SPACE_524</t>
  </si>
  <si>
    <t>AHB2PHY_BROADCAST_SWMAN1_AHB2PHY_BROADCAST_ADDRESS_SPACE_525</t>
  </si>
  <si>
    <t>AHB2PHY_BROADCAST_SWMAN1_AHB2PHY_BROADCAST_ADDRESS_SPACE_526</t>
  </si>
  <si>
    <t>AHB2PHY_BROADCAST_SWMAN1_AHB2PHY_BROADCAST_ADDRESS_SPACE_527</t>
  </si>
  <si>
    <t>AHB2PHY_BROADCAST_SWMAN1_AHB2PHY_BROADCAST_ADDRESS_SPACE_528</t>
  </si>
  <si>
    <t>AHB2PHY_BROADCAST_SWMAN1_AHB2PHY_BROADCAST_ADDRESS_SPACE_529</t>
  </si>
  <si>
    <t>AHB2PHY_BROADCAST_SWMAN1_AHB2PHY_BROADCAST_ADDRESS_SPACE_530</t>
  </si>
  <si>
    <t>AHB2PHY_BROADCAST_SWMAN1_AHB2PHY_BROADCAST_ADDRESS_SPACE_531</t>
  </si>
  <si>
    <t>AHB2PHY_BROADCAST_SWMAN1_AHB2PHY_BROADCAST_ADDRESS_SPACE_532</t>
  </si>
  <si>
    <t>AHB2PHY_BROADCAST_SWMAN1_AHB2PHY_BROADCAST_ADDRESS_SPACE_533</t>
  </si>
  <si>
    <t>AHB2PHY_BROADCAST_SWMAN1_AHB2PHY_BROADCAST_ADDRESS_SPACE_534</t>
  </si>
  <si>
    <t>AHB2PHY_BROADCAST_SWMAN1_AHB2PHY_BROADCAST_ADDRESS_SPACE_535</t>
  </si>
  <si>
    <t>AHB2PHY_BROADCAST_SWMAN1_AHB2PHY_BROADCAST_ADDRESS_SPACE_536</t>
  </si>
  <si>
    <t>AHB2PHY_BROADCAST_SWMAN1_AHB2PHY_BROADCAST_ADDRESS_SPACE_537</t>
  </si>
  <si>
    <t>AHB2PHY_BROADCAST_SWMAN1_AHB2PHY_BROADCAST_ADDRESS_SPACE_538</t>
  </si>
  <si>
    <t>AHB2PHY_BROADCAST_SWMAN1_AHB2PHY_BROADCAST_ADDRESS_SPACE_539</t>
  </si>
  <si>
    <t>AHB2PHY_BROADCAST_SWMAN1_AHB2PHY_BROADCAST_ADDRESS_SPACE_540</t>
  </si>
  <si>
    <t>AHB2PHY_BROADCAST_SWMAN1_AHB2PHY_BROADCAST_ADDRESS_SPACE_541</t>
  </si>
  <si>
    <t>AHB2PHY_BROADCAST_SWMAN1_AHB2PHY_BROADCAST_ADDRESS_SPACE_542</t>
  </si>
  <si>
    <t>AHB2PHY_BROADCAST_SWMAN1_AHB2PHY_BROADCAST_ADDRESS_SPACE_543</t>
  </si>
  <si>
    <t>AHB2PHY_BROADCAST_SWMAN1_AHB2PHY_BROADCAST_ADDRESS_SPACE_544</t>
  </si>
  <si>
    <t>AHB2PHY_BROADCAST_SWMAN1_AHB2PHY_BROADCAST_ADDRESS_SPACE_545</t>
  </si>
  <si>
    <t>AHB2PHY_BROADCAST_SWMAN1_AHB2PHY_BROADCAST_ADDRESS_SPACE_546</t>
  </si>
  <si>
    <t>AHB2PHY_BROADCAST_SWMAN1_AHB2PHY_BROADCAST_ADDRESS_SPACE_547</t>
  </si>
  <si>
    <t>AHB2PHY_BROADCAST_SWMAN1_AHB2PHY_BROADCAST_ADDRESS_SPACE_548</t>
  </si>
  <si>
    <t>AHB2PHY_BROADCAST_SWMAN1_AHB2PHY_BROADCAST_ADDRESS_SPACE_549</t>
  </si>
  <si>
    <t>AHB2PHY_BROADCAST_SWMAN1_AHB2PHY_BROADCAST_ADDRESS_SPACE_550</t>
  </si>
  <si>
    <t>AHB2PHY_BROADCAST_SWMAN1_AHB2PHY_BROADCAST_ADDRESS_SPACE_551</t>
  </si>
  <si>
    <t>AHB2PHY_BROADCAST_SWMAN1_AHB2PHY_BROADCAST_ADDRESS_SPACE_552</t>
  </si>
  <si>
    <t>AHB2PHY_BROADCAST_SWMAN1_AHB2PHY_BROADCAST_ADDRESS_SPACE_553</t>
  </si>
  <si>
    <t>AHB2PHY_BROADCAST_SWMAN1_AHB2PHY_BROADCAST_ADDRESS_SPACE_554</t>
  </si>
  <si>
    <t>AHB2PHY_BROADCAST_SWMAN1_AHB2PHY_BROADCAST_ADDRESS_SPACE_555</t>
  </si>
  <si>
    <t>AHB2PHY_BROADCAST_SWMAN1_AHB2PHY_BROADCAST_ADDRESS_SPACE_556</t>
  </si>
  <si>
    <t>AHB2PHY_BROADCAST_SWMAN1_AHB2PHY_BROADCAST_ADDRESS_SPACE_557</t>
  </si>
  <si>
    <t>AHB2PHY_BROADCAST_SWMAN1_AHB2PHY_BROADCAST_ADDRESS_SPACE_558</t>
  </si>
  <si>
    <t>AHB2PHY_BROADCAST_SWMAN1_AHB2PHY_BROADCAST_ADDRESS_SPACE_559</t>
  </si>
  <si>
    <t>AHB2PHY_BROADCAST_SWMAN1_AHB2PHY_BROADCAST_ADDRESS_SPACE_560</t>
  </si>
  <si>
    <t>AHB2PHY_BROADCAST_SWMAN1_AHB2PHY_BROADCAST_ADDRESS_SPACE_561</t>
  </si>
  <si>
    <t>AHB2PHY_BROADCAST_SWMAN1_AHB2PHY_BROADCAST_ADDRESS_SPACE_562</t>
  </si>
  <si>
    <t>AHB2PHY_BROADCAST_SWMAN1_AHB2PHY_BROADCAST_ADDRESS_SPACE_563</t>
  </si>
  <si>
    <t>AHB2PHY_BROADCAST_SWMAN1_AHB2PHY_BROADCAST_ADDRESS_SPACE_564</t>
  </si>
  <si>
    <t>AHB2PHY_BROADCAST_SWMAN1_AHB2PHY_BROADCAST_ADDRESS_SPACE_565</t>
  </si>
  <si>
    <t>AHB2PHY_BROADCAST_SWMAN1_AHB2PHY_BROADCAST_ADDRESS_SPACE_566</t>
  </si>
  <si>
    <t>AHB2PHY_BROADCAST_SWMAN1_AHB2PHY_BROADCAST_ADDRESS_SPACE_567</t>
  </si>
  <si>
    <t>AHB2PHY_BROADCAST_SWMAN1_AHB2PHY_BROADCAST_ADDRESS_SPACE_568</t>
  </si>
  <si>
    <t>AHB2PHY_BROADCAST_SWMAN1_AHB2PHY_BROADCAST_ADDRESS_SPACE_569</t>
  </si>
  <si>
    <t>AHB2PHY_BROADCAST_SWMAN1_AHB2PHY_BROADCAST_ADDRESS_SPACE_570</t>
  </si>
  <si>
    <t>AHB2PHY_BROADCAST_SWMAN1_AHB2PHY_BROADCAST_ADDRESS_SPACE_571</t>
  </si>
  <si>
    <t>AHB2PHY_BROADCAST_SWMAN1_AHB2PHY_BROADCAST_ADDRESS_SPACE_572</t>
  </si>
  <si>
    <t>AHB2PHY_BROADCAST_SWMAN1_AHB2PHY_BROADCAST_ADDRESS_SPACE_573</t>
  </si>
  <si>
    <t>AHB2PHY_BROADCAST_SWMAN1_AHB2PHY_BROADCAST_ADDRESS_SPACE_574</t>
  </si>
  <si>
    <t>AHB2PHY_BROADCAST_SWMAN1_AHB2PHY_BROADCAST_ADDRESS_SPACE_575</t>
  </si>
  <si>
    <t>AHB2PHY_BROADCAST_SWMAN1_AHB2PHY_BROADCAST_ADDRESS_SPACE_576</t>
  </si>
  <si>
    <t>AHB2PHY_BROADCAST_SWMAN1_AHB2PHY_BROADCAST_ADDRESS_SPACE_577</t>
  </si>
  <si>
    <t>AHB2PHY_BROADCAST_SWMAN1_AHB2PHY_BROADCAST_ADDRESS_SPACE_578</t>
  </si>
  <si>
    <t>AHB2PHY_BROADCAST_SWMAN1_AHB2PHY_BROADCAST_ADDRESS_SPACE_579</t>
  </si>
  <si>
    <t>AHB2PHY_BROADCAST_SWMAN1_AHB2PHY_BROADCAST_ADDRESS_SPACE_580</t>
  </si>
  <si>
    <t>AHB2PHY_BROADCAST_SWMAN1_AHB2PHY_BROADCAST_ADDRESS_SPACE_581</t>
  </si>
  <si>
    <t>AHB2PHY_BROADCAST_SWMAN1_AHB2PHY_BROADCAST_ADDRESS_SPACE_582</t>
  </si>
  <si>
    <t>AHB2PHY_BROADCAST_SWMAN1_AHB2PHY_BROADCAST_ADDRESS_SPACE_583</t>
  </si>
  <si>
    <t>AHB2PHY_BROADCAST_SWMAN1_AHB2PHY_BROADCAST_ADDRESS_SPACE_584</t>
  </si>
  <si>
    <t>AHB2PHY_BROADCAST_SWMAN1_AHB2PHY_BROADCAST_ADDRESS_SPACE_585</t>
  </si>
  <si>
    <t>AHB2PHY_BROADCAST_SWMAN1_AHB2PHY_BROADCAST_ADDRESS_SPACE_586</t>
  </si>
  <si>
    <t>AHB2PHY_BROADCAST_SWMAN1_AHB2PHY_BROADCAST_ADDRESS_SPACE_587</t>
  </si>
  <si>
    <t>AHB2PHY_BROADCAST_SWMAN1_AHB2PHY_BROADCAST_ADDRESS_SPACE_588</t>
  </si>
  <si>
    <t>AHB2PHY_BROADCAST_SWMAN1_AHB2PHY_BROADCAST_ADDRESS_SPACE_589</t>
  </si>
  <si>
    <t>AHB2PHY_BROADCAST_SWMAN1_AHB2PHY_BROADCAST_ADDRESS_SPACE_590</t>
  </si>
  <si>
    <t>AHB2PHY_BROADCAST_SWMAN1_AHB2PHY_BROADCAST_ADDRESS_SPACE_591</t>
  </si>
  <si>
    <t>AHB2PHY_BROADCAST_SWMAN1_AHB2PHY_BROADCAST_ADDRESS_SPACE_592</t>
  </si>
  <si>
    <t>AHB2PHY_BROADCAST_SWMAN1_AHB2PHY_BROADCAST_ADDRESS_SPACE_593</t>
  </si>
  <si>
    <t>AHB2PHY_BROADCAST_SWMAN1_AHB2PHY_BROADCAST_ADDRESS_SPACE_594</t>
  </si>
  <si>
    <t>AHB2PHY_BROADCAST_SWMAN1_AHB2PHY_BROADCAST_ADDRESS_SPACE_595</t>
  </si>
  <si>
    <t>AHB2PHY_BROADCAST_SWMAN1_AHB2PHY_BROADCAST_ADDRESS_SPACE_596</t>
  </si>
  <si>
    <t>AHB2PHY_BROADCAST_SWMAN1_AHB2PHY_BROADCAST_ADDRESS_SPACE_597</t>
  </si>
  <si>
    <t>AHB2PHY_BROADCAST_SWMAN1_AHB2PHY_BROADCAST_ADDRESS_SPACE_598</t>
  </si>
  <si>
    <t>AHB2PHY_BROADCAST_SWMAN1_AHB2PHY_BROADCAST_ADDRESS_SPACE_599</t>
  </si>
  <si>
    <t>AHB2PHY_BROADCAST_SWMAN1_AHB2PHY_BROADCAST_ADDRESS_SPACE_600</t>
  </si>
  <si>
    <t>AHB2PHY_BROADCAST_SWMAN1_AHB2PHY_BROADCAST_ADDRESS_SPACE_601</t>
  </si>
  <si>
    <t>AHB2PHY_BROADCAST_SWMAN1_AHB2PHY_BROADCAST_ADDRESS_SPACE_602</t>
  </si>
  <si>
    <t>AHB2PHY_BROADCAST_SWMAN1_AHB2PHY_BROADCAST_ADDRESS_SPACE_603</t>
  </si>
  <si>
    <t>AHB2PHY_BROADCAST_SWMAN1_AHB2PHY_BROADCAST_ADDRESS_SPACE_604</t>
  </si>
  <si>
    <t>AHB2PHY_BROADCAST_SWMAN1_AHB2PHY_BROADCAST_ADDRESS_SPACE_605</t>
  </si>
  <si>
    <t>AHB2PHY_BROADCAST_SWMAN1_AHB2PHY_BROADCAST_ADDRESS_SPACE_606</t>
  </si>
  <si>
    <t>AHB2PHY_BROADCAST_SWMAN1_AHB2PHY_BROADCAST_ADDRESS_SPACE_607</t>
  </si>
  <si>
    <t>AHB2PHY_BROADCAST_SWMAN1_AHB2PHY_BROADCAST_ADDRESS_SPACE_608</t>
  </si>
  <si>
    <t>AHB2PHY_BROADCAST_SWMAN1_AHB2PHY_BROADCAST_ADDRESS_SPACE_609</t>
  </si>
  <si>
    <t>AHB2PHY_BROADCAST_SWMAN1_AHB2PHY_BROADCAST_ADDRESS_SPACE_610</t>
  </si>
  <si>
    <t>AHB2PHY_BROADCAST_SWMAN1_AHB2PHY_BROADCAST_ADDRESS_SPACE_611</t>
  </si>
  <si>
    <t>AHB2PHY_BROADCAST_SWMAN1_AHB2PHY_BROADCAST_ADDRESS_SPACE_612</t>
  </si>
  <si>
    <t>AHB2PHY_BROADCAST_SWMAN1_AHB2PHY_BROADCAST_ADDRESS_SPACE_613</t>
  </si>
  <si>
    <t>AHB2PHY_BROADCAST_SWMAN1_AHB2PHY_BROADCAST_ADDRESS_SPACE_614</t>
  </si>
  <si>
    <t>AHB2PHY_BROADCAST_SWMAN1_AHB2PHY_BROADCAST_ADDRESS_SPACE_615</t>
  </si>
  <si>
    <t>AHB2PHY_BROADCAST_SWMAN1_AHB2PHY_BROADCAST_ADDRESS_SPACE_616</t>
  </si>
  <si>
    <t>AHB2PHY_BROADCAST_SWMAN1_AHB2PHY_BROADCAST_ADDRESS_SPACE_617</t>
  </si>
  <si>
    <t>AHB2PHY_BROADCAST_SWMAN1_AHB2PHY_BROADCAST_ADDRESS_SPACE_618</t>
  </si>
  <si>
    <t>AHB2PHY_BROADCAST_SWMAN1_AHB2PHY_BROADCAST_ADDRESS_SPACE_619</t>
  </si>
  <si>
    <t>AHB2PHY_BROADCAST_SWMAN1_AHB2PHY_BROADCAST_ADDRESS_SPACE_620</t>
  </si>
  <si>
    <t>AHB2PHY_BROADCAST_SWMAN1_AHB2PHY_BROADCAST_ADDRESS_SPACE_621</t>
  </si>
  <si>
    <t>AHB2PHY_BROADCAST_SWMAN1_AHB2PHY_BROADCAST_ADDRESS_SPACE_622</t>
  </si>
  <si>
    <t>AHB2PHY_BROADCAST_SWMAN1_AHB2PHY_BROADCAST_ADDRESS_SPACE_623</t>
  </si>
  <si>
    <t>AHB2PHY_BROADCAST_SWMAN1_AHB2PHY_BROADCAST_ADDRESS_SPACE_624</t>
  </si>
  <si>
    <t>AHB2PHY_BROADCAST_SWMAN1_AHB2PHY_BROADCAST_ADDRESS_SPACE_625</t>
  </si>
  <si>
    <t>AHB2PHY_BROADCAST_SWMAN1_AHB2PHY_BROADCAST_ADDRESS_SPACE_626</t>
  </si>
  <si>
    <t>AHB2PHY_BROADCAST_SWMAN1_AHB2PHY_BROADCAST_ADDRESS_SPACE_627</t>
  </si>
  <si>
    <t>AHB2PHY_BROADCAST_SWMAN1_AHB2PHY_BROADCAST_ADDRESS_SPACE_628</t>
  </si>
  <si>
    <t>AHB2PHY_BROADCAST_SWMAN1_AHB2PHY_BROADCAST_ADDRESS_SPACE_629</t>
  </si>
  <si>
    <t>AHB2PHY_BROADCAST_SWMAN1_AHB2PHY_BROADCAST_ADDRESS_SPACE_630</t>
  </si>
  <si>
    <t>AHB2PHY_BROADCAST_SWMAN1_AHB2PHY_BROADCAST_ADDRESS_SPACE_631</t>
  </si>
  <si>
    <t>AHB2PHY_BROADCAST_SWMAN1_AHB2PHY_BROADCAST_ADDRESS_SPACE_632</t>
  </si>
  <si>
    <t>AHB2PHY_BROADCAST_SWMAN1_AHB2PHY_BROADCAST_ADDRESS_SPACE_633</t>
  </si>
  <si>
    <t>AHB2PHY_BROADCAST_SWMAN1_AHB2PHY_BROADCAST_ADDRESS_SPACE_634</t>
  </si>
  <si>
    <t>AHB2PHY_BROADCAST_SWMAN1_AHB2PHY_BROADCAST_ADDRESS_SPACE_635</t>
  </si>
  <si>
    <t>AHB2PHY_BROADCAST_SWMAN1_AHB2PHY_BROADCAST_ADDRESS_SPACE_636</t>
  </si>
  <si>
    <t>AHB2PHY_BROADCAST_SWMAN1_AHB2PHY_BROADCAST_ADDRESS_SPACE_637</t>
  </si>
  <si>
    <t>AHB2PHY_BROADCAST_SWMAN1_AHB2PHY_BROADCAST_ADDRESS_SPACE_638</t>
  </si>
  <si>
    <t>AHB2PHY_BROADCAST_SWMAN1_AHB2PHY_BROADCAST_ADDRESS_SPACE_639</t>
  </si>
  <si>
    <t>AHB2PHY_BROADCAST_SWMAN1_AHB2PHY_BROADCAST_ADDRESS_SPACE_640</t>
  </si>
  <si>
    <t>AHB2PHY_BROADCAST_SWMAN1_AHB2PHY_BROADCAST_ADDRESS_SPACE_641</t>
  </si>
  <si>
    <t>AHB2PHY_BROADCAST_SWMAN1_AHB2PHY_BROADCAST_ADDRESS_SPACE_642</t>
  </si>
  <si>
    <t>AHB2PHY_BROADCAST_SWMAN1_AHB2PHY_BROADCAST_ADDRESS_SPACE_643</t>
  </si>
  <si>
    <t>AHB2PHY_BROADCAST_SWMAN1_AHB2PHY_BROADCAST_ADDRESS_SPACE_644</t>
  </si>
  <si>
    <t>AHB2PHY_BROADCAST_SWMAN1_AHB2PHY_BROADCAST_ADDRESS_SPACE_645</t>
  </si>
  <si>
    <t>AHB2PHY_BROADCAST_SWMAN1_AHB2PHY_BROADCAST_ADDRESS_SPACE_646</t>
  </si>
  <si>
    <t>AHB2PHY_BROADCAST_SWMAN1_AHB2PHY_BROADCAST_ADDRESS_SPACE_647</t>
  </si>
  <si>
    <t>AHB2PHY_BROADCAST_SWMAN1_AHB2PHY_BROADCAST_ADDRESS_SPACE_648</t>
  </si>
  <si>
    <t>AHB2PHY_BROADCAST_SWMAN1_AHB2PHY_BROADCAST_ADDRESS_SPACE_649</t>
  </si>
  <si>
    <t>AHB2PHY_BROADCAST_SWMAN1_AHB2PHY_BROADCAST_ADDRESS_SPACE_650</t>
  </si>
  <si>
    <t>AHB2PHY_BROADCAST_SWMAN1_AHB2PHY_BROADCAST_ADDRESS_SPACE_651</t>
  </si>
  <si>
    <t>AHB2PHY_BROADCAST_SWMAN1_AHB2PHY_BROADCAST_ADDRESS_SPACE_652</t>
  </si>
  <si>
    <t>AHB2PHY_BROADCAST_SWMAN1_AHB2PHY_BROADCAST_ADDRESS_SPACE_653</t>
  </si>
  <si>
    <t>AHB2PHY_BROADCAST_SWMAN1_AHB2PHY_BROADCAST_ADDRESS_SPACE_654</t>
  </si>
  <si>
    <t>AHB2PHY_BROADCAST_SWMAN1_AHB2PHY_BROADCAST_ADDRESS_SPACE_655</t>
  </si>
  <si>
    <t>AHB2PHY_BROADCAST_SWMAN1_AHB2PHY_BROADCAST_ADDRESS_SPACE_656</t>
  </si>
  <si>
    <t>AHB2PHY_BROADCAST_SWMAN1_AHB2PHY_BROADCAST_ADDRESS_SPACE_657</t>
  </si>
  <si>
    <t>AHB2PHY_BROADCAST_SWMAN1_AHB2PHY_BROADCAST_ADDRESS_SPACE_658</t>
  </si>
  <si>
    <t>AHB2PHY_BROADCAST_SWMAN1_AHB2PHY_BROADCAST_ADDRESS_SPACE_659</t>
  </si>
  <si>
    <t>AHB2PHY_BROADCAST_SWMAN1_AHB2PHY_BROADCAST_ADDRESS_SPACE_660</t>
  </si>
  <si>
    <t>AHB2PHY_BROADCAST_SWMAN1_AHB2PHY_BROADCAST_ADDRESS_SPACE_661</t>
  </si>
  <si>
    <t>AHB2PHY_BROADCAST_SWMAN1_AHB2PHY_BROADCAST_ADDRESS_SPACE_662</t>
  </si>
  <si>
    <t>AHB2PHY_BROADCAST_SWMAN1_AHB2PHY_BROADCAST_ADDRESS_SPACE_663</t>
  </si>
  <si>
    <t>AHB2PHY_BROADCAST_SWMAN1_AHB2PHY_BROADCAST_ADDRESS_SPACE_664</t>
  </si>
  <si>
    <t>AHB2PHY_BROADCAST_SWMAN1_AHB2PHY_BROADCAST_ADDRESS_SPACE_665</t>
  </si>
  <si>
    <t>AHB2PHY_BROADCAST_SWMAN1_AHB2PHY_BROADCAST_ADDRESS_SPACE_666</t>
  </si>
  <si>
    <t>AHB2PHY_BROADCAST_SWMAN1_AHB2PHY_BROADCAST_ADDRESS_SPACE_667</t>
  </si>
  <si>
    <t>AHB2PHY_BROADCAST_SWMAN1_AHB2PHY_BROADCAST_ADDRESS_SPACE_668</t>
  </si>
  <si>
    <t>AHB2PHY_BROADCAST_SWMAN1_AHB2PHY_BROADCAST_ADDRESS_SPACE_669</t>
  </si>
  <si>
    <t>AHB2PHY_BROADCAST_SWMAN1_AHB2PHY_BROADCAST_ADDRESS_SPACE_670</t>
  </si>
  <si>
    <t>AHB2PHY_BROADCAST_SWMAN1_AHB2PHY_BROADCAST_ADDRESS_SPACE_671</t>
  </si>
  <si>
    <t>AHB2PHY_BROADCAST_SWMAN1_AHB2PHY_BROADCAST_ADDRESS_SPACE_672</t>
  </si>
  <si>
    <t>AHB2PHY_BROADCAST_SWMAN1_AHB2PHY_BROADCAST_ADDRESS_SPACE_673</t>
  </si>
  <si>
    <t>AHB2PHY_BROADCAST_SWMAN1_AHB2PHY_BROADCAST_ADDRESS_SPACE_674</t>
  </si>
  <si>
    <t>AHB2PHY_BROADCAST_SWMAN1_AHB2PHY_BROADCAST_ADDRESS_SPACE_675</t>
  </si>
  <si>
    <t>AHB2PHY_BROADCAST_SWMAN1_AHB2PHY_BROADCAST_ADDRESS_SPACE_676</t>
  </si>
  <si>
    <t>AHB2PHY_BROADCAST_SWMAN1_AHB2PHY_BROADCAST_ADDRESS_SPACE_677</t>
  </si>
  <si>
    <t>AHB2PHY_BROADCAST_SWMAN1_AHB2PHY_BROADCAST_ADDRESS_SPACE_678</t>
  </si>
  <si>
    <t>AHB2PHY_BROADCAST_SWMAN1_AHB2PHY_BROADCAST_ADDRESS_SPACE_679</t>
  </si>
  <si>
    <t>AHB2PHY_BROADCAST_SWMAN1_AHB2PHY_BROADCAST_ADDRESS_SPACE_680</t>
  </si>
  <si>
    <t>AHB2PHY_BROADCAST_SWMAN1_AHB2PHY_BROADCAST_ADDRESS_SPACE_681</t>
  </si>
  <si>
    <t>AHB2PHY_BROADCAST_SWMAN1_AHB2PHY_BROADCAST_ADDRESS_SPACE_682</t>
  </si>
  <si>
    <t>AHB2PHY_BROADCAST_SWMAN1_AHB2PHY_BROADCAST_ADDRESS_SPACE_683</t>
  </si>
  <si>
    <t>AHB2PHY_BROADCAST_SWMAN1_AHB2PHY_BROADCAST_ADDRESS_SPACE_684</t>
  </si>
  <si>
    <t>AHB2PHY_BROADCAST_SWMAN1_AHB2PHY_BROADCAST_ADDRESS_SPACE_685</t>
  </si>
  <si>
    <t>AHB2PHY_BROADCAST_SWMAN1_AHB2PHY_BROADCAST_ADDRESS_SPACE_686</t>
  </si>
  <si>
    <t>AHB2PHY_BROADCAST_SWMAN1_AHB2PHY_BROADCAST_ADDRESS_SPACE_687</t>
  </si>
  <si>
    <t>AHB2PHY_BROADCAST_SWMAN1_AHB2PHY_BROADCAST_ADDRESS_SPACE_688</t>
  </si>
  <si>
    <t>AHB2PHY_BROADCAST_SWMAN1_AHB2PHY_BROADCAST_ADDRESS_SPACE_689</t>
  </si>
  <si>
    <t>AHB2PHY_BROADCAST_SWMAN1_AHB2PHY_BROADCAST_ADDRESS_SPACE_690</t>
  </si>
  <si>
    <t>AHB2PHY_BROADCAST_SWMAN1_AHB2PHY_BROADCAST_ADDRESS_SPACE_691</t>
  </si>
  <si>
    <t>AHB2PHY_BROADCAST_SWMAN1_AHB2PHY_BROADCAST_ADDRESS_SPACE_692</t>
  </si>
  <si>
    <t>AHB2PHY_BROADCAST_SWMAN1_AHB2PHY_BROADCAST_ADDRESS_SPACE_693</t>
  </si>
  <si>
    <t>AHB2PHY_BROADCAST_SWMAN1_AHB2PHY_BROADCAST_ADDRESS_SPACE_694</t>
  </si>
  <si>
    <t>AHB2PHY_BROADCAST_SWMAN1_AHB2PHY_BROADCAST_ADDRESS_SPACE_695</t>
  </si>
  <si>
    <t>AHB2PHY_BROADCAST_SWMAN1_AHB2PHY_BROADCAST_ADDRESS_SPACE_696</t>
  </si>
  <si>
    <t>AHB2PHY_BROADCAST_SWMAN1_AHB2PHY_BROADCAST_ADDRESS_SPACE_697</t>
  </si>
  <si>
    <t>AHB2PHY_BROADCAST_SWMAN1_AHB2PHY_BROADCAST_ADDRESS_SPACE_698</t>
  </si>
  <si>
    <t>AHB2PHY_BROADCAST_SWMAN1_AHB2PHY_BROADCAST_ADDRESS_SPACE_699</t>
  </si>
  <si>
    <t>AHB2PHY_BROADCAST_SWMAN1_AHB2PHY_BROADCAST_ADDRESS_SPACE_700</t>
  </si>
  <si>
    <t>AHB2PHY_BROADCAST_SWMAN1_AHB2PHY_BROADCAST_ADDRESS_SPACE_701</t>
  </si>
  <si>
    <t>AHB2PHY_BROADCAST_SWMAN1_AHB2PHY_BROADCAST_ADDRESS_SPACE_702</t>
  </si>
  <si>
    <t>AHB2PHY_BROADCAST_SWMAN1_AHB2PHY_BROADCAST_ADDRESS_SPACE_703</t>
  </si>
  <si>
    <t>AHB2PHY_BROADCAST_SWMAN1_AHB2PHY_BROADCAST_ADDRESS_SPACE_704</t>
  </si>
  <si>
    <t>AHB2PHY_BROADCAST_SWMAN1_AHB2PHY_BROADCAST_ADDRESS_SPACE_705</t>
  </si>
  <si>
    <t>AHB2PHY_BROADCAST_SWMAN1_AHB2PHY_BROADCAST_ADDRESS_SPACE_706</t>
  </si>
  <si>
    <t>AHB2PHY_BROADCAST_SWMAN1_AHB2PHY_BROADCAST_ADDRESS_SPACE_707</t>
  </si>
  <si>
    <t>AHB2PHY_BROADCAST_SWMAN1_AHB2PHY_BROADCAST_ADDRESS_SPACE_708</t>
  </si>
  <si>
    <t>AHB2PHY_BROADCAST_SWMAN1_AHB2PHY_BROADCAST_ADDRESS_SPACE_709</t>
  </si>
  <si>
    <t>AHB2PHY_BROADCAST_SWMAN1_AHB2PHY_BROADCAST_ADDRESS_SPACE_710</t>
  </si>
  <si>
    <t>AHB2PHY_BROADCAST_SWMAN1_AHB2PHY_BROADCAST_ADDRESS_SPACE_711</t>
  </si>
  <si>
    <t>AHB2PHY_BROADCAST_SWMAN1_AHB2PHY_BROADCAST_ADDRESS_SPACE_712</t>
  </si>
  <si>
    <t>AHB2PHY_BROADCAST_SWMAN1_AHB2PHY_BROADCAST_ADDRESS_SPACE_713</t>
  </si>
  <si>
    <t>AHB2PHY_BROADCAST_SWMAN1_AHB2PHY_BROADCAST_ADDRESS_SPACE_714</t>
  </si>
  <si>
    <t>AHB2PHY_BROADCAST_SWMAN1_AHB2PHY_BROADCAST_ADDRESS_SPACE_715</t>
  </si>
  <si>
    <t>AHB2PHY_BROADCAST_SWMAN1_AHB2PHY_BROADCAST_ADDRESS_SPACE_716</t>
  </si>
  <si>
    <t>AHB2PHY_BROADCAST_SWMAN1_AHB2PHY_BROADCAST_ADDRESS_SPACE_717</t>
  </si>
  <si>
    <t>AHB2PHY_BROADCAST_SWMAN1_AHB2PHY_BROADCAST_ADDRESS_SPACE_718</t>
  </si>
  <si>
    <t>AHB2PHY_BROADCAST_SWMAN1_AHB2PHY_BROADCAST_ADDRESS_SPACE_719</t>
  </si>
  <si>
    <t>AHB2PHY_BROADCAST_SWMAN1_AHB2PHY_BROADCAST_ADDRESS_SPACE_720</t>
  </si>
  <si>
    <t>AHB2PHY_BROADCAST_SWMAN1_AHB2PHY_BROADCAST_ADDRESS_SPACE_721</t>
  </si>
  <si>
    <t>00000b48</t>
  </si>
  <si>
    <t>AHB2PHY_BROADCAST_SWMAN1_AHB2PHY_BROADCAST_ADDRESS_SPACE_722</t>
  </si>
  <si>
    <t>AHB2PHY_BROADCAST_SWMAN1_AHB2PHY_BROADCAST_ADDRESS_SPACE_723</t>
  </si>
  <si>
    <t>00000b50</t>
  </si>
  <si>
    <t>AHB2PHY_BROADCAST_SWMAN1_AHB2PHY_BROADCAST_ADDRESS_SPACE_724</t>
  </si>
  <si>
    <t>AHB2PHY_BROADCAST_SWMAN1_AHB2PHY_BROADCAST_ADDRESS_SPACE_725</t>
  </si>
  <si>
    <t>AHB2PHY_BROADCAST_SWMAN1_AHB2PHY_BROADCAST_ADDRESS_SPACE_726</t>
  </si>
  <si>
    <t>00000b5c</t>
  </si>
  <si>
    <t>AHB2PHY_BROADCAST_SWMAN1_AHB2PHY_BROADCAST_ADDRESS_SPACE_727</t>
  </si>
  <si>
    <t>00000b60</t>
  </si>
  <si>
    <t>AHB2PHY_BROADCAST_SWMAN1_AHB2PHY_BROADCAST_ADDRESS_SPACE_728</t>
  </si>
  <si>
    <t>AHB2PHY_BROADCAST_SWMAN1_AHB2PHY_BROADCAST_ADDRESS_SPACE_729</t>
  </si>
  <si>
    <t>00000b68</t>
  </si>
  <si>
    <t>AHB2PHY_BROADCAST_SWMAN1_AHB2PHY_BROADCAST_ADDRESS_SPACE_730</t>
  </si>
  <si>
    <t>AHB2PHY_BROADCAST_SWMAN1_AHB2PHY_BROADCAST_ADDRESS_SPACE_731</t>
  </si>
  <si>
    <t>AHB2PHY_BROADCAST_SWMAN1_AHB2PHY_BROADCAST_ADDRESS_SPACE_732</t>
  </si>
  <si>
    <t>00000b74</t>
  </si>
  <si>
    <t>AHB2PHY_BROADCAST_SWMAN1_AHB2PHY_BROADCAST_ADDRESS_SPACE_733</t>
  </si>
  <si>
    <t>00000b78</t>
  </si>
  <si>
    <t>AHB2PHY_BROADCAST_SWMAN1_AHB2PHY_BROADCAST_ADDRESS_SPACE_734</t>
  </si>
  <si>
    <t>AHB2PHY_BROADCAST_SWMAN1_AHB2PHY_BROADCAST_ADDRESS_SPACE_735</t>
  </si>
  <si>
    <t>AHB2PHY_BROADCAST_SWMAN1_AHB2PHY_BROADCAST_ADDRESS_SPACE_736</t>
  </si>
  <si>
    <t>AHB2PHY_BROADCAST_SWMAN1_AHB2PHY_BROADCAST_ADDRESS_SPACE_737</t>
  </si>
  <si>
    <t>AHB2PHY_BROADCAST_SWMAN1_AHB2PHY_BROADCAST_ADDRESS_SPACE_738</t>
  </si>
  <si>
    <t>AHB2PHY_BROADCAST_SWMAN1_AHB2PHY_BROADCAST_ADDRESS_SPACE_739</t>
  </si>
  <si>
    <t>AHB2PHY_BROADCAST_SWMAN1_AHB2PHY_BROADCAST_ADDRESS_SPACE_740</t>
  </si>
  <si>
    <t>AHB2PHY_BROADCAST_SWMAN1_AHB2PHY_BROADCAST_ADDRESS_SPACE_741</t>
  </si>
  <si>
    <t>AHB2PHY_BROADCAST_SWMAN1_AHB2PHY_BROADCAST_ADDRESS_SPACE_742</t>
  </si>
  <si>
    <t>AHB2PHY_BROADCAST_SWMAN1_AHB2PHY_BROADCAST_ADDRESS_SPACE_743</t>
  </si>
  <si>
    <t>AHB2PHY_BROADCAST_SWMAN1_AHB2PHY_BROADCAST_ADDRESS_SPACE_744</t>
  </si>
  <si>
    <t>AHB2PHY_BROADCAST_SWMAN1_AHB2PHY_BROADCAST_ADDRESS_SPACE_745</t>
  </si>
  <si>
    <t>AHB2PHY_BROADCAST_SWMAN1_AHB2PHY_BROADCAST_ADDRESS_SPACE_746</t>
  </si>
  <si>
    <t>AHB2PHY_BROADCAST_SWMAN1_AHB2PHY_BROADCAST_ADDRESS_SPACE_747</t>
  </si>
  <si>
    <t>AHB2PHY_BROADCAST_SWMAN1_AHB2PHY_BROADCAST_ADDRESS_SPACE_748</t>
  </si>
  <si>
    <t>AHB2PHY_BROADCAST_SWMAN1_AHB2PHY_BROADCAST_ADDRESS_SPACE_749</t>
  </si>
  <si>
    <t>AHB2PHY_BROADCAST_SWMAN1_AHB2PHY_BROADCAST_ADDRESS_SPACE_750</t>
  </si>
  <si>
    <t>AHB2PHY_BROADCAST_SWMAN1_AHB2PHY_BROADCAST_ADDRESS_SPACE_751</t>
  </si>
  <si>
    <t>AHB2PHY_BROADCAST_SWMAN1_AHB2PHY_BROADCAST_ADDRESS_SPACE_752</t>
  </si>
  <si>
    <t>AHB2PHY_BROADCAST_SWMAN1_AHB2PHY_BROADCAST_ADDRESS_SPACE_753</t>
  </si>
  <si>
    <t>AHB2PHY_BROADCAST_SWMAN1_AHB2PHY_BROADCAST_ADDRESS_SPACE_754</t>
  </si>
  <si>
    <t>AHB2PHY_BROADCAST_SWMAN1_AHB2PHY_BROADCAST_ADDRESS_SPACE_755</t>
  </si>
  <si>
    <t>AHB2PHY_BROADCAST_SWMAN1_AHB2PHY_BROADCAST_ADDRESS_SPACE_756</t>
  </si>
  <si>
    <t>AHB2PHY_BROADCAST_SWMAN1_AHB2PHY_BROADCAST_ADDRESS_SPACE_757</t>
  </si>
  <si>
    <t>AHB2PHY_BROADCAST_SWMAN1_AHB2PHY_BROADCAST_ADDRESS_SPACE_758</t>
  </si>
  <si>
    <t>AHB2PHY_BROADCAST_SWMAN1_AHB2PHY_BROADCAST_ADDRESS_SPACE_759</t>
  </si>
  <si>
    <t>AHB2PHY_BROADCAST_SWMAN1_AHB2PHY_BROADCAST_ADDRESS_SPACE_760</t>
  </si>
  <si>
    <t>AHB2PHY_BROADCAST_SWMAN1_AHB2PHY_BROADCAST_ADDRESS_SPACE_761</t>
  </si>
  <si>
    <t>AHB2PHY_BROADCAST_SWMAN1_AHB2PHY_BROADCAST_ADDRESS_SPACE_762</t>
  </si>
  <si>
    <t>AHB2PHY_BROADCAST_SWMAN1_AHB2PHY_BROADCAST_ADDRESS_SPACE_763</t>
  </si>
  <si>
    <t>AHB2PHY_BROADCAST_SWMAN1_AHB2PHY_BROADCAST_ADDRESS_SPACE_764</t>
  </si>
  <si>
    <t>AHB2PHY_BROADCAST_SWMAN1_AHB2PHY_BROADCAST_ADDRESS_SPACE_765</t>
  </si>
  <si>
    <t>AHB2PHY_BROADCAST_SWMAN1_AHB2PHY_BROADCAST_ADDRESS_SPACE_766</t>
  </si>
  <si>
    <t>AHB2PHY_BROADCAST_SWMAN1_AHB2PHY_BROADCAST_ADDRESS_SPACE_767</t>
  </si>
  <si>
    <t>AHB2PHY_BROADCAST_SWMAN1_AHB2PHY_BROADCAST_ADDRESS_SPACE_768</t>
  </si>
  <si>
    <t>AHB2PHY_BROADCAST_SWMAN1_AHB2PHY_BROADCAST_ADDRESS_SPACE_769</t>
  </si>
  <si>
    <t>AHB2PHY_BROADCAST_SWMAN1_AHB2PHY_BROADCAST_ADDRESS_SPACE_770</t>
  </si>
  <si>
    <t>AHB2PHY_BROADCAST_SWMAN1_AHB2PHY_BROADCAST_ADDRESS_SPACE_771</t>
  </si>
  <si>
    <t>AHB2PHY_BROADCAST_SWMAN1_AHB2PHY_BROADCAST_ADDRESS_SPACE_772</t>
  </si>
  <si>
    <t>AHB2PHY_BROADCAST_SWMAN1_AHB2PHY_BROADCAST_ADDRESS_SPACE_773</t>
  </si>
  <si>
    <t>AHB2PHY_BROADCAST_SWMAN1_AHB2PHY_BROADCAST_ADDRESS_SPACE_774</t>
  </si>
  <si>
    <t>AHB2PHY_BROADCAST_SWMAN1_AHB2PHY_BROADCAST_ADDRESS_SPACE_775</t>
  </si>
  <si>
    <t>AHB2PHY_BROADCAST_SWMAN1_AHB2PHY_BROADCAST_ADDRESS_SPACE_776</t>
  </si>
  <si>
    <t>AHB2PHY_BROADCAST_SWMAN1_AHB2PHY_BROADCAST_ADDRESS_SPACE_777</t>
  </si>
  <si>
    <t>AHB2PHY_BROADCAST_SWMAN1_AHB2PHY_BROADCAST_ADDRESS_SPACE_778</t>
  </si>
  <si>
    <t>AHB2PHY_BROADCAST_SWMAN1_AHB2PHY_BROADCAST_ADDRESS_SPACE_779</t>
  </si>
  <si>
    <t>AHB2PHY_BROADCAST_SWMAN1_AHB2PHY_BROADCAST_ADDRESS_SPACE_780</t>
  </si>
  <si>
    <t>AHB2PHY_BROADCAST_SWMAN1_AHB2PHY_BROADCAST_ADDRESS_SPACE_781</t>
  </si>
  <si>
    <t>AHB2PHY_BROADCAST_SWMAN1_AHB2PHY_BROADCAST_ADDRESS_SPACE_782</t>
  </si>
  <si>
    <t>AHB2PHY_BROADCAST_SWMAN1_AHB2PHY_BROADCAST_ADDRESS_SPACE_783</t>
  </si>
  <si>
    <t>AHB2PHY_BROADCAST_SWMAN1_AHB2PHY_BROADCAST_ADDRESS_SPACE_784</t>
  </si>
  <si>
    <t>AHB2PHY_BROADCAST_SWMAN1_AHB2PHY_BROADCAST_ADDRESS_SPACE_785</t>
  </si>
  <si>
    <t>AHB2PHY_BROADCAST_SWMAN1_AHB2PHY_BROADCAST_ADDRESS_SPACE_786</t>
  </si>
  <si>
    <t>AHB2PHY_BROADCAST_SWMAN1_AHB2PHY_BROADCAST_ADDRESS_SPACE_787</t>
  </si>
  <si>
    <t>AHB2PHY_BROADCAST_SWMAN1_AHB2PHY_BROADCAST_ADDRESS_SPACE_788</t>
  </si>
  <si>
    <t>AHB2PHY_BROADCAST_SWMAN1_AHB2PHY_BROADCAST_ADDRESS_SPACE_789</t>
  </si>
  <si>
    <t>AHB2PHY_BROADCAST_SWMAN1_AHB2PHY_BROADCAST_ADDRESS_SPACE_790</t>
  </si>
  <si>
    <t>AHB2PHY_BROADCAST_SWMAN1_AHB2PHY_BROADCAST_ADDRESS_SPACE_791</t>
  </si>
  <si>
    <t>AHB2PHY_BROADCAST_SWMAN1_AHB2PHY_BROADCAST_ADDRESS_SPACE_792</t>
  </si>
  <si>
    <t>AHB2PHY_BROADCAST_SWMAN1_AHB2PHY_BROADCAST_ADDRESS_SPACE_793</t>
  </si>
  <si>
    <t>AHB2PHY_BROADCAST_SWMAN1_AHB2PHY_BROADCAST_ADDRESS_SPACE_794</t>
  </si>
  <si>
    <t>AHB2PHY_BROADCAST_SWMAN1_AHB2PHY_BROADCAST_ADDRESS_SPACE_795</t>
  </si>
  <si>
    <t>AHB2PHY_BROADCAST_SWMAN1_AHB2PHY_BROADCAST_ADDRESS_SPACE_796</t>
  </si>
  <si>
    <t>AHB2PHY_BROADCAST_SWMAN1_AHB2PHY_BROADCAST_ADDRESS_SPACE_797</t>
  </si>
  <si>
    <t>AHB2PHY_BROADCAST_SWMAN1_AHB2PHY_BROADCAST_ADDRESS_SPACE_798</t>
  </si>
  <si>
    <t>AHB2PHY_BROADCAST_SWMAN1_AHB2PHY_BROADCAST_ADDRESS_SPACE_799</t>
  </si>
  <si>
    <t>AHB2PHY_BROADCAST_SWMAN1_AHB2PHY_BROADCAST_ADDRESS_SPACE_800</t>
  </si>
  <si>
    <t>AHB2PHY_BROADCAST_SWMAN1_AHB2PHY_BROADCAST_ADDRESS_SPACE_801</t>
  </si>
  <si>
    <t>AHB2PHY_BROADCAST_SWMAN1_AHB2PHY_BROADCAST_ADDRESS_SPACE_802</t>
  </si>
  <si>
    <t>AHB2PHY_BROADCAST_SWMAN1_AHB2PHY_BROADCAST_ADDRESS_SPACE_803</t>
  </si>
  <si>
    <t>AHB2PHY_BROADCAST_SWMAN1_AHB2PHY_BROADCAST_ADDRESS_SPACE_804</t>
  </si>
  <si>
    <t>AHB2PHY_BROADCAST_SWMAN1_AHB2PHY_BROADCAST_ADDRESS_SPACE_805</t>
  </si>
  <si>
    <t>AHB2PHY_BROADCAST_SWMAN1_AHB2PHY_BROADCAST_ADDRESS_SPACE_806</t>
  </si>
  <si>
    <t>AHB2PHY_BROADCAST_SWMAN1_AHB2PHY_BROADCAST_ADDRESS_SPACE_807</t>
  </si>
  <si>
    <t>AHB2PHY_BROADCAST_SWMAN1_AHB2PHY_BROADCAST_ADDRESS_SPACE_808</t>
  </si>
  <si>
    <t>AHB2PHY_BROADCAST_SWMAN1_AHB2PHY_BROADCAST_ADDRESS_SPACE_809</t>
  </si>
  <si>
    <t>AHB2PHY_BROADCAST_SWMAN1_AHB2PHY_BROADCAST_ADDRESS_SPACE_810</t>
  </si>
  <si>
    <t>AHB2PHY_BROADCAST_SWMAN1_AHB2PHY_BROADCAST_ADDRESS_SPACE_811</t>
  </si>
  <si>
    <t>AHB2PHY_BROADCAST_SWMAN1_AHB2PHY_BROADCAST_ADDRESS_SPACE_812</t>
  </si>
  <si>
    <t>AHB2PHY_BROADCAST_SWMAN1_AHB2PHY_BROADCAST_ADDRESS_SPACE_813</t>
  </si>
  <si>
    <t>AHB2PHY_BROADCAST_SWMAN1_AHB2PHY_BROADCAST_ADDRESS_SPACE_814</t>
  </si>
  <si>
    <t>AHB2PHY_BROADCAST_SWMAN1_AHB2PHY_BROADCAST_ADDRESS_SPACE_815</t>
  </si>
  <si>
    <t>AHB2PHY_BROADCAST_SWMAN1_AHB2PHY_BROADCAST_ADDRESS_SPACE_816</t>
  </si>
  <si>
    <t>AHB2PHY_BROADCAST_SWMAN1_AHB2PHY_BROADCAST_ADDRESS_SPACE_817</t>
  </si>
  <si>
    <t>AHB2PHY_BROADCAST_SWMAN1_AHB2PHY_BROADCAST_ADDRESS_SPACE_818</t>
  </si>
  <si>
    <t>AHB2PHY_BROADCAST_SWMAN1_AHB2PHY_BROADCAST_ADDRESS_SPACE_819</t>
  </si>
  <si>
    <t>AHB2PHY_BROADCAST_SWMAN1_AHB2PHY_BROADCAST_ADDRESS_SPACE_820</t>
  </si>
  <si>
    <t>AHB2PHY_BROADCAST_SWMAN1_AHB2PHY_BROADCAST_ADDRESS_SPACE_821</t>
  </si>
  <si>
    <t>AHB2PHY_BROADCAST_SWMAN1_AHB2PHY_BROADCAST_ADDRESS_SPACE_822</t>
  </si>
  <si>
    <t>AHB2PHY_BROADCAST_SWMAN1_AHB2PHY_BROADCAST_ADDRESS_SPACE_823</t>
  </si>
  <si>
    <t>AHB2PHY_BROADCAST_SWMAN1_AHB2PHY_BROADCAST_ADDRESS_SPACE_824</t>
  </si>
  <si>
    <t>AHB2PHY_BROADCAST_SWMAN1_AHB2PHY_BROADCAST_ADDRESS_SPACE_825</t>
  </si>
  <si>
    <t>AHB2PHY_BROADCAST_SWMAN1_AHB2PHY_BROADCAST_ADDRESS_SPACE_826</t>
  </si>
  <si>
    <t>AHB2PHY_BROADCAST_SWMAN1_AHB2PHY_BROADCAST_ADDRESS_SPACE_827</t>
  </si>
  <si>
    <t>AHB2PHY_BROADCAST_SWMAN1_AHB2PHY_BROADCAST_ADDRESS_SPACE_828</t>
  </si>
  <si>
    <t>AHB2PHY_BROADCAST_SWMAN1_AHB2PHY_BROADCAST_ADDRESS_SPACE_829</t>
  </si>
  <si>
    <t>AHB2PHY_BROADCAST_SWMAN1_AHB2PHY_BROADCAST_ADDRESS_SPACE_830</t>
  </si>
  <si>
    <t>AHB2PHY_BROADCAST_SWMAN1_AHB2PHY_BROADCAST_ADDRESS_SPACE_831</t>
  </si>
  <si>
    <t>AHB2PHY_BROADCAST_SWMAN1_AHB2PHY_BROADCAST_ADDRESS_SPACE_832</t>
  </si>
  <si>
    <t>AHB2PHY_BROADCAST_SWMAN1_AHB2PHY_BROADCAST_ADDRESS_SPACE_833</t>
  </si>
  <si>
    <t>AHB2PHY_BROADCAST_SWMAN1_AHB2PHY_BROADCAST_ADDRESS_SPACE_834</t>
  </si>
  <si>
    <t>AHB2PHY_BROADCAST_SWMAN1_AHB2PHY_BROADCAST_ADDRESS_SPACE_835</t>
  </si>
  <si>
    <t>AHB2PHY_BROADCAST_SWMAN1_AHB2PHY_BROADCAST_ADDRESS_SPACE_836</t>
  </si>
  <si>
    <t>AHB2PHY_BROADCAST_SWMAN1_AHB2PHY_BROADCAST_ADDRESS_SPACE_837</t>
  </si>
  <si>
    <t>AHB2PHY_BROADCAST_SWMAN1_AHB2PHY_BROADCAST_ADDRESS_SPACE_838</t>
  </si>
  <si>
    <t>AHB2PHY_BROADCAST_SWMAN1_AHB2PHY_BROADCAST_ADDRESS_SPACE_839</t>
  </si>
  <si>
    <t>AHB2PHY_BROADCAST_SWMAN1_AHB2PHY_BROADCAST_ADDRESS_SPACE_840</t>
  </si>
  <si>
    <t>AHB2PHY_BROADCAST_SWMAN1_AHB2PHY_BROADCAST_ADDRESS_SPACE_841</t>
  </si>
  <si>
    <t>AHB2PHY_BROADCAST_SWMAN1_AHB2PHY_BROADCAST_ADDRESS_SPACE_842</t>
  </si>
  <si>
    <t>AHB2PHY_BROADCAST_SWMAN1_AHB2PHY_BROADCAST_ADDRESS_SPACE_843</t>
  </si>
  <si>
    <t>AHB2PHY_BROADCAST_SWMAN1_AHB2PHY_BROADCAST_ADDRESS_SPACE_844</t>
  </si>
  <si>
    <t>AHB2PHY_BROADCAST_SWMAN1_AHB2PHY_BROADCAST_ADDRESS_SPACE_845</t>
  </si>
  <si>
    <t>AHB2PHY_BROADCAST_SWMAN1_AHB2PHY_BROADCAST_ADDRESS_SPACE_846</t>
  </si>
  <si>
    <t>AHB2PHY_BROADCAST_SWMAN1_AHB2PHY_BROADCAST_ADDRESS_SPACE_847</t>
  </si>
  <si>
    <t>AHB2PHY_BROADCAST_SWMAN1_AHB2PHY_BROADCAST_ADDRESS_SPACE_848</t>
  </si>
  <si>
    <t>AHB2PHY_BROADCAST_SWMAN1_AHB2PHY_BROADCAST_ADDRESS_SPACE_849</t>
  </si>
  <si>
    <t>AHB2PHY_BROADCAST_SWMAN1_AHB2PHY_BROADCAST_ADDRESS_SPACE_850</t>
  </si>
  <si>
    <t>AHB2PHY_BROADCAST_SWMAN1_AHB2PHY_BROADCAST_ADDRESS_SPACE_851</t>
  </si>
  <si>
    <t>AHB2PHY_BROADCAST_SWMAN1_AHB2PHY_BROADCAST_ADDRESS_SPACE_852</t>
  </si>
  <si>
    <t>AHB2PHY_BROADCAST_SWMAN1_AHB2PHY_BROADCAST_ADDRESS_SPACE_853</t>
  </si>
  <si>
    <t>AHB2PHY_BROADCAST_SWMAN1_AHB2PHY_BROADCAST_ADDRESS_SPACE_854</t>
  </si>
  <si>
    <t>AHB2PHY_BROADCAST_SWMAN1_AHB2PHY_BROADCAST_ADDRESS_SPACE_855</t>
  </si>
  <si>
    <t>AHB2PHY_BROADCAST_SWMAN1_AHB2PHY_BROADCAST_ADDRESS_SPACE_856</t>
  </si>
  <si>
    <t>AHB2PHY_BROADCAST_SWMAN1_AHB2PHY_BROADCAST_ADDRESS_SPACE_857</t>
  </si>
  <si>
    <t>AHB2PHY_BROADCAST_SWMAN1_AHB2PHY_BROADCAST_ADDRESS_SPACE_858</t>
  </si>
  <si>
    <t>AHB2PHY_BROADCAST_SWMAN1_AHB2PHY_BROADCAST_ADDRESS_SPACE_859</t>
  </si>
  <si>
    <t>AHB2PHY_BROADCAST_SWMAN1_AHB2PHY_BROADCAST_ADDRESS_SPACE_860</t>
  </si>
  <si>
    <t>AHB2PHY_BROADCAST_SWMAN1_AHB2PHY_BROADCAST_ADDRESS_SPACE_861</t>
  </si>
  <si>
    <t>AHB2PHY_BROADCAST_SWMAN1_AHB2PHY_BROADCAST_ADDRESS_SPACE_862</t>
  </si>
  <si>
    <t>AHB2PHY_BROADCAST_SWMAN1_AHB2PHY_BROADCAST_ADDRESS_SPACE_863</t>
  </si>
  <si>
    <t>AHB2PHY_BROADCAST_SWMAN1_AHB2PHY_BROADCAST_ADDRESS_SPACE_864</t>
  </si>
  <si>
    <t>AHB2PHY_BROADCAST_SWMAN1_AHB2PHY_BROADCAST_ADDRESS_SPACE_865</t>
  </si>
  <si>
    <t>AHB2PHY_BROADCAST_SWMAN1_AHB2PHY_BROADCAST_ADDRESS_SPACE_866</t>
  </si>
  <si>
    <t>AHB2PHY_BROADCAST_SWMAN1_AHB2PHY_BROADCAST_ADDRESS_SPACE_867</t>
  </si>
  <si>
    <t>AHB2PHY_BROADCAST_SWMAN1_AHB2PHY_BROADCAST_ADDRESS_SPACE_868</t>
  </si>
  <si>
    <t>AHB2PHY_BROADCAST_SWMAN1_AHB2PHY_BROADCAST_ADDRESS_SPACE_869</t>
  </si>
  <si>
    <t>AHB2PHY_BROADCAST_SWMAN1_AHB2PHY_BROADCAST_ADDRESS_SPACE_870</t>
  </si>
  <si>
    <t>AHB2PHY_BROADCAST_SWMAN1_AHB2PHY_BROADCAST_ADDRESS_SPACE_871</t>
  </si>
  <si>
    <t>AHB2PHY_BROADCAST_SWMAN1_AHB2PHY_BROADCAST_ADDRESS_SPACE_872</t>
  </si>
  <si>
    <t>AHB2PHY_BROADCAST_SWMAN1_AHB2PHY_BROADCAST_ADDRESS_SPACE_873</t>
  </si>
  <si>
    <t>AHB2PHY_BROADCAST_SWMAN1_AHB2PHY_BROADCAST_ADDRESS_SPACE_874</t>
  </si>
  <si>
    <t>AHB2PHY_BROADCAST_SWMAN1_AHB2PHY_BROADCAST_ADDRESS_SPACE_875</t>
  </si>
  <si>
    <t>AHB2PHY_BROADCAST_SWMAN1_AHB2PHY_BROADCAST_ADDRESS_SPACE_876</t>
  </si>
  <si>
    <t>AHB2PHY_BROADCAST_SWMAN1_AHB2PHY_BROADCAST_ADDRESS_SPACE_877</t>
  </si>
  <si>
    <t>AHB2PHY_BROADCAST_SWMAN1_AHB2PHY_BROADCAST_ADDRESS_SPACE_878</t>
  </si>
  <si>
    <t>AHB2PHY_BROADCAST_SWMAN1_AHB2PHY_BROADCAST_ADDRESS_SPACE_879</t>
  </si>
  <si>
    <t>AHB2PHY_BROADCAST_SWMAN1_AHB2PHY_BROADCAST_ADDRESS_SPACE_880</t>
  </si>
  <si>
    <t>AHB2PHY_BROADCAST_SWMAN1_AHB2PHY_BROADCAST_ADDRESS_SPACE_881</t>
  </si>
  <si>
    <t>AHB2PHY_BROADCAST_SWMAN1_AHB2PHY_BROADCAST_ADDRESS_SPACE_882</t>
  </si>
  <si>
    <t>AHB2PHY_BROADCAST_SWMAN1_AHB2PHY_BROADCAST_ADDRESS_SPACE_883</t>
  </si>
  <si>
    <t>AHB2PHY_BROADCAST_SWMAN1_AHB2PHY_BROADCAST_ADDRESS_SPACE_884</t>
  </si>
  <si>
    <t>AHB2PHY_BROADCAST_SWMAN1_AHB2PHY_BROADCAST_ADDRESS_SPACE_885</t>
  </si>
  <si>
    <t>AHB2PHY_BROADCAST_SWMAN1_AHB2PHY_BROADCAST_ADDRESS_SPACE_886</t>
  </si>
  <si>
    <t>AHB2PHY_BROADCAST_SWMAN1_AHB2PHY_BROADCAST_ADDRESS_SPACE_887</t>
  </si>
  <si>
    <t>AHB2PHY_BROADCAST_SWMAN1_AHB2PHY_BROADCAST_ADDRESS_SPACE_888</t>
  </si>
  <si>
    <t>AHB2PHY_BROADCAST_SWMAN1_AHB2PHY_BROADCAST_ADDRESS_SPACE_889</t>
  </si>
  <si>
    <t>AHB2PHY_BROADCAST_SWMAN1_AHB2PHY_BROADCAST_ADDRESS_SPACE_890</t>
  </si>
  <si>
    <t>AHB2PHY_BROADCAST_SWMAN1_AHB2PHY_BROADCAST_ADDRESS_SPACE_891</t>
  </si>
  <si>
    <t>AHB2PHY_BROADCAST_SWMAN1_AHB2PHY_BROADCAST_ADDRESS_SPACE_892</t>
  </si>
  <si>
    <t>AHB2PHY_BROADCAST_SWMAN1_AHB2PHY_BROADCAST_ADDRESS_SPACE_893</t>
  </si>
  <si>
    <t>AHB2PHY_BROADCAST_SWMAN1_AHB2PHY_BROADCAST_ADDRESS_SPACE_894</t>
  </si>
  <si>
    <t>AHB2PHY_BROADCAST_SWMAN1_AHB2PHY_BROADCAST_ADDRESS_SPACE_895</t>
  </si>
  <si>
    <t>00000e00</t>
  </si>
  <si>
    <t>AHB2PHY_BROADCAST_SWMAN1_AHB2PHY_BROADCAST_ADDRESS_SPACE_896</t>
  </si>
  <si>
    <t>00000e04</t>
  </si>
  <si>
    <t>AHB2PHY_BROADCAST_SWMAN1_AHB2PHY_BROADCAST_ADDRESS_SPACE_897</t>
  </si>
  <si>
    <t>00000e08</t>
  </si>
  <si>
    <t>AHB2PHY_BROADCAST_SWMAN1_AHB2PHY_BROADCAST_ADDRESS_SPACE_898</t>
  </si>
  <si>
    <t>00000e0c</t>
  </si>
  <si>
    <t>AHB2PHY_BROADCAST_SWMAN1_AHB2PHY_BROADCAST_ADDRESS_SPACE_899</t>
  </si>
  <si>
    <t>00000e10</t>
  </si>
  <si>
    <t>AHB2PHY_BROADCAST_SWMAN1_AHB2PHY_BROADCAST_ADDRESS_SPACE_900</t>
  </si>
  <si>
    <t>00000e14</t>
  </si>
  <si>
    <t>AHB2PHY_BROADCAST_SWMAN1_AHB2PHY_BROADCAST_ADDRESS_SPACE_901</t>
  </si>
  <si>
    <t>00000e18</t>
  </si>
  <si>
    <t>AHB2PHY_BROADCAST_SWMAN1_AHB2PHY_BROADCAST_ADDRESS_SPACE_902</t>
  </si>
  <si>
    <t>00000e1c</t>
  </si>
  <si>
    <t>AHB2PHY_BROADCAST_SWMAN1_AHB2PHY_BROADCAST_ADDRESS_SPACE_903</t>
  </si>
  <si>
    <t>00000e20</t>
  </si>
  <si>
    <t>AHB2PHY_BROADCAST_SWMAN1_AHB2PHY_BROADCAST_ADDRESS_SPACE_904</t>
  </si>
  <si>
    <t>00000e24</t>
  </si>
  <si>
    <t>AHB2PHY_BROADCAST_SWMAN1_AHB2PHY_BROADCAST_ADDRESS_SPACE_905</t>
  </si>
  <si>
    <t>00000e28</t>
  </si>
  <si>
    <t>AHB2PHY_BROADCAST_SWMAN1_AHB2PHY_BROADCAST_ADDRESS_SPACE_906</t>
  </si>
  <si>
    <t>00000e2c</t>
  </si>
  <si>
    <t>AHB2PHY_BROADCAST_SWMAN1_AHB2PHY_BROADCAST_ADDRESS_SPACE_907</t>
  </si>
  <si>
    <t>00000e30</t>
  </si>
  <si>
    <t>AHB2PHY_BROADCAST_SWMAN1_AHB2PHY_BROADCAST_ADDRESS_SPACE_908</t>
  </si>
  <si>
    <t>00000e34</t>
  </si>
  <si>
    <t>AHB2PHY_BROADCAST_SWMAN1_AHB2PHY_BROADCAST_ADDRESS_SPACE_909</t>
  </si>
  <si>
    <t>00000e38</t>
  </si>
  <si>
    <t>AHB2PHY_BROADCAST_SWMAN1_AHB2PHY_BROADCAST_ADDRESS_SPACE_910</t>
  </si>
  <si>
    <t>00000e3c</t>
  </si>
  <si>
    <t>AHB2PHY_BROADCAST_SWMAN1_AHB2PHY_BROADCAST_ADDRESS_SPACE_911</t>
  </si>
  <si>
    <t>00000e40</t>
  </si>
  <si>
    <t>AHB2PHY_BROADCAST_SWMAN1_AHB2PHY_BROADCAST_ADDRESS_SPACE_912</t>
  </si>
  <si>
    <t>00000e44</t>
  </si>
  <si>
    <t>AHB2PHY_BROADCAST_SWMAN1_AHB2PHY_BROADCAST_ADDRESS_SPACE_913</t>
  </si>
  <si>
    <t>00000e48</t>
  </si>
  <si>
    <t>AHB2PHY_BROADCAST_SWMAN1_AHB2PHY_BROADCAST_ADDRESS_SPACE_914</t>
  </si>
  <si>
    <t>00000e4c</t>
  </si>
  <si>
    <t>AHB2PHY_BROADCAST_SWMAN1_AHB2PHY_BROADCAST_ADDRESS_SPACE_915</t>
  </si>
  <si>
    <t>00000e50</t>
  </si>
  <si>
    <t>AHB2PHY_BROADCAST_SWMAN1_AHB2PHY_BROADCAST_ADDRESS_SPACE_916</t>
  </si>
  <si>
    <t>00000e54</t>
  </si>
  <si>
    <t>AHB2PHY_BROADCAST_SWMAN1_AHB2PHY_BROADCAST_ADDRESS_SPACE_917</t>
  </si>
  <si>
    <t>00000e58</t>
  </si>
  <si>
    <t>AHB2PHY_BROADCAST_SWMAN1_AHB2PHY_BROADCAST_ADDRESS_SPACE_918</t>
  </si>
  <si>
    <t>00000e5c</t>
  </si>
  <si>
    <t>AHB2PHY_BROADCAST_SWMAN1_AHB2PHY_BROADCAST_ADDRESS_SPACE_919</t>
  </si>
  <si>
    <t>00000e60</t>
  </si>
  <si>
    <t>AHB2PHY_BROADCAST_SWMAN1_AHB2PHY_BROADCAST_ADDRESS_SPACE_920</t>
  </si>
  <si>
    <t>00000e64</t>
  </si>
  <si>
    <t>AHB2PHY_BROADCAST_SWMAN1_AHB2PHY_BROADCAST_ADDRESS_SPACE_921</t>
  </si>
  <si>
    <t>00000e68</t>
  </si>
  <si>
    <t>AHB2PHY_BROADCAST_SWMAN1_AHB2PHY_BROADCAST_ADDRESS_SPACE_922</t>
  </si>
  <si>
    <t>00000e6c</t>
  </si>
  <si>
    <t>AHB2PHY_BROADCAST_SWMAN1_AHB2PHY_BROADCAST_ADDRESS_SPACE_923</t>
  </si>
  <si>
    <t>00000e70</t>
  </si>
  <si>
    <t>AHB2PHY_BROADCAST_SWMAN1_AHB2PHY_BROADCAST_ADDRESS_SPACE_924</t>
  </si>
  <si>
    <t>00000e74</t>
  </si>
  <si>
    <t>AHB2PHY_BROADCAST_SWMAN1_AHB2PHY_BROADCAST_ADDRESS_SPACE_925</t>
  </si>
  <si>
    <t>00000e78</t>
  </si>
  <si>
    <t>AHB2PHY_BROADCAST_SWMAN1_AHB2PHY_BROADCAST_ADDRESS_SPACE_926</t>
  </si>
  <si>
    <t>00000e7c</t>
  </si>
  <si>
    <t>AHB2PHY_BROADCAST_SWMAN1_AHB2PHY_BROADCAST_ADDRESS_SPACE_927</t>
  </si>
  <si>
    <t>00000e80</t>
  </si>
  <si>
    <t>AHB2PHY_BROADCAST_SWMAN1_AHB2PHY_BROADCAST_ADDRESS_SPACE_928</t>
  </si>
  <si>
    <t>00000e84</t>
  </si>
  <si>
    <t>AHB2PHY_BROADCAST_SWMAN1_AHB2PHY_BROADCAST_ADDRESS_SPACE_929</t>
  </si>
  <si>
    <t>00000e88</t>
  </si>
  <si>
    <t>AHB2PHY_BROADCAST_SWMAN1_AHB2PHY_BROADCAST_ADDRESS_SPACE_930</t>
  </si>
  <si>
    <t>00000e8c</t>
  </si>
  <si>
    <t>AHB2PHY_BROADCAST_SWMAN1_AHB2PHY_BROADCAST_ADDRESS_SPACE_931</t>
  </si>
  <si>
    <t>00000e90</t>
  </si>
  <si>
    <t>AHB2PHY_BROADCAST_SWMAN1_AHB2PHY_BROADCAST_ADDRESS_SPACE_932</t>
  </si>
  <si>
    <t>00000e94</t>
  </si>
  <si>
    <t>AHB2PHY_BROADCAST_SWMAN1_AHB2PHY_BROADCAST_ADDRESS_SPACE_933</t>
  </si>
  <si>
    <t>00000e98</t>
  </si>
  <si>
    <t>AHB2PHY_BROADCAST_SWMAN1_AHB2PHY_BROADCAST_ADDRESS_SPACE_934</t>
  </si>
  <si>
    <t>00000e9c</t>
  </si>
  <si>
    <t>AHB2PHY_BROADCAST_SWMAN1_AHB2PHY_BROADCAST_ADDRESS_SPACE_935</t>
  </si>
  <si>
    <t>00000ea0</t>
  </si>
  <si>
    <t>AHB2PHY_BROADCAST_SWMAN1_AHB2PHY_BROADCAST_ADDRESS_SPACE_936</t>
  </si>
  <si>
    <t>00000ea4</t>
  </si>
  <si>
    <t>AHB2PHY_BROADCAST_SWMAN1_AHB2PHY_BROADCAST_ADDRESS_SPACE_937</t>
  </si>
  <si>
    <t>00000ea8</t>
  </si>
  <si>
    <t>AHB2PHY_BROADCAST_SWMAN1_AHB2PHY_BROADCAST_ADDRESS_SPACE_938</t>
  </si>
  <si>
    <t>00000eac</t>
  </si>
  <si>
    <t>AHB2PHY_BROADCAST_SWMAN1_AHB2PHY_BROADCAST_ADDRESS_SPACE_939</t>
  </si>
  <si>
    <t>00000eb0</t>
  </si>
  <si>
    <t>AHB2PHY_BROADCAST_SWMAN1_AHB2PHY_BROADCAST_ADDRESS_SPACE_940</t>
  </si>
  <si>
    <t>00000eb4</t>
  </si>
  <si>
    <t>AHB2PHY_BROADCAST_SWMAN1_AHB2PHY_BROADCAST_ADDRESS_SPACE_941</t>
  </si>
  <si>
    <t>00000eb8</t>
  </si>
  <si>
    <t>AHB2PHY_BROADCAST_SWMAN1_AHB2PHY_BROADCAST_ADDRESS_SPACE_942</t>
  </si>
  <si>
    <t>00000ebc</t>
  </si>
  <si>
    <t>AHB2PHY_BROADCAST_SWMAN1_AHB2PHY_BROADCAST_ADDRESS_SPACE_943</t>
  </si>
  <si>
    <t>00000ec0</t>
  </si>
  <si>
    <t>AHB2PHY_BROADCAST_SWMAN1_AHB2PHY_BROADCAST_ADDRESS_SPACE_944</t>
  </si>
  <si>
    <t>00000ec4</t>
  </si>
  <si>
    <t>AHB2PHY_BROADCAST_SWMAN1_AHB2PHY_BROADCAST_ADDRESS_SPACE_945</t>
  </si>
  <si>
    <t>00000ec8</t>
  </si>
  <si>
    <t>AHB2PHY_BROADCAST_SWMAN1_AHB2PHY_BROADCAST_ADDRESS_SPACE_946</t>
  </si>
  <si>
    <t>00000ecc</t>
  </si>
  <si>
    <t>AHB2PHY_BROADCAST_SWMAN1_AHB2PHY_BROADCAST_ADDRESS_SPACE_947</t>
  </si>
  <si>
    <t>00000ed0</t>
  </si>
  <si>
    <t>AHB2PHY_BROADCAST_SWMAN1_AHB2PHY_BROADCAST_ADDRESS_SPACE_948</t>
  </si>
  <si>
    <t>00000ed4</t>
  </si>
  <si>
    <t>AHB2PHY_BROADCAST_SWMAN1_AHB2PHY_BROADCAST_ADDRESS_SPACE_949</t>
  </si>
  <si>
    <t>00000ed8</t>
  </si>
  <si>
    <t>AHB2PHY_BROADCAST_SWMAN1_AHB2PHY_BROADCAST_ADDRESS_SPACE_950</t>
  </si>
  <si>
    <t>00000edc</t>
  </si>
  <si>
    <t>AHB2PHY_BROADCAST_SWMAN1_AHB2PHY_BROADCAST_ADDRESS_SPACE_951</t>
  </si>
  <si>
    <t>00000ee0</t>
  </si>
  <si>
    <t>AHB2PHY_BROADCAST_SWMAN1_AHB2PHY_BROADCAST_ADDRESS_SPACE_952</t>
  </si>
  <si>
    <t>00000ee4</t>
  </si>
  <si>
    <t>AHB2PHY_BROADCAST_SWMAN1_AHB2PHY_BROADCAST_ADDRESS_SPACE_953</t>
  </si>
  <si>
    <t>00000ee8</t>
  </si>
  <si>
    <t>AHB2PHY_BROADCAST_SWMAN1_AHB2PHY_BROADCAST_ADDRESS_SPACE_954</t>
  </si>
  <si>
    <t>00000eec</t>
  </si>
  <si>
    <t>AHB2PHY_BROADCAST_SWMAN1_AHB2PHY_BROADCAST_ADDRESS_SPACE_955</t>
  </si>
  <si>
    <t>00000ef0</t>
  </si>
  <si>
    <t>AHB2PHY_BROADCAST_SWMAN1_AHB2PHY_BROADCAST_ADDRESS_SPACE_956</t>
  </si>
  <si>
    <t>00000ef4</t>
  </si>
  <si>
    <t>AHB2PHY_BROADCAST_SWMAN1_AHB2PHY_BROADCAST_ADDRESS_SPACE_957</t>
  </si>
  <si>
    <t>00000ef8</t>
  </si>
  <si>
    <t>AHB2PHY_BROADCAST_SWMAN1_AHB2PHY_BROADCAST_ADDRESS_SPACE_958</t>
  </si>
  <si>
    <t>00000efc</t>
  </si>
  <si>
    <t>AHB2PHY_BROADCAST_SWMAN1_AHB2PHY_BROADCAST_ADDRESS_SPACE_959</t>
  </si>
  <si>
    <t>00000f00</t>
  </si>
  <si>
    <t>AHB2PHY_BROADCAST_SWMAN1_AHB2PHY_BROADCAST_ADDRESS_SPACE_960</t>
  </si>
  <si>
    <t>00000f04</t>
  </si>
  <si>
    <t>AHB2PHY_BROADCAST_SWMAN1_AHB2PHY_BROADCAST_ADDRESS_SPACE_961</t>
  </si>
  <si>
    <t>00000f08</t>
  </si>
  <si>
    <t>AHB2PHY_BROADCAST_SWMAN1_AHB2PHY_BROADCAST_ADDRESS_SPACE_962</t>
  </si>
  <si>
    <t>00000f0c</t>
  </si>
  <si>
    <t>AHB2PHY_BROADCAST_SWMAN1_AHB2PHY_BROADCAST_ADDRESS_SPACE_963</t>
  </si>
  <si>
    <t>00000f10</t>
  </si>
  <si>
    <t>AHB2PHY_BROADCAST_SWMAN1_AHB2PHY_BROADCAST_ADDRESS_SPACE_964</t>
  </si>
  <si>
    <t>00000f14</t>
  </si>
  <si>
    <t>AHB2PHY_BROADCAST_SWMAN1_AHB2PHY_BROADCAST_ADDRESS_SPACE_965</t>
  </si>
  <si>
    <t>00000f18</t>
  </si>
  <si>
    <t>AHB2PHY_BROADCAST_SWMAN1_AHB2PHY_BROADCAST_ADDRESS_SPACE_966</t>
  </si>
  <si>
    <t>00000f1c</t>
  </si>
  <si>
    <t>AHB2PHY_BROADCAST_SWMAN1_AHB2PHY_BROADCAST_ADDRESS_SPACE_967</t>
  </si>
  <si>
    <t>00000f20</t>
  </si>
  <si>
    <t>AHB2PHY_BROADCAST_SWMAN1_AHB2PHY_BROADCAST_ADDRESS_SPACE_968</t>
  </si>
  <si>
    <t>00000f24</t>
  </si>
  <si>
    <t>AHB2PHY_BROADCAST_SWMAN1_AHB2PHY_BROADCAST_ADDRESS_SPACE_969</t>
  </si>
  <si>
    <t>00000f28</t>
  </si>
  <si>
    <t>AHB2PHY_BROADCAST_SWMAN1_AHB2PHY_BROADCAST_ADDRESS_SPACE_970</t>
  </si>
  <si>
    <t>00000f2c</t>
  </si>
  <si>
    <t>AHB2PHY_BROADCAST_SWMAN1_AHB2PHY_BROADCAST_ADDRESS_SPACE_971</t>
  </si>
  <si>
    <t>00000f30</t>
  </si>
  <si>
    <t>AHB2PHY_BROADCAST_SWMAN1_AHB2PHY_BROADCAST_ADDRESS_SPACE_972</t>
  </si>
  <si>
    <t>00000f34</t>
  </si>
  <si>
    <t>AHB2PHY_BROADCAST_SWMAN1_AHB2PHY_BROADCAST_ADDRESS_SPACE_973</t>
  </si>
  <si>
    <t>00000f38</t>
  </si>
  <si>
    <t>AHB2PHY_BROADCAST_SWMAN1_AHB2PHY_BROADCAST_ADDRESS_SPACE_974</t>
  </si>
  <si>
    <t>00000f3c</t>
  </si>
  <si>
    <t>AHB2PHY_BROADCAST_SWMAN1_AHB2PHY_BROADCAST_ADDRESS_SPACE_975</t>
  </si>
  <si>
    <t>00000f40</t>
  </si>
  <si>
    <t>AHB2PHY_BROADCAST_SWMAN1_AHB2PHY_BROADCAST_ADDRESS_SPACE_976</t>
  </si>
  <si>
    <t>00000f44</t>
  </si>
  <si>
    <t>AHB2PHY_BROADCAST_SWMAN1_AHB2PHY_BROADCAST_ADDRESS_SPACE_977</t>
  </si>
  <si>
    <t>00000f48</t>
  </si>
  <si>
    <t>AHB2PHY_BROADCAST_SWMAN1_AHB2PHY_BROADCAST_ADDRESS_SPACE_978</t>
  </si>
  <si>
    <t>00000f4c</t>
  </si>
  <si>
    <t>AHB2PHY_BROADCAST_SWMAN1_AHB2PHY_BROADCAST_ADDRESS_SPACE_979</t>
  </si>
  <si>
    <t>00000f50</t>
  </si>
  <si>
    <t>AHB2PHY_BROADCAST_SWMAN1_AHB2PHY_BROADCAST_ADDRESS_SPACE_980</t>
  </si>
  <si>
    <t>00000f54</t>
  </si>
  <si>
    <t>AHB2PHY_BROADCAST_SWMAN1_AHB2PHY_BROADCAST_ADDRESS_SPACE_981</t>
  </si>
  <si>
    <t>00000f58</t>
  </si>
  <si>
    <t>AHB2PHY_BROADCAST_SWMAN1_AHB2PHY_BROADCAST_ADDRESS_SPACE_982</t>
  </si>
  <si>
    <t>00000f5c</t>
  </si>
  <si>
    <t>AHB2PHY_BROADCAST_SWMAN1_AHB2PHY_BROADCAST_ADDRESS_SPACE_983</t>
  </si>
  <si>
    <t>00000f60</t>
  </si>
  <si>
    <t>AHB2PHY_BROADCAST_SWMAN1_AHB2PHY_BROADCAST_ADDRESS_SPACE_984</t>
  </si>
  <si>
    <t>00000f64</t>
  </si>
  <si>
    <t>AHB2PHY_BROADCAST_SWMAN1_AHB2PHY_BROADCAST_ADDRESS_SPACE_985</t>
  </si>
  <si>
    <t>00000f68</t>
  </si>
  <si>
    <t>AHB2PHY_BROADCAST_SWMAN1_AHB2PHY_BROADCAST_ADDRESS_SPACE_986</t>
  </si>
  <si>
    <t>00000f6c</t>
  </si>
  <si>
    <t>AHB2PHY_BROADCAST_SWMAN1_AHB2PHY_BROADCAST_ADDRESS_SPACE_987</t>
  </si>
  <si>
    <t>00000f70</t>
  </si>
  <si>
    <t>AHB2PHY_BROADCAST_SWMAN1_AHB2PHY_BROADCAST_ADDRESS_SPACE_988</t>
  </si>
  <si>
    <t>00000f74</t>
  </si>
  <si>
    <t>AHB2PHY_BROADCAST_SWMAN1_AHB2PHY_BROADCAST_ADDRESS_SPACE_989</t>
  </si>
  <si>
    <t>00000f78</t>
  </si>
  <si>
    <t>AHB2PHY_BROADCAST_SWMAN1_AHB2PHY_BROADCAST_ADDRESS_SPACE_990</t>
  </si>
  <si>
    <t>00000f7c</t>
  </si>
  <si>
    <t>AHB2PHY_BROADCAST_SWMAN1_AHB2PHY_BROADCAST_ADDRESS_SPACE_991</t>
  </si>
  <si>
    <t>AHB2PHY_BROADCAST_SWMAN1_AHB2PHY_BROADCAST_ADDRESS_SPACE_992</t>
  </si>
  <si>
    <t>AHB2PHY_BROADCAST_SWMAN1_AHB2PHY_BROADCAST_ADDRESS_SPACE_993</t>
  </si>
  <si>
    <t>AHB2PHY_BROADCAST_SWMAN1_AHB2PHY_BROADCAST_ADDRESS_SPACE_994</t>
  </si>
  <si>
    <t>AHB2PHY_BROADCAST_SWMAN1_AHB2PHY_BROADCAST_ADDRESS_SPACE_995</t>
  </si>
  <si>
    <t>AHB2PHY_BROADCAST_SWMAN1_AHB2PHY_BROADCAST_ADDRESS_SPACE_996</t>
  </si>
  <si>
    <t>AHB2PHY_BROADCAST_SWMAN1_AHB2PHY_BROADCAST_ADDRESS_SPACE_997</t>
  </si>
  <si>
    <t>AHB2PHY_BROADCAST_SWMAN1_AHB2PHY_BROADCAST_ADDRESS_SPACE_998</t>
  </si>
  <si>
    <t>AHB2PHY_BROADCAST_SWMAN1_AHB2PHY_BROADCAST_ADDRESS_SPACE_999</t>
  </si>
  <si>
    <t>AHB2PHY_BROADCAST_SWMAN1_AHB2PHY_BROADCAST_ADDRESS_SPACE_1000</t>
  </si>
  <si>
    <t>AHB2PHY_BROADCAST_SWMAN1_AHB2PHY_BROADCAST_ADDRESS_SPACE_1001</t>
  </si>
  <si>
    <t>AHB2PHY_BROADCAST_SWMAN1_AHB2PHY_BROADCAST_ADDRESS_SPACE_1002</t>
  </si>
  <si>
    <t>AHB2PHY_BROADCAST_SWMAN1_AHB2PHY_BROADCAST_ADDRESS_SPACE_1003</t>
  </si>
  <si>
    <t>AHB2PHY_BROADCAST_SWMAN1_AHB2PHY_BROADCAST_ADDRESS_SPACE_1004</t>
  </si>
  <si>
    <t>AHB2PHY_BROADCAST_SWMAN1_AHB2PHY_BROADCAST_ADDRESS_SPACE_1005</t>
  </si>
  <si>
    <t>AHB2PHY_BROADCAST_SWMAN1_AHB2PHY_BROADCAST_ADDRESS_SPACE_1006</t>
  </si>
  <si>
    <t>AHB2PHY_BROADCAST_SWMAN1_AHB2PHY_BROADCAST_ADDRESS_SPACE_1007</t>
  </si>
  <si>
    <t>AHB2PHY_BROADCAST_SWMAN1_AHB2PHY_BROADCAST_ADDRESS_SPACE_1008</t>
  </si>
  <si>
    <t>AHB2PHY_BROADCAST_SWMAN1_AHB2PHY_BROADCAST_ADDRESS_SPACE_1009</t>
  </si>
  <si>
    <t>AHB2PHY_BROADCAST_SWMAN1_AHB2PHY_BROADCAST_ADDRESS_SPACE_1010</t>
  </si>
  <si>
    <t>AHB2PHY_BROADCAST_SWMAN1_AHB2PHY_BROADCAST_ADDRESS_SPACE_1011</t>
  </si>
  <si>
    <t>AHB2PHY_BROADCAST_SWMAN1_AHB2PHY_BROADCAST_ADDRESS_SPACE_1012</t>
  </si>
  <si>
    <t>AHB2PHY_BROADCAST_SWMAN1_AHB2PHY_BROADCAST_ADDRESS_SPACE_1013</t>
  </si>
  <si>
    <t>AHB2PHY_BROADCAST_SWMAN1_AHB2PHY_BROADCAST_ADDRESS_SPACE_1014</t>
  </si>
  <si>
    <t>AHB2PHY_BROADCAST_SWMAN1_AHB2PHY_BROADCAST_ADDRESS_SPACE_1015</t>
  </si>
  <si>
    <t>AHB2PHY_BROADCAST_SWMAN1_AHB2PHY_BROADCAST_ADDRESS_SPACE_1016</t>
  </si>
  <si>
    <t>AHB2PHY_BROADCAST_SWMAN1_AHB2PHY_BROADCAST_ADDRESS_SPACE_1017</t>
  </si>
  <si>
    <t>AHB2PHY_BROADCAST_SWMAN1_AHB2PHY_BROADCAST_ADDRESS_SPACE_1018</t>
  </si>
  <si>
    <t>AHB2PHY_BROADCAST_SWMAN1_AHB2PHY_BROADCAST_ADDRESS_SPACE_1019</t>
  </si>
  <si>
    <t>AHB2PHY_BROADCAST_SWMAN1_AHB2PHY_BROADCAST_ADDRESS_SPACE_1020</t>
  </si>
  <si>
    <t>AHB2PHY_BROADCAST_SWMAN1_AHB2PHY_BROADCAST_ADDRESS_SPACE_1021</t>
  </si>
  <si>
    <t>AHB2PHY_BROADCAST_SWMAN1_AHB2PHY_BROADCAST_ADDRESS_SPACE_1022</t>
  </si>
  <si>
    <t>AHB2PHY_BROADCAST_SWMAN1_AHB2PHY_BROADCAST_ADDRESS_SPACE_1023</t>
  </si>
  <si>
    <t>AHB2PHY_SWMAN_HW_VERSION</t>
  </si>
  <si>
    <t>AHB2PHY_SWMAN_HW_INFO</t>
  </si>
  <si>
    <t>AHB2PHY_SWMAN_AHB2PHY_BROADCAST_EN_CFG_LOWER</t>
  </si>
  <si>
    <t>AHB2PHY_SWMAN_AHB2PHY_BROADCAST_EN_CFG_UPPER</t>
  </si>
  <si>
    <t>AHB2PHY_SWMAN_AHB2PHY_TOP_CFG</t>
  </si>
  <si>
    <t>AHB2PHY_SWMAN_AHB2PHY_DEBUG_BUS_CFG</t>
  </si>
  <si>
    <t>DDR_SS_TZ_DPCC_SHUB_GDSC_OVRD</t>
  </si>
  <si>
    <t>00008540</t>
  </si>
  <si>
    <t>MEM_NOC_LLCC0_EVENT_COLLECTOR_COUNTERS_8_VAL_LOW</t>
  </si>
  <si>
    <t>000085c0</t>
  </si>
  <si>
    <t>MEM_NOC_LLCC0_EVENT_COLLECTOR_COUNTERS_9_VAL_LOW</t>
  </si>
  <si>
    <t>00008640</t>
  </si>
  <si>
    <t>MEM_NOC_LLCC0_EVENT_COLLECTOR_COUNTERS_10_VAL_LOW</t>
  </si>
  <si>
    <t>000086c0</t>
  </si>
  <si>
    <t>MEM_NOC_LLCC0_EVENT_COLLECTOR_COUNTERS_11_VAL_LOW</t>
  </si>
  <si>
    <t>00008740</t>
  </si>
  <si>
    <t>MEM_NOC_LLCC0_EVENT_COLLECTOR_COUNTERS_12_VAL_LOW</t>
  </si>
  <si>
    <t>000087c0</t>
  </si>
  <si>
    <t>MEM_NOC_LLCC0_EVENT_COLLECTOR_COUNTERS_13_VAL_LOW</t>
  </si>
  <si>
    <t>00008840</t>
  </si>
  <si>
    <t>MEM_NOC_LLCC0_EVENT_COLLECTOR_COUNTERS_14_VAL_LOW</t>
  </si>
  <si>
    <t>000088c0</t>
  </si>
  <si>
    <t>MEM_NOC_LLCC0_EVENT_COLLECTOR_COUNTERS_15_VAL_LOW</t>
  </si>
  <si>
    <t>00009540</t>
  </si>
  <si>
    <t>MEM_NOC_LLCC1_EVENT_COLLECTOR_COUNTERS_8_VAL_LOW</t>
  </si>
  <si>
    <t>000095c0</t>
  </si>
  <si>
    <t>MEM_NOC_LLCC1_EVENT_COLLECTOR_COUNTERS_9_VAL_LOW</t>
  </si>
  <si>
    <t>00009640</t>
  </si>
  <si>
    <t>MEM_NOC_LLCC1_EVENT_COLLECTOR_COUNTERS_10_VAL_LOW</t>
  </si>
  <si>
    <t>000096c0</t>
  </si>
  <si>
    <t>MEM_NOC_LLCC1_EVENT_COLLECTOR_COUNTERS_11_VAL_LOW</t>
  </si>
  <si>
    <t>00009740</t>
  </si>
  <si>
    <t>MEM_NOC_LLCC1_EVENT_COLLECTOR_COUNTERS_12_VAL_LOW</t>
  </si>
  <si>
    <t>000097c0</t>
  </si>
  <si>
    <t>MEM_NOC_LLCC1_EVENT_COLLECTOR_COUNTERS_13_VAL_LOW</t>
  </si>
  <si>
    <t>00009840</t>
  </si>
  <si>
    <t>MEM_NOC_LLCC1_EVENT_COLLECTOR_COUNTERS_14_VAL_LOW</t>
  </si>
  <si>
    <t>000098c0</t>
  </si>
  <si>
    <t>MEM_NOC_LLCC1_EVENT_COLLECTOR_COUNTERS_15_VAL_LOW</t>
  </si>
  <si>
    <t>SHRM_CSR_SHRM_SWRST_TRIG</t>
  </si>
  <si>
    <t>SHRM_CSR_SHRM_SWRST_CLKGATE_SEQ</t>
  </si>
  <si>
    <t>SHRM_CSR_SHRM_SWRST_RES_SEQ</t>
  </si>
  <si>
    <t>0x020816E4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</si>
</sst>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b/>
      <sz val="11"/>
      <color theme="1"/>
      <name val="Calibri"/>
      <family val="2"/>
      <scheme val="minor"/>
    </font>
    <font>
      <b/>
      <sz val="10"/>
      <color theme="1"/>
      <name val="Arial"/>
      <family val="2"/>
    </font>
    <font>
      <sz val="11"/>
      <color theme="1"/>
      <name val="Consolas"/>
      <family val="3"/>
    </font>
    <font>
      <b/>
      <sz val="11"/>
      <color theme="1"/>
      <name val="Consolas"/>
      <family val="3"/>
    </font>
  </fonts>
  <fills count="16">
    <fill>
      <patternFill patternType="none"/>
    </fill>
    <fill>
      <patternFill patternType="gray125"/>
    </fill>
    <fill>
      <patternFill patternType="solid">
        <fgColor theme="7" tint="-0.49998474074526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theme="0" tint="-4.9989318521683403E-2"/>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16">
    <xf numFmtId="0" fontId="0" fillId="0" borderId="0" xfId="0"/>
    <xf numFmtId="0" fontId="1" fillId="7" borderId="2" xfId="0" applyFont="1" applyFill="1" applyBorder="1" applyAlignment="1">
      <alignment horizontal="center" vertical="center"/>
    </xf>
    <xf numFmtId="0" fontId="1" fillId="7" borderId="3"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2" xfId="0" applyFont="1" applyFill="1" applyBorder="1" applyAlignment="1">
      <alignment vertical="center" wrapText="1"/>
    </xf>
    <xf numFmtId="0" fontId="0" fillId="6" borderId="4" xfId="0" applyFill="1" applyBorder="1" applyAlignment="1">
      <alignment horizontal="center" vertical="center"/>
    </xf>
    <xf numFmtId="0" fontId="0" fillId="7" borderId="0" xfId="0" applyFill="1" applyAlignment="1">
      <alignment horizontal="center" vertical="center"/>
    </xf>
    <xf numFmtId="0" fontId="0" fillId="7" borderId="5" xfId="0" applyFill="1" applyBorder="1" applyAlignment="1">
      <alignment horizontal="center" vertical="center"/>
    </xf>
    <xf numFmtId="0" fontId="0" fillId="6" borderId="5" xfId="0" applyFill="1" applyBorder="1" applyAlignment="1">
      <alignment horizontal="center" vertical="center"/>
    </xf>
    <xf numFmtId="0" fontId="1" fillId="6" borderId="4" xfId="0" applyFont="1" applyFill="1" applyBorder="1" applyAlignment="1">
      <alignment horizontal="center" vertical="center"/>
    </xf>
    <xf numFmtId="0" fontId="1" fillId="6" borderId="0" xfId="0" applyFont="1" applyFill="1" applyAlignment="1">
      <alignment horizontal="center" vertical="center" wrapText="1"/>
    </xf>
    <xf numFmtId="0" fontId="1" fillId="8" borderId="0" xfId="0" applyFont="1" applyFill="1" applyAlignment="1">
      <alignment horizontal="center" vertical="center"/>
    </xf>
    <xf numFmtId="0" fontId="1" fillId="8" borderId="5" xfId="0" applyFont="1" applyFill="1" applyBorder="1" applyAlignment="1">
      <alignment horizontal="center" vertical="center"/>
    </xf>
    <xf numFmtId="0" fontId="0" fillId="3" borderId="4" xfId="0" applyFill="1" applyBorder="1" applyAlignment="1">
      <alignment horizontal="center" vertical="center"/>
    </xf>
    <xf numFmtId="0" fontId="0" fillId="2" borderId="0" xfId="0" applyFill="1" applyAlignment="1">
      <alignment horizontal="center" vertical="center"/>
    </xf>
    <xf numFmtId="0" fontId="0" fillId="3" borderId="5" xfId="0" applyFill="1" applyBorder="1" applyAlignment="1">
      <alignment horizontal="center" vertical="center"/>
    </xf>
    <xf numFmtId="0" fontId="0" fillId="6" borderId="6" xfId="0" applyFill="1" applyBorder="1" applyAlignment="1">
      <alignment horizontal="center" vertical="center"/>
    </xf>
    <xf numFmtId="0" fontId="0" fillId="6" borderId="7"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3" borderId="1" xfId="0" applyFill="1" applyBorder="1" applyAlignment="1">
      <alignment horizontal="center" vertical="center"/>
    </xf>
    <xf numFmtId="0" fontId="0" fillId="3" borderId="2" xfId="0" applyFill="1" applyBorder="1" applyAlignment="1">
      <alignment horizontal="center" vertical="center"/>
    </xf>
    <xf numFmtId="164" fontId="0" fillId="5" borderId="2" xfId="0" applyNumberFormat="1" applyFill="1" applyBorder="1" applyAlignment="1">
      <alignment horizontal="center" vertical="center"/>
    </xf>
    <xf numFmtId="164" fontId="0" fillId="5" borderId="3" xfId="0" applyNumberFormat="1" applyFill="1" applyBorder="1" applyAlignment="1">
      <alignment horizontal="center" vertical="center"/>
    </xf>
    <xf numFmtId="0" fontId="0" fillId="3" borderId="6" xfId="0" applyFill="1" applyBorder="1" applyAlignment="1">
      <alignment horizontal="center" vertical="center"/>
    </xf>
    <xf numFmtId="0" fontId="0" fillId="3" borderId="8" xfId="0" applyFill="1" applyBorder="1" applyAlignment="1">
      <alignment horizontal="center" vertical="center"/>
    </xf>
    <xf numFmtId="0" fontId="0" fillId="3" borderId="0" xfId="0" applyFill="1" applyAlignment="1">
      <alignment horizontal="center" vertical="center"/>
    </xf>
    <xf numFmtId="164" fontId="0" fillId="5" borderId="0" xfId="0" applyNumberFormat="1" applyFill="1" applyAlignment="1">
      <alignment horizontal="center" vertical="center"/>
    </xf>
    <xf numFmtId="164" fontId="0" fillId="5" borderId="5" xfId="0" applyNumberFormat="1" applyFill="1" applyBorder="1" applyAlignment="1">
      <alignment horizontal="center" vertical="center"/>
    </xf>
    <xf numFmtId="0" fontId="0" fillId="3" borderId="7" xfId="0" applyFill="1" applyBorder="1" applyAlignment="1">
      <alignment horizontal="center" vertical="center"/>
    </xf>
    <xf numFmtId="164" fontId="0" fillId="5" borderId="7" xfId="0" applyNumberFormat="1" applyFill="1" applyBorder="1" applyAlignment="1">
      <alignment horizontal="center" vertical="center"/>
    </xf>
    <xf numFmtId="164" fontId="0" fillId="5" borderId="8" xfId="0" applyNumberFormat="1" applyFill="1" applyBorder="1" applyAlignment="1">
      <alignment horizontal="center" vertical="center"/>
    </xf>
    <xf numFmtId="0" fontId="0" fillId="6" borderId="0" xfId="0" applyFill="1" applyAlignment="1">
      <alignment horizontal="center" vertical="center"/>
    </xf>
    <xf numFmtId="0" fontId="0" fillId="4" borderId="0" xfId="0" applyFill="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0" fillId="4" borderId="8" xfId="0" applyFill="1" applyBorder="1" applyAlignment="1" applyProtection="1">
      <alignment horizontal="center" vertical="center"/>
      <protection locked="0"/>
    </xf>
    <xf numFmtId="49" fontId="2" fillId="0" borderId="0" xfId="0" applyNumberFormat="1" applyFont="1" applyAlignment="1">
      <alignment horizontal="center" vertical="center"/>
    </xf>
    <xf numFmtId="49" fontId="0" fillId="0" borderId="0" xfId="0" applyNumberFormat="1" applyAlignment="1">
      <alignment horizontal="center" vertical="center"/>
    </xf>
    <xf numFmtId="49" fontId="1" fillId="0" borderId="0" xfId="0" applyNumberFormat="1" applyFont="1" applyAlignment="1">
      <alignment horizontal="center" vertical="center"/>
    </xf>
    <xf numFmtId="49" fontId="3" fillId="0" borderId="0" xfId="0" applyNumberFormat="1" applyFont="1" applyAlignment="1">
      <alignment horizontal="center"/>
    </xf>
    <xf numFmtId="49" fontId="4" fillId="0" borderId="0" xfId="0" applyNumberFormat="1" applyFont="1" applyAlignment="1">
      <alignment horizontal="center"/>
    </xf>
    <xf numFmtId="0" fontId="0" fillId="0" borderId="0" xfId="0"/>
    <xf numFmtId="14" fontId="0" fillId="0" borderId="0" xfId="0" applyNumberFormat="1"/>
    <xf numFmtId="0" fontId="0" fillId="0" borderId="0" xfId="0" applyAlignment="1">
      <alignment horizontal="center" vertical="center" wrapText="1"/>
    </xf>
    <xf numFmtId="1" fontId="3" fillId="0" borderId="0" xfId="0" applyNumberFormat="1" applyFont="1" applyAlignment="1">
      <alignment horizontal="center" vertical="center"/>
    </xf>
    <xf numFmtId="49" fontId="3" fillId="0" borderId="0" xfId="0" applyNumberFormat="1" applyFont="1" applyAlignment="1">
      <alignment horizontal="center" vertical="center"/>
    </xf>
    <xf numFmtId="1" fontId="3" fillId="0" borderId="0" xfId="0" applyNumberFormat="1" applyFont="1" applyAlignment="1">
      <alignment horizontal="center" vertical="center" wrapText="1"/>
    </xf>
    <xf numFmtId="1" fontId="3" fillId="0" borderId="0" xfId="0" applyNumberFormat="1" applyFont="1" applyAlignment="1">
      <alignment horizontal="center"/>
    </xf>
    <xf numFmtId="49" fontId="4" fillId="0" borderId="0" xfId="0" applyNumberFormat="1" applyFont="1"/>
    <xf numFmtId="49" fontId="4" fillId="0" borderId="0" xfId="0" applyNumberFormat="1" applyFont="1" applyAlignment="1">
      <alignment horizontal="center" vertical="center"/>
    </xf>
    <xf numFmtId="0" fontId="0" fillId="10" borderId="12" xfId="0" applyFill="1" applyBorder="1" applyAlignment="1">
      <alignment horizontal="center" vertical="center"/>
    </xf>
    <xf numFmtId="0" fontId="0" fillId="15" borderId="13" xfId="0" applyFill="1" applyBorder="1" applyAlignment="1">
      <alignment horizontal="center" vertical="center"/>
    </xf>
    <xf numFmtId="49" fontId="1" fillId="10" borderId="0" xfId="0" applyNumberFormat="1" applyFont="1" applyFill="1" applyAlignment="1">
      <alignment horizontal="center" vertical="center"/>
    </xf>
    <xf numFmtId="49" fontId="1" fillId="10" borderId="13" xfId="0" applyNumberFormat="1" applyFont="1" applyFill="1" applyBorder="1" applyAlignment="1">
      <alignment horizontal="center" vertical="center"/>
    </xf>
    <xf numFmtId="49" fontId="0" fillId="0" borderId="0" xfId="0" applyNumberFormat="1" applyAlignment="1" applyProtection="1">
      <alignment horizontal="center" vertical="center" wrapText="1"/>
      <protection locked="0"/>
    </xf>
    <xf numFmtId="49" fontId="0" fillId="0" borderId="13" xfId="0" applyNumberFormat="1" applyBorder="1" applyAlignment="1" applyProtection="1">
      <alignment horizontal="center" vertical="center" wrapText="1"/>
      <protection locked="0"/>
    </xf>
    <xf numFmtId="0" fontId="0" fillId="0" borderId="0" xfId="0" applyAlignment="1" applyProtection="1">
      <alignment horizontal="center" vertical="center"/>
      <protection locked="0"/>
    </xf>
    <xf numFmtId="0" fontId="0" fillId="10" borderId="14" xfId="0" applyFill="1" applyBorder="1" applyAlignment="1">
      <alignment horizontal="center" vertical="center"/>
    </xf>
    <xf numFmtId="0" fontId="0" fillId="15" borderId="0" xfId="0" applyFill="1" applyAlignment="1">
      <alignment horizontal="center" vertical="center"/>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15" borderId="16" xfId="0" applyFill="1" applyBorder="1" applyAlignment="1">
      <alignment horizontal="center" vertical="center"/>
    </xf>
    <xf numFmtId="0" fontId="3" fillId="0" borderId="0" xfId="0" applyFont="1" applyAlignment="1">
      <alignment horizontal="center"/>
    </xf>
    <xf numFmtId="0" fontId="3" fillId="11" borderId="0" xfId="0" applyFont="1" applyFill="1" applyAlignment="1">
      <alignment horizontal="center"/>
    </xf>
    <xf numFmtId="0" fontId="3" fillId="11" borderId="0" xfId="0" applyFont="1" applyFill="1" applyAlignment="1">
      <alignment horizontal="center" vertical="center"/>
    </xf>
    <xf numFmtId="0" fontId="4" fillId="0" borderId="0" xfId="0" applyFont="1" applyAlignment="1">
      <alignment horizontal="center"/>
    </xf>
    <xf numFmtId="0" fontId="3" fillId="0" borderId="0" xfId="0" applyFont="1" applyAlignment="1">
      <alignment horizontal="left" vertical="center"/>
    </xf>
    <xf numFmtId="0" fontId="3" fillId="12" borderId="9" xfId="0" applyFont="1" applyFill="1" applyBorder="1" applyAlignment="1">
      <alignment horizontal="center" vertical="center"/>
    </xf>
    <xf numFmtId="0" fontId="3" fillId="0" borderId="10" xfId="0" applyFont="1" applyBorder="1" applyAlignment="1">
      <alignment horizontal="center" vertical="center" wrapText="1"/>
    </xf>
    <xf numFmtId="0" fontId="3" fillId="0" borderId="11" xfId="0" applyFont="1" applyBorder="1" applyAlignment="1">
      <alignment horizontal="center" vertical="center" wrapText="1"/>
    </xf>
    <xf numFmtId="0" fontId="3" fillId="12" borderId="12" xfId="0" applyFont="1" applyFill="1" applyBorder="1" applyAlignment="1">
      <alignment horizontal="center" vertical="center"/>
    </xf>
    <xf numFmtId="0" fontId="3" fillId="0" borderId="13" xfId="0" applyFont="1" applyBorder="1" applyAlignment="1">
      <alignment horizontal="center" vertical="center" wrapText="1"/>
    </xf>
    <xf numFmtId="0" fontId="3" fillId="14" borderId="0" xfId="0" applyFont="1" applyFill="1" applyAlignment="1">
      <alignment horizontal="center" vertical="center" wrapText="1"/>
    </xf>
    <xf numFmtId="0" fontId="3" fillId="12" borderId="14" xfId="0" applyFont="1" applyFill="1" applyBorder="1" applyAlignment="1">
      <alignment horizontal="center" vertical="center"/>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3" fillId="13" borderId="9" xfId="0" applyFont="1" applyFill="1" applyBorder="1" applyAlignment="1">
      <alignment horizontal="center" vertical="center"/>
    </xf>
    <xf numFmtId="0" fontId="3" fillId="13" borderId="12" xfId="0" applyFont="1" applyFill="1" applyBorder="1" applyAlignment="1">
      <alignment horizontal="center" vertical="center"/>
    </xf>
    <xf numFmtId="0" fontId="3" fillId="13" borderId="14" xfId="0" applyFont="1" applyFill="1" applyBorder="1" applyAlignment="1">
      <alignment horizontal="center" vertical="center"/>
    </xf>
    <xf numFmtId="0" fontId="3" fillId="14" borderId="13" xfId="0" applyFont="1" applyFill="1" applyBorder="1" applyAlignment="1">
      <alignment horizontal="center" vertical="center" wrapText="1"/>
    </xf>
    <xf numFmtId="49" fontId="3" fillId="0" borderId="0" xfId="0" applyNumberFormat="1" applyFont="1"/>
    <xf numFmtId="49" fontId="3" fillId="0" borderId="13" xfId="0" applyNumberFormat="1" applyFont="1" applyBorder="1" applyAlignment="1" applyProtection="1">
      <alignment horizontal="center" vertical="center"/>
      <protection locked="0"/>
    </xf>
    <xf numFmtId="0" fontId="0" fillId="0" borderId="0" xfId="0" applyAlignment="1">
      <alignment horizontal="left" vertical="center"/>
    </xf>
    <xf numFmtId="49" fontId="0" fillId="0" borderId="0" xfId="0" applyNumberFormat="1" applyAlignment="1">
      <alignment horizontal="center"/>
    </xf>
    <xf numFmtId="0" fontId="3" fillId="0" borderId="0" xfId="0" applyFont="1"/>
    <xf numFmtId="49" fontId="3" fillId="0" borderId="16" xfId="0" applyNumberFormat="1" applyFont="1" applyBorder="1" applyAlignment="1" applyProtection="1">
      <alignment horizontal="center" vertical="center"/>
      <protection locked="0"/>
    </xf>
    <xf numFmtId="0" fontId="1" fillId="9" borderId="10" xfId="0" applyFont="1" applyFill="1" applyBorder="1" applyAlignment="1">
      <alignment horizontal="center" vertical="center"/>
    </xf>
    <xf numFmtId="49" fontId="3" fillId="0" borderId="7" xfId="0" applyNumberFormat="1" applyFont="1" applyBorder="1" applyAlignment="1">
      <alignment horizontal="center" vertical="center" wrapText="1"/>
    </xf>
    <xf numFmtId="49" fontId="3" fillId="0" borderId="8" xfId="0" applyNumberFormat="1" applyFont="1" applyBorder="1" applyAlignment="1">
      <alignment horizontal="center" vertical="center" wrapText="1"/>
    </xf>
    <xf numFmtId="0" fontId="3" fillId="0" borderId="0" xfId="0" applyFont="1" applyAlignment="1">
      <alignment horizontal="center" vertical="center" wrapText="1"/>
    </xf>
    <xf numFmtId="0" fontId="3" fillId="0" borderId="14" xfId="0" applyFont="1" applyBorder="1" applyAlignment="1">
      <alignment horizontal="center" vertical="center" wrapText="1"/>
    </xf>
    <xf numFmtId="0" fontId="3" fillId="0" borderId="12" xfId="0" applyFont="1" applyBorder="1" applyAlignment="1">
      <alignment horizontal="center" vertical="center"/>
    </xf>
    <xf numFmtId="0" fontId="3" fillId="0" borderId="9" xfId="0" applyFont="1" applyBorder="1" applyAlignment="1">
      <alignment horizontal="center" vertical="center" wrapText="1"/>
    </xf>
    <xf numFmtId="0" fontId="3" fillId="0" borderId="12" xfId="0" applyFont="1" applyBorder="1" applyAlignment="1">
      <alignment horizontal="center" vertical="center" wrapText="1"/>
    </xf>
    <xf numFmtId="0" fontId="0" fillId="0" borderId="0" xfId="0" applyAlignment="1">
      <alignment vertical="center"/>
    </xf>
    <xf numFmtId="0" fontId="1" fillId="9" borderId="11" xfId="0" applyFont="1" applyFill="1" applyBorder="1" applyAlignment="1">
      <alignment horizontal="center" vertical="center"/>
    </xf>
    <xf numFmtId="0" fontId="4" fillId="0" borderId="0" xfId="0" applyFont="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1" fillId="6" borderId="0" xfId="0" applyFont="1" applyFill="1" applyAlignment="1">
      <alignment horizontal="center" vertical="center"/>
    </xf>
    <xf numFmtId="0" fontId="1" fillId="6" borderId="1" xfId="0" applyFont="1" applyFill="1" applyBorder="1" applyAlignment="1">
      <alignment horizontal="center" vertical="center"/>
    </xf>
    <xf numFmtId="0" fontId="1" fillId="9" borderId="9" xfId="0" applyFont="1" applyFill="1" applyBorder="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1" fillId="3" borderId="0" xfId="0" applyFont="1" applyFill="1" applyAlignment="1">
      <alignment horizontal="center" vertical="center"/>
    </xf>
    <xf numFmtId="0" fontId="1" fillId="4" borderId="0" xfId="0" applyFont="1" applyFill="1" applyAlignment="1">
      <alignment horizontal="center"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6" borderId="1" xfId="0" applyFont="1" applyFill="1" applyBorder="1" applyAlignment="1">
      <alignment horizontal="center" vertical="center"/>
    </xf>
    <xf numFmtId="0" fontId="1" fillId="8" borderId="2" xfId="0" applyFont="1" applyFill="1" applyBorder="1" applyAlignment="1">
      <alignment horizontal="center" vertical="center" wrapText="1"/>
    </xf>
    <xf numFmtId="0" fontId="1" fillId="9" borderId="9" xfId="0" applyFont="1" applyFill="1"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V:\vi_napali\users\sve_ddr\SC_02.01.08\vi_ddr\dev\jchudson_dsf_v230_shrm158_mvex469_customer_dsf_xl_small_eye\platform\vi_napali_v2\src\DDRSS_SNS_V3\tools\common\target\SDM845_830\temp\SDM845_V2_ASIC_10_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UM"/>
      <sheetName val="ALC"/>
      <sheetName val="C"/>
      <sheetName val="SCORECARD"/>
      <sheetName val="STRUCT"/>
      <sheetName val="INPUT"/>
      <sheetName val="SWCs"/>
      <sheetName val="ALCs"/>
      <sheetName val="STRUCTb"/>
      <sheetName val="STRUCTs"/>
      <sheetName val="DCC"/>
      <sheetName val="TRAINING"/>
      <sheetName val="AUTO"/>
      <sheetName val="REL"/>
    </sheetNames>
    <sheetDataSet>
      <sheetData sheetId="0">
        <row r="2">
          <cell r="A2" t="str">
            <v>GHS</v>
          </cell>
          <cell r="B2" t="str">
            <v>00000000</v>
          </cell>
        </row>
        <row r="3">
          <cell r="A3" t="str">
            <v>D2N</v>
          </cell>
          <cell r="B3" t="str">
            <v>00000001</v>
          </cell>
        </row>
        <row r="4">
          <cell r="A4" t="str">
            <v>NA</v>
          </cell>
          <cell r="B4" t="str">
            <v>000000FF</v>
          </cell>
        </row>
        <row r="7">
          <cell r="A7" t="str">
            <v>VDD_OFF</v>
          </cell>
          <cell r="B7" t="str">
            <v>00000000</v>
          </cell>
        </row>
        <row r="8">
          <cell r="A8" t="str">
            <v>VDD_RET</v>
          </cell>
          <cell r="B8" t="str">
            <v>00000010</v>
          </cell>
        </row>
        <row r="9">
          <cell r="A9" t="str">
            <v>MIN_SVS</v>
          </cell>
          <cell r="B9" t="str">
            <v>00000030</v>
          </cell>
        </row>
        <row r="10">
          <cell r="A10" t="str">
            <v>LOW_SVS</v>
          </cell>
          <cell r="B10" t="str">
            <v>00000040</v>
          </cell>
        </row>
        <row r="11">
          <cell r="A11" t="str">
            <v>SVS</v>
          </cell>
          <cell r="B11" t="str">
            <v>00000080</v>
          </cell>
        </row>
        <row r="12">
          <cell r="A12" t="str">
            <v>SVS_L1</v>
          </cell>
          <cell r="B12" t="str">
            <v>000000C0</v>
          </cell>
        </row>
        <row r="13">
          <cell r="A13" t="str">
            <v>NOMINAL</v>
          </cell>
          <cell r="B13" t="str">
            <v>00000100</v>
          </cell>
        </row>
        <row r="14">
          <cell r="A14" t="str">
            <v>NOMINAL_L1</v>
          </cell>
          <cell r="B14" t="str">
            <v>00000140</v>
          </cell>
        </row>
        <row r="15">
          <cell r="A15" t="str">
            <v>NOMINAL_L2</v>
          </cell>
          <cell r="B15" t="str">
            <v>00000150</v>
          </cell>
        </row>
        <row r="16">
          <cell r="A16" t="str">
            <v>TURBO</v>
          </cell>
          <cell r="B16" t="str">
            <v>00000180</v>
          </cell>
        </row>
        <row r="17">
          <cell r="A17" t="str">
            <v>TURBO_L1</v>
          </cell>
          <cell r="B17" t="str">
            <v>000001A0</v>
          </cell>
        </row>
      </sheetData>
      <sheetData sheetId="1">
        <row r="6">
          <cell r="C6">
            <v>50</v>
          </cell>
          <cell r="E6">
            <v>0</v>
          </cell>
          <cell r="F6">
            <v>8</v>
          </cell>
          <cell r="G6">
            <v>128</v>
          </cell>
          <cell r="H6">
            <v>50</v>
          </cell>
          <cell r="J6">
            <v>0</v>
          </cell>
          <cell r="K6">
            <v>0</v>
          </cell>
          <cell r="L6">
            <v>0</v>
          </cell>
        </row>
        <row r="7">
          <cell r="E7">
            <v>1</v>
          </cell>
          <cell r="F7">
            <v>8</v>
          </cell>
          <cell r="G7">
            <v>128</v>
          </cell>
          <cell r="H7">
            <v>50</v>
          </cell>
          <cell r="J7">
            <v>1</v>
          </cell>
          <cell r="K7">
            <v>5</v>
          </cell>
          <cell r="L7">
            <v>30</v>
          </cell>
        </row>
        <row r="8">
          <cell r="E8">
            <v>2</v>
          </cell>
          <cell r="F8">
            <v>8</v>
          </cell>
          <cell r="G8">
            <v>128</v>
          </cell>
          <cell r="H8">
            <v>50</v>
          </cell>
          <cell r="J8">
            <v>2</v>
          </cell>
          <cell r="K8">
            <v>5</v>
          </cell>
          <cell r="L8">
            <v>1900</v>
          </cell>
        </row>
        <row r="9">
          <cell r="E9">
            <v>3</v>
          </cell>
          <cell r="F9">
            <v>8</v>
          </cell>
          <cell r="G9">
            <v>128</v>
          </cell>
          <cell r="H9">
            <v>50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2" tint="-9.9978637043366805E-2"/>
  </sheetPr>
  <dimension ref="A1:C19"/>
  <sheetViews>
    <sheetView workbookViewId="0">
      <selection activeCell="A4" sqref="A4"/>
    </sheetView>
  </sheetViews>
  <sheetFormatPr defaultColWidth="11.42578125" defaultRowHeight="15" x14ac:dyDescent="0.25"/>
  <cols>
    <col min="1" max="1" width="70.7109375" style="44" customWidth="1"/>
    <col min="2" max="2" width="11.42578125" style="42" customWidth="1"/>
    <col min="3" max="3" width="9.7109375" style="42" bestFit="1" customWidth="1"/>
    <col min="4" max="34" width="11.42578125" style="42" customWidth="1"/>
    <col min="35" max="16384" width="11.42578125" style="42"/>
  </cols>
  <sheetData>
    <row r="1" spans="1:3" x14ac:dyDescent="0.25">
      <c r="A1" s="44" t="s">
        <v>0</v>
      </c>
    </row>
    <row r="2" spans="1:3" x14ac:dyDescent="0.25">
      <c r="A2" s="44" t="s">
        <v>1</v>
      </c>
    </row>
    <row r="4" spans="1:3" x14ac:dyDescent="0.25">
      <c r="A4" s="44" t="s">
        <v>2</v>
      </c>
    </row>
    <row r="6" spans="1:3" x14ac:dyDescent="0.25">
      <c r="A6" s="44" t="s">
        <v>3</v>
      </c>
    </row>
    <row r="7" spans="1:3" ht="30" customHeight="1" x14ac:dyDescent="0.25">
      <c r="A7" s="44" t="s">
        <v>4</v>
      </c>
      <c r="C7" s="43"/>
    </row>
    <row r="8" spans="1:3" ht="45" customHeight="1" x14ac:dyDescent="0.25">
      <c r="A8" s="44" t="s">
        <v>5</v>
      </c>
    </row>
    <row r="9" spans="1:3" ht="45" customHeight="1" x14ac:dyDescent="0.25">
      <c r="A9" s="44" t="s">
        <v>6</v>
      </c>
    </row>
    <row r="11" spans="1:3" ht="45" customHeight="1" x14ac:dyDescent="0.25">
      <c r="A11" s="44" t="s">
        <v>7</v>
      </c>
    </row>
    <row r="12" spans="1:3" ht="45" customHeight="1" x14ac:dyDescent="0.25">
      <c r="A12" s="44" t="s">
        <v>8</v>
      </c>
    </row>
    <row r="14" spans="1:3" x14ac:dyDescent="0.25">
      <c r="A14" s="44" t="s">
        <v>1</v>
      </c>
    </row>
    <row r="15" spans="1:3" x14ac:dyDescent="0.25">
      <c r="A15" s="44" t="s">
        <v>9</v>
      </c>
    </row>
    <row r="16" spans="1:3" x14ac:dyDescent="0.25">
      <c r="A16" s="44" t="s">
        <v>10</v>
      </c>
    </row>
    <row r="17" spans="1:1" x14ac:dyDescent="0.25">
      <c r="A17" s="44" t="s">
        <v>11</v>
      </c>
    </row>
    <row r="19" spans="1:1" x14ac:dyDescent="0.25">
      <c r="A19" s="44" t="s">
        <v>12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2060"/>
  </sheetPr>
  <dimension ref="A1:O33"/>
  <sheetViews>
    <sheetView workbookViewId="0"/>
  </sheetViews>
  <sheetFormatPr defaultRowHeight="15" x14ac:dyDescent="0.25"/>
  <sheetData>
    <row r="1" spans="1:15" x14ac:dyDescent="0.25">
      <c r="A1" t="s">
        <v>13</v>
      </c>
      <c r="B1" t="s">
        <v>14</v>
      </c>
      <c r="C1" t="s">
        <v>15</v>
      </c>
      <c r="D1" t="s">
        <v>16</v>
      </c>
      <c r="E1">
        <v>100</v>
      </c>
      <c r="F1">
        <v>200</v>
      </c>
      <c r="G1">
        <v>300</v>
      </c>
      <c r="H1">
        <v>451.2</v>
      </c>
      <c r="I1">
        <v>547.20000000000005</v>
      </c>
      <c r="J1">
        <v>681.6</v>
      </c>
      <c r="K1">
        <v>768</v>
      </c>
      <c r="L1">
        <v>1017.6</v>
      </c>
      <c r="M1">
        <v>1353.6</v>
      </c>
      <c r="N1">
        <v>1555.2</v>
      </c>
      <c r="O1">
        <v>1804.8</v>
      </c>
    </row>
    <row r="2" spans="1:15" x14ac:dyDescent="0.25">
      <c r="A2" t="s">
        <v>17</v>
      </c>
      <c r="B2">
        <v>172</v>
      </c>
      <c r="C2">
        <v>172</v>
      </c>
      <c r="D2">
        <v>80</v>
      </c>
      <c r="E2">
        <v>0</v>
      </c>
      <c r="F2">
        <v>0</v>
      </c>
      <c r="G2">
        <v>0</v>
      </c>
      <c r="H2">
        <v>0</v>
      </c>
      <c r="I2">
        <v>0</v>
      </c>
      <c r="J2">
        <v>0</v>
      </c>
      <c r="K2">
        <v>0</v>
      </c>
      <c r="L2">
        <v>0</v>
      </c>
      <c r="M2">
        <v>0</v>
      </c>
      <c r="N2">
        <v>0</v>
      </c>
      <c r="O2">
        <v>0</v>
      </c>
    </row>
    <row r="3" spans="1:15" x14ac:dyDescent="0.25">
      <c r="A3" t="s">
        <v>18</v>
      </c>
      <c r="B3">
        <v>42</v>
      </c>
      <c r="C3">
        <v>42</v>
      </c>
      <c r="D3">
        <v>14</v>
      </c>
      <c r="E3">
        <v>0</v>
      </c>
      <c r="F3">
        <v>0</v>
      </c>
      <c r="G3">
        <v>0</v>
      </c>
      <c r="H3">
        <v>0</v>
      </c>
      <c r="I3">
        <v>0</v>
      </c>
      <c r="J3">
        <v>0</v>
      </c>
      <c r="K3">
        <v>0</v>
      </c>
      <c r="L3">
        <v>0</v>
      </c>
      <c r="M3">
        <v>0</v>
      </c>
      <c r="N3">
        <v>0</v>
      </c>
      <c r="O3">
        <v>0</v>
      </c>
    </row>
    <row r="4" spans="1:15" x14ac:dyDescent="0.25">
      <c r="A4" t="s">
        <v>19</v>
      </c>
      <c r="B4">
        <v>83</v>
      </c>
      <c r="C4">
        <v>67</v>
      </c>
      <c r="D4">
        <v>23</v>
      </c>
      <c r="E4">
        <v>0</v>
      </c>
      <c r="F4">
        <v>0</v>
      </c>
      <c r="G4">
        <v>0</v>
      </c>
      <c r="H4">
        <v>0</v>
      </c>
      <c r="I4">
        <v>0</v>
      </c>
      <c r="J4">
        <v>0</v>
      </c>
      <c r="K4">
        <v>0</v>
      </c>
      <c r="L4">
        <v>0</v>
      </c>
      <c r="M4">
        <v>0</v>
      </c>
      <c r="N4">
        <v>0</v>
      </c>
      <c r="O4">
        <v>0</v>
      </c>
    </row>
    <row r="5" spans="1:15" x14ac:dyDescent="0.25">
      <c r="A5" t="s">
        <v>20</v>
      </c>
      <c r="B5">
        <v>12</v>
      </c>
      <c r="C5">
        <v>12</v>
      </c>
      <c r="D5">
        <v>0</v>
      </c>
      <c r="E5">
        <v>0</v>
      </c>
      <c r="F5">
        <v>0</v>
      </c>
      <c r="G5">
        <v>0</v>
      </c>
      <c r="H5">
        <v>0</v>
      </c>
      <c r="I5">
        <v>0</v>
      </c>
      <c r="J5">
        <v>0</v>
      </c>
      <c r="K5">
        <v>0</v>
      </c>
      <c r="L5">
        <v>0</v>
      </c>
      <c r="M5">
        <v>0</v>
      </c>
      <c r="N5">
        <v>0</v>
      </c>
      <c r="O5">
        <v>0</v>
      </c>
    </row>
    <row r="6" spans="1:15" x14ac:dyDescent="0.25">
      <c r="A6" t="s">
        <v>21</v>
      </c>
      <c r="B6">
        <v>64</v>
      </c>
      <c r="C6">
        <v>64</v>
      </c>
      <c r="D6">
        <v>18</v>
      </c>
      <c r="E6">
        <v>0</v>
      </c>
      <c r="F6">
        <v>0</v>
      </c>
      <c r="G6">
        <v>0</v>
      </c>
      <c r="H6">
        <v>0</v>
      </c>
      <c r="I6">
        <v>0</v>
      </c>
      <c r="J6">
        <v>0</v>
      </c>
      <c r="K6">
        <v>0</v>
      </c>
      <c r="L6">
        <v>0</v>
      </c>
      <c r="M6">
        <v>0</v>
      </c>
      <c r="N6">
        <v>0</v>
      </c>
      <c r="O6">
        <v>0</v>
      </c>
    </row>
    <row r="7" spans="1:15" x14ac:dyDescent="0.25">
      <c r="A7" t="s">
        <v>22</v>
      </c>
      <c r="B7">
        <v>90</v>
      </c>
      <c r="C7">
        <v>90</v>
      </c>
      <c r="D7">
        <v>28</v>
      </c>
      <c r="E7">
        <v>0</v>
      </c>
      <c r="F7">
        <v>0</v>
      </c>
      <c r="G7">
        <v>0</v>
      </c>
      <c r="H7">
        <v>0</v>
      </c>
      <c r="I7">
        <v>0</v>
      </c>
      <c r="J7">
        <v>0</v>
      </c>
      <c r="K7">
        <v>0</v>
      </c>
      <c r="L7">
        <v>0</v>
      </c>
      <c r="M7">
        <v>0</v>
      </c>
      <c r="N7">
        <v>0</v>
      </c>
      <c r="O7">
        <v>0</v>
      </c>
    </row>
    <row r="8" spans="1:15" x14ac:dyDescent="0.25">
      <c r="A8" t="s">
        <v>23</v>
      </c>
      <c r="B8">
        <v>18</v>
      </c>
      <c r="C8">
        <v>30</v>
      </c>
      <c r="D8">
        <v>16</v>
      </c>
      <c r="E8">
        <v>0</v>
      </c>
      <c r="F8">
        <v>0</v>
      </c>
      <c r="G8">
        <v>0</v>
      </c>
      <c r="H8">
        <v>0</v>
      </c>
      <c r="I8">
        <v>0</v>
      </c>
      <c r="J8">
        <v>0</v>
      </c>
      <c r="K8">
        <v>0</v>
      </c>
      <c r="L8">
        <v>0</v>
      </c>
      <c r="M8">
        <v>0</v>
      </c>
      <c r="N8">
        <v>0</v>
      </c>
      <c r="O8">
        <v>0</v>
      </c>
    </row>
    <row r="9" spans="1:15" x14ac:dyDescent="0.25">
      <c r="A9" t="s">
        <v>24</v>
      </c>
      <c r="B9">
        <v>80</v>
      </c>
      <c r="C9">
        <v>80</v>
      </c>
      <c r="D9">
        <v>24</v>
      </c>
      <c r="E9">
        <v>0</v>
      </c>
      <c r="F9">
        <v>0</v>
      </c>
      <c r="G9">
        <v>0</v>
      </c>
      <c r="H9">
        <v>0</v>
      </c>
      <c r="I9">
        <v>0</v>
      </c>
      <c r="J9">
        <v>0</v>
      </c>
      <c r="K9">
        <v>0</v>
      </c>
      <c r="L9">
        <v>0</v>
      </c>
      <c r="M9">
        <v>0</v>
      </c>
      <c r="N9">
        <v>0</v>
      </c>
      <c r="O9">
        <v>0</v>
      </c>
    </row>
    <row r="10" spans="1:15" x14ac:dyDescent="0.25">
      <c r="A10" t="s">
        <v>25</v>
      </c>
      <c r="B10">
        <v>76</v>
      </c>
      <c r="C10">
        <v>76</v>
      </c>
      <c r="D10">
        <v>26</v>
      </c>
      <c r="E10">
        <v>0</v>
      </c>
      <c r="F10">
        <v>0</v>
      </c>
      <c r="G10">
        <v>0</v>
      </c>
      <c r="H10">
        <v>0</v>
      </c>
      <c r="I10">
        <v>0</v>
      </c>
      <c r="J10">
        <v>0</v>
      </c>
      <c r="K10">
        <v>0</v>
      </c>
      <c r="L10">
        <v>0</v>
      </c>
      <c r="M10">
        <v>0</v>
      </c>
      <c r="N10">
        <v>0</v>
      </c>
      <c r="O10">
        <v>0</v>
      </c>
    </row>
    <row r="11" spans="1:15" x14ac:dyDescent="0.25">
      <c r="A11" t="s">
        <v>26</v>
      </c>
      <c r="B11">
        <v>256</v>
      </c>
      <c r="C11">
        <v>256</v>
      </c>
      <c r="D11">
        <v>78</v>
      </c>
      <c r="E11">
        <v>0</v>
      </c>
      <c r="F11">
        <v>0</v>
      </c>
      <c r="G11">
        <v>0</v>
      </c>
      <c r="H11">
        <v>0</v>
      </c>
      <c r="I11">
        <v>0</v>
      </c>
      <c r="J11">
        <v>0</v>
      </c>
      <c r="K11">
        <v>0</v>
      </c>
      <c r="L11">
        <v>0</v>
      </c>
      <c r="M11">
        <v>0</v>
      </c>
      <c r="N11">
        <v>0</v>
      </c>
      <c r="O11">
        <v>0</v>
      </c>
    </row>
    <row r="12" spans="1:15" x14ac:dyDescent="0.25">
      <c r="A12" t="s">
        <v>27</v>
      </c>
      <c r="B12">
        <v>113</v>
      </c>
      <c r="C12">
        <v>70</v>
      </c>
      <c r="D12">
        <v>8</v>
      </c>
      <c r="E12">
        <v>0</v>
      </c>
      <c r="F12">
        <v>0</v>
      </c>
      <c r="G12">
        <v>0</v>
      </c>
      <c r="H12">
        <v>0</v>
      </c>
      <c r="I12">
        <v>0</v>
      </c>
      <c r="J12">
        <v>0</v>
      </c>
      <c r="K12">
        <v>0</v>
      </c>
      <c r="L12">
        <v>0</v>
      </c>
      <c r="M12">
        <v>0</v>
      </c>
      <c r="N12">
        <v>0</v>
      </c>
      <c r="O12">
        <v>0</v>
      </c>
    </row>
    <row r="13" spans="1:15" x14ac:dyDescent="0.25">
      <c r="A13" t="s">
        <v>28</v>
      </c>
      <c r="B13">
        <v>170</v>
      </c>
      <c r="C13">
        <v>170</v>
      </c>
      <c r="D13">
        <v>164</v>
      </c>
      <c r="E13">
        <v>0</v>
      </c>
      <c r="F13">
        <v>0</v>
      </c>
      <c r="G13">
        <v>0</v>
      </c>
      <c r="H13">
        <v>0</v>
      </c>
      <c r="I13">
        <v>0</v>
      </c>
      <c r="J13">
        <v>0</v>
      </c>
      <c r="K13">
        <v>0</v>
      </c>
      <c r="L13">
        <v>0</v>
      </c>
      <c r="M13">
        <v>0</v>
      </c>
      <c r="N13">
        <v>0</v>
      </c>
      <c r="O13">
        <v>0</v>
      </c>
    </row>
    <row r="14" spans="1:15" x14ac:dyDescent="0.25">
      <c r="A14" t="s">
        <v>29</v>
      </c>
      <c r="B14">
        <v>192</v>
      </c>
      <c r="C14">
        <v>196</v>
      </c>
      <c r="D14">
        <v>46</v>
      </c>
      <c r="E14">
        <v>0</v>
      </c>
      <c r="F14">
        <v>0</v>
      </c>
      <c r="G14">
        <v>0</v>
      </c>
      <c r="H14">
        <v>0</v>
      </c>
      <c r="I14">
        <v>0</v>
      </c>
      <c r="J14">
        <v>0</v>
      </c>
      <c r="K14">
        <v>0</v>
      </c>
      <c r="L14">
        <v>0</v>
      </c>
      <c r="M14">
        <v>0</v>
      </c>
      <c r="N14">
        <v>0</v>
      </c>
      <c r="O14">
        <v>0</v>
      </c>
    </row>
    <row r="15" spans="1:15" x14ac:dyDescent="0.25">
      <c r="A15" t="s">
        <v>30</v>
      </c>
      <c r="B15">
        <v>38</v>
      </c>
      <c r="C15">
        <v>38</v>
      </c>
      <c r="D15">
        <v>12</v>
      </c>
      <c r="E15">
        <v>0</v>
      </c>
      <c r="F15">
        <v>0</v>
      </c>
      <c r="G15">
        <v>0</v>
      </c>
      <c r="H15">
        <v>0</v>
      </c>
      <c r="I15">
        <v>0</v>
      </c>
      <c r="J15">
        <v>0</v>
      </c>
      <c r="K15">
        <v>0</v>
      </c>
      <c r="L15">
        <v>0</v>
      </c>
      <c r="M15">
        <v>0</v>
      </c>
      <c r="N15">
        <v>0</v>
      </c>
      <c r="O15">
        <v>0</v>
      </c>
    </row>
    <row r="16" spans="1:15" x14ac:dyDescent="0.25">
      <c r="A16" t="s">
        <v>31</v>
      </c>
      <c r="B16">
        <v>0</v>
      </c>
      <c r="C16">
        <v>0</v>
      </c>
      <c r="D16">
        <v>0</v>
      </c>
      <c r="E16">
        <v>0</v>
      </c>
      <c r="F16">
        <v>0</v>
      </c>
      <c r="G16">
        <v>0</v>
      </c>
      <c r="H16">
        <v>0</v>
      </c>
      <c r="I16">
        <v>0</v>
      </c>
      <c r="J16">
        <v>0</v>
      </c>
      <c r="K16">
        <v>0</v>
      </c>
      <c r="L16">
        <v>0</v>
      </c>
      <c r="M16">
        <v>0</v>
      </c>
      <c r="N16">
        <v>0</v>
      </c>
      <c r="O16">
        <v>0</v>
      </c>
    </row>
    <row r="17" spans="1:15" x14ac:dyDescent="0.25">
      <c r="A17" t="s">
        <v>32</v>
      </c>
      <c r="B17">
        <v>168</v>
      </c>
      <c r="C17">
        <v>168</v>
      </c>
      <c r="D17">
        <v>84</v>
      </c>
      <c r="E17">
        <v>0</v>
      </c>
      <c r="F17">
        <v>0</v>
      </c>
      <c r="G17">
        <v>0</v>
      </c>
      <c r="H17">
        <v>0</v>
      </c>
      <c r="I17">
        <v>0</v>
      </c>
      <c r="J17">
        <v>0</v>
      </c>
      <c r="K17">
        <v>0</v>
      </c>
      <c r="L17">
        <v>0</v>
      </c>
      <c r="M17">
        <v>0</v>
      </c>
      <c r="N17">
        <v>0</v>
      </c>
      <c r="O17">
        <v>0</v>
      </c>
    </row>
    <row r="18" spans="1:15" x14ac:dyDescent="0.25">
      <c r="A18" t="s">
        <v>33</v>
      </c>
      <c r="B18">
        <v>16556</v>
      </c>
      <c r="C18">
        <v>185</v>
      </c>
      <c r="D18">
        <v>10</v>
      </c>
      <c r="E18">
        <v>0</v>
      </c>
      <c r="F18">
        <v>0</v>
      </c>
      <c r="G18">
        <v>0</v>
      </c>
      <c r="H18">
        <v>0</v>
      </c>
      <c r="I18">
        <v>0</v>
      </c>
      <c r="J18">
        <v>0</v>
      </c>
      <c r="K18">
        <v>0</v>
      </c>
      <c r="L18">
        <v>0</v>
      </c>
      <c r="M18">
        <v>0</v>
      </c>
      <c r="N18">
        <v>0</v>
      </c>
      <c r="O18">
        <v>0</v>
      </c>
    </row>
    <row r="19" spans="1:15" x14ac:dyDescent="0.25">
      <c r="A19" t="s">
        <v>34</v>
      </c>
      <c r="B19">
        <v>57</v>
      </c>
      <c r="C19">
        <v>61</v>
      </c>
      <c r="D19">
        <v>0</v>
      </c>
      <c r="E19">
        <v>0</v>
      </c>
      <c r="F19">
        <v>0</v>
      </c>
      <c r="G19">
        <v>0</v>
      </c>
      <c r="H19">
        <v>0</v>
      </c>
      <c r="I19">
        <v>0</v>
      </c>
      <c r="J19">
        <v>0</v>
      </c>
      <c r="K19">
        <v>0</v>
      </c>
      <c r="L19">
        <v>0</v>
      </c>
      <c r="M19">
        <v>0</v>
      </c>
      <c r="N19">
        <v>0</v>
      </c>
      <c r="O19">
        <v>0</v>
      </c>
    </row>
    <row r="20" spans="1:15" x14ac:dyDescent="0.25">
      <c r="A20" t="s">
        <v>35</v>
      </c>
      <c r="B20">
        <v>436</v>
      </c>
      <c r="C20">
        <v>436</v>
      </c>
      <c r="D20">
        <v>138</v>
      </c>
      <c r="E20">
        <v>0</v>
      </c>
      <c r="F20">
        <v>0</v>
      </c>
      <c r="G20">
        <v>0</v>
      </c>
      <c r="H20">
        <v>0</v>
      </c>
      <c r="I20">
        <v>0</v>
      </c>
      <c r="J20">
        <v>0</v>
      </c>
      <c r="K20">
        <v>0</v>
      </c>
      <c r="L20">
        <v>0</v>
      </c>
      <c r="M20">
        <v>0</v>
      </c>
      <c r="N20">
        <v>0</v>
      </c>
      <c r="O20">
        <v>0</v>
      </c>
    </row>
    <row r="21" spans="1:15" x14ac:dyDescent="0.25">
      <c r="A21" t="s">
        <v>36</v>
      </c>
      <c r="B21">
        <v>86</v>
      </c>
      <c r="C21">
        <v>86</v>
      </c>
      <c r="D21">
        <v>38</v>
      </c>
      <c r="E21">
        <v>0</v>
      </c>
      <c r="F21">
        <v>0</v>
      </c>
      <c r="G21">
        <v>0</v>
      </c>
      <c r="H21">
        <v>0</v>
      </c>
      <c r="I21">
        <v>0</v>
      </c>
      <c r="J21">
        <v>0</v>
      </c>
      <c r="K21">
        <v>0</v>
      </c>
      <c r="L21">
        <v>0</v>
      </c>
      <c r="M21">
        <v>0</v>
      </c>
      <c r="N21">
        <v>0</v>
      </c>
      <c r="O21">
        <v>0</v>
      </c>
    </row>
    <row r="22" spans="1:15" x14ac:dyDescent="0.25">
      <c r="A22" t="s">
        <v>37</v>
      </c>
      <c r="B22">
        <v>134</v>
      </c>
      <c r="C22">
        <v>134</v>
      </c>
      <c r="D22">
        <v>48</v>
      </c>
      <c r="E22">
        <v>0</v>
      </c>
      <c r="F22">
        <v>0</v>
      </c>
      <c r="G22">
        <v>0</v>
      </c>
      <c r="H22">
        <v>0</v>
      </c>
      <c r="I22">
        <v>0</v>
      </c>
      <c r="J22">
        <v>0</v>
      </c>
      <c r="K22">
        <v>0</v>
      </c>
      <c r="L22">
        <v>0</v>
      </c>
      <c r="M22">
        <v>0</v>
      </c>
      <c r="N22">
        <v>0</v>
      </c>
      <c r="O22">
        <v>0</v>
      </c>
    </row>
    <row r="23" spans="1:15" x14ac:dyDescent="0.25">
      <c r="A23" t="s">
        <v>38</v>
      </c>
      <c r="B23">
        <v>1503</v>
      </c>
      <c r="C23">
        <v>1224</v>
      </c>
      <c r="D23">
        <v>355</v>
      </c>
      <c r="E23">
        <v>0</v>
      </c>
      <c r="F23">
        <v>0</v>
      </c>
      <c r="G23">
        <v>0</v>
      </c>
      <c r="H23">
        <v>0</v>
      </c>
      <c r="I23">
        <v>0</v>
      </c>
      <c r="J23">
        <v>0</v>
      </c>
      <c r="K23">
        <v>0</v>
      </c>
      <c r="L23">
        <v>0</v>
      </c>
      <c r="M23">
        <v>0</v>
      </c>
      <c r="N23">
        <v>0</v>
      </c>
      <c r="O23">
        <v>0</v>
      </c>
    </row>
    <row r="24" spans="1:15" x14ac:dyDescent="0.25">
      <c r="A24" t="s">
        <v>39</v>
      </c>
      <c r="B24">
        <v>1448</v>
      </c>
      <c r="C24">
        <v>1288</v>
      </c>
      <c r="D24">
        <v>352</v>
      </c>
      <c r="E24">
        <v>0</v>
      </c>
      <c r="F24">
        <v>0</v>
      </c>
      <c r="G24">
        <v>0</v>
      </c>
      <c r="H24">
        <v>0</v>
      </c>
      <c r="I24">
        <v>0</v>
      </c>
      <c r="J24">
        <v>0</v>
      </c>
      <c r="K24">
        <v>0</v>
      </c>
      <c r="L24">
        <v>0</v>
      </c>
      <c r="M24">
        <v>0</v>
      </c>
      <c r="N24">
        <v>0</v>
      </c>
      <c r="O24">
        <v>0</v>
      </c>
    </row>
    <row r="25" spans="1:15" x14ac:dyDescent="0.25">
      <c r="A25" t="s">
        <v>40</v>
      </c>
      <c r="B25">
        <v>724</v>
      </c>
      <c r="C25">
        <v>644</v>
      </c>
      <c r="D25">
        <v>198</v>
      </c>
      <c r="E25">
        <v>0</v>
      </c>
      <c r="F25">
        <v>0</v>
      </c>
      <c r="G25">
        <v>0</v>
      </c>
      <c r="H25">
        <v>0</v>
      </c>
      <c r="I25">
        <v>0</v>
      </c>
      <c r="J25">
        <v>0</v>
      </c>
      <c r="K25">
        <v>0</v>
      </c>
      <c r="L25">
        <v>0</v>
      </c>
      <c r="M25">
        <v>0</v>
      </c>
      <c r="N25">
        <v>0</v>
      </c>
      <c r="O25">
        <v>0</v>
      </c>
    </row>
    <row r="26" spans="1:15" x14ac:dyDescent="0.25">
      <c r="A26" t="s">
        <v>41</v>
      </c>
      <c r="B26">
        <v>80</v>
      </c>
      <c r="C26">
        <v>80</v>
      </c>
      <c r="D26">
        <v>54</v>
      </c>
      <c r="E26">
        <v>0</v>
      </c>
      <c r="F26">
        <v>0</v>
      </c>
      <c r="G26">
        <v>0</v>
      </c>
      <c r="H26">
        <v>0</v>
      </c>
      <c r="I26">
        <v>0</v>
      </c>
      <c r="J26">
        <v>0</v>
      </c>
      <c r="K26">
        <v>0</v>
      </c>
      <c r="L26">
        <v>0</v>
      </c>
      <c r="M26">
        <v>0</v>
      </c>
      <c r="N26">
        <v>0</v>
      </c>
      <c r="O26">
        <v>0</v>
      </c>
    </row>
    <row r="27" spans="1:15" x14ac:dyDescent="0.25">
      <c r="A27" t="s">
        <v>42</v>
      </c>
      <c r="B27">
        <v>548</v>
      </c>
      <c r="C27">
        <v>500</v>
      </c>
      <c r="D27">
        <v>0</v>
      </c>
      <c r="E27">
        <v>0</v>
      </c>
      <c r="F27">
        <v>0</v>
      </c>
      <c r="G27">
        <v>0</v>
      </c>
      <c r="H27">
        <v>0</v>
      </c>
      <c r="I27">
        <v>0</v>
      </c>
      <c r="J27">
        <v>0</v>
      </c>
      <c r="K27">
        <v>0</v>
      </c>
      <c r="L27">
        <v>0</v>
      </c>
      <c r="M27">
        <v>0</v>
      </c>
      <c r="N27">
        <v>0</v>
      </c>
      <c r="O27">
        <v>0</v>
      </c>
    </row>
    <row r="28" spans="1:15" x14ac:dyDescent="0.25">
      <c r="A28" t="s">
        <v>43</v>
      </c>
      <c r="B28">
        <v>456</v>
      </c>
      <c r="C28">
        <v>456</v>
      </c>
      <c r="D28">
        <v>102</v>
      </c>
      <c r="E28">
        <v>0</v>
      </c>
      <c r="F28">
        <v>0</v>
      </c>
      <c r="G28">
        <v>0</v>
      </c>
      <c r="H28">
        <v>0</v>
      </c>
      <c r="I28">
        <v>0</v>
      </c>
      <c r="J28">
        <v>0</v>
      </c>
      <c r="K28">
        <v>0</v>
      </c>
      <c r="L28">
        <v>0</v>
      </c>
      <c r="M28">
        <v>0</v>
      </c>
      <c r="N28">
        <v>0</v>
      </c>
      <c r="O28">
        <v>0</v>
      </c>
    </row>
    <row r="29" spans="1:15" x14ac:dyDescent="0.25">
      <c r="A29" t="s">
        <v>44</v>
      </c>
      <c r="B29">
        <v>292</v>
      </c>
      <c r="C29">
        <v>292</v>
      </c>
      <c r="D29">
        <v>130</v>
      </c>
      <c r="E29">
        <v>0</v>
      </c>
      <c r="F29">
        <v>0</v>
      </c>
      <c r="G29">
        <v>0</v>
      </c>
      <c r="H29">
        <v>0</v>
      </c>
      <c r="I29">
        <v>0</v>
      </c>
      <c r="J29">
        <v>0</v>
      </c>
      <c r="K29">
        <v>0</v>
      </c>
      <c r="L29">
        <v>0</v>
      </c>
      <c r="M29">
        <v>0</v>
      </c>
      <c r="N29">
        <v>0</v>
      </c>
      <c r="O29">
        <v>0</v>
      </c>
    </row>
    <row r="30" spans="1:15" x14ac:dyDescent="0.25">
      <c r="A30" t="s">
        <v>45</v>
      </c>
      <c r="B30">
        <v>110</v>
      </c>
      <c r="C30">
        <v>110</v>
      </c>
      <c r="D30">
        <v>76</v>
      </c>
      <c r="E30">
        <v>0</v>
      </c>
      <c r="F30">
        <v>0</v>
      </c>
      <c r="G30">
        <v>0</v>
      </c>
      <c r="H30">
        <v>0</v>
      </c>
      <c r="I30">
        <v>0</v>
      </c>
      <c r="J30">
        <v>0</v>
      </c>
      <c r="K30">
        <v>0</v>
      </c>
      <c r="L30">
        <v>0</v>
      </c>
      <c r="M30">
        <v>0</v>
      </c>
      <c r="N30">
        <v>0</v>
      </c>
      <c r="O30">
        <v>0</v>
      </c>
    </row>
    <row r="31" spans="1:15" x14ac:dyDescent="0.25">
      <c r="A31" t="s">
        <v>46</v>
      </c>
      <c r="B31">
        <v>68</v>
      </c>
      <c r="C31">
        <v>68</v>
      </c>
      <c r="D31">
        <v>10</v>
      </c>
      <c r="E31">
        <v>0</v>
      </c>
      <c r="F31">
        <v>0</v>
      </c>
      <c r="G31">
        <v>0</v>
      </c>
      <c r="H31">
        <v>0</v>
      </c>
      <c r="I31">
        <v>0</v>
      </c>
      <c r="J31">
        <v>0</v>
      </c>
      <c r="K31">
        <v>0</v>
      </c>
      <c r="L31">
        <v>0</v>
      </c>
      <c r="M31">
        <v>0</v>
      </c>
      <c r="N31">
        <v>0</v>
      </c>
      <c r="O31">
        <v>0</v>
      </c>
    </row>
    <row r="32" spans="1:15" x14ac:dyDescent="0.25">
      <c r="A32" t="s">
        <v>47</v>
      </c>
      <c r="B32">
        <v>52</v>
      </c>
      <c r="C32">
        <v>52</v>
      </c>
      <c r="D32">
        <v>18</v>
      </c>
      <c r="E32">
        <v>0</v>
      </c>
      <c r="F32">
        <v>0</v>
      </c>
      <c r="G32">
        <v>0</v>
      </c>
      <c r="H32">
        <v>0</v>
      </c>
      <c r="I32">
        <v>0</v>
      </c>
      <c r="J32">
        <v>0</v>
      </c>
      <c r="K32">
        <v>0</v>
      </c>
      <c r="L32">
        <v>0</v>
      </c>
      <c r="M32">
        <v>0</v>
      </c>
      <c r="N32">
        <v>0</v>
      </c>
      <c r="O32">
        <v>0</v>
      </c>
    </row>
    <row r="33" spans="1:8" x14ac:dyDescent="0.25">
      <c r="A33" t="s">
        <v>48</v>
      </c>
      <c r="B33" t="s">
        <v>13</v>
      </c>
      <c r="C33" t="s">
        <v>49</v>
      </c>
      <c r="D33" t="s">
        <v>50</v>
      </c>
      <c r="E33" t="s">
        <v>51</v>
      </c>
      <c r="F33" t="s">
        <v>52</v>
      </c>
      <c r="G33" t="s">
        <v>53</v>
      </c>
      <c r="H33" t="s">
        <v>54</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tabColor rgb="FF00B050"/>
  </sheetPr>
  <dimension ref="A1:BS307"/>
  <sheetViews>
    <sheetView topLeftCell="B1" zoomScale="80" zoomScaleNormal="80" workbookViewId="0">
      <pane ySplit="1" topLeftCell="A44" activePane="bottomLeft" state="frozen"/>
      <selection pane="bottomLeft" activeCell="N82" sqref="N82"/>
    </sheetView>
  </sheetViews>
  <sheetFormatPr defaultColWidth="73.7109375" defaultRowHeight="15" x14ac:dyDescent="0.25"/>
  <cols>
    <col min="1" max="1" width="53.85546875" style="98" customWidth="1"/>
    <col min="2" max="2" width="30.28515625" style="98" customWidth="1"/>
    <col min="3" max="3" width="28.140625" style="98" bestFit="1" customWidth="1"/>
    <col min="4" max="4" width="39.7109375" style="98" bestFit="1" customWidth="1"/>
    <col min="5" max="5" width="13.7109375" style="98" bestFit="1" customWidth="1"/>
    <col min="6" max="11" width="9" style="98" bestFit="1" customWidth="1"/>
    <col min="12" max="12" width="6.7109375" style="98" bestFit="1" customWidth="1"/>
    <col min="13" max="16" width="7.85546875" style="98" bestFit="1" customWidth="1"/>
    <col min="17" max="17" width="83.5703125" style="98" bestFit="1" customWidth="1"/>
    <col min="18" max="47" width="73.7109375" style="98" customWidth="1"/>
    <col min="48" max="16384" width="73.7109375" style="98"/>
  </cols>
  <sheetData>
    <row r="1" spans="1:17" s="97" customFormat="1" x14ac:dyDescent="0.25">
      <c r="A1" s="97" t="s">
        <v>50</v>
      </c>
      <c r="B1" s="97" t="s">
        <v>55</v>
      </c>
      <c r="C1" s="97" t="s">
        <v>56</v>
      </c>
      <c r="D1" s="97" t="s">
        <v>57</v>
      </c>
      <c r="E1" s="97">
        <v>0</v>
      </c>
      <c r="F1" s="97">
        <v>1</v>
      </c>
      <c r="G1" s="97">
        <v>2</v>
      </c>
      <c r="H1" s="97">
        <v>3</v>
      </c>
      <c r="I1" s="97">
        <v>4</v>
      </c>
      <c r="J1" s="97">
        <v>5</v>
      </c>
      <c r="K1" s="97">
        <v>6</v>
      </c>
      <c r="L1" s="97">
        <v>7</v>
      </c>
      <c r="M1" s="97">
        <v>8</v>
      </c>
      <c r="N1" s="97">
        <v>9</v>
      </c>
      <c r="O1" s="97">
        <v>10</v>
      </c>
      <c r="P1" s="97">
        <v>11</v>
      </c>
    </row>
    <row r="2" spans="1:17" s="97" customFormat="1" x14ac:dyDescent="0.25">
      <c r="A2" s="98" t="s">
        <v>58</v>
      </c>
      <c r="B2" s="98" t="s">
        <v>58</v>
      </c>
      <c r="C2" s="98" t="s">
        <v>59</v>
      </c>
      <c r="D2" s="98" t="s">
        <v>60</v>
      </c>
      <c r="E2" s="90">
        <v>0</v>
      </c>
      <c r="F2" s="90">
        <v>1</v>
      </c>
      <c r="G2" s="90">
        <v>2</v>
      </c>
      <c r="H2" s="90">
        <v>3</v>
      </c>
      <c r="I2" s="90">
        <v>4</v>
      </c>
      <c r="J2" s="90">
        <v>5</v>
      </c>
      <c r="K2" s="90">
        <v>6</v>
      </c>
      <c r="L2" s="90">
        <v>7</v>
      </c>
      <c r="M2" s="90">
        <v>8</v>
      </c>
      <c r="N2" s="90">
        <v>9</v>
      </c>
      <c r="O2" s="90">
        <v>10</v>
      </c>
      <c r="P2" s="90">
        <v>11</v>
      </c>
      <c r="Q2" s="98"/>
    </row>
    <row r="3" spans="1:17" s="97" customFormat="1" x14ac:dyDescent="0.25">
      <c r="A3" s="98" t="s">
        <v>58</v>
      </c>
      <c r="B3" s="98" t="s">
        <v>58</v>
      </c>
      <c r="C3" s="98" t="s">
        <v>59</v>
      </c>
      <c r="D3" s="98" t="s">
        <v>61</v>
      </c>
      <c r="E3" s="90">
        <v>0</v>
      </c>
      <c r="F3" s="90">
        <v>100</v>
      </c>
      <c r="G3" s="90">
        <v>200</v>
      </c>
      <c r="H3" s="90">
        <v>300</v>
      </c>
      <c r="I3" s="90">
        <v>451.2</v>
      </c>
      <c r="J3" s="90">
        <v>547.20000000000005</v>
      </c>
      <c r="K3" s="90">
        <v>681.6</v>
      </c>
      <c r="L3" s="90" t="s">
        <v>62</v>
      </c>
      <c r="M3" s="90">
        <v>1017.6</v>
      </c>
      <c r="N3" s="90">
        <v>1353.6</v>
      </c>
      <c r="O3" s="90">
        <v>1555.2</v>
      </c>
      <c r="P3" s="90">
        <v>1804.8</v>
      </c>
    </row>
    <row r="4" spans="1:17" s="97" customFormat="1" x14ac:dyDescent="0.25">
      <c r="A4" s="98" t="s">
        <v>58</v>
      </c>
      <c r="B4" s="98" t="s">
        <v>58</v>
      </c>
      <c r="C4" s="98" t="s">
        <v>59</v>
      </c>
      <c r="D4" s="98" t="s">
        <v>63</v>
      </c>
      <c r="E4" s="47">
        <f>2^32-1</f>
        <v>4294967295</v>
      </c>
      <c r="F4" s="47">
        <f t="shared" ref="F4:P4" si="0">1000000/F3</f>
        <v>10000</v>
      </c>
      <c r="G4" s="47">
        <f t="shared" si="0"/>
        <v>5000</v>
      </c>
      <c r="H4" s="47">
        <f t="shared" si="0"/>
        <v>3333.3333333333335</v>
      </c>
      <c r="I4" s="47">
        <f t="shared" si="0"/>
        <v>2216.3120567375886</v>
      </c>
      <c r="J4" s="47">
        <f t="shared" si="0"/>
        <v>1827.4853801169588</v>
      </c>
      <c r="K4" s="47">
        <f t="shared" si="0"/>
        <v>1467.1361502347418</v>
      </c>
      <c r="L4" s="47">
        <f t="shared" si="0"/>
        <v>1302.0833333333333</v>
      </c>
      <c r="M4" s="47">
        <f t="shared" si="0"/>
        <v>982.70440251572325</v>
      </c>
      <c r="N4" s="47">
        <f t="shared" si="0"/>
        <v>738.77068557919631</v>
      </c>
      <c r="O4" s="47">
        <f t="shared" si="0"/>
        <v>643.00411522633738</v>
      </c>
      <c r="P4" s="47">
        <f t="shared" si="0"/>
        <v>554.07801418439715</v>
      </c>
    </row>
    <row r="5" spans="1:17" s="97" customFormat="1" x14ac:dyDescent="0.25">
      <c r="A5" s="98" t="s">
        <v>58</v>
      </c>
      <c r="B5" s="98" t="s">
        <v>58</v>
      </c>
      <c r="C5" s="98" t="s">
        <v>64</v>
      </c>
      <c r="D5" s="98" t="s">
        <v>65</v>
      </c>
      <c r="E5" s="90" t="b">
        <v>1</v>
      </c>
      <c r="F5" s="105" t="s">
        <v>66</v>
      </c>
      <c r="G5" s="105"/>
      <c r="H5" s="105"/>
      <c r="I5" s="105"/>
      <c r="J5" s="105"/>
      <c r="K5" s="105"/>
      <c r="L5" s="105"/>
      <c r="M5" s="105"/>
      <c r="N5" s="105"/>
      <c r="O5" s="105"/>
      <c r="P5" s="105"/>
    </row>
    <row r="6" spans="1:17" x14ac:dyDescent="0.25">
      <c r="A6" s="98" t="s">
        <v>58</v>
      </c>
      <c r="B6" s="98" t="s">
        <v>58</v>
      </c>
      <c r="C6" s="98" t="s">
        <v>59</v>
      </c>
      <c r="D6" s="98" t="s">
        <v>67</v>
      </c>
      <c r="E6" s="90" t="s">
        <v>68</v>
      </c>
      <c r="F6" s="90" t="s">
        <v>68</v>
      </c>
      <c r="G6" s="90" t="s">
        <v>68</v>
      </c>
      <c r="H6" s="90" t="s">
        <v>68</v>
      </c>
      <c r="I6" s="90" t="s">
        <v>68</v>
      </c>
      <c r="J6" s="90" t="s">
        <v>68</v>
      </c>
      <c r="K6" s="90" t="s">
        <v>69</v>
      </c>
      <c r="L6" s="90" t="s">
        <v>69</v>
      </c>
      <c r="M6" s="90" t="s">
        <v>69</v>
      </c>
      <c r="N6" s="90" t="s">
        <v>69</v>
      </c>
      <c r="O6" s="90" t="s">
        <v>69</v>
      </c>
      <c r="P6" s="90" t="s">
        <v>69</v>
      </c>
    </row>
    <row r="7" spans="1:17" x14ac:dyDescent="0.25">
      <c r="A7" s="98" t="s">
        <v>58</v>
      </c>
      <c r="B7" s="98" t="s">
        <v>58</v>
      </c>
      <c r="C7" s="98" t="s">
        <v>64</v>
      </c>
      <c r="D7" s="98" t="s">
        <v>70</v>
      </c>
      <c r="E7" s="90" t="s">
        <v>71</v>
      </c>
      <c r="F7" s="105" t="s">
        <v>66</v>
      </c>
      <c r="G7" s="106"/>
      <c r="H7" s="106"/>
      <c r="I7" s="106"/>
      <c r="J7" s="106"/>
      <c r="K7" s="106"/>
      <c r="L7" s="106"/>
      <c r="M7" s="106"/>
      <c r="N7" s="106"/>
      <c r="O7" s="106"/>
      <c r="P7" s="106"/>
    </row>
    <row r="8" spans="1:17" x14ac:dyDescent="0.25">
      <c r="A8" s="98" t="s">
        <v>58</v>
      </c>
      <c r="B8" s="98" t="s">
        <v>58</v>
      </c>
      <c r="C8" s="98" t="s">
        <v>64</v>
      </c>
      <c r="D8" s="98" t="s">
        <v>72</v>
      </c>
      <c r="E8" s="90" t="s">
        <v>71</v>
      </c>
      <c r="F8" s="105" t="s">
        <v>66</v>
      </c>
      <c r="G8" s="106"/>
      <c r="H8" s="106"/>
      <c r="I8" s="106"/>
      <c r="J8" s="106"/>
      <c r="K8" s="106"/>
      <c r="L8" s="106"/>
      <c r="M8" s="106"/>
      <c r="N8" s="106"/>
      <c r="O8" s="106"/>
      <c r="P8" s="106"/>
    </row>
    <row r="9" spans="1:17" x14ac:dyDescent="0.25">
      <c r="A9" s="98" t="s">
        <v>58</v>
      </c>
      <c r="B9" s="98" t="s">
        <v>58</v>
      </c>
      <c r="C9" s="98" t="s">
        <v>64</v>
      </c>
      <c r="D9" s="98" t="s">
        <v>73</v>
      </c>
      <c r="E9" s="90" t="s">
        <v>71</v>
      </c>
      <c r="F9" s="105" t="s">
        <v>66</v>
      </c>
      <c r="G9" s="106"/>
      <c r="H9" s="106"/>
      <c r="I9" s="106"/>
      <c r="J9" s="106"/>
      <c r="K9" s="106"/>
      <c r="L9" s="106"/>
      <c r="M9" s="106"/>
      <c r="N9" s="106"/>
      <c r="O9" s="106"/>
      <c r="P9" s="106"/>
    </row>
    <row r="10" spans="1:17" x14ac:dyDescent="0.25">
      <c r="A10" s="98" t="s">
        <v>58</v>
      </c>
      <c r="B10" s="98" t="s">
        <v>58</v>
      </c>
      <c r="C10" s="98" t="s">
        <v>64</v>
      </c>
      <c r="D10" s="98" t="s">
        <v>74</v>
      </c>
      <c r="E10" s="90">
        <v>0</v>
      </c>
      <c r="F10" s="90">
        <v>1</v>
      </c>
      <c r="G10" s="90">
        <v>1</v>
      </c>
      <c r="H10" s="90">
        <v>1</v>
      </c>
      <c r="I10" s="90">
        <v>2</v>
      </c>
      <c r="J10" s="90">
        <v>2</v>
      </c>
      <c r="K10" s="90">
        <v>9</v>
      </c>
      <c r="L10" s="90">
        <v>9</v>
      </c>
      <c r="M10" s="90">
        <v>10</v>
      </c>
      <c r="N10" s="90">
        <v>10</v>
      </c>
      <c r="O10" s="90">
        <v>10</v>
      </c>
      <c r="P10" s="90">
        <v>10</v>
      </c>
    </row>
    <row r="11" spans="1:17" x14ac:dyDescent="0.25">
      <c r="A11" s="98" t="s">
        <v>58</v>
      </c>
      <c r="B11" s="98" t="s">
        <v>58</v>
      </c>
      <c r="C11" s="98" t="s">
        <v>64</v>
      </c>
      <c r="D11" s="98" t="s">
        <v>75</v>
      </c>
      <c r="E11" s="90">
        <v>2</v>
      </c>
      <c r="F11" s="90">
        <v>10</v>
      </c>
      <c r="G11" s="90">
        <v>10</v>
      </c>
      <c r="H11" s="90">
        <v>10</v>
      </c>
      <c r="I11" s="90">
        <v>10</v>
      </c>
      <c r="J11" s="90">
        <v>10</v>
      </c>
      <c r="K11" s="90">
        <v>10</v>
      </c>
      <c r="L11" s="90">
        <v>10</v>
      </c>
      <c r="M11" s="90">
        <v>10</v>
      </c>
      <c r="N11" s="90">
        <v>10</v>
      </c>
      <c r="O11" s="90">
        <v>11</v>
      </c>
      <c r="P11" s="90">
        <v>11</v>
      </c>
    </row>
    <row r="12" spans="1:17" x14ac:dyDescent="0.25">
      <c r="A12" s="98" t="s">
        <v>58</v>
      </c>
      <c r="B12" s="98" t="s">
        <v>58</v>
      </c>
      <c r="C12" s="98" t="s">
        <v>64</v>
      </c>
      <c r="D12" s="98" t="s">
        <v>76</v>
      </c>
      <c r="E12" s="90">
        <v>0</v>
      </c>
      <c r="F12" s="90">
        <v>2</v>
      </c>
      <c r="G12" s="90">
        <v>0</v>
      </c>
      <c r="H12" s="90">
        <v>1</v>
      </c>
      <c r="I12" s="90">
        <v>1</v>
      </c>
      <c r="J12" s="90">
        <v>1</v>
      </c>
      <c r="K12" s="90">
        <v>1</v>
      </c>
      <c r="L12" s="90">
        <v>1</v>
      </c>
      <c r="M12" s="90">
        <v>1</v>
      </c>
      <c r="N12" s="90">
        <v>1</v>
      </c>
      <c r="O12" s="90">
        <v>1</v>
      </c>
      <c r="P12" s="90">
        <v>1</v>
      </c>
    </row>
    <row r="13" spans="1:17" x14ac:dyDescent="0.25">
      <c r="A13" s="98" t="s">
        <v>58</v>
      </c>
      <c r="B13" s="98" t="s">
        <v>58</v>
      </c>
      <c r="C13" s="98" t="s">
        <v>64</v>
      </c>
      <c r="D13" s="98" t="s">
        <v>77</v>
      </c>
      <c r="E13" s="90" t="b">
        <v>0</v>
      </c>
      <c r="F13" s="90" t="b">
        <v>0</v>
      </c>
      <c r="G13" s="90" t="b">
        <v>0</v>
      </c>
      <c r="H13" s="90" t="b">
        <v>0</v>
      </c>
      <c r="I13" s="90" t="b">
        <v>0</v>
      </c>
      <c r="J13" s="90" t="b">
        <v>0</v>
      </c>
      <c r="K13" s="90" t="b">
        <v>0</v>
      </c>
      <c r="L13" s="90" t="b">
        <v>0</v>
      </c>
      <c r="M13" s="90" t="b">
        <v>0</v>
      </c>
      <c r="N13" s="90" t="b">
        <v>0</v>
      </c>
      <c r="O13" s="90" t="b">
        <v>0</v>
      </c>
      <c r="P13" s="90" t="b">
        <v>0</v>
      </c>
    </row>
    <row r="14" spans="1:17" x14ac:dyDescent="0.25">
      <c r="A14" s="98" t="s">
        <v>78</v>
      </c>
      <c r="B14" s="98" t="s">
        <v>79</v>
      </c>
      <c r="C14" s="98" t="s">
        <v>80</v>
      </c>
      <c r="D14" s="98" t="s">
        <v>81</v>
      </c>
      <c r="E14" s="90">
        <v>0</v>
      </c>
      <c r="F14" s="90">
        <v>0</v>
      </c>
      <c r="G14" s="90">
        <v>0</v>
      </c>
      <c r="H14" s="90">
        <v>0</v>
      </c>
      <c r="I14" s="90">
        <v>0</v>
      </c>
      <c r="J14" s="90">
        <v>0</v>
      </c>
      <c r="K14" s="90">
        <v>0</v>
      </c>
      <c r="L14" s="90">
        <v>0</v>
      </c>
      <c r="M14" s="90" t="s">
        <v>82</v>
      </c>
      <c r="N14" s="90" t="s">
        <v>82</v>
      </c>
      <c r="O14" s="90" t="s">
        <v>82</v>
      </c>
      <c r="P14" s="90" t="s">
        <v>82</v>
      </c>
    </row>
    <row r="15" spans="1:17" x14ac:dyDescent="0.25">
      <c r="A15" s="98" t="s">
        <v>78</v>
      </c>
      <c r="B15" s="98" t="s">
        <v>83</v>
      </c>
      <c r="C15" s="98" t="s">
        <v>80</v>
      </c>
      <c r="D15" s="98" t="s">
        <v>81</v>
      </c>
      <c r="E15" s="90">
        <v>0</v>
      </c>
      <c r="F15" s="90">
        <v>0</v>
      </c>
      <c r="G15" s="90">
        <v>0</v>
      </c>
      <c r="H15" s="90">
        <v>0</v>
      </c>
      <c r="I15" s="90">
        <v>0</v>
      </c>
      <c r="J15" s="90">
        <v>0</v>
      </c>
      <c r="K15" s="90">
        <v>0</v>
      </c>
      <c r="L15" s="90">
        <v>0</v>
      </c>
      <c r="M15" s="90">
        <v>10</v>
      </c>
      <c r="N15" s="90">
        <v>9</v>
      </c>
      <c r="O15" s="90">
        <v>9</v>
      </c>
      <c r="P15" s="90">
        <v>7</v>
      </c>
    </row>
    <row r="16" spans="1:17" x14ac:dyDescent="0.25">
      <c r="A16" s="98" t="s">
        <v>78</v>
      </c>
      <c r="B16" s="98" t="s">
        <v>84</v>
      </c>
      <c r="C16" s="98" t="s">
        <v>80</v>
      </c>
      <c r="D16" s="98" t="s">
        <v>81</v>
      </c>
      <c r="E16" s="90">
        <v>0</v>
      </c>
      <c r="F16" s="90">
        <v>0</v>
      </c>
      <c r="G16" s="90">
        <v>0</v>
      </c>
      <c r="H16" s="90">
        <v>0</v>
      </c>
      <c r="I16" s="90">
        <v>0</v>
      </c>
      <c r="J16" s="90">
        <v>0</v>
      </c>
      <c r="K16" s="90">
        <v>0</v>
      </c>
      <c r="L16" s="90">
        <v>0</v>
      </c>
      <c r="M16" s="90">
        <v>9</v>
      </c>
      <c r="N16" s="90">
        <v>8</v>
      </c>
      <c r="O16" s="90">
        <v>7</v>
      </c>
      <c r="P16" s="90">
        <v>6</v>
      </c>
    </row>
    <row r="17" spans="1:18" x14ac:dyDescent="0.25">
      <c r="A17" s="98" t="s">
        <v>78</v>
      </c>
      <c r="B17" s="98" t="s">
        <v>85</v>
      </c>
      <c r="C17" s="98" t="s">
        <v>80</v>
      </c>
      <c r="D17" s="98" t="s">
        <v>81</v>
      </c>
      <c r="E17" s="90">
        <v>0</v>
      </c>
      <c r="F17" s="90">
        <v>0</v>
      </c>
      <c r="G17" s="90">
        <v>0</v>
      </c>
      <c r="H17" s="90">
        <v>0</v>
      </c>
      <c r="I17" s="90">
        <v>0</v>
      </c>
      <c r="J17" s="90">
        <v>0</v>
      </c>
      <c r="K17" s="90">
        <v>0</v>
      </c>
      <c r="L17" s="90">
        <v>0</v>
      </c>
      <c r="M17" s="90">
        <v>6</v>
      </c>
      <c r="N17" s="90">
        <v>6</v>
      </c>
      <c r="O17" s="90">
        <v>6</v>
      </c>
      <c r="P17" s="90">
        <v>6</v>
      </c>
    </row>
    <row r="18" spans="1:18" x14ac:dyDescent="0.25">
      <c r="A18" s="98" t="s">
        <v>86</v>
      </c>
      <c r="B18" s="98" t="s">
        <v>87</v>
      </c>
      <c r="C18" s="98" t="s">
        <v>80</v>
      </c>
      <c r="D18" s="98" t="s">
        <v>88</v>
      </c>
      <c r="E18" s="90">
        <v>0</v>
      </c>
      <c r="F18" s="90">
        <v>0</v>
      </c>
      <c r="G18" s="90">
        <v>0</v>
      </c>
      <c r="H18" s="90">
        <v>0</v>
      </c>
      <c r="I18" s="90">
        <v>0</v>
      </c>
      <c r="J18" s="90">
        <v>0</v>
      </c>
      <c r="K18" s="90">
        <v>0</v>
      </c>
      <c r="L18" s="90">
        <v>0</v>
      </c>
      <c r="M18" s="90" t="s">
        <v>89</v>
      </c>
      <c r="N18" s="90" t="s">
        <v>89</v>
      </c>
      <c r="O18" s="90" t="s">
        <v>89</v>
      </c>
      <c r="P18" s="90" t="s">
        <v>89</v>
      </c>
      <c r="Q18" s="67" t="s">
        <v>90</v>
      </c>
    </row>
    <row r="19" spans="1:18" x14ac:dyDescent="0.25">
      <c r="A19" s="98" t="s">
        <v>86</v>
      </c>
      <c r="B19" s="98" t="s">
        <v>91</v>
      </c>
      <c r="C19" s="98" t="s">
        <v>80</v>
      </c>
      <c r="D19" s="98" t="s">
        <v>88</v>
      </c>
      <c r="E19" s="90">
        <v>0</v>
      </c>
      <c r="F19" s="90">
        <v>0</v>
      </c>
      <c r="G19" s="90">
        <v>0</v>
      </c>
      <c r="H19" s="90">
        <v>0</v>
      </c>
      <c r="I19" s="90">
        <v>0</v>
      </c>
      <c r="J19" s="90">
        <v>0</v>
      </c>
      <c r="K19" s="90">
        <v>0</v>
      </c>
      <c r="L19" s="90">
        <v>0</v>
      </c>
      <c r="M19" s="90">
        <v>10</v>
      </c>
      <c r="N19" s="90">
        <v>9</v>
      </c>
      <c r="O19" s="90">
        <v>9</v>
      </c>
      <c r="P19" s="90">
        <v>7</v>
      </c>
    </row>
    <row r="20" spans="1:18" x14ac:dyDescent="0.25">
      <c r="A20" s="98" t="s">
        <v>86</v>
      </c>
      <c r="B20" s="98" t="s">
        <v>92</v>
      </c>
      <c r="C20" s="98" t="s">
        <v>80</v>
      </c>
      <c r="D20" s="98" t="s">
        <v>88</v>
      </c>
      <c r="E20" s="90">
        <v>0</v>
      </c>
      <c r="F20" s="90">
        <v>0</v>
      </c>
      <c r="G20" s="90">
        <v>0</v>
      </c>
      <c r="H20" s="90">
        <v>0</v>
      </c>
      <c r="I20" s="90">
        <v>0</v>
      </c>
      <c r="J20" s="90">
        <v>0</v>
      </c>
      <c r="K20" s="90">
        <v>0</v>
      </c>
      <c r="L20" s="90">
        <v>0</v>
      </c>
      <c r="M20" s="90">
        <v>0</v>
      </c>
      <c r="N20" s="90">
        <v>0</v>
      </c>
      <c r="O20" s="90">
        <v>0</v>
      </c>
      <c r="P20" s="90">
        <v>0</v>
      </c>
    </row>
    <row r="21" spans="1:18" x14ac:dyDescent="0.25">
      <c r="A21" s="98" t="s">
        <v>86</v>
      </c>
      <c r="B21" s="98" t="s">
        <v>93</v>
      </c>
      <c r="C21" s="98" t="s">
        <v>80</v>
      </c>
      <c r="D21" s="98" t="s">
        <v>88</v>
      </c>
      <c r="E21" s="90">
        <v>0</v>
      </c>
      <c r="F21" s="90">
        <v>0</v>
      </c>
      <c r="G21" s="90">
        <v>0</v>
      </c>
      <c r="H21" s="90">
        <v>0</v>
      </c>
      <c r="I21" s="90">
        <v>0</v>
      </c>
      <c r="J21" s="90">
        <v>0</v>
      </c>
      <c r="K21" s="90">
        <v>0</v>
      </c>
      <c r="L21" s="90">
        <v>0</v>
      </c>
      <c r="M21" s="90">
        <v>6</v>
      </c>
      <c r="N21" s="90">
        <v>6</v>
      </c>
      <c r="O21" s="90">
        <v>6</v>
      </c>
      <c r="P21" s="90">
        <v>6</v>
      </c>
    </row>
    <row r="22" spans="1:18" x14ac:dyDescent="0.25">
      <c r="A22" s="98" t="s">
        <v>94</v>
      </c>
      <c r="B22" s="98" t="s">
        <v>95</v>
      </c>
      <c r="C22" s="98" t="s">
        <v>96</v>
      </c>
      <c r="D22" s="98" t="s">
        <v>97</v>
      </c>
      <c r="E22" s="90">
        <v>0</v>
      </c>
      <c r="F22" s="90">
        <v>1</v>
      </c>
      <c r="G22" s="90">
        <v>1</v>
      </c>
      <c r="H22" s="90">
        <v>1</v>
      </c>
      <c r="I22" s="90">
        <v>1</v>
      </c>
      <c r="J22" s="90">
        <v>1</v>
      </c>
      <c r="K22" s="90">
        <v>1</v>
      </c>
      <c r="L22" s="90">
        <v>1</v>
      </c>
      <c r="M22" s="90">
        <v>4</v>
      </c>
      <c r="N22" s="90">
        <v>4</v>
      </c>
      <c r="O22" s="90">
        <v>4</v>
      </c>
      <c r="P22" s="90">
        <v>4</v>
      </c>
    </row>
    <row r="23" spans="1:18" x14ac:dyDescent="0.25">
      <c r="A23" s="98" t="s">
        <v>94</v>
      </c>
      <c r="B23" s="98" t="s">
        <v>98</v>
      </c>
      <c r="C23" s="98" t="s">
        <v>96</v>
      </c>
      <c r="D23" s="98" t="s">
        <v>97</v>
      </c>
      <c r="E23" s="90">
        <v>0</v>
      </c>
      <c r="F23" s="90">
        <v>0</v>
      </c>
      <c r="G23" s="90">
        <v>0</v>
      </c>
      <c r="H23" s="90">
        <v>0</v>
      </c>
      <c r="I23" s="90">
        <v>0</v>
      </c>
      <c r="J23" s="90">
        <v>0</v>
      </c>
      <c r="K23" s="90">
        <v>0</v>
      </c>
      <c r="L23" s="90">
        <v>0</v>
      </c>
      <c r="M23" s="90">
        <v>0</v>
      </c>
      <c r="N23" s="90">
        <v>0</v>
      </c>
      <c r="O23" s="90">
        <v>0</v>
      </c>
      <c r="P23" s="90">
        <v>0</v>
      </c>
    </row>
    <row r="24" spans="1:18" x14ac:dyDescent="0.25">
      <c r="A24" s="98" t="s">
        <v>99</v>
      </c>
      <c r="B24" s="98" t="s">
        <v>95</v>
      </c>
      <c r="C24" s="98" t="s">
        <v>96</v>
      </c>
      <c r="D24" s="98" t="s">
        <v>89</v>
      </c>
      <c r="E24" s="90">
        <v>0</v>
      </c>
      <c r="F24" s="90">
        <v>1</v>
      </c>
      <c r="G24" s="90">
        <v>1</v>
      </c>
      <c r="H24" s="90">
        <v>1</v>
      </c>
      <c r="I24" s="90">
        <v>1</v>
      </c>
      <c r="J24" s="90">
        <v>1</v>
      </c>
      <c r="K24" s="90">
        <v>1</v>
      </c>
      <c r="L24" s="90">
        <v>1</v>
      </c>
      <c r="M24" s="90">
        <v>4</v>
      </c>
      <c r="N24" s="90">
        <v>4</v>
      </c>
      <c r="O24" s="90">
        <v>4</v>
      </c>
      <c r="P24" s="90">
        <v>4</v>
      </c>
    </row>
    <row r="25" spans="1:18" x14ac:dyDescent="0.25">
      <c r="A25" s="98" t="s">
        <v>99</v>
      </c>
      <c r="B25" s="98" t="s">
        <v>98</v>
      </c>
      <c r="C25" s="98" t="s">
        <v>96</v>
      </c>
      <c r="D25" s="98" t="s">
        <v>89</v>
      </c>
      <c r="E25" s="90">
        <v>0</v>
      </c>
      <c r="F25" s="90">
        <v>0</v>
      </c>
      <c r="G25" s="90">
        <v>0</v>
      </c>
      <c r="H25" s="90">
        <v>0</v>
      </c>
      <c r="I25" s="90">
        <v>0</v>
      </c>
      <c r="J25" s="90">
        <v>0</v>
      </c>
      <c r="K25" s="90">
        <v>0</v>
      </c>
      <c r="L25" s="90">
        <v>0</v>
      </c>
      <c r="M25" s="90">
        <v>0</v>
      </c>
      <c r="N25" s="90">
        <v>0</v>
      </c>
      <c r="O25" s="90">
        <v>0</v>
      </c>
      <c r="P25" s="90">
        <v>0</v>
      </c>
    </row>
    <row r="26" spans="1:18" x14ac:dyDescent="0.25">
      <c r="A26" s="98" t="s">
        <v>100</v>
      </c>
      <c r="B26" s="98" t="s">
        <v>95</v>
      </c>
      <c r="C26" s="98" t="s">
        <v>101</v>
      </c>
      <c r="D26" s="98" t="s">
        <v>97</v>
      </c>
      <c r="E26" s="90">
        <v>0</v>
      </c>
      <c r="F26" s="90">
        <v>3</v>
      </c>
      <c r="G26" s="90">
        <v>3</v>
      </c>
      <c r="H26" s="90">
        <v>3</v>
      </c>
      <c r="I26" s="90">
        <v>3</v>
      </c>
      <c r="J26" s="90">
        <v>3</v>
      </c>
      <c r="K26" s="90">
        <v>3</v>
      </c>
      <c r="L26" s="90">
        <v>3</v>
      </c>
      <c r="M26" s="90">
        <v>3</v>
      </c>
      <c r="N26" s="90">
        <v>3</v>
      </c>
      <c r="O26" s="90">
        <v>3</v>
      </c>
      <c r="P26" s="90">
        <v>3</v>
      </c>
    </row>
    <row r="27" spans="1:18" x14ac:dyDescent="0.25">
      <c r="A27" s="98" t="s">
        <v>100</v>
      </c>
      <c r="B27" s="98" t="s">
        <v>98</v>
      </c>
      <c r="C27" s="98" t="s">
        <v>101</v>
      </c>
      <c r="D27" s="98" t="s">
        <v>97</v>
      </c>
      <c r="E27" s="90">
        <v>0</v>
      </c>
      <c r="F27" s="90">
        <v>0</v>
      </c>
      <c r="G27" s="90">
        <v>0</v>
      </c>
      <c r="H27" s="90">
        <v>0</v>
      </c>
      <c r="I27" s="90">
        <v>0</v>
      </c>
      <c r="J27" s="90">
        <v>0</v>
      </c>
      <c r="K27" s="90">
        <v>0</v>
      </c>
      <c r="L27" s="90">
        <v>0</v>
      </c>
      <c r="M27" s="90">
        <v>0</v>
      </c>
      <c r="N27" s="90">
        <v>0</v>
      </c>
      <c r="O27" s="90">
        <v>0</v>
      </c>
      <c r="P27" s="90">
        <v>0</v>
      </c>
    </row>
    <row r="28" spans="1:18" x14ac:dyDescent="0.25">
      <c r="A28" s="98" t="s">
        <v>102</v>
      </c>
      <c r="B28" s="98" t="s">
        <v>95</v>
      </c>
      <c r="C28" s="98" t="s">
        <v>101</v>
      </c>
      <c r="D28" s="98" t="s">
        <v>89</v>
      </c>
      <c r="E28" s="90">
        <v>0</v>
      </c>
      <c r="F28" s="90">
        <v>3</v>
      </c>
      <c r="G28" s="90">
        <v>3</v>
      </c>
      <c r="H28" s="90">
        <v>3</v>
      </c>
      <c r="I28" s="90">
        <v>3</v>
      </c>
      <c r="J28" s="90">
        <v>3</v>
      </c>
      <c r="K28" s="90">
        <v>3</v>
      </c>
      <c r="L28" s="90">
        <v>3</v>
      </c>
      <c r="M28" s="90">
        <v>3</v>
      </c>
      <c r="N28" s="90">
        <v>3</v>
      </c>
      <c r="O28" s="90">
        <v>3</v>
      </c>
      <c r="P28" s="90">
        <v>3</v>
      </c>
    </row>
    <row r="29" spans="1:18" x14ac:dyDescent="0.25">
      <c r="A29" s="98" t="s">
        <v>102</v>
      </c>
      <c r="B29" s="98" t="s">
        <v>98</v>
      </c>
      <c r="C29" s="98" t="s">
        <v>101</v>
      </c>
      <c r="D29" s="98" t="s">
        <v>89</v>
      </c>
      <c r="E29" s="90">
        <v>0</v>
      </c>
      <c r="F29" s="90">
        <v>0</v>
      </c>
      <c r="G29" s="90">
        <v>0</v>
      </c>
      <c r="H29" s="90">
        <v>0</v>
      </c>
      <c r="I29" s="90">
        <v>0</v>
      </c>
      <c r="J29" s="90">
        <v>0</v>
      </c>
      <c r="K29" s="90">
        <v>0</v>
      </c>
      <c r="L29" s="90">
        <v>0</v>
      </c>
      <c r="M29" s="90">
        <v>0</v>
      </c>
      <c r="N29" s="90">
        <v>0</v>
      </c>
      <c r="O29" s="90">
        <v>0</v>
      </c>
      <c r="P29" s="90">
        <v>0</v>
      </c>
    </row>
    <row r="30" spans="1:18" x14ac:dyDescent="0.25">
      <c r="A30" s="98" t="s">
        <v>103</v>
      </c>
      <c r="B30" s="98" t="s">
        <v>104</v>
      </c>
      <c r="C30" s="98" t="s">
        <v>105</v>
      </c>
      <c r="D30" s="68" t="s">
        <v>106</v>
      </c>
      <c r="E30" s="69">
        <v>0</v>
      </c>
      <c r="F30" s="69">
        <v>0</v>
      </c>
      <c r="G30" s="69">
        <v>0</v>
      </c>
      <c r="H30" s="69">
        <v>0</v>
      </c>
      <c r="I30" s="69">
        <v>0</v>
      </c>
      <c r="J30" s="69">
        <v>0</v>
      </c>
      <c r="K30" s="69">
        <v>0</v>
      </c>
      <c r="L30" s="69">
        <v>0</v>
      </c>
      <c r="M30" s="69">
        <v>0</v>
      </c>
      <c r="N30" s="69">
        <v>0</v>
      </c>
      <c r="O30" s="69">
        <v>0</v>
      </c>
      <c r="P30" s="70">
        <v>0</v>
      </c>
      <c r="Q30" s="97"/>
      <c r="R30" s="97"/>
    </row>
    <row r="31" spans="1:18" x14ac:dyDescent="0.25">
      <c r="A31" s="98" t="s">
        <v>107</v>
      </c>
      <c r="B31" s="98" t="s">
        <v>104</v>
      </c>
      <c r="C31" s="98" t="s">
        <v>105</v>
      </c>
      <c r="D31" s="71" t="s">
        <v>108</v>
      </c>
      <c r="E31" s="90">
        <v>0</v>
      </c>
      <c r="F31" s="90">
        <v>0</v>
      </c>
      <c r="G31" s="90">
        <v>0</v>
      </c>
      <c r="H31" s="90">
        <v>0</v>
      </c>
      <c r="I31" s="90">
        <v>0</v>
      </c>
      <c r="J31" s="90">
        <v>0</v>
      </c>
      <c r="K31" s="90">
        <v>0</v>
      </c>
      <c r="L31" s="90">
        <v>0</v>
      </c>
      <c r="M31" s="90">
        <v>0</v>
      </c>
      <c r="N31" s="90">
        <v>0</v>
      </c>
      <c r="O31" s="90">
        <v>0</v>
      </c>
      <c r="P31" s="72">
        <v>0</v>
      </c>
    </row>
    <row r="32" spans="1:18" x14ac:dyDescent="0.25">
      <c r="A32" s="98" t="s">
        <v>109</v>
      </c>
      <c r="B32" s="98" t="s">
        <v>104</v>
      </c>
      <c r="C32" s="98" t="s">
        <v>105</v>
      </c>
      <c r="D32" s="71" t="s">
        <v>110</v>
      </c>
      <c r="E32" s="90">
        <v>0</v>
      </c>
      <c r="F32" s="90">
        <v>0</v>
      </c>
      <c r="G32" s="90">
        <v>0</v>
      </c>
      <c r="H32" s="90">
        <v>0</v>
      </c>
      <c r="I32" s="90">
        <v>0</v>
      </c>
      <c r="J32" s="90">
        <v>0</v>
      </c>
      <c r="K32" s="73" t="s">
        <v>111</v>
      </c>
      <c r="L32" s="73" t="s">
        <v>111</v>
      </c>
      <c r="M32" s="73" t="s">
        <v>111</v>
      </c>
      <c r="N32" s="73" t="s">
        <v>111</v>
      </c>
      <c r="O32" s="73" t="s">
        <v>111</v>
      </c>
      <c r="P32" s="73" t="s">
        <v>111</v>
      </c>
    </row>
    <row r="33" spans="1:71" x14ac:dyDescent="0.25">
      <c r="A33" s="98" t="s">
        <v>112</v>
      </c>
      <c r="B33" s="98" t="s">
        <v>104</v>
      </c>
      <c r="C33" s="98" t="s">
        <v>105</v>
      </c>
      <c r="D33" s="74" t="s">
        <v>113</v>
      </c>
      <c r="E33" s="75">
        <v>0</v>
      </c>
      <c r="F33" s="75">
        <v>0</v>
      </c>
      <c r="G33" s="75">
        <v>0</v>
      </c>
      <c r="H33" s="75">
        <v>0</v>
      </c>
      <c r="I33" s="75">
        <v>0</v>
      </c>
      <c r="J33" s="75">
        <v>0</v>
      </c>
      <c r="K33" s="73" t="s">
        <v>111</v>
      </c>
      <c r="L33" s="73" t="s">
        <v>111</v>
      </c>
      <c r="M33" s="73" t="s">
        <v>111</v>
      </c>
      <c r="N33" s="73" t="s">
        <v>111</v>
      </c>
      <c r="O33" s="73" t="s">
        <v>111</v>
      </c>
      <c r="P33" s="73" t="s">
        <v>111</v>
      </c>
    </row>
    <row r="34" spans="1:71" x14ac:dyDescent="0.25">
      <c r="A34" s="98" t="s">
        <v>114</v>
      </c>
      <c r="B34" s="98" t="s">
        <v>104</v>
      </c>
      <c r="C34" s="98" t="s">
        <v>105</v>
      </c>
      <c r="D34" s="68" t="s">
        <v>115</v>
      </c>
      <c r="E34" s="69">
        <v>0</v>
      </c>
      <c r="F34" s="69">
        <v>0</v>
      </c>
      <c r="G34" s="69">
        <v>0</v>
      </c>
      <c r="H34" s="69">
        <v>0</v>
      </c>
      <c r="I34" s="69">
        <v>0</v>
      </c>
      <c r="J34" s="69">
        <v>0</v>
      </c>
      <c r="K34" s="69">
        <v>0</v>
      </c>
      <c r="L34" s="69">
        <v>0</v>
      </c>
      <c r="M34" s="69">
        <v>0</v>
      </c>
      <c r="N34" s="69">
        <v>0</v>
      </c>
      <c r="O34" s="69">
        <v>0</v>
      </c>
      <c r="P34" s="70">
        <v>0</v>
      </c>
    </row>
    <row r="35" spans="1:71" x14ac:dyDescent="0.25">
      <c r="A35" s="98" t="s">
        <v>116</v>
      </c>
      <c r="B35" s="98" t="s">
        <v>104</v>
      </c>
      <c r="C35" s="98" t="s">
        <v>105</v>
      </c>
      <c r="D35" s="71" t="s">
        <v>117</v>
      </c>
      <c r="E35" s="90">
        <v>0</v>
      </c>
      <c r="F35" s="90">
        <v>0</v>
      </c>
      <c r="G35" s="90">
        <v>0</v>
      </c>
      <c r="H35" s="90">
        <v>0</v>
      </c>
      <c r="I35" s="90">
        <v>0</v>
      </c>
      <c r="J35" s="90">
        <v>0</v>
      </c>
      <c r="K35" s="90">
        <v>0</v>
      </c>
      <c r="L35" s="90">
        <v>0</v>
      </c>
      <c r="M35" s="90">
        <v>0</v>
      </c>
      <c r="N35" s="90">
        <v>0</v>
      </c>
      <c r="O35" s="90">
        <v>0</v>
      </c>
      <c r="P35" s="72">
        <v>0</v>
      </c>
      <c r="Q35" s="97"/>
      <c r="R35" s="97"/>
      <c r="S35" s="97"/>
      <c r="T35" s="97"/>
    </row>
    <row r="36" spans="1:71" x14ac:dyDescent="0.25">
      <c r="A36" s="98" t="s">
        <v>118</v>
      </c>
      <c r="B36" s="98" t="s">
        <v>104</v>
      </c>
      <c r="C36" s="98" t="s">
        <v>105</v>
      </c>
      <c r="D36" s="71" t="s">
        <v>119</v>
      </c>
      <c r="E36" s="90">
        <v>0</v>
      </c>
      <c r="F36" s="90">
        <v>0</v>
      </c>
      <c r="G36" s="90">
        <v>0</v>
      </c>
      <c r="H36" s="90">
        <v>0</v>
      </c>
      <c r="I36" s="90">
        <v>0</v>
      </c>
      <c r="J36" s="90">
        <v>0</v>
      </c>
      <c r="K36" s="90">
        <v>0</v>
      </c>
      <c r="L36" s="90">
        <v>0</v>
      </c>
      <c r="M36" s="90">
        <v>0</v>
      </c>
      <c r="N36" s="90">
        <v>0</v>
      </c>
      <c r="O36" s="90">
        <v>0</v>
      </c>
      <c r="P36" s="72">
        <v>0</v>
      </c>
    </row>
    <row r="37" spans="1:71" x14ac:dyDescent="0.25">
      <c r="A37" s="98" t="s">
        <v>120</v>
      </c>
      <c r="B37" s="98" t="s">
        <v>104</v>
      </c>
      <c r="C37" s="98" t="s">
        <v>105</v>
      </c>
      <c r="D37" s="74" t="s">
        <v>121</v>
      </c>
      <c r="E37" s="75">
        <v>0</v>
      </c>
      <c r="F37" s="75">
        <v>0</v>
      </c>
      <c r="G37" s="75">
        <v>0</v>
      </c>
      <c r="H37" s="75">
        <v>0</v>
      </c>
      <c r="I37" s="75">
        <v>0</v>
      </c>
      <c r="J37" s="75">
        <v>0</v>
      </c>
      <c r="K37" s="75">
        <v>0</v>
      </c>
      <c r="L37" s="75">
        <v>0</v>
      </c>
      <c r="M37" s="75">
        <v>0</v>
      </c>
      <c r="N37" s="75" t="s">
        <v>97</v>
      </c>
      <c r="O37" s="75">
        <v>0</v>
      </c>
      <c r="P37" s="76">
        <v>0</v>
      </c>
    </row>
    <row r="38" spans="1:71" x14ac:dyDescent="0.25">
      <c r="A38" s="98" t="s">
        <v>122</v>
      </c>
      <c r="B38" s="98" t="s">
        <v>104</v>
      </c>
      <c r="C38" s="98" t="s">
        <v>105</v>
      </c>
      <c r="D38" s="68" t="s">
        <v>123</v>
      </c>
      <c r="E38" s="69">
        <v>0</v>
      </c>
      <c r="F38" s="69">
        <v>0</v>
      </c>
      <c r="G38" s="69">
        <v>0</v>
      </c>
      <c r="H38" s="69">
        <v>0</v>
      </c>
      <c r="I38" s="69">
        <v>0</v>
      </c>
      <c r="J38" s="69">
        <v>0</v>
      </c>
      <c r="K38" s="73" t="s">
        <v>124</v>
      </c>
      <c r="L38" s="73" t="s">
        <v>124</v>
      </c>
      <c r="M38" s="73" t="s">
        <v>124</v>
      </c>
      <c r="N38" s="73" t="s">
        <v>124</v>
      </c>
      <c r="O38" s="73" t="s">
        <v>124</v>
      </c>
      <c r="P38" s="73" t="s">
        <v>124</v>
      </c>
      <c r="Q38" s="92"/>
    </row>
    <row r="39" spans="1:71" x14ac:dyDescent="0.25">
      <c r="A39" s="98" t="s">
        <v>125</v>
      </c>
      <c r="B39" s="98" t="s">
        <v>104</v>
      </c>
      <c r="C39" s="98" t="s">
        <v>105</v>
      </c>
      <c r="D39" s="71" t="s">
        <v>126</v>
      </c>
      <c r="E39" s="90">
        <v>0</v>
      </c>
      <c r="F39" s="90">
        <v>0</v>
      </c>
      <c r="G39" s="90">
        <v>0</v>
      </c>
      <c r="H39" s="90">
        <v>0</v>
      </c>
      <c r="I39" s="90">
        <v>0</v>
      </c>
      <c r="J39" s="90">
        <v>0</v>
      </c>
      <c r="K39" s="90">
        <v>0</v>
      </c>
      <c r="L39" s="90">
        <v>0</v>
      </c>
      <c r="M39" s="90">
        <v>0</v>
      </c>
      <c r="N39" s="90">
        <v>0</v>
      </c>
      <c r="O39" s="90">
        <v>0</v>
      </c>
      <c r="P39" s="72">
        <v>0</v>
      </c>
    </row>
    <row r="40" spans="1:71" x14ac:dyDescent="0.25">
      <c r="A40" s="98" t="s">
        <v>127</v>
      </c>
      <c r="B40" s="98" t="s">
        <v>104</v>
      </c>
      <c r="C40" s="98" t="s">
        <v>105</v>
      </c>
      <c r="D40" s="71" t="s">
        <v>128</v>
      </c>
      <c r="E40" s="90">
        <v>0</v>
      </c>
      <c r="F40" s="90">
        <v>0</v>
      </c>
      <c r="G40" s="90">
        <v>0</v>
      </c>
      <c r="H40" s="90">
        <v>0</v>
      </c>
      <c r="I40" s="90">
        <v>0</v>
      </c>
      <c r="J40" s="90">
        <v>0</v>
      </c>
      <c r="K40" s="90">
        <v>0</v>
      </c>
      <c r="L40" s="90">
        <v>0</v>
      </c>
      <c r="M40" s="90">
        <v>0</v>
      </c>
      <c r="N40" s="90">
        <v>0</v>
      </c>
      <c r="O40" s="90">
        <v>0</v>
      </c>
      <c r="P40" s="72">
        <v>0</v>
      </c>
    </row>
    <row r="41" spans="1:71" x14ac:dyDescent="0.25">
      <c r="A41" s="98" t="s">
        <v>129</v>
      </c>
      <c r="B41" s="98" t="s">
        <v>104</v>
      </c>
      <c r="C41" s="98" t="s">
        <v>105</v>
      </c>
      <c r="D41" s="74" t="s">
        <v>130</v>
      </c>
      <c r="E41" s="75">
        <v>0</v>
      </c>
      <c r="F41" s="75">
        <v>0</v>
      </c>
      <c r="G41" s="75">
        <v>0</v>
      </c>
      <c r="H41" s="75">
        <v>0</v>
      </c>
      <c r="I41" s="75">
        <v>0</v>
      </c>
      <c r="J41" s="75">
        <v>0</v>
      </c>
      <c r="K41" s="73" t="s">
        <v>111</v>
      </c>
      <c r="L41" s="73" t="s">
        <v>111</v>
      </c>
      <c r="M41" s="73" t="s">
        <v>111</v>
      </c>
      <c r="N41" s="73" t="s">
        <v>111</v>
      </c>
      <c r="O41" s="73" t="s">
        <v>111</v>
      </c>
      <c r="P41" s="80" t="s">
        <v>111</v>
      </c>
    </row>
    <row r="42" spans="1:71" x14ac:dyDescent="0.25">
      <c r="A42" s="98" t="s">
        <v>131</v>
      </c>
      <c r="B42" s="98" t="s">
        <v>104</v>
      </c>
      <c r="C42" s="98" t="s">
        <v>105</v>
      </c>
      <c r="D42" s="68" t="s">
        <v>132</v>
      </c>
      <c r="E42" s="69">
        <v>0</v>
      </c>
      <c r="F42" s="69">
        <v>0</v>
      </c>
      <c r="G42" s="69">
        <v>0</v>
      </c>
      <c r="H42" s="69">
        <v>0</v>
      </c>
      <c r="I42" s="69">
        <v>0</v>
      </c>
      <c r="J42" s="69">
        <v>0</v>
      </c>
      <c r="K42" s="73" t="s">
        <v>124</v>
      </c>
      <c r="L42" s="73" t="s">
        <v>124</v>
      </c>
      <c r="M42" s="73" t="s">
        <v>124</v>
      </c>
      <c r="N42" s="73" t="s">
        <v>124</v>
      </c>
      <c r="O42" s="73" t="s">
        <v>124</v>
      </c>
      <c r="P42" s="80" t="s">
        <v>124</v>
      </c>
    </row>
    <row r="43" spans="1:71" x14ac:dyDescent="0.25">
      <c r="A43" s="98" t="s">
        <v>133</v>
      </c>
      <c r="B43" s="98" t="s">
        <v>104</v>
      </c>
      <c r="C43" s="98" t="s">
        <v>105</v>
      </c>
      <c r="D43" s="71" t="s">
        <v>134</v>
      </c>
      <c r="E43" s="90">
        <v>0</v>
      </c>
      <c r="F43" s="90">
        <v>0</v>
      </c>
      <c r="G43" s="90">
        <v>0</v>
      </c>
      <c r="H43" s="90">
        <v>0</v>
      </c>
      <c r="I43" s="90">
        <v>0</v>
      </c>
      <c r="J43" s="90">
        <v>0</v>
      </c>
      <c r="K43" s="90">
        <v>0</v>
      </c>
      <c r="L43" s="90">
        <v>0</v>
      </c>
      <c r="M43" s="90">
        <v>0</v>
      </c>
      <c r="N43" s="90">
        <v>0</v>
      </c>
      <c r="O43" s="90">
        <v>0</v>
      </c>
      <c r="P43" s="72">
        <v>0</v>
      </c>
    </row>
    <row r="44" spans="1:71" x14ac:dyDescent="0.25">
      <c r="A44" s="98" t="s">
        <v>135</v>
      </c>
      <c r="B44" s="98" t="s">
        <v>104</v>
      </c>
      <c r="C44" s="98" t="s">
        <v>105</v>
      </c>
      <c r="D44" s="71" t="s">
        <v>136</v>
      </c>
      <c r="E44" s="90">
        <v>0</v>
      </c>
      <c r="F44" s="90">
        <v>0</v>
      </c>
      <c r="G44" s="90">
        <v>0</v>
      </c>
      <c r="H44" s="90">
        <v>0</v>
      </c>
      <c r="I44" s="90">
        <v>0</v>
      </c>
      <c r="J44" s="90">
        <v>0</v>
      </c>
      <c r="K44" s="73" t="s">
        <v>111</v>
      </c>
      <c r="L44" s="73" t="s">
        <v>111</v>
      </c>
      <c r="M44" s="73" t="s">
        <v>111</v>
      </c>
      <c r="N44" s="73" t="s">
        <v>111</v>
      </c>
      <c r="O44" s="73" t="s">
        <v>111</v>
      </c>
      <c r="P44" s="73" t="s">
        <v>111</v>
      </c>
      <c r="Q44" s="92"/>
    </row>
    <row r="45" spans="1:71" ht="15.75" customHeight="1" thickBot="1" x14ac:dyDescent="0.3">
      <c r="A45" s="98" t="s">
        <v>137</v>
      </c>
      <c r="B45" s="98" t="s">
        <v>104</v>
      </c>
      <c r="C45" s="98" t="s">
        <v>105</v>
      </c>
      <c r="D45" s="74" t="s">
        <v>138</v>
      </c>
      <c r="E45" s="75">
        <v>0</v>
      </c>
      <c r="F45" s="75">
        <v>0</v>
      </c>
      <c r="G45" s="75">
        <v>0</v>
      </c>
      <c r="H45" s="75">
        <v>0</v>
      </c>
      <c r="I45" s="75">
        <v>0</v>
      </c>
      <c r="J45" s="75">
        <v>0</v>
      </c>
      <c r="K45" s="75">
        <v>0</v>
      </c>
      <c r="L45" s="75">
        <v>0</v>
      </c>
      <c r="M45" s="75">
        <v>0</v>
      </c>
      <c r="N45" s="75">
        <v>0</v>
      </c>
      <c r="O45" s="75">
        <v>0</v>
      </c>
      <c r="P45" s="76">
        <v>0</v>
      </c>
      <c r="Q45" s="97"/>
      <c r="R45" s="97"/>
      <c r="S45" s="97"/>
      <c r="T45" s="97"/>
      <c r="U45" s="97"/>
      <c r="V45" s="97"/>
      <c r="W45" s="97"/>
      <c r="X45" s="97"/>
      <c r="Y45" s="97"/>
      <c r="Z45" s="97"/>
      <c r="AA45" s="97"/>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row>
    <row r="46" spans="1:71" x14ac:dyDescent="0.25">
      <c r="A46" s="98" t="s">
        <v>139</v>
      </c>
      <c r="B46" s="98" t="s">
        <v>140</v>
      </c>
      <c r="C46" s="98" t="s">
        <v>141</v>
      </c>
      <c r="D46" s="77" t="s">
        <v>106</v>
      </c>
      <c r="E46" s="69">
        <v>0</v>
      </c>
      <c r="F46" s="69" t="s">
        <v>89</v>
      </c>
      <c r="G46" s="69" t="s">
        <v>89</v>
      </c>
      <c r="H46" s="69" t="s">
        <v>89</v>
      </c>
      <c r="I46" s="69" t="s">
        <v>89</v>
      </c>
      <c r="J46" s="69" t="s">
        <v>89</v>
      </c>
      <c r="K46" s="69">
        <v>1</v>
      </c>
      <c r="L46" s="69">
        <v>1</v>
      </c>
      <c r="M46" s="69">
        <v>1</v>
      </c>
      <c r="N46" s="69">
        <v>1</v>
      </c>
      <c r="O46" s="69">
        <v>1</v>
      </c>
      <c r="P46" s="70">
        <v>1</v>
      </c>
      <c r="Q46" s="97"/>
      <c r="R46" s="97"/>
      <c r="S46" s="97"/>
      <c r="T46" s="97"/>
      <c r="U46" s="97"/>
      <c r="V46" s="97"/>
      <c r="W46" s="97"/>
      <c r="X46" s="97"/>
      <c r="Y46" s="97"/>
      <c r="Z46" s="97"/>
      <c r="AA46" s="97"/>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row>
    <row r="47" spans="1:71" x14ac:dyDescent="0.25">
      <c r="A47" s="98" t="s">
        <v>142</v>
      </c>
      <c r="B47" s="98" t="s">
        <v>140</v>
      </c>
      <c r="C47" s="98" t="s">
        <v>141</v>
      </c>
      <c r="D47" s="78" t="s">
        <v>108</v>
      </c>
      <c r="E47" s="90">
        <v>0</v>
      </c>
      <c r="F47" s="90">
        <v>0</v>
      </c>
      <c r="G47" s="90">
        <v>0</v>
      </c>
      <c r="H47" s="90">
        <v>0</v>
      </c>
      <c r="I47" s="90">
        <v>0</v>
      </c>
      <c r="J47" s="90">
        <v>0</v>
      </c>
      <c r="K47" s="90">
        <v>0</v>
      </c>
      <c r="L47" s="90">
        <v>0</v>
      </c>
      <c r="M47" s="90">
        <v>0</v>
      </c>
      <c r="N47" s="90">
        <v>0</v>
      </c>
      <c r="O47" s="90">
        <v>0</v>
      </c>
      <c r="P47" s="72">
        <v>0</v>
      </c>
      <c r="S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row>
    <row r="48" spans="1:71" x14ac:dyDescent="0.25">
      <c r="A48" s="98" t="s">
        <v>143</v>
      </c>
      <c r="B48" s="98" t="s">
        <v>140</v>
      </c>
      <c r="C48" s="98" t="s">
        <v>141</v>
      </c>
      <c r="D48" s="78" t="s">
        <v>110</v>
      </c>
      <c r="E48" s="90">
        <v>0</v>
      </c>
      <c r="F48" s="90">
        <v>0</v>
      </c>
      <c r="G48" s="90">
        <v>0</v>
      </c>
      <c r="H48" s="90">
        <v>0</v>
      </c>
      <c r="I48" s="90">
        <v>0</v>
      </c>
      <c r="J48" s="90">
        <v>0</v>
      </c>
      <c r="K48" s="90">
        <v>1</v>
      </c>
      <c r="L48" s="90">
        <v>1</v>
      </c>
      <c r="M48" s="90">
        <v>1</v>
      </c>
      <c r="N48" s="90">
        <v>1</v>
      </c>
      <c r="O48" s="90">
        <v>1</v>
      </c>
      <c r="P48" s="90">
        <v>1</v>
      </c>
      <c r="Q48" s="92"/>
      <c r="AZ48" s="97"/>
      <c r="BA48" s="97"/>
      <c r="BB48" s="97"/>
      <c r="BC48" s="97"/>
      <c r="BD48" s="97"/>
      <c r="BE48" s="97"/>
      <c r="BF48" s="97"/>
      <c r="BG48" s="97"/>
      <c r="BH48" s="97"/>
      <c r="BI48" s="97"/>
      <c r="BJ48" s="97"/>
      <c r="BK48" s="97"/>
      <c r="BL48" s="97"/>
      <c r="BM48" s="97"/>
      <c r="BN48" s="97"/>
      <c r="BO48" s="97"/>
      <c r="BP48" s="97"/>
      <c r="BQ48" s="97"/>
      <c r="BR48" s="97"/>
      <c r="BS48" s="97"/>
    </row>
    <row r="49" spans="1:17" ht="15.75" customHeight="1" thickBot="1" x14ac:dyDescent="0.3">
      <c r="A49" s="98" t="s">
        <v>144</v>
      </c>
      <c r="B49" s="98" t="s">
        <v>140</v>
      </c>
      <c r="C49" s="98" t="s">
        <v>141</v>
      </c>
      <c r="D49" s="79" t="s">
        <v>113</v>
      </c>
      <c r="E49" s="75">
        <v>0</v>
      </c>
      <c r="F49" s="90">
        <v>1</v>
      </c>
      <c r="G49" s="90">
        <v>1</v>
      </c>
      <c r="H49" s="90">
        <v>1</v>
      </c>
      <c r="I49" s="90">
        <v>1</v>
      </c>
      <c r="J49" s="90">
        <v>1</v>
      </c>
      <c r="K49" s="90">
        <v>1</v>
      </c>
      <c r="L49" s="90">
        <v>1</v>
      </c>
      <c r="M49" s="90">
        <v>1</v>
      </c>
      <c r="N49" s="90">
        <v>1</v>
      </c>
      <c r="O49" s="90">
        <v>1</v>
      </c>
      <c r="P49" s="90">
        <v>1</v>
      </c>
      <c r="Q49" s="92"/>
    </row>
    <row r="50" spans="1:17" x14ac:dyDescent="0.25">
      <c r="A50" s="98" t="s">
        <v>145</v>
      </c>
      <c r="B50" s="98" t="s">
        <v>140</v>
      </c>
      <c r="C50" s="98" t="s">
        <v>141</v>
      </c>
      <c r="D50" s="77" t="s">
        <v>115</v>
      </c>
      <c r="E50" s="69">
        <v>0</v>
      </c>
      <c r="F50" s="93">
        <v>1</v>
      </c>
      <c r="G50" s="69">
        <v>1</v>
      </c>
      <c r="H50" s="69">
        <v>1</v>
      </c>
      <c r="I50" s="69">
        <v>1</v>
      </c>
      <c r="J50" s="69">
        <v>1</v>
      </c>
      <c r="K50" s="69">
        <v>1</v>
      </c>
      <c r="L50" s="69">
        <v>1</v>
      </c>
      <c r="M50" s="69">
        <v>1</v>
      </c>
      <c r="N50" s="69">
        <v>1</v>
      </c>
      <c r="O50" s="69">
        <v>1</v>
      </c>
      <c r="P50" s="70">
        <v>1</v>
      </c>
    </row>
    <row r="51" spans="1:17" x14ac:dyDescent="0.25">
      <c r="A51" s="98" t="s">
        <v>146</v>
      </c>
      <c r="B51" s="98" t="s">
        <v>140</v>
      </c>
      <c r="C51" s="98" t="s">
        <v>141</v>
      </c>
      <c r="D51" s="78" t="s">
        <v>117</v>
      </c>
      <c r="E51" s="90">
        <v>0</v>
      </c>
      <c r="F51" s="94">
        <v>0</v>
      </c>
      <c r="G51" s="90">
        <v>0</v>
      </c>
      <c r="H51" s="90">
        <v>0</v>
      </c>
      <c r="I51" s="90">
        <v>0</v>
      </c>
      <c r="J51" s="90">
        <v>0</v>
      </c>
      <c r="K51" s="90">
        <v>0</v>
      </c>
      <c r="L51" s="90">
        <v>0</v>
      </c>
      <c r="M51" s="90">
        <v>0</v>
      </c>
      <c r="N51" s="90">
        <v>0</v>
      </c>
      <c r="O51" s="90">
        <v>0</v>
      </c>
      <c r="P51" s="72">
        <v>0</v>
      </c>
    </row>
    <row r="52" spans="1:17" x14ac:dyDescent="0.25">
      <c r="A52" s="98" t="s">
        <v>147</v>
      </c>
      <c r="B52" s="98" t="s">
        <v>140</v>
      </c>
      <c r="C52" s="98" t="s">
        <v>141</v>
      </c>
      <c r="D52" s="78" t="s">
        <v>119</v>
      </c>
      <c r="E52" s="90">
        <v>0</v>
      </c>
      <c r="F52" s="94">
        <v>0</v>
      </c>
      <c r="G52" s="90">
        <v>0</v>
      </c>
      <c r="H52" s="90">
        <v>0</v>
      </c>
      <c r="I52" s="90">
        <v>0</v>
      </c>
      <c r="J52" s="90">
        <v>0</v>
      </c>
      <c r="K52" s="90">
        <v>0</v>
      </c>
      <c r="L52" s="90">
        <v>0</v>
      </c>
      <c r="M52" s="90">
        <v>0</v>
      </c>
      <c r="N52" s="90">
        <v>0</v>
      </c>
      <c r="O52" s="90">
        <v>0</v>
      </c>
      <c r="P52" s="72">
        <v>0</v>
      </c>
    </row>
    <row r="53" spans="1:17" ht="15.75" customHeight="1" thickBot="1" x14ac:dyDescent="0.3">
      <c r="A53" s="98" t="s">
        <v>148</v>
      </c>
      <c r="B53" s="98" t="s">
        <v>140</v>
      </c>
      <c r="C53" s="98" t="s">
        <v>141</v>
      </c>
      <c r="D53" s="79" t="s">
        <v>121</v>
      </c>
      <c r="E53" s="75">
        <v>0</v>
      </c>
      <c r="F53" s="91">
        <v>0</v>
      </c>
      <c r="G53" s="90">
        <v>0</v>
      </c>
      <c r="H53" s="75">
        <v>0</v>
      </c>
      <c r="I53" s="75">
        <v>0</v>
      </c>
      <c r="J53" s="75">
        <v>0</v>
      </c>
      <c r="K53" s="75">
        <v>0</v>
      </c>
      <c r="L53" s="75">
        <v>0</v>
      </c>
      <c r="M53" s="75">
        <v>0</v>
      </c>
      <c r="N53" s="75">
        <v>0</v>
      </c>
      <c r="O53" s="75">
        <v>0</v>
      </c>
      <c r="P53" s="76">
        <v>0</v>
      </c>
    </row>
    <row r="54" spans="1:17" x14ac:dyDescent="0.25">
      <c r="A54" s="98" t="s">
        <v>149</v>
      </c>
      <c r="B54" s="98" t="s">
        <v>140</v>
      </c>
      <c r="C54" s="98" t="s">
        <v>141</v>
      </c>
      <c r="D54" s="77" t="s">
        <v>123</v>
      </c>
      <c r="E54" s="69">
        <v>0</v>
      </c>
      <c r="F54" s="94">
        <v>1</v>
      </c>
      <c r="G54" s="69">
        <v>1</v>
      </c>
      <c r="H54" s="90">
        <v>1</v>
      </c>
      <c r="I54" s="90">
        <v>1</v>
      </c>
      <c r="J54" s="90">
        <v>1</v>
      </c>
      <c r="K54" s="90">
        <v>1</v>
      </c>
      <c r="L54" s="90">
        <v>1</v>
      </c>
      <c r="M54" s="90">
        <v>1</v>
      </c>
      <c r="N54" s="90">
        <v>1</v>
      </c>
      <c r="O54" s="90">
        <v>1</v>
      </c>
      <c r="P54" s="72">
        <v>1</v>
      </c>
    </row>
    <row r="55" spans="1:17" x14ac:dyDescent="0.25">
      <c r="A55" s="98" t="s">
        <v>150</v>
      </c>
      <c r="B55" s="98" t="s">
        <v>140</v>
      </c>
      <c r="C55" s="98" t="s">
        <v>141</v>
      </c>
      <c r="D55" s="78" t="s">
        <v>126</v>
      </c>
      <c r="E55" s="90">
        <v>0</v>
      </c>
      <c r="F55" s="94">
        <v>0</v>
      </c>
      <c r="G55" s="90">
        <v>0</v>
      </c>
      <c r="H55" s="90">
        <v>0</v>
      </c>
      <c r="I55" s="90">
        <v>0</v>
      </c>
      <c r="J55" s="90">
        <v>0</v>
      </c>
      <c r="K55" s="90">
        <v>0</v>
      </c>
      <c r="L55" s="90">
        <v>0</v>
      </c>
      <c r="M55" s="90">
        <v>0</v>
      </c>
      <c r="N55" s="90">
        <v>0</v>
      </c>
      <c r="O55" s="90">
        <v>0</v>
      </c>
      <c r="P55" s="72">
        <v>0</v>
      </c>
    </row>
    <row r="56" spans="1:17" x14ac:dyDescent="0.25">
      <c r="A56" s="98" t="s">
        <v>151</v>
      </c>
      <c r="B56" s="98" t="s">
        <v>140</v>
      </c>
      <c r="C56" s="98" t="s">
        <v>141</v>
      </c>
      <c r="D56" s="78" t="s">
        <v>128</v>
      </c>
      <c r="E56" s="90">
        <v>0</v>
      </c>
      <c r="F56" s="94">
        <v>0</v>
      </c>
      <c r="G56" s="90">
        <v>0</v>
      </c>
      <c r="H56" s="90">
        <v>0</v>
      </c>
      <c r="I56" s="90">
        <v>0</v>
      </c>
      <c r="J56" s="90">
        <v>0</v>
      </c>
      <c r="K56" s="90">
        <v>1</v>
      </c>
      <c r="L56" s="90">
        <v>1</v>
      </c>
      <c r="M56" s="90">
        <v>1</v>
      </c>
      <c r="N56" s="90">
        <v>1</v>
      </c>
      <c r="O56" s="90">
        <v>1</v>
      </c>
      <c r="P56" s="72">
        <v>1</v>
      </c>
    </row>
    <row r="57" spans="1:17" ht="15.75" customHeight="1" thickBot="1" x14ac:dyDescent="0.3">
      <c r="A57" s="98" t="s">
        <v>152</v>
      </c>
      <c r="B57" s="98" t="s">
        <v>140</v>
      </c>
      <c r="C57" s="98" t="s">
        <v>141</v>
      </c>
      <c r="D57" s="79" t="s">
        <v>130</v>
      </c>
      <c r="E57" s="75">
        <v>0</v>
      </c>
      <c r="F57" s="91">
        <v>0</v>
      </c>
      <c r="G57" s="75">
        <v>0</v>
      </c>
      <c r="H57" s="75">
        <v>0</v>
      </c>
      <c r="I57" s="75">
        <v>0</v>
      </c>
      <c r="J57" s="75">
        <v>0</v>
      </c>
      <c r="K57" s="75">
        <v>1</v>
      </c>
      <c r="L57" s="75">
        <v>1</v>
      </c>
      <c r="M57" s="75">
        <v>1</v>
      </c>
      <c r="N57" s="75">
        <v>1</v>
      </c>
      <c r="O57" s="75">
        <v>1</v>
      </c>
      <c r="P57" s="76">
        <v>1</v>
      </c>
    </row>
    <row r="58" spans="1:17" x14ac:dyDescent="0.25">
      <c r="A58" s="98" t="s">
        <v>153</v>
      </c>
      <c r="B58" s="98" t="s">
        <v>140</v>
      </c>
      <c r="C58" s="98" t="s">
        <v>141</v>
      </c>
      <c r="D58" s="77" t="s">
        <v>132</v>
      </c>
      <c r="E58" s="69">
        <v>0</v>
      </c>
      <c r="F58" s="94">
        <v>1</v>
      </c>
      <c r="G58" s="90">
        <v>1</v>
      </c>
      <c r="H58" s="90">
        <v>1</v>
      </c>
      <c r="I58" s="90">
        <v>1</v>
      </c>
      <c r="J58" s="90">
        <v>1</v>
      </c>
      <c r="K58" s="90">
        <v>1</v>
      </c>
      <c r="L58" s="90">
        <v>1</v>
      </c>
      <c r="M58" s="90">
        <v>1</v>
      </c>
      <c r="N58" s="90">
        <v>1</v>
      </c>
      <c r="O58" s="90">
        <v>1</v>
      </c>
      <c r="P58" s="72">
        <v>1</v>
      </c>
    </row>
    <row r="59" spans="1:17" x14ac:dyDescent="0.25">
      <c r="A59" s="98" t="s">
        <v>154</v>
      </c>
      <c r="B59" s="98" t="s">
        <v>140</v>
      </c>
      <c r="C59" s="98" t="s">
        <v>141</v>
      </c>
      <c r="D59" s="78" t="s">
        <v>134</v>
      </c>
      <c r="E59" s="90">
        <v>0</v>
      </c>
      <c r="F59" s="94">
        <v>0</v>
      </c>
      <c r="G59" s="90">
        <v>0</v>
      </c>
      <c r="H59" s="90">
        <v>0</v>
      </c>
      <c r="I59" s="90">
        <v>0</v>
      </c>
      <c r="J59" s="90">
        <v>0</v>
      </c>
      <c r="K59" s="90">
        <v>0</v>
      </c>
      <c r="L59" s="90">
        <v>0</v>
      </c>
      <c r="M59" s="90">
        <v>0</v>
      </c>
      <c r="N59" s="90">
        <v>0</v>
      </c>
      <c r="O59" s="90">
        <v>0</v>
      </c>
      <c r="P59" s="72">
        <v>0</v>
      </c>
    </row>
    <row r="60" spans="1:17" x14ac:dyDescent="0.25">
      <c r="A60" s="98" t="s">
        <v>155</v>
      </c>
      <c r="B60" s="98" t="s">
        <v>140</v>
      </c>
      <c r="C60" s="98" t="s">
        <v>141</v>
      </c>
      <c r="D60" s="78" t="s">
        <v>136</v>
      </c>
      <c r="E60" s="90">
        <v>0</v>
      </c>
      <c r="F60" s="94">
        <v>0</v>
      </c>
      <c r="G60" s="90">
        <v>0</v>
      </c>
      <c r="H60" s="90">
        <v>0</v>
      </c>
      <c r="I60" s="90">
        <v>0</v>
      </c>
      <c r="J60" s="90">
        <v>0</v>
      </c>
      <c r="K60" s="90">
        <v>1</v>
      </c>
      <c r="L60" s="90">
        <v>1</v>
      </c>
      <c r="M60" s="90">
        <v>1</v>
      </c>
      <c r="N60" s="90">
        <v>1</v>
      </c>
      <c r="O60" s="90">
        <v>1</v>
      </c>
      <c r="P60" s="72">
        <v>1</v>
      </c>
    </row>
    <row r="61" spans="1:17" ht="15.75" customHeight="1" thickBot="1" x14ac:dyDescent="0.3">
      <c r="A61" s="98" t="s">
        <v>156</v>
      </c>
      <c r="B61" s="98" t="s">
        <v>140</v>
      </c>
      <c r="C61" s="98" t="s">
        <v>141</v>
      </c>
      <c r="D61" s="79" t="s">
        <v>138</v>
      </c>
      <c r="E61" s="75">
        <v>0</v>
      </c>
      <c r="F61" s="91">
        <v>1</v>
      </c>
      <c r="G61" s="75">
        <v>1</v>
      </c>
      <c r="H61" s="75">
        <v>1</v>
      </c>
      <c r="I61" s="75">
        <v>1</v>
      </c>
      <c r="J61" s="75">
        <v>1</v>
      </c>
      <c r="K61" s="75">
        <v>1</v>
      </c>
      <c r="L61" s="75">
        <v>1</v>
      </c>
      <c r="M61" s="75">
        <v>1</v>
      </c>
      <c r="N61" s="75">
        <v>1</v>
      </c>
      <c r="O61" s="75">
        <v>1</v>
      </c>
      <c r="P61" s="76">
        <v>1</v>
      </c>
    </row>
    <row r="62" spans="1:17" x14ac:dyDescent="0.25">
      <c r="A62" s="98" t="s">
        <v>157</v>
      </c>
      <c r="B62" s="98" t="s">
        <v>158</v>
      </c>
      <c r="C62" s="98" t="s">
        <v>159</v>
      </c>
      <c r="D62" s="98" t="s">
        <v>160</v>
      </c>
      <c r="E62" s="90">
        <v>0</v>
      </c>
      <c r="F62" s="90">
        <v>48</v>
      </c>
      <c r="G62" s="90">
        <v>48</v>
      </c>
      <c r="H62" s="90">
        <v>48</v>
      </c>
      <c r="I62" s="90">
        <v>48</v>
      </c>
      <c r="J62" s="90">
        <v>48</v>
      </c>
      <c r="K62" s="90">
        <v>48</v>
      </c>
      <c r="L62" s="90">
        <v>48</v>
      </c>
      <c r="M62" s="90">
        <v>48</v>
      </c>
      <c r="N62" s="90">
        <v>48</v>
      </c>
      <c r="O62" s="90">
        <v>48</v>
      </c>
      <c r="P62" s="90">
        <v>48</v>
      </c>
    </row>
    <row r="63" spans="1:17" x14ac:dyDescent="0.25">
      <c r="A63" s="98" t="s">
        <v>157</v>
      </c>
      <c r="B63" s="98" t="s">
        <v>161</v>
      </c>
      <c r="C63" s="98" t="s">
        <v>159</v>
      </c>
      <c r="D63" s="98" t="s">
        <v>162</v>
      </c>
      <c r="E63" s="90">
        <v>0</v>
      </c>
      <c r="F63" s="90">
        <v>48</v>
      </c>
      <c r="G63" s="90">
        <v>48</v>
      </c>
      <c r="H63" s="90">
        <v>48</v>
      </c>
      <c r="I63" s="90">
        <v>48</v>
      </c>
      <c r="J63" s="90">
        <v>48</v>
      </c>
      <c r="K63" s="90">
        <v>48</v>
      </c>
      <c r="L63" s="90">
        <v>48</v>
      </c>
      <c r="M63" s="90">
        <v>48</v>
      </c>
      <c r="N63" s="90">
        <v>48</v>
      </c>
      <c r="O63" s="90">
        <v>48</v>
      </c>
      <c r="P63" s="90">
        <v>48</v>
      </c>
    </row>
    <row r="64" spans="1:17" x14ac:dyDescent="0.25">
      <c r="A64" s="98" t="s">
        <v>163</v>
      </c>
      <c r="B64" s="98" t="s">
        <v>164</v>
      </c>
      <c r="C64" s="98" t="s">
        <v>159</v>
      </c>
      <c r="D64" s="98" t="s">
        <v>165</v>
      </c>
      <c r="E64" s="90">
        <v>0</v>
      </c>
      <c r="F64" s="90">
        <v>13</v>
      </c>
      <c r="G64" s="90">
        <v>13</v>
      </c>
      <c r="H64" s="90">
        <v>13</v>
      </c>
      <c r="I64" s="90">
        <v>13</v>
      </c>
      <c r="J64" s="90">
        <v>13</v>
      </c>
      <c r="K64" s="90">
        <v>13</v>
      </c>
      <c r="L64" s="90">
        <v>13</v>
      </c>
      <c r="M64" s="90">
        <v>13</v>
      </c>
      <c r="N64" s="90">
        <v>13</v>
      </c>
      <c r="O64" s="90">
        <v>13</v>
      </c>
      <c r="P64" s="90">
        <v>13</v>
      </c>
    </row>
    <row r="65" spans="1:16" x14ac:dyDescent="0.25">
      <c r="A65" s="98" t="s">
        <v>163</v>
      </c>
      <c r="B65" s="98" t="s">
        <v>166</v>
      </c>
      <c r="C65" s="98" t="s">
        <v>159</v>
      </c>
      <c r="D65" s="98" t="s">
        <v>167</v>
      </c>
      <c r="E65" s="90">
        <v>0</v>
      </c>
      <c r="F65" s="90">
        <v>13</v>
      </c>
      <c r="G65" s="90">
        <v>13</v>
      </c>
      <c r="H65" s="90">
        <v>13</v>
      </c>
      <c r="I65" s="90">
        <v>13</v>
      </c>
      <c r="J65" s="90">
        <v>13</v>
      </c>
      <c r="K65" s="90">
        <v>13</v>
      </c>
      <c r="L65" s="90">
        <v>13</v>
      </c>
      <c r="M65" s="90">
        <v>13</v>
      </c>
      <c r="N65" s="90">
        <v>13</v>
      </c>
      <c r="O65" s="90">
        <v>13</v>
      </c>
      <c r="P65" s="90">
        <v>13</v>
      </c>
    </row>
    <row r="66" spans="1:16" x14ac:dyDescent="0.25">
      <c r="A66" s="98" t="s">
        <v>58</v>
      </c>
      <c r="B66" s="98" t="s">
        <v>58</v>
      </c>
      <c r="C66" s="98" t="s">
        <v>168</v>
      </c>
      <c r="D66" s="98" t="s">
        <v>60</v>
      </c>
      <c r="E66" s="63">
        <v>0</v>
      </c>
      <c r="F66" s="63">
        <v>1</v>
      </c>
      <c r="G66" s="63">
        <v>2</v>
      </c>
      <c r="H66" s="63">
        <v>3</v>
      </c>
      <c r="I66" s="63">
        <v>4</v>
      </c>
      <c r="J66" s="63">
        <v>5</v>
      </c>
      <c r="K66" s="63">
        <v>6</v>
      </c>
    </row>
    <row r="67" spans="1:16" x14ac:dyDescent="0.25">
      <c r="A67" s="98" t="s">
        <v>58</v>
      </c>
      <c r="B67" s="98" t="s">
        <v>58</v>
      </c>
      <c r="C67" s="98" t="s">
        <v>168</v>
      </c>
      <c r="D67" s="98" t="s">
        <v>61</v>
      </c>
      <c r="E67" s="63">
        <v>0</v>
      </c>
      <c r="F67" s="63">
        <v>150</v>
      </c>
      <c r="G67" s="63">
        <v>300</v>
      </c>
      <c r="H67" s="63" t="s">
        <v>169</v>
      </c>
      <c r="I67" s="63" t="s">
        <v>170</v>
      </c>
      <c r="J67" s="63" t="s">
        <v>171</v>
      </c>
      <c r="K67" s="63" t="s">
        <v>172</v>
      </c>
    </row>
    <row r="68" spans="1:16" x14ac:dyDescent="0.25">
      <c r="A68" s="98" t="s">
        <v>58</v>
      </c>
      <c r="B68" s="98" t="s">
        <v>58</v>
      </c>
      <c r="C68" s="98" t="s">
        <v>168</v>
      </c>
      <c r="D68" s="98" t="s">
        <v>173</v>
      </c>
      <c r="E68" s="47">
        <f>2^32-1</f>
        <v>4294967295</v>
      </c>
      <c r="F68" s="48">
        <f t="shared" ref="F68:K68" si="1">1000000/F67</f>
        <v>6666.666666666667</v>
      </c>
      <c r="G68" s="48">
        <f t="shared" si="1"/>
        <v>3333.3333333333335</v>
      </c>
      <c r="H68" s="48">
        <f t="shared" si="1"/>
        <v>2143.6227224008576</v>
      </c>
      <c r="I68" s="48">
        <f t="shared" si="1"/>
        <v>1666.6666666666667</v>
      </c>
      <c r="J68" s="48">
        <f t="shared" si="1"/>
        <v>1240.6947890818858</v>
      </c>
      <c r="K68" s="48">
        <f t="shared" si="1"/>
        <v>1071.8113612004288</v>
      </c>
    </row>
    <row r="69" spans="1:16" x14ac:dyDescent="0.25">
      <c r="A69" s="98" t="s">
        <v>58</v>
      </c>
      <c r="B69" s="98" t="s">
        <v>58</v>
      </c>
      <c r="C69" s="98" t="s">
        <v>174</v>
      </c>
      <c r="D69" s="98" t="s">
        <v>65</v>
      </c>
      <c r="E69" s="63" t="b">
        <v>1</v>
      </c>
      <c r="F69" s="63" t="b">
        <v>1</v>
      </c>
      <c r="G69" s="63" t="b">
        <v>1</v>
      </c>
      <c r="H69" s="63" t="b">
        <v>1</v>
      </c>
      <c r="I69" s="63" t="b">
        <v>1</v>
      </c>
      <c r="J69" s="63" t="b">
        <v>1</v>
      </c>
      <c r="K69" s="63" t="b">
        <v>1</v>
      </c>
    </row>
    <row r="70" spans="1:16" x14ac:dyDescent="0.25">
      <c r="A70" s="98" t="s">
        <v>58</v>
      </c>
      <c r="B70" s="98" t="s">
        <v>58</v>
      </c>
      <c r="C70" s="98" t="s">
        <v>174</v>
      </c>
      <c r="D70" s="98" t="s">
        <v>175</v>
      </c>
      <c r="E70" s="63" t="s">
        <v>58</v>
      </c>
      <c r="F70" s="63" t="s">
        <v>58</v>
      </c>
      <c r="G70" s="63" t="s">
        <v>58</v>
      </c>
      <c r="H70" s="63" t="s">
        <v>58</v>
      </c>
      <c r="I70" s="63" t="s">
        <v>58</v>
      </c>
      <c r="J70" s="63" t="s">
        <v>58</v>
      </c>
      <c r="K70" s="63" t="s">
        <v>58</v>
      </c>
    </row>
    <row r="71" spans="1:16" x14ac:dyDescent="0.25">
      <c r="A71" s="98" t="s">
        <v>58</v>
      </c>
      <c r="B71" s="98" t="s">
        <v>58</v>
      </c>
      <c r="C71" s="98" t="s">
        <v>174</v>
      </c>
      <c r="D71" s="98" t="s">
        <v>70</v>
      </c>
      <c r="E71" s="63" t="s">
        <v>71</v>
      </c>
      <c r="F71" s="63" t="s">
        <v>176</v>
      </c>
      <c r="G71" s="63" t="s">
        <v>177</v>
      </c>
      <c r="H71" s="63" t="s">
        <v>178</v>
      </c>
      <c r="I71" s="63" t="s">
        <v>179</v>
      </c>
      <c r="J71" s="63" t="s">
        <v>180</v>
      </c>
      <c r="K71" s="63" t="s">
        <v>412</v>
      </c>
    </row>
    <row r="72" spans="1:16" x14ac:dyDescent="0.25">
      <c r="A72" s="98" t="s">
        <v>58</v>
      </c>
      <c r="B72" s="98" t="s">
        <v>58</v>
      </c>
      <c r="C72" s="98" t="s">
        <v>174</v>
      </c>
      <c r="D72" s="98" t="s">
        <v>72</v>
      </c>
      <c r="E72" s="63" t="s">
        <v>71</v>
      </c>
      <c r="F72" s="63" t="s">
        <v>180</v>
      </c>
      <c r="G72" s="63" t="s">
        <v>180</v>
      </c>
      <c r="H72" s="63" t="s">
        <v>180</v>
      </c>
      <c r="I72" s="63" t="s">
        <v>180</v>
      </c>
      <c r="J72" s="63" t="s">
        <v>180</v>
      </c>
      <c r="K72" s="63" t="s">
        <v>412</v>
      </c>
    </row>
    <row r="73" spans="1:16" x14ac:dyDescent="0.25">
      <c r="A73" s="98" t="s">
        <v>58</v>
      </c>
      <c r="B73" s="98" t="s">
        <v>58</v>
      </c>
      <c r="C73" s="98" t="s">
        <v>174</v>
      </c>
      <c r="D73" s="98" t="s">
        <v>73</v>
      </c>
      <c r="E73" s="63" t="s">
        <v>71</v>
      </c>
      <c r="F73" s="63" t="s">
        <v>71</v>
      </c>
      <c r="G73" s="63" t="s">
        <v>71</v>
      </c>
      <c r="H73" s="63" t="s">
        <v>71</v>
      </c>
      <c r="I73" s="63" t="s">
        <v>71</v>
      </c>
      <c r="J73" s="63" t="s">
        <v>71</v>
      </c>
      <c r="K73" s="63" t="s">
        <v>71</v>
      </c>
    </row>
    <row r="74" spans="1:16" x14ac:dyDescent="0.25">
      <c r="A74" s="98" t="s">
        <v>58</v>
      </c>
      <c r="B74" s="98" t="s">
        <v>58</v>
      </c>
      <c r="C74" s="98" t="s">
        <v>174</v>
      </c>
      <c r="D74" s="98" t="s">
        <v>74</v>
      </c>
      <c r="E74" s="63">
        <v>9</v>
      </c>
      <c r="F74" s="63">
        <v>9</v>
      </c>
      <c r="G74" s="63">
        <v>9</v>
      </c>
      <c r="H74" s="63">
        <v>9</v>
      </c>
      <c r="I74" s="63">
        <v>9</v>
      </c>
      <c r="J74" s="63">
        <v>9</v>
      </c>
      <c r="K74" s="63">
        <v>9</v>
      </c>
    </row>
    <row r="75" spans="1:16" x14ac:dyDescent="0.25">
      <c r="A75" s="98" t="s">
        <v>58</v>
      </c>
      <c r="B75" s="98" t="s">
        <v>58</v>
      </c>
      <c r="C75" s="98" t="s">
        <v>174</v>
      </c>
      <c r="D75" s="98" t="s">
        <v>75</v>
      </c>
      <c r="E75" s="63">
        <v>1</v>
      </c>
      <c r="F75" s="63">
        <v>6</v>
      </c>
      <c r="G75" s="63">
        <v>6</v>
      </c>
      <c r="H75" s="63">
        <v>6</v>
      </c>
      <c r="I75" s="63">
        <v>6</v>
      </c>
      <c r="J75" s="63">
        <v>6</v>
      </c>
      <c r="K75" s="63">
        <v>6</v>
      </c>
    </row>
    <row r="76" spans="1:16" x14ac:dyDescent="0.25">
      <c r="A76" s="98" t="s">
        <v>58</v>
      </c>
      <c r="B76" s="98" t="s">
        <v>58</v>
      </c>
      <c r="C76" s="98" t="s">
        <v>174</v>
      </c>
      <c r="D76" s="98" t="s">
        <v>76</v>
      </c>
      <c r="E76" s="63">
        <v>0</v>
      </c>
      <c r="F76" s="63">
        <v>0</v>
      </c>
      <c r="G76" s="63">
        <v>1</v>
      </c>
      <c r="H76" s="63">
        <v>1</v>
      </c>
      <c r="I76" s="63">
        <v>1</v>
      </c>
      <c r="J76" s="63">
        <v>1</v>
      </c>
      <c r="K76" s="63">
        <v>1</v>
      </c>
    </row>
    <row r="77" spans="1:16" x14ac:dyDescent="0.25">
      <c r="A77" s="98" t="s">
        <v>58</v>
      </c>
      <c r="B77" s="98" t="s">
        <v>58</v>
      </c>
      <c r="C77" s="98" t="s">
        <v>174</v>
      </c>
      <c r="D77" s="98" t="s">
        <v>77</v>
      </c>
      <c r="E77" s="63" t="b">
        <v>0</v>
      </c>
      <c r="F77" s="63" t="b">
        <v>0</v>
      </c>
      <c r="G77" s="63" t="b">
        <v>0</v>
      </c>
      <c r="H77" s="63" t="b">
        <v>0</v>
      </c>
      <c r="I77" s="63" t="b">
        <v>0</v>
      </c>
      <c r="J77" s="63" t="b">
        <v>0</v>
      </c>
      <c r="K77" s="63" t="b">
        <v>0</v>
      </c>
    </row>
    <row r="78" spans="1:16" x14ac:dyDescent="0.25">
      <c r="A78" s="98" t="s">
        <v>181</v>
      </c>
      <c r="B78" s="98" t="s">
        <v>182</v>
      </c>
      <c r="C78" s="98" t="s">
        <v>183</v>
      </c>
      <c r="D78" s="98" t="s">
        <v>97</v>
      </c>
      <c r="E78" s="63">
        <v>1</v>
      </c>
      <c r="F78" s="63">
        <v>1</v>
      </c>
      <c r="G78" s="63">
        <v>2</v>
      </c>
      <c r="H78" s="63">
        <v>3</v>
      </c>
      <c r="I78" s="63">
        <v>3</v>
      </c>
      <c r="J78" s="63">
        <v>3</v>
      </c>
      <c r="K78" s="63">
        <v>4</v>
      </c>
    </row>
    <row r="79" spans="1:16" x14ac:dyDescent="0.25">
      <c r="A79" s="98" t="s">
        <v>181</v>
      </c>
      <c r="B79" s="98" t="s">
        <v>184</v>
      </c>
      <c r="C79" s="98" t="s">
        <v>183</v>
      </c>
      <c r="D79" s="98" t="s">
        <v>97</v>
      </c>
      <c r="E79" s="63">
        <v>3</v>
      </c>
      <c r="F79" s="63">
        <v>3</v>
      </c>
      <c r="G79" s="63">
        <v>6</v>
      </c>
      <c r="H79" s="63">
        <v>9</v>
      </c>
      <c r="I79" s="63">
        <v>11</v>
      </c>
      <c r="J79" s="63">
        <v>12</v>
      </c>
      <c r="K79" s="63">
        <v>14</v>
      </c>
    </row>
    <row r="80" spans="1:16" x14ac:dyDescent="0.25">
      <c r="A80" s="98" t="s">
        <v>181</v>
      </c>
      <c r="B80" s="98" t="s">
        <v>185</v>
      </c>
      <c r="C80" s="98" t="s">
        <v>183</v>
      </c>
      <c r="D80" s="98" t="s">
        <v>97</v>
      </c>
      <c r="E80" s="63">
        <v>67</v>
      </c>
      <c r="F80" s="63">
        <v>67</v>
      </c>
      <c r="G80" s="63">
        <v>80</v>
      </c>
      <c r="H80" s="63">
        <v>79</v>
      </c>
      <c r="I80" s="63">
        <v>79</v>
      </c>
      <c r="J80" s="63">
        <v>70</v>
      </c>
      <c r="K80" s="63">
        <v>62</v>
      </c>
    </row>
    <row r="81" spans="1:11" x14ac:dyDescent="0.25">
      <c r="A81" s="98" t="s">
        <v>181</v>
      </c>
      <c r="B81" s="98" t="s">
        <v>186</v>
      </c>
      <c r="C81" s="98" t="s">
        <v>183</v>
      </c>
      <c r="D81" s="98" t="s">
        <v>97</v>
      </c>
      <c r="E81" s="63">
        <v>1</v>
      </c>
      <c r="F81" s="63">
        <v>1</v>
      </c>
      <c r="G81" s="63">
        <v>1</v>
      </c>
      <c r="H81" s="63">
        <v>1</v>
      </c>
      <c r="I81" s="63">
        <v>1</v>
      </c>
      <c r="J81" s="63">
        <v>1</v>
      </c>
      <c r="K81" s="63">
        <v>1</v>
      </c>
    </row>
    <row r="82" spans="1:11" x14ac:dyDescent="0.25">
      <c r="A82" s="98" t="s">
        <v>187</v>
      </c>
      <c r="B82" s="98" t="s">
        <v>188</v>
      </c>
      <c r="C82" s="98" t="s">
        <v>183</v>
      </c>
      <c r="D82" s="98" t="s">
        <v>89</v>
      </c>
      <c r="E82" s="63">
        <v>0</v>
      </c>
      <c r="F82" s="63">
        <v>0</v>
      </c>
      <c r="G82" s="63">
        <v>0</v>
      </c>
      <c r="H82" s="63">
        <v>0</v>
      </c>
      <c r="I82" s="63">
        <v>0</v>
      </c>
      <c r="J82" s="63">
        <v>0</v>
      </c>
      <c r="K82" s="63">
        <v>0</v>
      </c>
    </row>
    <row r="83" spans="1:11" x14ac:dyDescent="0.25">
      <c r="A83" s="98" t="s">
        <v>187</v>
      </c>
      <c r="B83" s="98" t="s">
        <v>189</v>
      </c>
      <c r="C83" s="98" t="s">
        <v>183</v>
      </c>
      <c r="D83" s="98" t="s">
        <v>89</v>
      </c>
      <c r="E83" s="63">
        <v>0</v>
      </c>
      <c r="F83" s="63">
        <v>0</v>
      </c>
      <c r="G83" s="63">
        <v>0</v>
      </c>
      <c r="H83" s="63">
        <v>0</v>
      </c>
      <c r="I83" s="63">
        <v>0</v>
      </c>
      <c r="J83" s="63">
        <v>0</v>
      </c>
      <c r="K83" s="63">
        <v>0</v>
      </c>
    </row>
    <row r="84" spans="1:11" x14ac:dyDescent="0.25">
      <c r="A84" s="98" t="s">
        <v>187</v>
      </c>
      <c r="B84" s="98" t="s">
        <v>190</v>
      </c>
      <c r="C84" s="98" t="s">
        <v>183</v>
      </c>
      <c r="D84" s="98" t="s">
        <v>89</v>
      </c>
      <c r="E84" s="63">
        <v>0</v>
      </c>
      <c r="F84" s="63">
        <v>0</v>
      </c>
      <c r="G84" s="63">
        <v>0</v>
      </c>
      <c r="H84" s="63">
        <v>0</v>
      </c>
      <c r="I84" s="63">
        <v>0</v>
      </c>
      <c r="J84" s="63">
        <v>0</v>
      </c>
      <c r="K84" s="63">
        <v>0</v>
      </c>
    </row>
    <row r="85" spans="1:11" x14ac:dyDescent="0.25">
      <c r="A85" s="98" t="s">
        <v>187</v>
      </c>
      <c r="B85" s="98" t="s">
        <v>191</v>
      </c>
      <c r="C85" s="98" t="s">
        <v>183</v>
      </c>
      <c r="D85" s="98" t="s">
        <v>89</v>
      </c>
      <c r="E85" s="63">
        <v>3</v>
      </c>
      <c r="F85" s="63">
        <v>3</v>
      </c>
      <c r="G85" s="63">
        <v>6</v>
      </c>
      <c r="H85" s="63">
        <v>9</v>
      </c>
      <c r="I85" s="63">
        <v>11</v>
      </c>
      <c r="J85" s="63">
        <v>12</v>
      </c>
      <c r="K85" s="63">
        <v>14</v>
      </c>
    </row>
    <row r="86" spans="1:11" x14ac:dyDescent="0.25">
      <c r="A86" s="98" t="s">
        <v>192</v>
      </c>
      <c r="B86" s="98" t="s">
        <v>193</v>
      </c>
      <c r="C86" s="98" t="s">
        <v>183</v>
      </c>
      <c r="D86" s="98" t="s">
        <v>82</v>
      </c>
      <c r="E86" s="63">
        <v>95</v>
      </c>
      <c r="F86" s="63">
        <v>95</v>
      </c>
      <c r="G86" s="63">
        <v>114</v>
      </c>
      <c r="H86" s="63">
        <v>114</v>
      </c>
      <c r="I86" s="63">
        <v>114</v>
      </c>
      <c r="J86" s="63">
        <v>102</v>
      </c>
      <c r="K86" s="63">
        <v>91</v>
      </c>
    </row>
    <row r="87" spans="1:11" x14ac:dyDescent="0.25">
      <c r="A87" s="98" t="s">
        <v>194</v>
      </c>
      <c r="B87" s="98" t="s">
        <v>182</v>
      </c>
      <c r="C87" s="98" t="s">
        <v>183</v>
      </c>
      <c r="D87" s="98" t="s">
        <v>195</v>
      </c>
      <c r="E87" s="63">
        <v>1</v>
      </c>
      <c r="F87" s="63">
        <v>1</v>
      </c>
      <c r="G87" s="63">
        <v>2</v>
      </c>
      <c r="H87" s="63">
        <v>3</v>
      </c>
      <c r="I87" s="63">
        <v>3</v>
      </c>
      <c r="J87" s="63">
        <v>3</v>
      </c>
      <c r="K87" s="63">
        <v>4</v>
      </c>
    </row>
    <row r="88" spans="1:11" x14ac:dyDescent="0.25">
      <c r="A88" s="98" t="s">
        <v>194</v>
      </c>
      <c r="B88" s="98" t="s">
        <v>184</v>
      </c>
      <c r="C88" s="98" t="s">
        <v>183</v>
      </c>
      <c r="D88" s="98" t="s">
        <v>195</v>
      </c>
      <c r="E88" s="63">
        <v>3</v>
      </c>
      <c r="F88" s="63">
        <v>3</v>
      </c>
      <c r="G88" s="63">
        <v>6</v>
      </c>
      <c r="H88" s="63">
        <v>9</v>
      </c>
      <c r="I88" s="63">
        <v>11</v>
      </c>
      <c r="J88" s="63">
        <v>12</v>
      </c>
      <c r="K88" s="63">
        <v>14</v>
      </c>
    </row>
    <row r="89" spans="1:11" x14ac:dyDescent="0.25">
      <c r="A89" s="98" t="s">
        <v>194</v>
      </c>
      <c r="B89" s="98" t="s">
        <v>185</v>
      </c>
      <c r="C89" s="98" t="s">
        <v>183</v>
      </c>
      <c r="D89" s="98" t="s">
        <v>195</v>
      </c>
      <c r="E89" s="63">
        <v>6</v>
      </c>
      <c r="F89" s="63">
        <v>6</v>
      </c>
      <c r="G89" s="63">
        <v>11</v>
      </c>
      <c r="H89" s="63">
        <v>16</v>
      </c>
      <c r="I89" s="63">
        <v>20</v>
      </c>
      <c r="J89" s="63">
        <v>22</v>
      </c>
      <c r="K89" s="63">
        <v>26</v>
      </c>
    </row>
    <row r="90" spans="1:11" x14ac:dyDescent="0.25">
      <c r="A90" s="98" t="s">
        <v>194</v>
      </c>
      <c r="B90" s="98" t="s">
        <v>186</v>
      </c>
      <c r="C90" s="98" t="s">
        <v>183</v>
      </c>
      <c r="D90" s="98" t="s">
        <v>195</v>
      </c>
      <c r="E90" s="63">
        <v>1</v>
      </c>
      <c r="F90" s="63">
        <v>1</v>
      </c>
      <c r="G90" s="63">
        <v>1</v>
      </c>
      <c r="H90" s="63">
        <v>1</v>
      </c>
      <c r="I90" s="63">
        <v>1</v>
      </c>
      <c r="J90" s="63">
        <v>1</v>
      </c>
      <c r="K90" s="63">
        <v>1</v>
      </c>
    </row>
    <row r="91" spans="1:11" x14ac:dyDescent="0.25">
      <c r="A91" s="98" t="s">
        <v>196</v>
      </c>
      <c r="B91" s="98" t="s">
        <v>188</v>
      </c>
      <c r="C91" s="98" t="s">
        <v>183</v>
      </c>
      <c r="D91" s="98">
        <v>4</v>
      </c>
      <c r="E91" s="63">
        <v>0</v>
      </c>
      <c r="F91" s="63">
        <v>0</v>
      </c>
      <c r="G91" s="63">
        <v>0</v>
      </c>
      <c r="H91" s="63">
        <v>0</v>
      </c>
      <c r="I91" s="63">
        <v>0</v>
      </c>
      <c r="J91" s="63">
        <v>0</v>
      </c>
      <c r="K91" s="63">
        <v>0</v>
      </c>
    </row>
    <row r="92" spans="1:11" x14ac:dyDescent="0.25">
      <c r="A92" s="98" t="s">
        <v>196</v>
      </c>
      <c r="B92" s="98" t="s">
        <v>189</v>
      </c>
      <c r="C92" s="98" t="s">
        <v>183</v>
      </c>
      <c r="D92" s="98">
        <v>4</v>
      </c>
      <c r="E92" s="63">
        <v>0</v>
      </c>
      <c r="F92" s="63">
        <v>0</v>
      </c>
      <c r="G92" s="63">
        <v>0</v>
      </c>
      <c r="H92" s="63">
        <v>0</v>
      </c>
      <c r="I92" s="63">
        <v>0</v>
      </c>
      <c r="J92" s="63">
        <v>0</v>
      </c>
      <c r="K92" s="63">
        <v>0</v>
      </c>
    </row>
    <row r="93" spans="1:11" x14ac:dyDescent="0.25">
      <c r="A93" s="98" t="s">
        <v>196</v>
      </c>
      <c r="B93" s="98" t="s">
        <v>190</v>
      </c>
      <c r="C93" s="98" t="s">
        <v>183</v>
      </c>
      <c r="D93" s="98">
        <v>4</v>
      </c>
      <c r="E93" s="63">
        <v>0</v>
      </c>
      <c r="F93" s="63">
        <v>0</v>
      </c>
      <c r="G93" s="63">
        <v>0</v>
      </c>
      <c r="H93" s="63">
        <v>0</v>
      </c>
      <c r="I93" s="63">
        <v>0</v>
      </c>
      <c r="J93" s="63">
        <v>0</v>
      </c>
      <c r="K93" s="63">
        <v>0</v>
      </c>
    </row>
    <row r="94" spans="1:11" x14ac:dyDescent="0.25">
      <c r="A94" s="98" t="s">
        <v>196</v>
      </c>
      <c r="B94" s="98" t="s">
        <v>191</v>
      </c>
      <c r="C94" s="98" t="s">
        <v>183</v>
      </c>
      <c r="D94" s="98">
        <v>4</v>
      </c>
      <c r="E94" s="63">
        <v>3</v>
      </c>
      <c r="F94" s="63">
        <v>3</v>
      </c>
      <c r="G94" s="63">
        <v>6</v>
      </c>
      <c r="H94" s="63">
        <v>9</v>
      </c>
      <c r="I94" s="63">
        <v>11</v>
      </c>
      <c r="J94" s="63">
        <v>12</v>
      </c>
      <c r="K94" s="63">
        <v>14</v>
      </c>
    </row>
    <row r="95" spans="1:11" x14ac:dyDescent="0.25">
      <c r="A95" s="98" t="s">
        <v>197</v>
      </c>
      <c r="B95" s="98" t="s">
        <v>193</v>
      </c>
      <c r="C95" s="98" t="s">
        <v>183</v>
      </c>
      <c r="D95" s="98">
        <v>5</v>
      </c>
      <c r="E95" s="63">
        <v>9</v>
      </c>
      <c r="F95" s="63">
        <v>9</v>
      </c>
      <c r="G95" s="63">
        <v>18</v>
      </c>
      <c r="H95" s="63">
        <v>25</v>
      </c>
      <c r="I95" s="63">
        <v>31</v>
      </c>
      <c r="J95" s="63">
        <v>35</v>
      </c>
      <c r="K95" s="63">
        <v>40</v>
      </c>
    </row>
    <row r="96" spans="1:11" x14ac:dyDescent="0.25">
      <c r="A96" s="98" t="s">
        <v>198</v>
      </c>
      <c r="B96" s="98" t="s">
        <v>199</v>
      </c>
      <c r="C96" s="98" t="s">
        <v>200</v>
      </c>
      <c r="D96" s="98" t="s">
        <v>97</v>
      </c>
      <c r="E96" s="63">
        <v>4</v>
      </c>
      <c r="F96" s="63">
        <v>4</v>
      </c>
      <c r="G96" s="63"/>
      <c r="H96" s="63"/>
      <c r="I96" s="63"/>
      <c r="J96" s="63"/>
      <c r="K96" s="63"/>
    </row>
    <row r="97" spans="1:11" x14ac:dyDescent="0.25">
      <c r="A97" s="98" t="s">
        <v>198</v>
      </c>
      <c r="B97" s="98" t="s">
        <v>201</v>
      </c>
      <c r="C97" s="98" t="s">
        <v>200</v>
      </c>
      <c r="D97" s="98" t="s">
        <v>97</v>
      </c>
      <c r="E97" s="63">
        <v>36</v>
      </c>
      <c r="F97" s="63">
        <v>36</v>
      </c>
      <c r="G97" s="63"/>
      <c r="H97" s="63"/>
      <c r="I97" s="63"/>
      <c r="J97" s="63"/>
      <c r="K97" s="63"/>
    </row>
    <row r="98" spans="1:11" x14ac:dyDescent="0.25">
      <c r="A98" s="98" t="s">
        <v>198</v>
      </c>
      <c r="B98" s="98" t="s">
        <v>201</v>
      </c>
      <c r="C98" s="98" t="s">
        <v>200</v>
      </c>
      <c r="D98" s="98" t="s">
        <v>97</v>
      </c>
      <c r="E98" s="63">
        <v>4</v>
      </c>
      <c r="F98" s="63">
        <v>4</v>
      </c>
      <c r="G98" s="63"/>
      <c r="H98" s="63"/>
      <c r="I98" s="63"/>
      <c r="J98" s="63"/>
      <c r="K98" s="63"/>
    </row>
    <row r="99" spans="1:11" x14ac:dyDescent="0.25">
      <c r="A99" s="98" t="s">
        <v>202</v>
      </c>
      <c r="B99" s="98" t="s">
        <v>203</v>
      </c>
      <c r="C99" s="98" t="s">
        <v>200</v>
      </c>
      <c r="D99" s="98" t="s">
        <v>89</v>
      </c>
      <c r="E99" s="63">
        <v>32</v>
      </c>
      <c r="F99" s="63">
        <v>32</v>
      </c>
      <c r="G99" s="63"/>
      <c r="H99" s="63"/>
      <c r="I99" s="63"/>
      <c r="J99" s="63"/>
      <c r="K99" s="63"/>
    </row>
    <row r="100" spans="1:11" x14ac:dyDescent="0.25">
      <c r="A100" s="98" t="s">
        <v>202</v>
      </c>
      <c r="B100" s="98" t="s">
        <v>204</v>
      </c>
      <c r="C100" s="98" t="s">
        <v>200</v>
      </c>
      <c r="D100" s="98" t="s">
        <v>89</v>
      </c>
      <c r="E100" s="63">
        <v>28</v>
      </c>
      <c r="F100" s="63">
        <v>28</v>
      </c>
      <c r="G100" s="63"/>
      <c r="H100" s="63"/>
      <c r="I100" s="63"/>
      <c r="J100" s="63"/>
      <c r="K100" s="63"/>
    </row>
    <row r="101" spans="1:11" x14ac:dyDescent="0.25">
      <c r="A101" s="98" t="s">
        <v>202</v>
      </c>
      <c r="B101" s="98" t="s">
        <v>205</v>
      </c>
      <c r="C101" s="98" t="s">
        <v>200</v>
      </c>
      <c r="D101" s="98" t="s">
        <v>89</v>
      </c>
      <c r="E101" s="63">
        <v>0</v>
      </c>
      <c r="F101" s="63">
        <v>0</v>
      </c>
      <c r="G101" s="63"/>
      <c r="H101" s="63"/>
      <c r="I101" s="63"/>
      <c r="J101" s="63"/>
      <c r="K101" s="63"/>
    </row>
    <row r="102" spans="1:11" x14ac:dyDescent="0.25">
      <c r="A102" s="98" t="s">
        <v>202</v>
      </c>
      <c r="B102" s="98" t="s">
        <v>206</v>
      </c>
      <c r="C102" s="98" t="s">
        <v>200</v>
      </c>
      <c r="D102" s="98" t="s">
        <v>89</v>
      </c>
      <c r="E102" s="63">
        <v>4</v>
      </c>
      <c r="F102" s="63">
        <v>4</v>
      </c>
      <c r="G102" s="63"/>
      <c r="H102" s="63"/>
      <c r="I102" s="63"/>
      <c r="J102" s="63"/>
      <c r="K102" s="63"/>
    </row>
    <row r="103" spans="1:11" x14ac:dyDescent="0.25">
      <c r="A103" s="98" t="s">
        <v>207</v>
      </c>
      <c r="B103" s="98" t="s">
        <v>208</v>
      </c>
      <c r="C103" s="98" t="s">
        <v>200</v>
      </c>
      <c r="D103" s="98" t="s">
        <v>82</v>
      </c>
      <c r="E103" s="63">
        <v>8</v>
      </c>
      <c r="F103" s="63">
        <v>8</v>
      </c>
      <c r="G103" s="63"/>
      <c r="H103" s="63"/>
      <c r="I103" s="63"/>
      <c r="J103" s="63"/>
      <c r="K103" s="63"/>
    </row>
    <row r="104" spans="1:11" x14ac:dyDescent="0.25">
      <c r="A104" s="98" t="s">
        <v>209</v>
      </c>
      <c r="B104" s="98" t="s">
        <v>199</v>
      </c>
      <c r="C104" s="98" t="s">
        <v>210</v>
      </c>
      <c r="D104" s="98" t="s">
        <v>97</v>
      </c>
      <c r="E104" s="63">
        <v>4</v>
      </c>
      <c r="F104" s="63">
        <v>4</v>
      </c>
      <c r="G104" s="63"/>
      <c r="H104" s="63"/>
      <c r="I104" s="63"/>
      <c r="J104" s="63"/>
      <c r="K104" s="63"/>
    </row>
    <row r="105" spans="1:11" x14ac:dyDescent="0.25">
      <c r="A105" s="98" t="s">
        <v>209</v>
      </c>
      <c r="B105" s="98" t="s">
        <v>201</v>
      </c>
      <c r="C105" s="98" t="s">
        <v>210</v>
      </c>
      <c r="D105" s="98" t="s">
        <v>97</v>
      </c>
      <c r="E105" s="63">
        <v>36</v>
      </c>
      <c r="F105" s="63">
        <v>36</v>
      </c>
      <c r="G105" s="63"/>
      <c r="H105" s="63"/>
      <c r="I105" s="63"/>
      <c r="J105" s="63"/>
      <c r="K105" s="63"/>
    </row>
    <row r="106" spans="1:11" x14ac:dyDescent="0.25">
      <c r="A106" s="98" t="s">
        <v>209</v>
      </c>
      <c r="B106" s="98" t="s">
        <v>201</v>
      </c>
      <c r="C106" s="98" t="s">
        <v>210</v>
      </c>
      <c r="D106" s="98" t="s">
        <v>97</v>
      </c>
      <c r="E106" s="63">
        <v>4</v>
      </c>
      <c r="F106" s="63">
        <v>4</v>
      </c>
      <c r="G106" s="63"/>
      <c r="H106" s="63"/>
      <c r="I106" s="63"/>
      <c r="J106" s="63"/>
      <c r="K106" s="63"/>
    </row>
    <row r="107" spans="1:11" x14ac:dyDescent="0.25">
      <c r="A107" s="98" t="s">
        <v>211</v>
      </c>
      <c r="B107" s="98" t="s">
        <v>203</v>
      </c>
      <c r="C107" s="98" t="s">
        <v>210</v>
      </c>
      <c r="D107" s="98" t="s">
        <v>89</v>
      </c>
      <c r="E107" s="63">
        <v>32</v>
      </c>
      <c r="F107" s="63">
        <v>32</v>
      </c>
      <c r="G107" s="63"/>
      <c r="H107" s="63"/>
      <c r="I107" s="63"/>
      <c r="J107" s="63"/>
      <c r="K107" s="63"/>
    </row>
    <row r="108" spans="1:11" x14ac:dyDescent="0.25">
      <c r="A108" s="98" t="s">
        <v>211</v>
      </c>
      <c r="B108" s="98" t="s">
        <v>204</v>
      </c>
      <c r="C108" s="98" t="s">
        <v>210</v>
      </c>
      <c r="D108" s="98" t="s">
        <v>89</v>
      </c>
      <c r="E108" s="63">
        <v>28</v>
      </c>
      <c r="F108" s="63">
        <v>28</v>
      </c>
      <c r="G108" s="63"/>
      <c r="H108" s="63"/>
      <c r="I108" s="63"/>
      <c r="J108" s="63"/>
      <c r="K108" s="63"/>
    </row>
    <row r="109" spans="1:11" x14ac:dyDescent="0.25">
      <c r="A109" s="98" t="s">
        <v>211</v>
      </c>
      <c r="B109" s="98" t="s">
        <v>205</v>
      </c>
      <c r="C109" s="98" t="s">
        <v>210</v>
      </c>
      <c r="D109" s="98" t="s">
        <v>89</v>
      </c>
      <c r="E109" s="63">
        <v>0</v>
      </c>
      <c r="F109" s="63">
        <v>0</v>
      </c>
      <c r="G109" s="63"/>
      <c r="H109" s="63"/>
      <c r="I109" s="63"/>
      <c r="J109" s="63"/>
      <c r="K109" s="63"/>
    </row>
    <row r="110" spans="1:11" x14ac:dyDescent="0.25">
      <c r="A110" s="98" t="s">
        <v>211</v>
      </c>
      <c r="B110" s="98" t="s">
        <v>206</v>
      </c>
      <c r="C110" s="98" t="s">
        <v>210</v>
      </c>
      <c r="D110" s="98" t="s">
        <v>89</v>
      </c>
      <c r="E110" s="63">
        <v>4</v>
      </c>
      <c r="F110" s="63">
        <v>4</v>
      </c>
      <c r="G110" s="63"/>
      <c r="H110" s="63"/>
      <c r="I110" s="63"/>
      <c r="J110" s="63"/>
      <c r="K110" s="63"/>
    </row>
    <row r="111" spans="1:11" x14ac:dyDescent="0.25">
      <c r="A111" s="98" t="s">
        <v>212</v>
      </c>
      <c r="B111" s="98" t="s">
        <v>208</v>
      </c>
      <c r="C111" s="98" t="s">
        <v>210</v>
      </c>
      <c r="D111" s="98" t="s">
        <v>82</v>
      </c>
      <c r="E111" s="63">
        <v>8</v>
      </c>
      <c r="F111" s="63">
        <v>8</v>
      </c>
      <c r="G111" s="63"/>
      <c r="H111" s="63"/>
      <c r="I111" s="63"/>
      <c r="J111" s="63"/>
      <c r="K111" s="63"/>
    </row>
    <row r="112" spans="1:11" x14ac:dyDescent="0.25">
      <c r="A112" s="98" t="s">
        <v>213</v>
      </c>
      <c r="B112" s="98" t="s">
        <v>199</v>
      </c>
      <c r="C112" s="98" t="s">
        <v>214</v>
      </c>
      <c r="D112" s="98" t="s">
        <v>97</v>
      </c>
      <c r="E112" s="63">
        <v>4</v>
      </c>
      <c r="F112" s="63">
        <v>4</v>
      </c>
      <c r="G112" s="63"/>
      <c r="H112" s="63"/>
      <c r="I112" s="63"/>
      <c r="J112" s="63"/>
      <c r="K112" s="63"/>
    </row>
    <row r="113" spans="1:12" x14ac:dyDescent="0.25">
      <c r="A113" s="98" t="s">
        <v>213</v>
      </c>
      <c r="B113" s="98" t="s">
        <v>201</v>
      </c>
      <c r="C113" s="98" t="s">
        <v>214</v>
      </c>
      <c r="D113" s="98" t="s">
        <v>97</v>
      </c>
      <c r="E113" s="63">
        <v>36</v>
      </c>
      <c r="F113" s="63">
        <v>36</v>
      </c>
      <c r="G113" s="63"/>
      <c r="H113" s="63"/>
      <c r="I113" s="63"/>
      <c r="J113" s="63"/>
      <c r="K113" s="63"/>
    </row>
    <row r="114" spans="1:12" x14ac:dyDescent="0.25">
      <c r="A114" s="98" t="s">
        <v>213</v>
      </c>
      <c r="B114" s="98" t="s">
        <v>201</v>
      </c>
      <c r="C114" s="98" t="s">
        <v>214</v>
      </c>
      <c r="D114" s="98" t="s">
        <v>97</v>
      </c>
      <c r="E114" s="63">
        <v>4</v>
      </c>
      <c r="F114" s="63">
        <v>4</v>
      </c>
      <c r="G114" s="63"/>
      <c r="H114" s="63"/>
      <c r="I114" s="63"/>
      <c r="J114" s="63"/>
      <c r="K114" s="63"/>
    </row>
    <row r="115" spans="1:12" x14ac:dyDescent="0.25">
      <c r="A115" s="98" t="s">
        <v>215</v>
      </c>
      <c r="B115" s="98" t="s">
        <v>203</v>
      </c>
      <c r="C115" s="98" t="s">
        <v>214</v>
      </c>
      <c r="D115" s="98" t="s">
        <v>89</v>
      </c>
      <c r="E115" s="63">
        <v>32</v>
      </c>
      <c r="F115" s="63">
        <v>32</v>
      </c>
      <c r="G115" s="63"/>
      <c r="H115" s="63"/>
      <c r="I115" s="63"/>
      <c r="J115" s="63"/>
      <c r="K115" s="63"/>
    </row>
    <row r="116" spans="1:12" x14ac:dyDescent="0.25">
      <c r="A116" s="98" t="s">
        <v>215</v>
      </c>
      <c r="B116" s="98" t="s">
        <v>204</v>
      </c>
      <c r="C116" s="98" t="s">
        <v>214</v>
      </c>
      <c r="D116" s="98" t="s">
        <v>89</v>
      </c>
      <c r="E116" s="63">
        <v>28</v>
      </c>
      <c r="F116" s="63">
        <v>28</v>
      </c>
      <c r="G116" s="63"/>
      <c r="H116" s="63"/>
      <c r="I116" s="63"/>
      <c r="J116" s="63"/>
      <c r="K116" s="63"/>
    </row>
    <row r="117" spans="1:12" x14ac:dyDescent="0.25">
      <c r="A117" s="98" t="s">
        <v>215</v>
      </c>
      <c r="B117" s="98" t="s">
        <v>205</v>
      </c>
      <c r="C117" s="98" t="s">
        <v>214</v>
      </c>
      <c r="D117" s="98" t="s">
        <v>89</v>
      </c>
      <c r="E117" s="63">
        <v>0</v>
      </c>
      <c r="F117" s="63">
        <v>0</v>
      </c>
      <c r="G117" s="63"/>
      <c r="H117" s="63"/>
      <c r="I117" s="63"/>
      <c r="J117" s="63"/>
      <c r="K117" s="63"/>
    </row>
    <row r="118" spans="1:12" x14ac:dyDescent="0.25">
      <c r="A118" s="98" t="s">
        <v>215</v>
      </c>
      <c r="B118" s="98" t="s">
        <v>206</v>
      </c>
      <c r="C118" s="98" t="s">
        <v>214</v>
      </c>
      <c r="D118" s="98" t="s">
        <v>89</v>
      </c>
      <c r="E118" s="63">
        <v>4</v>
      </c>
      <c r="F118" s="63">
        <v>4</v>
      </c>
      <c r="G118" s="63"/>
      <c r="H118" s="63"/>
      <c r="I118" s="63"/>
      <c r="J118" s="63"/>
      <c r="K118" s="63"/>
    </row>
    <row r="119" spans="1:12" x14ac:dyDescent="0.25">
      <c r="A119" s="98" t="s">
        <v>216</v>
      </c>
      <c r="B119" s="98" t="s">
        <v>208</v>
      </c>
      <c r="C119" s="98" t="s">
        <v>214</v>
      </c>
      <c r="D119" s="98" t="s">
        <v>82</v>
      </c>
      <c r="E119" s="63">
        <v>8</v>
      </c>
      <c r="F119" s="63">
        <v>8</v>
      </c>
      <c r="G119" s="63"/>
      <c r="H119" s="63"/>
      <c r="I119" s="63"/>
      <c r="J119" s="63"/>
      <c r="K119" s="63"/>
    </row>
    <row r="120" spans="1:12" x14ac:dyDescent="0.25">
      <c r="A120" s="98" t="s">
        <v>217</v>
      </c>
      <c r="B120" s="98" t="s">
        <v>199</v>
      </c>
      <c r="C120" s="98" t="s">
        <v>218</v>
      </c>
      <c r="D120" s="98" t="s">
        <v>97</v>
      </c>
      <c r="E120" s="63">
        <v>4</v>
      </c>
      <c r="F120" s="63">
        <v>4</v>
      </c>
      <c r="G120" s="63"/>
      <c r="H120" s="63"/>
      <c r="I120" s="63"/>
      <c r="J120" s="63"/>
      <c r="K120" s="63"/>
    </row>
    <row r="121" spans="1:12" x14ac:dyDescent="0.25">
      <c r="A121" s="98" t="s">
        <v>217</v>
      </c>
      <c r="B121" s="98" t="s">
        <v>201</v>
      </c>
      <c r="C121" s="98" t="s">
        <v>218</v>
      </c>
      <c r="D121" s="98" t="s">
        <v>97</v>
      </c>
      <c r="E121" s="63">
        <v>36</v>
      </c>
      <c r="F121" s="63">
        <v>36</v>
      </c>
      <c r="G121" s="63"/>
      <c r="H121" s="63"/>
      <c r="I121" s="63"/>
      <c r="J121" s="63"/>
      <c r="K121" s="63"/>
    </row>
    <row r="122" spans="1:12" x14ac:dyDescent="0.25">
      <c r="A122" s="98" t="s">
        <v>217</v>
      </c>
      <c r="B122" s="98" t="s">
        <v>201</v>
      </c>
      <c r="C122" s="98" t="s">
        <v>218</v>
      </c>
      <c r="D122" s="98" t="s">
        <v>97</v>
      </c>
      <c r="E122" s="63">
        <v>4</v>
      </c>
      <c r="F122" s="63">
        <v>4</v>
      </c>
      <c r="G122" s="63"/>
      <c r="H122" s="63"/>
      <c r="I122" s="63"/>
      <c r="J122" s="63"/>
      <c r="K122" s="63"/>
    </row>
    <row r="123" spans="1:12" x14ac:dyDescent="0.25">
      <c r="A123" s="98" t="s">
        <v>219</v>
      </c>
      <c r="B123" s="98" t="s">
        <v>203</v>
      </c>
      <c r="C123" s="98" t="s">
        <v>218</v>
      </c>
      <c r="D123" s="98" t="s">
        <v>89</v>
      </c>
      <c r="E123" s="63">
        <v>32</v>
      </c>
      <c r="F123" s="63">
        <v>32</v>
      </c>
      <c r="G123" s="63"/>
      <c r="H123" s="63"/>
      <c r="I123" s="63"/>
      <c r="J123" s="63"/>
      <c r="K123" s="63"/>
    </row>
    <row r="124" spans="1:12" x14ac:dyDescent="0.25">
      <c r="A124" s="98" t="s">
        <v>219</v>
      </c>
      <c r="B124" s="98" t="s">
        <v>204</v>
      </c>
      <c r="C124" s="98" t="s">
        <v>218</v>
      </c>
      <c r="D124" s="98" t="s">
        <v>89</v>
      </c>
      <c r="E124" s="63">
        <v>28</v>
      </c>
      <c r="F124" s="63">
        <v>28</v>
      </c>
      <c r="G124" s="63"/>
      <c r="H124" s="63"/>
      <c r="I124" s="63"/>
      <c r="J124" s="63"/>
      <c r="K124" s="63"/>
    </row>
    <row r="125" spans="1:12" x14ac:dyDescent="0.25">
      <c r="A125" s="98" t="s">
        <v>219</v>
      </c>
      <c r="B125" s="98" t="s">
        <v>205</v>
      </c>
      <c r="C125" s="98" t="s">
        <v>218</v>
      </c>
      <c r="D125" s="98" t="s">
        <v>89</v>
      </c>
      <c r="E125" s="63">
        <v>0</v>
      </c>
      <c r="F125" s="63">
        <v>0</v>
      </c>
      <c r="G125" s="63"/>
      <c r="H125" s="63"/>
      <c r="I125" s="63"/>
      <c r="J125" s="63"/>
      <c r="K125" s="63"/>
    </row>
    <row r="126" spans="1:12" x14ac:dyDescent="0.25">
      <c r="A126" s="98" t="s">
        <v>219</v>
      </c>
      <c r="B126" s="98" t="s">
        <v>206</v>
      </c>
      <c r="C126" s="98" t="s">
        <v>218</v>
      </c>
      <c r="D126" s="98" t="s">
        <v>89</v>
      </c>
      <c r="E126" s="63">
        <v>4</v>
      </c>
      <c r="F126" s="63">
        <v>4</v>
      </c>
      <c r="G126" s="63"/>
      <c r="H126" s="63"/>
      <c r="I126" s="63"/>
      <c r="J126" s="63"/>
      <c r="K126" s="63"/>
    </row>
    <row r="127" spans="1:12" x14ac:dyDescent="0.25">
      <c r="A127" s="98" t="s">
        <v>220</v>
      </c>
      <c r="B127" s="98" t="s">
        <v>208</v>
      </c>
      <c r="C127" s="98" t="s">
        <v>218</v>
      </c>
      <c r="D127" s="98" t="s">
        <v>82</v>
      </c>
      <c r="E127" s="63">
        <v>8</v>
      </c>
      <c r="F127" s="63">
        <v>8</v>
      </c>
      <c r="G127" s="63"/>
      <c r="H127" s="63"/>
      <c r="I127" s="63"/>
      <c r="J127" s="63"/>
      <c r="K127" s="63"/>
    </row>
    <row r="128" spans="1:12" x14ac:dyDescent="0.25">
      <c r="A128" s="98" t="s">
        <v>58</v>
      </c>
      <c r="B128" s="98" t="s">
        <v>58</v>
      </c>
      <c r="C128" s="98" t="s">
        <v>221</v>
      </c>
      <c r="D128" s="98" t="s">
        <v>60</v>
      </c>
      <c r="E128" s="98">
        <v>0</v>
      </c>
      <c r="F128" s="98">
        <v>1</v>
      </c>
      <c r="G128" s="98">
        <v>2</v>
      </c>
      <c r="H128" s="98">
        <v>3</v>
      </c>
      <c r="I128" s="98">
        <v>4</v>
      </c>
      <c r="J128" s="98">
        <v>5</v>
      </c>
      <c r="K128" s="98">
        <v>6</v>
      </c>
      <c r="L128" s="98">
        <v>7</v>
      </c>
    </row>
    <row r="129" spans="1:12" x14ac:dyDescent="0.25">
      <c r="A129" s="98" t="s">
        <v>58</v>
      </c>
      <c r="B129" s="98" t="s">
        <v>58</v>
      </c>
      <c r="C129" s="98" t="s">
        <v>221</v>
      </c>
      <c r="D129" s="98" t="s">
        <v>61</v>
      </c>
      <c r="E129" s="98">
        <v>266</v>
      </c>
      <c r="F129" s="98">
        <v>533</v>
      </c>
      <c r="G129" s="98">
        <v>800</v>
      </c>
      <c r="H129" s="98">
        <v>1066</v>
      </c>
      <c r="I129" s="98">
        <v>1333</v>
      </c>
      <c r="J129" s="98">
        <v>1600</v>
      </c>
      <c r="K129" s="98">
        <v>1866</v>
      </c>
      <c r="L129" s="98">
        <v>2133</v>
      </c>
    </row>
    <row r="130" spans="1:12" x14ac:dyDescent="0.25">
      <c r="A130" s="98" t="s">
        <v>58</v>
      </c>
      <c r="B130" s="98" t="s">
        <v>58</v>
      </c>
      <c r="C130" s="98" t="s">
        <v>221</v>
      </c>
      <c r="D130" s="98" t="s">
        <v>222</v>
      </c>
      <c r="E130" s="98">
        <v>6</v>
      </c>
      <c r="F130" s="98">
        <v>10</v>
      </c>
      <c r="G130" s="98">
        <v>14</v>
      </c>
      <c r="H130" s="98">
        <v>20</v>
      </c>
      <c r="I130" s="98">
        <v>24</v>
      </c>
      <c r="J130" s="98">
        <v>28</v>
      </c>
      <c r="K130" s="98">
        <v>32</v>
      </c>
      <c r="L130" s="98">
        <v>36</v>
      </c>
    </row>
    <row r="131" spans="1:12" x14ac:dyDescent="0.25">
      <c r="A131" s="98" t="s">
        <v>58</v>
      </c>
      <c r="B131" s="98" t="s">
        <v>58</v>
      </c>
      <c r="C131" s="98" t="s">
        <v>221</v>
      </c>
      <c r="D131" s="98" t="s">
        <v>223</v>
      </c>
      <c r="E131" s="98">
        <v>6</v>
      </c>
      <c r="F131" s="98">
        <v>12</v>
      </c>
      <c r="G131" s="98">
        <v>16</v>
      </c>
      <c r="H131" s="98">
        <v>22</v>
      </c>
      <c r="I131" s="98">
        <v>28</v>
      </c>
      <c r="J131" s="98">
        <v>32</v>
      </c>
      <c r="K131" s="98">
        <v>36</v>
      </c>
      <c r="L131" s="98">
        <v>40</v>
      </c>
    </row>
    <row r="132" spans="1:12" x14ac:dyDescent="0.25">
      <c r="A132" s="98" t="s">
        <v>58</v>
      </c>
      <c r="B132" s="98" t="s">
        <v>58</v>
      </c>
      <c r="C132" s="98" t="s">
        <v>221</v>
      </c>
      <c r="D132" s="98" t="s">
        <v>224</v>
      </c>
      <c r="E132" s="98">
        <v>6</v>
      </c>
      <c r="F132" s="98">
        <v>10</v>
      </c>
      <c r="G132" s="98">
        <v>16</v>
      </c>
      <c r="H132" s="98">
        <v>22</v>
      </c>
      <c r="I132" s="98">
        <v>26</v>
      </c>
      <c r="J132" s="98">
        <v>32</v>
      </c>
      <c r="K132" s="98">
        <v>36</v>
      </c>
      <c r="L132" s="98">
        <v>40</v>
      </c>
    </row>
    <row r="133" spans="1:12" x14ac:dyDescent="0.25">
      <c r="A133" s="98" t="s">
        <v>58</v>
      </c>
      <c r="B133" s="98" t="s">
        <v>58</v>
      </c>
      <c r="C133" s="98" t="s">
        <v>221</v>
      </c>
      <c r="D133" s="98" t="s">
        <v>225</v>
      </c>
      <c r="E133" s="98">
        <v>6</v>
      </c>
      <c r="F133" s="98">
        <v>12</v>
      </c>
      <c r="G133" s="98">
        <v>18</v>
      </c>
      <c r="H133" s="98">
        <v>24</v>
      </c>
      <c r="I133" s="98">
        <v>30</v>
      </c>
      <c r="J133" s="98">
        <v>36</v>
      </c>
      <c r="K133" s="98">
        <v>40</v>
      </c>
      <c r="L133" s="98">
        <v>44</v>
      </c>
    </row>
    <row r="134" spans="1:12" x14ac:dyDescent="0.25">
      <c r="A134" s="98" t="s">
        <v>58</v>
      </c>
      <c r="B134" s="98" t="s">
        <v>58</v>
      </c>
      <c r="C134" s="98" t="s">
        <v>221</v>
      </c>
      <c r="D134" s="98" t="s">
        <v>226</v>
      </c>
      <c r="E134" s="98">
        <v>4</v>
      </c>
      <c r="F134" s="98">
        <v>6</v>
      </c>
      <c r="G134" s="98">
        <v>8</v>
      </c>
      <c r="H134" s="98">
        <v>10</v>
      </c>
      <c r="I134" s="98">
        <v>12</v>
      </c>
      <c r="J134" s="98">
        <v>14</v>
      </c>
      <c r="K134" s="98">
        <v>16</v>
      </c>
      <c r="L134" s="98">
        <v>18</v>
      </c>
    </row>
    <row r="135" spans="1:12" x14ac:dyDescent="0.25">
      <c r="A135" s="98" t="s">
        <v>58</v>
      </c>
      <c r="B135" s="98" t="s">
        <v>58</v>
      </c>
      <c r="C135" s="98" t="s">
        <v>221</v>
      </c>
      <c r="D135" s="98" t="s">
        <v>227</v>
      </c>
      <c r="E135" s="98">
        <v>6</v>
      </c>
      <c r="F135" s="98">
        <v>10</v>
      </c>
      <c r="G135" s="98">
        <v>16</v>
      </c>
      <c r="H135" s="98">
        <v>20</v>
      </c>
      <c r="I135" s="98">
        <v>24</v>
      </c>
      <c r="J135" s="98">
        <v>30</v>
      </c>
      <c r="K135" s="98">
        <v>34</v>
      </c>
      <c r="L135" s="98">
        <v>40</v>
      </c>
    </row>
    <row r="136" spans="1:12" x14ac:dyDescent="0.25">
      <c r="A136" s="98" t="s">
        <v>58</v>
      </c>
      <c r="B136" s="98" t="s">
        <v>58</v>
      </c>
      <c r="C136" s="98" t="s">
        <v>221</v>
      </c>
      <c r="D136" s="98" t="s">
        <v>228</v>
      </c>
      <c r="E136" s="98">
        <v>6</v>
      </c>
      <c r="F136" s="98">
        <v>12</v>
      </c>
      <c r="G136" s="98">
        <v>16</v>
      </c>
      <c r="H136" s="98">
        <v>22</v>
      </c>
      <c r="I136" s="98">
        <v>28</v>
      </c>
      <c r="J136" s="98">
        <v>32</v>
      </c>
      <c r="K136" s="98">
        <v>38</v>
      </c>
      <c r="L136" s="98">
        <v>44</v>
      </c>
    </row>
    <row r="137" spans="1:12" x14ac:dyDescent="0.25">
      <c r="A137" s="98" t="s">
        <v>58</v>
      </c>
      <c r="B137" s="98" t="s">
        <v>58</v>
      </c>
      <c r="C137" s="98" t="s">
        <v>221</v>
      </c>
      <c r="D137" s="98" t="s">
        <v>229</v>
      </c>
      <c r="E137" s="98">
        <v>8</v>
      </c>
      <c r="F137" s="98">
        <v>8</v>
      </c>
      <c r="G137" s="98">
        <v>8</v>
      </c>
      <c r="H137" s="98">
        <v>8</v>
      </c>
      <c r="I137" s="98">
        <v>10</v>
      </c>
      <c r="J137" s="98">
        <v>12</v>
      </c>
      <c r="K137" s="98">
        <v>14</v>
      </c>
      <c r="L137" s="98">
        <v>16</v>
      </c>
    </row>
    <row r="138" spans="1:12" x14ac:dyDescent="0.25">
      <c r="A138" s="98" t="s">
        <v>58</v>
      </c>
      <c r="B138" s="98" t="s">
        <v>58</v>
      </c>
      <c r="C138" s="98" t="s">
        <v>221</v>
      </c>
      <c r="D138" s="98" t="s">
        <v>230</v>
      </c>
      <c r="E138" s="98">
        <v>4</v>
      </c>
      <c r="F138" s="98">
        <v>4</v>
      </c>
      <c r="G138" s="98">
        <v>4</v>
      </c>
      <c r="H138" s="98">
        <v>4</v>
      </c>
      <c r="I138" s="98">
        <v>4</v>
      </c>
      <c r="J138" s="98">
        <v>6</v>
      </c>
      <c r="K138" s="98">
        <v>6</v>
      </c>
      <c r="L138" s="98">
        <v>8</v>
      </c>
    </row>
    <row r="139" spans="1:12" x14ac:dyDescent="0.25">
      <c r="A139" s="98" t="s">
        <v>58</v>
      </c>
      <c r="B139" s="98" t="s">
        <v>58</v>
      </c>
      <c r="C139" s="98" t="s">
        <v>221</v>
      </c>
      <c r="D139" s="98" t="s">
        <v>231</v>
      </c>
      <c r="E139" s="98">
        <v>20</v>
      </c>
      <c r="F139" s="98">
        <v>20</v>
      </c>
      <c r="G139" s="98">
        <v>20</v>
      </c>
      <c r="H139" s="98">
        <v>20</v>
      </c>
      <c r="I139" s="98">
        <v>22</v>
      </c>
      <c r="J139" s="98">
        <v>24</v>
      </c>
      <c r="K139" s="98">
        <v>26</v>
      </c>
      <c r="L139" s="98">
        <v>28</v>
      </c>
    </row>
    <row r="140" spans="1:12" x14ac:dyDescent="0.25">
      <c r="A140" s="98" t="s">
        <v>58</v>
      </c>
      <c r="B140" s="98" t="s">
        <v>58</v>
      </c>
      <c r="C140" s="98" t="s">
        <v>221</v>
      </c>
      <c r="D140" s="98" t="s">
        <v>232</v>
      </c>
      <c r="E140" s="98" t="s">
        <v>233</v>
      </c>
      <c r="F140" s="98" t="s">
        <v>234</v>
      </c>
      <c r="G140" s="98" t="s">
        <v>235</v>
      </c>
      <c r="H140" s="98" t="s">
        <v>236</v>
      </c>
      <c r="I140" s="98" t="s">
        <v>237</v>
      </c>
      <c r="J140" s="98" t="s">
        <v>238</v>
      </c>
      <c r="K140" s="98" t="s">
        <v>239</v>
      </c>
      <c r="L140" s="98" t="s">
        <v>240</v>
      </c>
    </row>
    <row r="141" spans="1:12" x14ac:dyDescent="0.25">
      <c r="A141" s="98" t="s">
        <v>58</v>
      </c>
      <c r="B141" s="98" t="s">
        <v>58</v>
      </c>
      <c r="C141" s="98" t="s">
        <v>221</v>
      </c>
      <c r="D141" s="98" t="s">
        <v>241</v>
      </c>
      <c r="E141" s="45">
        <f t="shared" ref="E141:L141" si="2">1000000/E129</f>
        <v>3759.3984962406016</v>
      </c>
      <c r="F141" s="45">
        <f t="shared" si="2"/>
        <v>1876.172607879925</v>
      </c>
      <c r="G141" s="45">
        <f t="shared" si="2"/>
        <v>1250</v>
      </c>
      <c r="H141" s="45">
        <f t="shared" si="2"/>
        <v>938.08630393996248</v>
      </c>
      <c r="I141" s="45">
        <f t="shared" si="2"/>
        <v>750.18754688672163</v>
      </c>
      <c r="J141" s="45">
        <f t="shared" si="2"/>
        <v>625</v>
      </c>
      <c r="K141" s="45">
        <f t="shared" si="2"/>
        <v>535.9056806002144</v>
      </c>
      <c r="L141" s="45">
        <f t="shared" si="2"/>
        <v>468.8232536333802</v>
      </c>
    </row>
    <row r="142" spans="1:12" x14ac:dyDescent="0.25">
      <c r="A142" s="98" t="s">
        <v>58</v>
      </c>
      <c r="B142" s="98" t="s">
        <v>58</v>
      </c>
      <c r="C142" s="98" t="s">
        <v>242</v>
      </c>
      <c r="D142" s="98" t="s">
        <v>60</v>
      </c>
      <c r="E142" s="98">
        <v>0</v>
      </c>
      <c r="F142" s="98">
        <v>1</v>
      </c>
      <c r="G142" s="98">
        <v>2</v>
      </c>
      <c r="H142" s="98">
        <v>3</v>
      </c>
      <c r="I142" s="98">
        <v>4</v>
      </c>
      <c r="J142" s="98">
        <v>5</v>
      </c>
    </row>
    <row r="143" spans="1:12" x14ac:dyDescent="0.25">
      <c r="A143" s="98" t="s">
        <v>58</v>
      </c>
      <c r="B143" s="98" t="s">
        <v>58</v>
      </c>
      <c r="C143" s="98" t="s">
        <v>242</v>
      </c>
      <c r="D143" s="98" t="s">
        <v>61</v>
      </c>
      <c r="E143" s="98">
        <v>400</v>
      </c>
      <c r="F143" s="98">
        <v>750</v>
      </c>
      <c r="G143" s="98">
        <v>1000</v>
      </c>
      <c r="H143" s="98">
        <v>1295</v>
      </c>
      <c r="I143" s="98">
        <v>1570</v>
      </c>
      <c r="J143" s="98">
        <v>1890</v>
      </c>
    </row>
    <row r="144" spans="1:12" x14ac:dyDescent="0.25">
      <c r="A144" s="98" t="s">
        <v>58</v>
      </c>
      <c r="B144" s="98" t="s">
        <v>58</v>
      </c>
      <c r="C144" s="98" t="s">
        <v>242</v>
      </c>
      <c r="D144" s="98" t="s">
        <v>243</v>
      </c>
      <c r="E144" s="98">
        <v>0</v>
      </c>
      <c r="F144" s="98">
        <v>0</v>
      </c>
      <c r="G144" s="98">
        <v>0</v>
      </c>
      <c r="H144" s="98">
        <v>0</v>
      </c>
      <c r="I144" s="98">
        <v>0</v>
      </c>
      <c r="J144" s="98">
        <v>0</v>
      </c>
    </row>
    <row r="145" spans="1:10" x14ac:dyDescent="0.25">
      <c r="A145" s="98" t="s">
        <v>58</v>
      </c>
      <c r="B145" s="98" t="s">
        <v>58</v>
      </c>
      <c r="C145" s="98" t="s">
        <v>242</v>
      </c>
      <c r="D145" s="98" t="s">
        <v>244</v>
      </c>
      <c r="E145" s="98">
        <v>0</v>
      </c>
      <c r="F145" s="98">
        <v>0</v>
      </c>
      <c r="G145" s="98">
        <v>0</v>
      </c>
      <c r="H145" s="98">
        <v>1</v>
      </c>
      <c r="I145" s="98">
        <v>1</v>
      </c>
      <c r="J145" s="98">
        <v>1</v>
      </c>
    </row>
    <row r="146" spans="1:10" x14ac:dyDescent="0.25">
      <c r="A146" s="98" t="s">
        <v>58</v>
      </c>
      <c r="B146" s="98" t="s">
        <v>58</v>
      </c>
      <c r="C146" s="98" t="s">
        <v>242</v>
      </c>
      <c r="D146" s="98" t="s">
        <v>245</v>
      </c>
      <c r="E146" s="98">
        <v>0</v>
      </c>
      <c r="F146" s="98">
        <v>0</v>
      </c>
      <c r="G146" s="98">
        <v>0</v>
      </c>
      <c r="H146" s="98">
        <v>1</v>
      </c>
      <c r="I146" s="98">
        <v>1</v>
      </c>
      <c r="J146" s="98">
        <v>1</v>
      </c>
    </row>
    <row r="147" spans="1:10" x14ac:dyDescent="0.25">
      <c r="A147" s="98" t="s">
        <v>58</v>
      </c>
      <c r="B147" s="98" t="s">
        <v>58</v>
      </c>
      <c r="C147" s="98" t="s">
        <v>242</v>
      </c>
      <c r="D147" s="98" t="s">
        <v>246</v>
      </c>
      <c r="E147" s="98">
        <v>1</v>
      </c>
      <c r="F147" s="98">
        <v>1</v>
      </c>
      <c r="G147" s="98">
        <v>1</v>
      </c>
      <c r="H147" s="98">
        <v>1</v>
      </c>
      <c r="I147" s="98">
        <v>1</v>
      </c>
      <c r="J147" s="98">
        <v>1</v>
      </c>
    </row>
    <row r="148" spans="1:10" x14ac:dyDescent="0.25">
      <c r="A148" s="98" t="s">
        <v>58</v>
      </c>
      <c r="B148" s="98" t="s">
        <v>58</v>
      </c>
      <c r="C148" s="98" t="s">
        <v>242</v>
      </c>
      <c r="D148" s="98" t="s">
        <v>247</v>
      </c>
      <c r="E148" s="98">
        <v>0</v>
      </c>
      <c r="F148" s="98">
        <v>0</v>
      </c>
      <c r="G148" s="98">
        <v>0</v>
      </c>
      <c r="H148" s="98">
        <v>0</v>
      </c>
      <c r="I148" s="98">
        <v>1</v>
      </c>
      <c r="J148" s="98">
        <v>1</v>
      </c>
    </row>
    <row r="149" spans="1:10" x14ac:dyDescent="0.25">
      <c r="A149" s="98" t="s">
        <v>58</v>
      </c>
      <c r="B149" s="98" t="s">
        <v>58</v>
      </c>
      <c r="C149" s="98" t="s">
        <v>242</v>
      </c>
      <c r="D149" s="98" t="s">
        <v>248</v>
      </c>
      <c r="E149" s="98">
        <v>0</v>
      </c>
      <c r="F149" s="98">
        <v>0</v>
      </c>
      <c r="G149" s="98">
        <v>0</v>
      </c>
      <c r="H149" s="98">
        <v>0</v>
      </c>
      <c r="I149" s="98">
        <v>0</v>
      </c>
      <c r="J149" s="98">
        <v>0</v>
      </c>
    </row>
    <row r="150" spans="1:10" x14ac:dyDescent="0.25">
      <c r="A150" s="98" t="s">
        <v>58</v>
      </c>
      <c r="B150" s="98" t="s">
        <v>58</v>
      </c>
      <c r="C150" s="98" t="s">
        <v>242</v>
      </c>
      <c r="D150" s="98" t="s">
        <v>249</v>
      </c>
      <c r="E150" s="98" t="s">
        <v>250</v>
      </c>
      <c r="F150" s="98" t="s">
        <v>250</v>
      </c>
      <c r="G150" s="98" t="s">
        <v>250</v>
      </c>
      <c r="H150" s="98" t="s">
        <v>250</v>
      </c>
      <c r="I150" s="98" t="s">
        <v>250</v>
      </c>
      <c r="J150" s="98" t="s">
        <v>251</v>
      </c>
    </row>
    <row r="151" spans="1:10" x14ac:dyDescent="0.25">
      <c r="A151" s="98" t="s">
        <v>58</v>
      </c>
      <c r="B151" s="98" t="s">
        <v>58</v>
      </c>
      <c r="C151" s="98" t="s">
        <v>242</v>
      </c>
      <c r="D151" s="98" t="s">
        <v>252</v>
      </c>
      <c r="E151" s="98" t="str">
        <f>DEC2HEX(HEX2DEC("00"),2)</f>
        <v>00</v>
      </c>
      <c r="F151" s="98" t="str">
        <f>DEC2HEX(HEX2DEC("00"),2)</f>
        <v>00</v>
      </c>
      <c r="G151" s="98" t="str">
        <f>DEC2HEX(HEX2DEC("00"),2)</f>
        <v>00</v>
      </c>
      <c r="H151" s="98" t="str">
        <f>DEC2HEX(HEX2DEC("33"),2)</f>
        <v>33</v>
      </c>
      <c r="I151" s="98" t="str">
        <f>DEC2HEX(HEX2DEC("33"),2)</f>
        <v>33</v>
      </c>
      <c r="J151" s="98" t="str">
        <f>DEC2HEX(HEX2DEC("33"),2)</f>
        <v>33</v>
      </c>
    </row>
    <row r="152" spans="1:10" x14ac:dyDescent="0.25">
      <c r="A152" s="98" t="s">
        <v>58</v>
      </c>
      <c r="B152" s="98" t="s">
        <v>58</v>
      </c>
      <c r="C152" s="98" t="s">
        <v>242</v>
      </c>
      <c r="D152" s="98" t="s">
        <v>241</v>
      </c>
      <c r="E152" s="45">
        <f t="shared" ref="E152:J152" si="3">1000000/E143</f>
        <v>2500</v>
      </c>
      <c r="F152" s="45">
        <f t="shared" si="3"/>
        <v>1333.3333333333333</v>
      </c>
      <c r="G152" s="45">
        <f t="shared" si="3"/>
        <v>1000</v>
      </c>
      <c r="H152" s="45">
        <f t="shared" si="3"/>
        <v>772.20077220077224</v>
      </c>
      <c r="I152" s="45">
        <f t="shared" si="3"/>
        <v>636.9426751592357</v>
      </c>
      <c r="J152" s="45">
        <f t="shared" si="3"/>
        <v>529.10052910052912</v>
      </c>
    </row>
    <row r="153" spans="1:10" x14ac:dyDescent="0.25">
      <c r="A153" s="98" t="s">
        <v>253</v>
      </c>
      <c r="B153" s="98" t="s">
        <v>254</v>
      </c>
      <c r="C153" s="98" t="s">
        <v>255</v>
      </c>
      <c r="D153" s="98" t="s">
        <v>97</v>
      </c>
      <c r="E153" s="98">
        <v>1</v>
      </c>
      <c r="F153" s="98">
        <v>1</v>
      </c>
    </row>
    <row r="154" spans="1:10" x14ac:dyDescent="0.25">
      <c r="A154" s="98" t="s">
        <v>253</v>
      </c>
      <c r="B154" s="98" t="s">
        <v>256</v>
      </c>
      <c r="C154" s="98" t="s">
        <v>255</v>
      </c>
      <c r="D154" s="98" t="s">
        <v>97</v>
      </c>
      <c r="E154" s="98">
        <v>1</v>
      </c>
      <c r="F154" s="98">
        <v>1</v>
      </c>
    </row>
    <row r="155" spans="1:10" x14ac:dyDescent="0.25">
      <c r="A155" s="98" t="s">
        <v>253</v>
      </c>
      <c r="B155" s="98" t="s">
        <v>257</v>
      </c>
      <c r="C155" s="98" t="s">
        <v>255</v>
      </c>
      <c r="D155" s="98" t="s">
        <v>97</v>
      </c>
      <c r="E155" s="98">
        <v>10</v>
      </c>
      <c r="F155" s="98">
        <v>16</v>
      </c>
    </row>
    <row r="156" spans="1:10" x14ac:dyDescent="0.25">
      <c r="A156" s="98" t="s">
        <v>253</v>
      </c>
      <c r="B156" s="98" t="s">
        <v>258</v>
      </c>
      <c r="C156" s="98" t="s">
        <v>255</v>
      </c>
      <c r="D156" s="98" t="s">
        <v>97</v>
      </c>
      <c r="E156" s="98">
        <v>10</v>
      </c>
      <c r="F156" s="98">
        <v>16</v>
      </c>
    </row>
    <row r="157" spans="1:10" x14ac:dyDescent="0.25">
      <c r="A157" s="98" t="s">
        <v>259</v>
      </c>
      <c r="B157" s="98" t="s">
        <v>254</v>
      </c>
      <c r="C157" s="98" t="s">
        <v>255</v>
      </c>
      <c r="D157" s="98" t="s">
        <v>89</v>
      </c>
      <c r="E157" s="98">
        <v>1</v>
      </c>
      <c r="F157" s="98">
        <v>1</v>
      </c>
    </row>
    <row r="158" spans="1:10" x14ac:dyDescent="0.25">
      <c r="A158" s="98" t="s">
        <v>259</v>
      </c>
      <c r="B158" s="98" t="s">
        <v>256</v>
      </c>
      <c r="C158" s="98" t="s">
        <v>255</v>
      </c>
      <c r="D158" s="98" t="s">
        <v>89</v>
      </c>
      <c r="E158" s="98">
        <v>1</v>
      </c>
      <c r="F158" s="98">
        <v>1</v>
      </c>
    </row>
    <row r="159" spans="1:10" x14ac:dyDescent="0.25">
      <c r="A159" s="98" t="s">
        <v>259</v>
      </c>
      <c r="B159" s="98" t="s">
        <v>257</v>
      </c>
      <c r="C159" s="98" t="s">
        <v>255</v>
      </c>
      <c r="D159" s="98" t="s">
        <v>89</v>
      </c>
      <c r="E159" s="98">
        <v>10</v>
      </c>
      <c r="F159" s="98">
        <v>16</v>
      </c>
    </row>
    <row r="160" spans="1:10" x14ac:dyDescent="0.25">
      <c r="A160" s="98" t="s">
        <v>259</v>
      </c>
      <c r="B160" s="98" t="s">
        <v>258</v>
      </c>
      <c r="C160" s="98" t="s">
        <v>255</v>
      </c>
      <c r="D160" s="98" t="s">
        <v>89</v>
      </c>
      <c r="E160" s="98">
        <v>10</v>
      </c>
      <c r="F160" s="98">
        <v>16</v>
      </c>
    </row>
    <row r="161" spans="1:6" x14ac:dyDescent="0.25">
      <c r="A161" s="98" t="s">
        <v>260</v>
      </c>
      <c r="B161" s="98" t="s">
        <v>254</v>
      </c>
      <c r="C161" s="98" t="s">
        <v>255</v>
      </c>
      <c r="D161" s="98" t="s">
        <v>82</v>
      </c>
      <c r="E161" s="98">
        <v>1</v>
      </c>
      <c r="F161" s="98">
        <v>1</v>
      </c>
    </row>
    <row r="162" spans="1:6" x14ac:dyDescent="0.25">
      <c r="A162" s="98" t="s">
        <v>260</v>
      </c>
      <c r="B162" s="98" t="s">
        <v>256</v>
      </c>
      <c r="C162" s="98" t="s">
        <v>255</v>
      </c>
      <c r="D162" s="98" t="s">
        <v>82</v>
      </c>
      <c r="E162" s="98">
        <v>1</v>
      </c>
      <c r="F162" s="98">
        <v>1</v>
      </c>
    </row>
    <row r="163" spans="1:6" x14ac:dyDescent="0.25">
      <c r="A163" s="98" t="s">
        <v>260</v>
      </c>
      <c r="B163" s="98" t="s">
        <v>257</v>
      </c>
      <c r="C163" s="98" t="s">
        <v>255</v>
      </c>
      <c r="D163" s="98" t="s">
        <v>82</v>
      </c>
      <c r="E163" s="98">
        <v>10</v>
      </c>
      <c r="F163" s="98">
        <v>16</v>
      </c>
    </row>
    <row r="164" spans="1:6" x14ac:dyDescent="0.25">
      <c r="A164" s="98" t="s">
        <v>260</v>
      </c>
      <c r="B164" s="98" t="s">
        <v>258</v>
      </c>
      <c r="C164" s="98" t="s">
        <v>255</v>
      </c>
      <c r="D164" s="98" t="s">
        <v>82</v>
      </c>
      <c r="E164" s="98">
        <v>10</v>
      </c>
      <c r="F164" s="98">
        <v>16</v>
      </c>
    </row>
    <row r="165" spans="1:6" x14ac:dyDescent="0.25">
      <c r="A165" s="98" t="s">
        <v>261</v>
      </c>
      <c r="B165" s="98" t="s">
        <v>254</v>
      </c>
      <c r="C165" s="98" t="s">
        <v>255</v>
      </c>
      <c r="D165" s="98" t="s">
        <v>195</v>
      </c>
      <c r="E165" s="98">
        <v>1</v>
      </c>
      <c r="F165" s="98">
        <v>1</v>
      </c>
    </row>
    <row r="166" spans="1:6" x14ac:dyDescent="0.25">
      <c r="A166" s="98" t="s">
        <v>261</v>
      </c>
      <c r="B166" s="98" t="s">
        <v>256</v>
      </c>
      <c r="C166" s="98" t="s">
        <v>255</v>
      </c>
      <c r="D166" s="98" t="s">
        <v>195</v>
      </c>
      <c r="E166" s="98">
        <v>1</v>
      </c>
      <c r="F166" s="98">
        <v>1</v>
      </c>
    </row>
    <row r="167" spans="1:6" x14ac:dyDescent="0.25">
      <c r="A167" s="98" t="s">
        <v>261</v>
      </c>
      <c r="B167" s="98" t="s">
        <v>257</v>
      </c>
      <c r="C167" s="98" t="s">
        <v>255</v>
      </c>
      <c r="D167" s="98" t="s">
        <v>195</v>
      </c>
      <c r="E167" s="98">
        <v>10</v>
      </c>
      <c r="F167" s="98">
        <v>16</v>
      </c>
    </row>
    <row r="168" spans="1:6" x14ac:dyDescent="0.25">
      <c r="A168" s="98" t="s">
        <v>261</v>
      </c>
      <c r="B168" s="98" t="s">
        <v>258</v>
      </c>
      <c r="C168" s="98" t="s">
        <v>255</v>
      </c>
      <c r="D168" s="98" t="s">
        <v>195</v>
      </c>
      <c r="E168" s="98">
        <v>10</v>
      </c>
      <c r="F168" s="98">
        <v>16</v>
      </c>
    </row>
    <row r="169" spans="1:6" x14ac:dyDescent="0.25">
      <c r="A169" s="98" t="s">
        <v>262</v>
      </c>
      <c r="B169" s="98" t="s">
        <v>254</v>
      </c>
      <c r="C169" s="98" t="s">
        <v>263</v>
      </c>
      <c r="D169" s="98" t="s">
        <v>97</v>
      </c>
      <c r="E169" s="98">
        <v>10</v>
      </c>
      <c r="F169" s="98">
        <v>24</v>
      </c>
    </row>
    <row r="170" spans="1:6" x14ac:dyDescent="0.25">
      <c r="A170" s="98" t="s">
        <v>262</v>
      </c>
      <c r="B170" s="98" t="s">
        <v>256</v>
      </c>
      <c r="C170" s="98" t="s">
        <v>263</v>
      </c>
      <c r="D170" s="98" t="s">
        <v>97</v>
      </c>
      <c r="E170" s="98">
        <v>10</v>
      </c>
      <c r="F170" s="98">
        <v>24</v>
      </c>
    </row>
    <row r="171" spans="1:6" x14ac:dyDescent="0.25">
      <c r="A171" s="98" t="s">
        <v>262</v>
      </c>
      <c r="B171" s="98" t="s">
        <v>257</v>
      </c>
      <c r="C171" s="98" t="s">
        <v>263</v>
      </c>
      <c r="D171" s="98" t="s">
        <v>97</v>
      </c>
      <c r="E171" s="98">
        <v>10</v>
      </c>
      <c r="F171" s="98">
        <v>16</v>
      </c>
    </row>
    <row r="172" spans="1:6" x14ac:dyDescent="0.25">
      <c r="A172" s="98" t="s">
        <v>262</v>
      </c>
      <c r="B172" s="98" t="s">
        <v>258</v>
      </c>
      <c r="C172" s="98" t="s">
        <v>263</v>
      </c>
      <c r="D172" s="98" t="s">
        <v>97</v>
      </c>
      <c r="E172" s="98">
        <v>10</v>
      </c>
      <c r="F172" s="98">
        <v>16</v>
      </c>
    </row>
    <row r="173" spans="1:6" x14ac:dyDescent="0.25">
      <c r="A173" s="98" t="s">
        <v>264</v>
      </c>
      <c r="B173" s="98" t="s">
        <v>254</v>
      </c>
      <c r="C173" s="98" t="s">
        <v>263</v>
      </c>
      <c r="D173" s="98" t="s">
        <v>89</v>
      </c>
      <c r="E173" s="98">
        <v>10</v>
      </c>
      <c r="F173" s="98">
        <v>24</v>
      </c>
    </row>
    <row r="174" spans="1:6" x14ac:dyDescent="0.25">
      <c r="A174" s="98" t="s">
        <v>264</v>
      </c>
      <c r="B174" s="98" t="s">
        <v>256</v>
      </c>
      <c r="C174" s="98" t="s">
        <v>263</v>
      </c>
      <c r="D174" s="98" t="s">
        <v>89</v>
      </c>
      <c r="E174" s="98">
        <v>10</v>
      </c>
      <c r="F174" s="98">
        <v>24</v>
      </c>
    </row>
    <row r="175" spans="1:6" x14ac:dyDescent="0.25">
      <c r="A175" s="98" t="s">
        <v>264</v>
      </c>
      <c r="B175" s="98" t="s">
        <v>257</v>
      </c>
      <c r="C175" s="98" t="s">
        <v>263</v>
      </c>
      <c r="D175" s="98" t="s">
        <v>89</v>
      </c>
      <c r="E175" s="98">
        <v>10</v>
      </c>
      <c r="F175" s="98">
        <v>16</v>
      </c>
    </row>
    <row r="176" spans="1:6" x14ac:dyDescent="0.25">
      <c r="A176" s="98" t="s">
        <v>264</v>
      </c>
      <c r="B176" s="98" t="s">
        <v>258</v>
      </c>
      <c r="C176" s="98" t="s">
        <v>263</v>
      </c>
      <c r="D176" s="98" t="s">
        <v>89</v>
      </c>
      <c r="E176" s="98">
        <v>10</v>
      </c>
      <c r="F176" s="98">
        <v>16</v>
      </c>
    </row>
    <row r="177" spans="1:6" x14ac:dyDescent="0.25">
      <c r="A177" s="98" t="s">
        <v>265</v>
      </c>
      <c r="B177" s="98" t="s">
        <v>254</v>
      </c>
      <c r="C177" s="98" t="s">
        <v>263</v>
      </c>
      <c r="D177" s="98" t="s">
        <v>82</v>
      </c>
      <c r="E177" s="98">
        <v>10</v>
      </c>
      <c r="F177" s="98">
        <v>24</v>
      </c>
    </row>
    <row r="178" spans="1:6" x14ac:dyDescent="0.25">
      <c r="A178" s="98" t="s">
        <v>265</v>
      </c>
      <c r="B178" s="98" t="s">
        <v>256</v>
      </c>
      <c r="C178" s="98" t="s">
        <v>263</v>
      </c>
      <c r="D178" s="98" t="s">
        <v>82</v>
      </c>
      <c r="E178" s="98">
        <v>10</v>
      </c>
      <c r="F178" s="98">
        <v>24</v>
      </c>
    </row>
    <row r="179" spans="1:6" x14ac:dyDescent="0.25">
      <c r="A179" s="98" t="s">
        <v>265</v>
      </c>
      <c r="B179" s="98" t="s">
        <v>257</v>
      </c>
      <c r="C179" s="98" t="s">
        <v>263</v>
      </c>
      <c r="D179" s="98" t="s">
        <v>82</v>
      </c>
      <c r="E179" s="98">
        <v>10</v>
      </c>
      <c r="F179" s="98">
        <v>16</v>
      </c>
    </row>
    <row r="180" spans="1:6" x14ac:dyDescent="0.25">
      <c r="A180" s="98" t="s">
        <v>265</v>
      </c>
      <c r="B180" s="98" t="s">
        <v>258</v>
      </c>
      <c r="C180" s="98" t="s">
        <v>263</v>
      </c>
      <c r="D180" s="98" t="s">
        <v>82</v>
      </c>
      <c r="E180" s="98">
        <v>10</v>
      </c>
      <c r="F180" s="98">
        <v>16</v>
      </c>
    </row>
    <row r="181" spans="1:6" x14ac:dyDescent="0.25">
      <c r="A181" s="98" t="s">
        <v>266</v>
      </c>
      <c r="B181" s="98" t="s">
        <v>254</v>
      </c>
      <c r="C181" s="98" t="s">
        <v>263</v>
      </c>
      <c r="D181" s="98" t="s">
        <v>195</v>
      </c>
      <c r="E181" s="98">
        <v>10</v>
      </c>
      <c r="F181" s="98">
        <v>24</v>
      </c>
    </row>
    <row r="182" spans="1:6" x14ac:dyDescent="0.25">
      <c r="A182" s="98" t="s">
        <v>266</v>
      </c>
      <c r="B182" s="98" t="s">
        <v>256</v>
      </c>
      <c r="C182" s="98" t="s">
        <v>263</v>
      </c>
      <c r="D182" s="98" t="s">
        <v>195</v>
      </c>
      <c r="E182" s="98">
        <v>10</v>
      </c>
      <c r="F182" s="98">
        <v>24</v>
      </c>
    </row>
    <row r="183" spans="1:6" x14ac:dyDescent="0.25">
      <c r="A183" s="98" t="s">
        <v>266</v>
      </c>
      <c r="B183" s="98" t="s">
        <v>257</v>
      </c>
      <c r="C183" s="98" t="s">
        <v>263</v>
      </c>
      <c r="D183" s="98" t="s">
        <v>195</v>
      </c>
      <c r="E183" s="98">
        <v>10</v>
      </c>
      <c r="F183" s="98">
        <v>16</v>
      </c>
    </row>
    <row r="184" spans="1:6" x14ac:dyDescent="0.25">
      <c r="A184" s="98" t="s">
        <v>266</v>
      </c>
      <c r="B184" s="98" t="s">
        <v>258</v>
      </c>
      <c r="C184" s="98" t="s">
        <v>263</v>
      </c>
      <c r="D184" s="98" t="s">
        <v>195</v>
      </c>
      <c r="E184" s="98">
        <v>10</v>
      </c>
      <c r="F184" s="98">
        <v>16</v>
      </c>
    </row>
    <row r="185" spans="1:6" x14ac:dyDescent="0.25">
      <c r="A185" s="98" t="s">
        <v>267</v>
      </c>
      <c r="B185" s="98" t="s">
        <v>268</v>
      </c>
      <c r="C185" s="98" t="s">
        <v>269</v>
      </c>
      <c r="D185" s="98" t="s">
        <v>97</v>
      </c>
      <c r="E185" s="98">
        <v>1</v>
      </c>
      <c r="F185" s="98">
        <v>1</v>
      </c>
    </row>
    <row r="186" spans="1:6" x14ac:dyDescent="0.25">
      <c r="A186" s="98" t="s">
        <v>267</v>
      </c>
      <c r="B186" s="98" t="s">
        <v>270</v>
      </c>
      <c r="C186" s="98" t="s">
        <v>269</v>
      </c>
      <c r="D186" s="98" t="s">
        <v>97</v>
      </c>
      <c r="E186" s="98">
        <v>157</v>
      </c>
      <c r="F186" s="98">
        <v>157</v>
      </c>
    </row>
    <row r="187" spans="1:6" x14ac:dyDescent="0.25">
      <c r="A187" s="98" t="s">
        <v>267</v>
      </c>
      <c r="B187" s="98" t="s">
        <v>271</v>
      </c>
      <c r="C187" s="98" t="s">
        <v>269</v>
      </c>
      <c r="D187" s="98" t="s">
        <v>97</v>
      </c>
      <c r="E187" s="98">
        <v>157</v>
      </c>
      <c r="F187" s="98">
        <v>157</v>
      </c>
    </row>
    <row r="188" spans="1:6" x14ac:dyDescent="0.25">
      <c r="A188" s="98" t="s">
        <v>267</v>
      </c>
      <c r="B188" s="98" t="s">
        <v>272</v>
      </c>
      <c r="C188" s="98" t="s">
        <v>269</v>
      </c>
      <c r="D188" s="98" t="s">
        <v>97</v>
      </c>
      <c r="E188" s="98">
        <v>157</v>
      </c>
      <c r="F188" s="98">
        <v>157</v>
      </c>
    </row>
    <row r="189" spans="1:6" x14ac:dyDescent="0.25">
      <c r="A189" s="98" t="s">
        <v>273</v>
      </c>
      <c r="B189" s="98" t="s">
        <v>274</v>
      </c>
      <c r="C189" s="98" t="s">
        <v>269</v>
      </c>
      <c r="D189" s="98" t="s">
        <v>97</v>
      </c>
      <c r="E189" s="98">
        <v>157</v>
      </c>
      <c r="F189" s="98">
        <v>157</v>
      </c>
    </row>
    <row r="190" spans="1:6" x14ac:dyDescent="0.25">
      <c r="A190" s="98" t="s">
        <v>273</v>
      </c>
      <c r="B190" s="98" t="s">
        <v>275</v>
      </c>
      <c r="C190" s="98" t="s">
        <v>269</v>
      </c>
      <c r="D190" s="98" t="s">
        <v>97</v>
      </c>
      <c r="E190" s="98">
        <v>157</v>
      </c>
      <c r="F190" s="98">
        <v>157</v>
      </c>
    </row>
    <row r="191" spans="1:6" x14ac:dyDescent="0.25">
      <c r="A191" s="98" t="s">
        <v>273</v>
      </c>
      <c r="B191" s="98" t="s">
        <v>276</v>
      </c>
      <c r="C191" s="98" t="s">
        <v>269</v>
      </c>
      <c r="D191" s="98" t="s">
        <v>97</v>
      </c>
      <c r="E191" s="98">
        <v>157</v>
      </c>
      <c r="F191" s="98">
        <v>157</v>
      </c>
    </row>
    <row r="192" spans="1:6" x14ac:dyDescent="0.25">
      <c r="A192" s="98" t="s">
        <v>273</v>
      </c>
      <c r="B192" s="98" t="s">
        <v>277</v>
      </c>
      <c r="C192" s="98" t="s">
        <v>269</v>
      </c>
      <c r="D192" s="98" t="s">
        <v>97</v>
      </c>
      <c r="E192" s="98">
        <v>157</v>
      </c>
      <c r="F192" s="98">
        <v>157</v>
      </c>
    </row>
    <row r="193" spans="1:6" x14ac:dyDescent="0.25">
      <c r="A193" s="98" t="s">
        <v>278</v>
      </c>
      <c r="B193" s="98" t="s">
        <v>268</v>
      </c>
      <c r="C193" s="98" t="s">
        <v>269</v>
      </c>
      <c r="D193" s="98" t="s">
        <v>89</v>
      </c>
      <c r="E193" s="98">
        <v>1</v>
      </c>
      <c r="F193" s="98">
        <v>1</v>
      </c>
    </row>
    <row r="194" spans="1:6" x14ac:dyDescent="0.25">
      <c r="A194" s="98" t="s">
        <v>278</v>
      </c>
      <c r="B194" s="98" t="s">
        <v>270</v>
      </c>
      <c r="C194" s="98" t="s">
        <v>269</v>
      </c>
      <c r="D194" s="98" t="s">
        <v>89</v>
      </c>
      <c r="E194" s="98">
        <v>157</v>
      </c>
      <c r="F194" s="98">
        <v>157</v>
      </c>
    </row>
    <row r="195" spans="1:6" x14ac:dyDescent="0.25">
      <c r="A195" s="98" t="s">
        <v>278</v>
      </c>
      <c r="B195" s="98" t="s">
        <v>271</v>
      </c>
      <c r="C195" s="98" t="s">
        <v>269</v>
      </c>
      <c r="D195" s="98" t="s">
        <v>89</v>
      </c>
      <c r="E195" s="98">
        <v>157</v>
      </c>
      <c r="F195" s="98">
        <v>157</v>
      </c>
    </row>
    <row r="196" spans="1:6" x14ac:dyDescent="0.25">
      <c r="A196" s="98" t="s">
        <v>278</v>
      </c>
      <c r="B196" s="98" t="s">
        <v>272</v>
      </c>
      <c r="C196" s="98" t="s">
        <v>269</v>
      </c>
      <c r="D196" s="98" t="s">
        <v>89</v>
      </c>
      <c r="E196" s="98">
        <v>157</v>
      </c>
      <c r="F196" s="98">
        <v>157</v>
      </c>
    </row>
    <row r="197" spans="1:6" x14ac:dyDescent="0.25">
      <c r="A197" s="98" t="s">
        <v>279</v>
      </c>
      <c r="B197" s="98" t="s">
        <v>274</v>
      </c>
      <c r="C197" s="98" t="s">
        <v>269</v>
      </c>
      <c r="D197" s="98" t="s">
        <v>89</v>
      </c>
      <c r="E197" s="98">
        <v>157</v>
      </c>
      <c r="F197" s="98">
        <v>157</v>
      </c>
    </row>
    <row r="198" spans="1:6" x14ac:dyDescent="0.25">
      <c r="A198" s="98" t="s">
        <v>279</v>
      </c>
      <c r="B198" s="98" t="s">
        <v>275</v>
      </c>
      <c r="C198" s="98" t="s">
        <v>269</v>
      </c>
      <c r="D198" s="98" t="s">
        <v>89</v>
      </c>
      <c r="E198" s="98">
        <v>157</v>
      </c>
      <c r="F198" s="98">
        <v>157</v>
      </c>
    </row>
    <row r="199" spans="1:6" x14ac:dyDescent="0.25">
      <c r="A199" s="98" t="s">
        <v>279</v>
      </c>
      <c r="B199" s="98" t="s">
        <v>276</v>
      </c>
      <c r="C199" s="98" t="s">
        <v>269</v>
      </c>
      <c r="D199" s="98" t="s">
        <v>89</v>
      </c>
      <c r="E199" s="98">
        <v>157</v>
      </c>
      <c r="F199" s="98">
        <v>157</v>
      </c>
    </row>
    <row r="200" spans="1:6" x14ac:dyDescent="0.25">
      <c r="A200" s="98" t="s">
        <v>279</v>
      </c>
      <c r="B200" s="98" t="s">
        <v>277</v>
      </c>
      <c r="C200" s="98" t="s">
        <v>269</v>
      </c>
      <c r="D200" s="98" t="s">
        <v>89</v>
      </c>
      <c r="E200" s="98">
        <v>157</v>
      </c>
      <c r="F200" s="98">
        <v>157</v>
      </c>
    </row>
    <row r="201" spans="1:6" x14ac:dyDescent="0.25">
      <c r="A201" s="98" t="s">
        <v>280</v>
      </c>
      <c r="B201" s="98" t="s">
        <v>268</v>
      </c>
      <c r="C201" s="98" t="s">
        <v>269</v>
      </c>
      <c r="D201" s="98" t="s">
        <v>82</v>
      </c>
      <c r="E201" s="98">
        <v>1</v>
      </c>
      <c r="F201" s="98">
        <v>1</v>
      </c>
    </row>
    <row r="202" spans="1:6" x14ac:dyDescent="0.25">
      <c r="A202" s="98" t="s">
        <v>280</v>
      </c>
      <c r="B202" s="98" t="s">
        <v>270</v>
      </c>
      <c r="C202" s="98" t="s">
        <v>269</v>
      </c>
      <c r="D202" s="98" t="s">
        <v>82</v>
      </c>
      <c r="E202" s="98">
        <v>157</v>
      </c>
      <c r="F202" s="98">
        <v>157</v>
      </c>
    </row>
    <row r="203" spans="1:6" x14ac:dyDescent="0.25">
      <c r="A203" s="98" t="s">
        <v>280</v>
      </c>
      <c r="B203" s="98" t="s">
        <v>271</v>
      </c>
      <c r="C203" s="98" t="s">
        <v>269</v>
      </c>
      <c r="D203" s="98" t="s">
        <v>82</v>
      </c>
      <c r="E203" s="98">
        <v>157</v>
      </c>
      <c r="F203" s="98">
        <v>157</v>
      </c>
    </row>
    <row r="204" spans="1:6" x14ac:dyDescent="0.25">
      <c r="A204" s="98" t="s">
        <v>280</v>
      </c>
      <c r="B204" s="98" t="s">
        <v>272</v>
      </c>
      <c r="C204" s="98" t="s">
        <v>269</v>
      </c>
      <c r="D204" s="98" t="s">
        <v>82</v>
      </c>
      <c r="E204" s="98">
        <v>157</v>
      </c>
      <c r="F204" s="98">
        <v>157</v>
      </c>
    </row>
    <row r="205" spans="1:6" x14ac:dyDescent="0.25">
      <c r="A205" s="98" t="s">
        <v>281</v>
      </c>
      <c r="B205" s="98" t="s">
        <v>274</v>
      </c>
      <c r="C205" s="98" t="s">
        <v>269</v>
      </c>
      <c r="D205" s="98" t="s">
        <v>82</v>
      </c>
      <c r="E205" s="98">
        <v>157</v>
      </c>
      <c r="F205" s="98">
        <v>157</v>
      </c>
    </row>
    <row r="206" spans="1:6" x14ac:dyDescent="0.25">
      <c r="A206" s="98" t="s">
        <v>281</v>
      </c>
      <c r="B206" s="98" t="s">
        <v>275</v>
      </c>
      <c r="C206" s="98" t="s">
        <v>269</v>
      </c>
      <c r="D206" s="98" t="s">
        <v>82</v>
      </c>
      <c r="E206" s="98">
        <v>157</v>
      </c>
      <c r="F206" s="98">
        <v>157</v>
      </c>
    </row>
    <row r="207" spans="1:6" x14ac:dyDescent="0.25">
      <c r="A207" s="98" t="s">
        <v>281</v>
      </c>
      <c r="B207" s="98" t="s">
        <v>276</v>
      </c>
      <c r="C207" s="98" t="s">
        <v>269</v>
      </c>
      <c r="D207" s="98" t="s">
        <v>82</v>
      </c>
      <c r="E207" s="98">
        <v>157</v>
      </c>
      <c r="F207" s="98">
        <v>157</v>
      </c>
    </row>
    <row r="208" spans="1:6" x14ac:dyDescent="0.25">
      <c r="A208" s="98" t="s">
        <v>281</v>
      </c>
      <c r="B208" s="98" t="s">
        <v>277</v>
      </c>
      <c r="C208" s="98" t="s">
        <v>269</v>
      </c>
      <c r="D208" s="98" t="s">
        <v>82</v>
      </c>
      <c r="E208" s="98">
        <v>157</v>
      </c>
      <c r="F208" s="98">
        <v>157</v>
      </c>
    </row>
    <row r="209" spans="1:6" x14ac:dyDescent="0.25">
      <c r="A209" s="98" t="s">
        <v>282</v>
      </c>
      <c r="B209" s="98" t="s">
        <v>268</v>
      </c>
      <c r="C209" s="98" t="s">
        <v>269</v>
      </c>
      <c r="D209" s="98" t="s">
        <v>195</v>
      </c>
      <c r="E209" s="98">
        <v>1</v>
      </c>
      <c r="F209" s="98">
        <v>1</v>
      </c>
    </row>
    <row r="210" spans="1:6" x14ac:dyDescent="0.25">
      <c r="A210" s="98" t="s">
        <v>282</v>
      </c>
      <c r="B210" s="98" t="s">
        <v>270</v>
      </c>
      <c r="C210" s="98" t="s">
        <v>269</v>
      </c>
      <c r="D210" s="98" t="s">
        <v>195</v>
      </c>
      <c r="E210" s="98">
        <v>157</v>
      </c>
      <c r="F210" s="98">
        <v>157</v>
      </c>
    </row>
    <row r="211" spans="1:6" x14ac:dyDescent="0.25">
      <c r="A211" s="98" t="s">
        <v>282</v>
      </c>
      <c r="B211" s="98" t="s">
        <v>271</v>
      </c>
      <c r="C211" s="98" t="s">
        <v>269</v>
      </c>
      <c r="D211" s="98" t="s">
        <v>195</v>
      </c>
      <c r="E211" s="98">
        <v>157</v>
      </c>
      <c r="F211" s="98">
        <v>157</v>
      </c>
    </row>
    <row r="212" spans="1:6" x14ac:dyDescent="0.25">
      <c r="A212" s="98" t="s">
        <v>282</v>
      </c>
      <c r="B212" s="98" t="s">
        <v>272</v>
      </c>
      <c r="C212" s="98" t="s">
        <v>269</v>
      </c>
      <c r="D212" s="98" t="s">
        <v>195</v>
      </c>
      <c r="E212" s="98">
        <v>157</v>
      </c>
      <c r="F212" s="98">
        <v>157</v>
      </c>
    </row>
    <row r="213" spans="1:6" x14ac:dyDescent="0.25">
      <c r="A213" s="98" t="s">
        <v>283</v>
      </c>
      <c r="B213" s="98" t="s">
        <v>274</v>
      </c>
      <c r="C213" s="98" t="s">
        <v>269</v>
      </c>
      <c r="D213" s="98" t="s">
        <v>195</v>
      </c>
      <c r="E213" s="98">
        <v>157</v>
      </c>
      <c r="F213" s="98">
        <v>157</v>
      </c>
    </row>
    <row r="214" spans="1:6" x14ac:dyDescent="0.25">
      <c r="A214" s="98" t="s">
        <v>283</v>
      </c>
      <c r="B214" s="98" t="s">
        <v>275</v>
      </c>
      <c r="C214" s="98" t="s">
        <v>269</v>
      </c>
      <c r="D214" s="98" t="s">
        <v>195</v>
      </c>
      <c r="E214" s="98">
        <v>157</v>
      </c>
      <c r="F214" s="98">
        <v>157</v>
      </c>
    </row>
    <row r="215" spans="1:6" x14ac:dyDescent="0.25">
      <c r="A215" s="98" t="s">
        <v>283</v>
      </c>
      <c r="B215" s="98" t="s">
        <v>276</v>
      </c>
      <c r="C215" s="98" t="s">
        <v>269</v>
      </c>
      <c r="D215" s="98" t="s">
        <v>195</v>
      </c>
      <c r="E215" s="98">
        <v>157</v>
      </c>
      <c r="F215" s="98">
        <v>157</v>
      </c>
    </row>
    <row r="216" spans="1:6" x14ac:dyDescent="0.25">
      <c r="A216" s="98" t="s">
        <v>283</v>
      </c>
      <c r="B216" s="98" t="s">
        <v>277</v>
      </c>
      <c r="C216" s="98" t="s">
        <v>269</v>
      </c>
      <c r="D216" s="98" t="s">
        <v>195</v>
      </c>
      <c r="E216" s="98">
        <v>157</v>
      </c>
      <c r="F216" s="98">
        <v>157</v>
      </c>
    </row>
    <row r="217" spans="1:6" x14ac:dyDescent="0.25">
      <c r="A217" s="63" t="s">
        <v>284</v>
      </c>
      <c r="B217" s="98" t="s">
        <v>285</v>
      </c>
      <c r="C217" s="98" t="s">
        <v>286</v>
      </c>
      <c r="D217" s="98" t="s">
        <v>97</v>
      </c>
      <c r="E217" s="98" t="s">
        <v>97</v>
      </c>
      <c r="F217" s="98" t="s">
        <v>97</v>
      </c>
    </row>
    <row r="218" spans="1:6" x14ac:dyDescent="0.25">
      <c r="A218" s="63" t="s">
        <v>287</v>
      </c>
      <c r="B218" s="98" t="s">
        <v>285</v>
      </c>
      <c r="C218" s="98" t="s">
        <v>286</v>
      </c>
      <c r="D218" s="98" t="s">
        <v>89</v>
      </c>
      <c r="E218" s="98" t="s">
        <v>97</v>
      </c>
      <c r="F218" s="98" t="s">
        <v>97</v>
      </c>
    </row>
    <row r="219" spans="1:6" x14ac:dyDescent="0.25">
      <c r="A219" s="63" t="s">
        <v>288</v>
      </c>
      <c r="B219" s="98" t="s">
        <v>285</v>
      </c>
      <c r="C219" s="98" t="s">
        <v>286</v>
      </c>
      <c r="D219" s="98" t="s">
        <v>82</v>
      </c>
      <c r="E219" s="98" t="s">
        <v>97</v>
      </c>
      <c r="F219" s="98" t="s">
        <v>97</v>
      </c>
    </row>
    <row r="220" spans="1:6" x14ac:dyDescent="0.25">
      <c r="A220" s="63" t="s">
        <v>289</v>
      </c>
      <c r="B220" s="98" t="s">
        <v>285</v>
      </c>
      <c r="C220" s="98" t="s">
        <v>286</v>
      </c>
      <c r="D220" s="98" t="s">
        <v>195</v>
      </c>
      <c r="E220" s="98" t="s">
        <v>97</v>
      </c>
      <c r="F220" s="98" t="s">
        <v>97</v>
      </c>
    </row>
    <row r="221" spans="1:6" x14ac:dyDescent="0.25">
      <c r="A221" s="98" t="s">
        <v>58</v>
      </c>
      <c r="B221" s="98" t="s">
        <v>290</v>
      </c>
      <c r="C221" s="98" t="s">
        <v>291</v>
      </c>
      <c r="D221" s="98" t="s">
        <v>97</v>
      </c>
      <c r="E221" s="97" t="s">
        <v>66</v>
      </c>
    </row>
    <row r="222" spans="1:6" x14ac:dyDescent="0.25">
      <c r="A222" s="98" t="s">
        <v>58</v>
      </c>
      <c r="B222" s="98" t="s">
        <v>290</v>
      </c>
      <c r="C222" s="98" t="s">
        <v>291</v>
      </c>
      <c r="D222" s="98" t="s">
        <v>89</v>
      </c>
      <c r="E222" s="97" t="s">
        <v>66</v>
      </c>
    </row>
    <row r="223" spans="1:6" x14ac:dyDescent="0.25">
      <c r="A223" s="98" t="s">
        <v>58</v>
      </c>
      <c r="B223" s="98" t="s">
        <v>290</v>
      </c>
      <c r="C223" s="98" t="s">
        <v>291</v>
      </c>
      <c r="D223" s="98" t="s">
        <v>82</v>
      </c>
      <c r="E223" s="97" t="s">
        <v>66</v>
      </c>
    </row>
    <row r="224" spans="1:6" x14ac:dyDescent="0.25">
      <c r="A224" s="98" t="s">
        <v>58</v>
      </c>
      <c r="B224" s="98" t="s">
        <v>290</v>
      </c>
      <c r="C224" s="98" t="s">
        <v>291</v>
      </c>
      <c r="D224" s="98" t="s">
        <v>195</v>
      </c>
      <c r="E224" s="97" t="s">
        <v>66</v>
      </c>
    </row>
    <row r="225" spans="1:17" x14ac:dyDescent="0.25">
      <c r="A225" s="98" t="s">
        <v>58</v>
      </c>
      <c r="B225" s="98" t="s">
        <v>58</v>
      </c>
      <c r="C225" s="98" t="s">
        <v>291</v>
      </c>
      <c r="D225" s="98" t="s">
        <v>292</v>
      </c>
      <c r="E225" s="97" t="s">
        <v>66</v>
      </c>
    </row>
    <row r="226" spans="1:17" x14ac:dyDescent="0.25">
      <c r="A226" s="98" t="s">
        <v>58</v>
      </c>
      <c r="B226" s="98" t="s">
        <v>58</v>
      </c>
      <c r="C226" s="98" t="s">
        <v>291</v>
      </c>
      <c r="D226" s="98" t="s">
        <v>293</v>
      </c>
      <c r="E226" s="97" t="s">
        <v>66</v>
      </c>
    </row>
    <row r="227" spans="1:17" x14ac:dyDescent="0.25">
      <c r="A227" s="98" t="s">
        <v>58</v>
      </c>
      <c r="B227" s="98" t="s">
        <v>58</v>
      </c>
      <c r="C227" s="98" t="s">
        <v>291</v>
      </c>
      <c r="D227" s="98" t="s">
        <v>294</v>
      </c>
      <c r="E227" s="97" t="s">
        <v>66</v>
      </c>
    </row>
    <row r="228" spans="1:17" x14ac:dyDescent="0.25">
      <c r="A228" s="98" t="s">
        <v>295</v>
      </c>
      <c r="B228" s="98" t="s">
        <v>296</v>
      </c>
      <c r="C228" s="98" t="s">
        <v>291</v>
      </c>
      <c r="D228" s="98" t="s">
        <v>297</v>
      </c>
      <c r="E228" s="98" t="b">
        <v>1</v>
      </c>
    </row>
    <row r="229" spans="1:17" x14ac:dyDescent="0.25">
      <c r="A229" s="98" t="s">
        <v>58</v>
      </c>
      <c r="B229" s="98" t="s">
        <v>58</v>
      </c>
      <c r="C229" s="98" t="s">
        <v>291</v>
      </c>
      <c r="D229" s="98" t="s">
        <v>298</v>
      </c>
      <c r="E229" s="97" t="s">
        <v>66</v>
      </c>
    </row>
    <row r="230" spans="1:17" x14ac:dyDescent="0.25">
      <c r="A230" s="98" t="s">
        <v>58</v>
      </c>
      <c r="B230" s="98" t="s">
        <v>58</v>
      </c>
      <c r="C230" s="98" t="s">
        <v>291</v>
      </c>
      <c r="D230" s="46" t="s">
        <v>299</v>
      </c>
      <c r="E230" s="97" t="s">
        <v>66</v>
      </c>
    </row>
    <row r="231" spans="1:17" x14ac:dyDescent="0.25">
      <c r="A231" s="98" t="s">
        <v>58</v>
      </c>
      <c r="B231" s="98" t="s">
        <v>58</v>
      </c>
      <c r="C231" s="98" t="s">
        <v>291</v>
      </c>
      <c r="D231" s="98" t="s">
        <v>300</v>
      </c>
      <c r="E231" s="97" t="s">
        <v>66</v>
      </c>
    </row>
    <row r="232" spans="1:17" x14ac:dyDescent="0.25">
      <c r="A232" s="98" t="s">
        <v>58</v>
      </c>
      <c r="B232" s="98" t="s">
        <v>58</v>
      </c>
      <c r="C232" s="98" t="s">
        <v>291</v>
      </c>
      <c r="D232" s="98" t="s">
        <v>301</v>
      </c>
      <c r="E232" s="97" t="s">
        <v>66</v>
      </c>
    </row>
    <row r="233" spans="1:17" x14ac:dyDescent="0.25">
      <c r="A233" s="98" t="s">
        <v>58</v>
      </c>
      <c r="B233" s="98" t="s">
        <v>58</v>
      </c>
      <c r="C233" s="98" t="s">
        <v>291</v>
      </c>
      <c r="D233" s="98" t="s">
        <v>302</v>
      </c>
      <c r="E233" s="98">
        <v>256</v>
      </c>
    </row>
    <row r="234" spans="1:17" x14ac:dyDescent="0.25">
      <c r="A234" s="98" t="s">
        <v>58</v>
      </c>
      <c r="B234" s="98" t="s">
        <v>58</v>
      </c>
      <c r="C234" s="98" t="s">
        <v>291</v>
      </c>
      <c r="D234" s="98" t="s">
        <v>303</v>
      </c>
      <c r="E234" s="97" t="s">
        <v>66</v>
      </c>
    </row>
    <row r="235" spans="1:17" x14ac:dyDescent="0.25">
      <c r="A235" s="98" t="s">
        <v>58</v>
      </c>
      <c r="B235" s="98" t="s">
        <v>58</v>
      </c>
      <c r="C235" s="98" t="s">
        <v>291</v>
      </c>
      <c r="D235" s="98" t="s">
        <v>304</v>
      </c>
      <c r="E235" s="98">
        <v>12</v>
      </c>
    </row>
    <row r="236" spans="1:17" x14ac:dyDescent="0.25">
      <c r="A236" s="98" t="s">
        <v>58</v>
      </c>
      <c r="B236" s="98" t="s">
        <v>58</v>
      </c>
      <c r="C236" s="98" t="s">
        <v>291</v>
      </c>
      <c r="D236" s="98" t="s">
        <v>305</v>
      </c>
      <c r="E236" s="90">
        <v>1804800</v>
      </c>
    </row>
    <row r="237" spans="1:17" x14ac:dyDescent="0.25">
      <c r="A237" s="98" t="s">
        <v>58</v>
      </c>
      <c r="B237" s="98" t="s">
        <v>58</v>
      </c>
      <c r="C237" s="98" t="s">
        <v>306</v>
      </c>
      <c r="D237" s="98" t="s">
        <v>307</v>
      </c>
      <c r="E237" s="98">
        <v>12</v>
      </c>
    </row>
    <row r="238" spans="1:17" x14ac:dyDescent="0.25">
      <c r="A238" s="46" t="s">
        <v>58</v>
      </c>
      <c r="B238" s="46" t="s">
        <v>308</v>
      </c>
      <c r="C238" s="46" t="s">
        <v>309</v>
      </c>
      <c r="D238" s="46" t="s">
        <v>310</v>
      </c>
      <c r="E238" s="46" t="s">
        <v>97</v>
      </c>
      <c r="F238" s="46"/>
      <c r="G238" s="46"/>
      <c r="H238" s="46"/>
      <c r="I238" s="46"/>
      <c r="J238" s="46"/>
      <c r="K238" s="46"/>
      <c r="L238" s="46"/>
      <c r="M238" s="46"/>
      <c r="N238" s="46"/>
      <c r="O238" s="46"/>
      <c r="P238" s="46"/>
      <c r="Q238" s="46"/>
    </row>
    <row r="239" spans="1:17" x14ac:dyDescent="0.25">
      <c r="A239" s="46" t="s">
        <v>58</v>
      </c>
      <c r="B239" s="46" t="s">
        <v>311</v>
      </c>
      <c r="C239" s="46" t="s">
        <v>309</v>
      </c>
      <c r="D239" s="46" t="s">
        <v>310</v>
      </c>
      <c r="E239" s="46" t="s">
        <v>312</v>
      </c>
      <c r="F239" s="46"/>
      <c r="G239" s="46"/>
      <c r="H239" s="46"/>
      <c r="I239" s="46"/>
      <c r="J239" s="46"/>
      <c r="K239" s="46"/>
      <c r="L239" s="46"/>
      <c r="M239" s="46"/>
      <c r="N239" s="46"/>
      <c r="O239" s="46"/>
      <c r="P239" s="46"/>
      <c r="Q239" s="46"/>
    </row>
    <row r="240" spans="1:17" x14ac:dyDescent="0.25">
      <c r="A240" s="46" t="s">
        <v>58</v>
      </c>
      <c r="B240" s="46" t="s">
        <v>313</v>
      </c>
      <c r="C240" s="46" t="s">
        <v>309</v>
      </c>
      <c r="D240" s="46" t="s">
        <v>310</v>
      </c>
      <c r="E240" s="46" t="s">
        <v>314</v>
      </c>
      <c r="F240" s="46"/>
      <c r="G240" s="46"/>
      <c r="H240" s="46"/>
      <c r="I240" s="46"/>
      <c r="J240" s="46"/>
      <c r="K240" s="46"/>
      <c r="L240" s="46"/>
      <c r="M240" s="46"/>
      <c r="N240" s="46"/>
      <c r="O240" s="46"/>
      <c r="P240" s="46"/>
      <c r="Q240" s="46"/>
    </row>
    <row r="241" spans="1:17" x14ac:dyDescent="0.25">
      <c r="A241" s="46" t="s">
        <v>58</v>
      </c>
      <c r="B241" s="46" t="s">
        <v>313</v>
      </c>
      <c r="C241" s="46" t="s">
        <v>309</v>
      </c>
      <c r="D241" s="46" t="s">
        <v>315</v>
      </c>
      <c r="E241" s="46" t="s">
        <v>97</v>
      </c>
      <c r="F241" s="46"/>
      <c r="G241" s="46"/>
      <c r="H241" s="46"/>
      <c r="I241" s="46"/>
      <c r="J241" s="46"/>
      <c r="K241" s="46"/>
      <c r="L241" s="46"/>
      <c r="M241" s="46"/>
      <c r="N241" s="46"/>
      <c r="O241" s="46"/>
      <c r="P241" s="46"/>
      <c r="Q241" s="46"/>
    </row>
    <row r="242" spans="1:17" x14ac:dyDescent="0.25">
      <c r="A242" s="46" t="s">
        <v>58</v>
      </c>
      <c r="B242" s="46" t="s">
        <v>313</v>
      </c>
      <c r="C242" s="46" t="s">
        <v>309</v>
      </c>
      <c r="D242" s="46" t="s">
        <v>316</v>
      </c>
      <c r="E242" s="46" t="s">
        <v>97</v>
      </c>
      <c r="F242" s="46"/>
      <c r="G242" s="46"/>
      <c r="H242" s="46"/>
      <c r="I242" s="46"/>
      <c r="J242" s="46"/>
      <c r="K242" s="46"/>
      <c r="L242" s="46"/>
      <c r="M242" s="46"/>
      <c r="N242" s="46"/>
      <c r="O242" s="46"/>
      <c r="P242" s="46"/>
      <c r="Q242" s="46"/>
    </row>
    <row r="243" spans="1:17" x14ac:dyDescent="0.25">
      <c r="A243" s="46" t="s">
        <v>58</v>
      </c>
      <c r="B243" s="46" t="s">
        <v>313</v>
      </c>
      <c r="C243" s="46" t="s">
        <v>309</v>
      </c>
      <c r="D243" s="46" t="s">
        <v>317</v>
      </c>
      <c r="E243" s="46" t="s">
        <v>318</v>
      </c>
      <c r="F243" s="46"/>
      <c r="G243" s="46"/>
      <c r="H243" s="46"/>
      <c r="I243" s="46"/>
      <c r="J243" s="46"/>
      <c r="K243" s="46"/>
      <c r="L243" s="46"/>
      <c r="M243" s="46"/>
      <c r="N243" s="46"/>
      <c r="O243" s="46"/>
      <c r="P243" s="46"/>
      <c r="Q243" s="46" t="s">
        <v>319</v>
      </c>
    </row>
    <row r="244" spans="1:17" x14ac:dyDescent="0.25">
      <c r="A244" s="46" t="s">
        <v>58</v>
      </c>
      <c r="B244" s="46" t="s">
        <v>313</v>
      </c>
      <c r="C244" s="46" t="s">
        <v>309</v>
      </c>
      <c r="D244" s="46" t="s">
        <v>320</v>
      </c>
      <c r="E244" s="46" t="s">
        <v>82</v>
      </c>
      <c r="F244" s="46"/>
      <c r="G244" s="46"/>
      <c r="H244" s="46"/>
      <c r="I244" s="46"/>
      <c r="J244" s="46"/>
      <c r="K244" s="46"/>
      <c r="L244" s="46"/>
      <c r="M244" s="46"/>
      <c r="N244" s="46"/>
      <c r="O244" s="46"/>
      <c r="P244" s="46"/>
      <c r="Q244" s="46" t="s">
        <v>321</v>
      </c>
    </row>
    <row r="245" spans="1:17" x14ac:dyDescent="0.25">
      <c r="A245" s="46" t="s">
        <v>58</v>
      </c>
      <c r="B245" s="46" t="s">
        <v>313</v>
      </c>
      <c r="C245" s="46" t="s">
        <v>309</v>
      </c>
      <c r="D245" s="46" t="s">
        <v>322</v>
      </c>
      <c r="E245" s="46" t="s">
        <v>97</v>
      </c>
      <c r="F245" s="46"/>
      <c r="G245" s="46"/>
      <c r="H245" s="46"/>
      <c r="I245" s="46"/>
      <c r="J245" s="46"/>
      <c r="K245" s="46"/>
      <c r="L245" s="46"/>
      <c r="M245" s="46"/>
      <c r="N245" s="46"/>
      <c r="O245" s="46"/>
      <c r="P245" s="46"/>
      <c r="Q245" s="46" t="s">
        <v>323</v>
      </c>
    </row>
    <row r="246" spans="1:17" x14ac:dyDescent="0.25">
      <c r="A246" s="46" t="s">
        <v>58</v>
      </c>
      <c r="B246" s="46" t="s">
        <v>313</v>
      </c>
      <c r="C246" s="46" t="s">
        <v>309</v>
      </c>
      <c r="D246" s="46" t="s">
        <v>324</v>
      </c>
      <c r="E246" s="46" t="s">
        <v>97</v>
      </c>
      <c r="F246" s="46"/>
      <c r="G246" s="46"/>
      <c r="H246" s="46"/>
      <c r="I246" s="46"/>
      <c r="J246" s="46"/>
      <c r="K246" s="46"/>
      <c r="L246" s="46"/>
      <c r="M246" s="46"/>
      <c r="N246" s="46"/>
      <c r="O246" s="46"/>
      <c r="P246" s="46"/>
      <c r="Q246" s="46"/>
    </row>
    <row r="247" spans="1:17" x14ac:dyDescent="0.25">
      <c r="A247" s="46" t="s">
        <v>58</v>
      </c>
      <c r="B247" s="46" t="s">
        <v>313</v>
      </c>
      <c r="C247" s="46" t="s">
        <v>309</v>
      </c>
      <c r="D247" s="46" t="s">
        <v>325</v>
      </c>
      <c r="E247" s="46" t="s">
        <v>89</v>
      </c>
      <c r="F247" s="46"/>
      <c r="G247" s="46"/>
      <c r="H247" s="46"/>
      <c r="I247" s="46"/>
      <c r="J247" s="46"/>
      <c r="K247" s="46"/>
      <c r="L247" s="46"/>
      <c r="M247" s="46"/>
      <c r="N247" s="46"/>
      <c r="O247" s="46"/>
      <c r="P247" s="46"/>
      <c r="Q247" s="46" t="s">
        <v>323</v>
      </c>
    </row>
    <row r="248" spans="1:17" x14ac:dyDescent="0.25">
      <c r="A248" s="46" t="s">
        <v>58</v>
      </c>
      <c r="B248" s="46" t="s">
        <v>313</v>
      </c>
      <c r="C248" s="46" t="s">
        <v>309</v>
      </c>
      <c r="D248" s="46" t="s">
        <v>326</v>
      </c>
      <c r="E248" s="46" t="s">
        <v>97</v>
      </c>
      <c r="F248" s="46"/>
      <c r="G248" s="46"/>
      <c r="H248" s="46"/>
      <c r="I248" s="46"/>
      <c r="J248" s="46"/>
      <c r="K248" s="46"/>
      <c r="L248" s="46"/>
      <c r="M248" s="46"/>
      <c r="N248" s="46"/>
      <c r="O248" s="46"/>
      <c r="P248" s="46"/>
      <c r="Q248" s="46" t="s">
        <v>323</v>
      </c>
    </row>
    <row r="249" spans="1:17" x14ac:dyDescent="0.25">
      <c r="A249" s="46" t="s">
        <v>58</v>
      </c>
      <c r="B249" s="46" t="s">
        <v>313</v>
      </c>
      <c r="C249" s="46" t="s">
        <v>309</v>
      </c>
      <c r="D249" s="46" t="s">
        <v>327</v>
      </c>
      <c r="E249" s="46" t="s">
        <v>97</v>
      </c>
      <c r="F249" s="46"/>
      <c r="G249" s="46"/>
      <c r="H249" s="46"/>
      <c r="I249" s="46"/>
      <c r="J249" s="46"/>
      <c r="K249" s="46"/>
      <c r="L249" s="46"/>
      <c r="M249" s="46"/>
      <c r="N249" s="46"/>
      <c r="O249" s="46"/>
      <c r="P249" s="46"/>
      <c r="Q249" s="46"/>
    </row>
    <row r="250" spans="1:17" x14ac:dyDescent="0.25">
      <c r="A250" s="46" t="s">
        <v>58</v>
      </c>
      <c r="B250" s="46" t="s">
        <v>328</v>
      </c>
      <c r="C250" s="46" t="s">
        <v>309</v>
      </c>
      <c r="D250" s="46" t="s">
        <v>310</v>
      </c>
      <c r="E250" s="46" t="s">
        <v>314</v>
      </c>
      <c r="F250" s="46"/>
      <c r="G250" s="46"/>
      <c r="H250" s="46"/>
      <c r="I250" s="46"/>
      <c r="J250" s="46"/>
      <c r="K250" s="46"/>
      <c r="L250" s="46"/>
      <c r="M250" s="46"/>
      <c r="N250" s="46"/>
      <c r="O250" s="46"/>
      <c r="P250" s="46"/>
      <c r="Q250" s="46"/>
    </row>
    <row r="251" spans="1:17" x14ac:dyDescent="0.25">
      <c r="A251" s="46" t="s">
        <v>58</v>
      </c>
      <c r="B251" s="46" t="s">
        <v>328</v>
      </c>
      <c r="C251" s="46" t="s">
        <v>309</v>
      </c>
      <c r="D251" s="46" t="s">
        <v>329</v>
      </c>
      <c r="E251" s="46" t="s">
        <v>237</v>
      </c>
      <c r="F251" s="46"/>
      <c r="G251" s="46"/>
      <c r="H251" s="46"/>
      <c r="I251" s="46"/>
      <c r="J251" s="46"/>
      <c r="K251" s="46"/>
      <c r="L251" s="46"/>
      <c r="M251" s="46"/>
      <c r="N251" s="46"/>
      <c r="O251" s="46"/>
      <c r="P251" s="46"/>
      <c r="Q251" s="46"/>
    </row>
    <row r="252" spans="1:17" x14ac:dyDescent="0.25">
      <c r="A252" s="46" t="s">
        <v>58</v>
      </c>
      <c r="B252" s="46" t="s">
        <v>328</v>
      </c>
      <c r="C252" s="46" t="s">
        <v>309</v>
      </c>
      <c r="D252" s="46" t="s">
        <v>330</v>
      </c>
      <c r="E252" s="46" t="s">
        <v>235</v>
      </c>
      <c r="F252" s="46"/>
      <c r="G252" s="46"/>
      <c r="H252" s="46"/>
      <c r="I252" s="46"/>
      <c r="J252" s="46"/>
      <c r="K252" s="46"/>
      <c r="L252" s="46"/>
      <c r="M252" s="46"/>
      <c r="N252" s="46"/>
      <c r="O252" s="46"/>
      <c r="P252" s="46"/>
      <c r="Q252" s="46"/>
    </row>
    <row r="253" spans="1:17" x14ac:dyDescent="0.25">
      <c r="A253" s="46" t="s">
        <v>58</v>
      </c>
      <c r="B253" s="46" t="s">
        <v>328</v>
      </c>
      <c r="C253" s="46" t="s">
        <v>309</v>
      </c>
      <c r="D253" s="46" t="s">
        <v>325</v>
      </c>
      <c r="E253" s="46" t="s">
        <v>89</v>
      </c>
      <c r="F253" s="46"/>
      <c r="G253" s="46"/>
      <c r="H253" s="46"/>
      <c r="I253" s="46"/>
      <c r="J253" s="46"/>
      <c r="K253" s="46"/>
      <c r="L253" s="46"/>
      <c r="M253" s="46"/>
      <c r="N253" s="46"/>
      <c r="O253" s="46"/>
      <c r="P253" s="46"/>
      <c r="Q253" s="46"/>
    </row>
    <row r="254" spans="1:17" x14ac:dyDescent="0.25">
      <c r="A254" s="46" t="s">
        <v>58</v>
      </c>
      <c r="B254" s="46" t="s">
        <v>328</v>
      </c>
      <c r="C254" s="46" t="s">
        <v>309</v>
      </c>
      <c r="D254" s="46" t="s">
        <v>331</v>
      </c>
      <c r="E254" s="46" t="s">
        <v>89</v>
      </c>
      <c r="F254" s="46"/>
      <c r="G254" s="46"/>
      <c r="H254" s="46"/>
      <c r="I254" s="46"/>
      <c r="J254" s="46"/>
      <c r="K254" s="46"/>
      <c r="L254" s="46"/>
      <c r="M254" s="46"/>
      <c r="N254" s="46"/>
      <c r="O254" s="46"/>
      <c r="P254" s="46"/>
      <c r="Q254" s="46"/>
    </row>
    <row r="255" spans="1:17" x14ac:dyDescent="0.25">
      <c r="A255" s="46" t="s">
        <v>58</v>
      </c>
      <c r="B255" s="46" t="s">
        <v>328</v>
      </c>
      <c r="C255" s="46" t="s">
        <v>309</v>
      </c>
      <c r="D255" s="46" t="s">
        <v>332</v>
      </c>
      <c r="E255" s="46" t="s">
        <v>333</v>
      </c>
      <c r="F255" s="46"/>
      <c r="G255" s="46"/>
      <c r="H255" s="46"/>
      <c r="I255" s="46"/>
      <c r="J255" s="46"/>
      <c r="K255" s="46"/>
      <c r="L255" s="46"/>
      <c r="M255" s="46"/>
      <c r="N255" s="46"/>
      <c r="O255" s="46"/>
      <c r="P255" s="46"/>
      <c r="Q255" s="46"/>
    </row>
    <row r="256" spans="1:17" x14ac:dyDescent="0.25">
      <c r="A256" s="46" t="s">
        <v>58</v>
      </c>
      <c r="B256" s="46" t="s">
        <v>334</v>
      </c>
      <c r="C256" s="46" t="s">
        <v>309</v>
      </c>
      <c r="D256" s="46" t="s">
        <v>310</v>
      </c>
      <c r="E256" s="46" t="s">
        <v>89</v>
      </c>
      <c r="F256" s="46"/>
      <c r="G256" s="46"/>
      <c r="H256" s="46"/>
      <c r="I256" s="46"/>
      <c r="J256" s="46"/>
      <c r="K256" s="46"/>
      <c r="L256" s="46"/>
      <c r="M256" s="46"/>
      <c r="N256" s="46"/>
      <c r="O256" s="46"/>
      <c r="P256" s="46"/>
      <c r="Q256" s="46"/>
    </row>
    <row r="257" spans="1:17" x14ac:dyDescent="0.25">
      <c r="A257" s="46" t="s">
        <v>58</v>
      </c>
      <c r="B257" s="46" t="s">
        <v>334</v>
      </c>
      <c r="C257" s="46" t="s">
        <v>309</v>
      </c>
      <c r="D257" s="46" t="s">
        <v>329</v>
      </c>
      <c r="E257" s="46" t="s">
        <v>237</v>
      </c>
      <c r="F257" s="46"/>
      <c r="G257" s="46"/>
      <c r="H257" s="46"/>
      <c r="I257" s="46"/>
      <c r="J257" s="46"/>
      <c r="K257" s="46"/>
      <c r="L257" s="46"/>
      <c r="M257" s="46"/>
      <c r="N257" s="46"/>
      <c r="O257" s="46"/>
      <c r="P257" s="46"/>
      <c r="Q257" s="46"/>
    </row>
    <row r="258" spans="1:17" x14ac:dyDescent="0.25">
      <c r="A258" s="46" t="s">
        <v>58</v>
      </c>
      <c r="B258" s="46" t="s">
        <v>334</v>
      </c>
      <c r="C258" s="46" t="s">
        <v>309</v>
      </c>
      <c r="D258" s="46" t="s">
        <v>330</v>
      </c>
      <c r="E258" s="46" t="s">
        <v>335</v>
      </c>
      <c r="F258" s="46"/>
      <c r="G258" s="46"/>
      <c r="H258" s="46"/>
      <c r="I258" s="46"/>
      <c r="J258" s="46"/>
      <c r="K258" s="46"/>
      <c r="L258" s="46"/>
      <c r="M258" s="46"/>
      <c r="N258" s="46"/>
      <c r="O258" s="46"/>
      <c r="P258" s="46"/>
      <c r="Q258" s="46"/>
    </row>
    <row r="259" spans="1:17" x14ac:dyDescent="0.25">
      <c r="A259" s="46" t="s">
        <v>58</v>
      </c>
      <c r="B259" s="46" t="s">
        <v>334</v>
      </c>
      <c r="C259" s="46" t="s">
        <v>309</v>
      </c>
      <c r="D259" s="46" t="s">
        <v>336</v>
      </c>
      <c r="E259" s="46" t="s">
        <v>337</v>
      </c>
      <c r="F259" s="46"/>
      <c r="G259" s="46"/>
      <c r="H259" s="46"/>
      <c r="I259" s="46"/>
      <c r="J259" s="46"/>
      <c r="K259" s="46"/>
      <c r="L259" s="46"/>
      <c r="M259" s="46"/>
      <c r="N259" s="46"/>
      <c r="O259" s="46"/>
      <c r="P259" s="46"/>
      <c r="Q259" s="46"/>
    </row>
    <row r="260" spans="1:17" x14ac:dyDescent="0.25">
      <c r="A260" s="46" t="s">
        <v>58</v>
      </c>
      <c r="B260" s="46" t="s">
        <v>334</v>
      </c>
      <c r="C260" s="46" t="s">
        <v>309</v>
      </c>
      <c r="D260" s="46" t="s">
        <v>325</v>
      </c>
      <c r="E260" s="46" t="s">
        <v>338</v>
      </c>
      <c r="F260" s="46"/>
      <c r="G260" s="46"/>
      <c r="H260" s="46"/>
      <c r="I260" s="46"/>
      <c r="J260" s="46"/>
      <c r="K260" s="46"/>
      <c r="L260" s="46"/>
      <c r="M260" s="46"/>
      <c r="N260" s="46"/>
      <c r="O260" s="46"/>
      <c r="P260" s="46"/>
      <c r="Q260" s="46"/>
    </row>
    <row r="261" spans="1:17" x14ac:dyDescent="0.25">
      <c r="A261" s="46" t="s">
        <v>58</v>
      </c>
      <c r="B261" s="46" t="s">
        <v>334</v>
      </c>
      <c r="C261" s="46" t="s">
        <v>309</v>
      </c>
      <c r="D261" s="46" t="s">
        <v>331</v>
      </c>
      <c r="E261" s="46" t="s">
        <v>339</v>
      </c>
      <c r="F261" s="46"/>
      <c r="G261" s="46"/>
      <c r="H261" s="46"/>
      <c r="I261" s="46"/>
      <c r="J261" s="46"/>
      <c r="K261" s="46"/>
      <c r="L261" s="46"/>
      <c r="M261" s="46"/>
      <c r="N261" s="46"/>
      <c r="O261" s="46"/>
      <c r="P261" s="46"/>
      <c r="Q261" s="46"/>
    </row>
    <row r="262" spans="1:17" x14ac:dyDescent="0.25">
      <c r="A262" s="46" t="s">
        <v>58</v>
      </c>
      <c r="B262" s="46" t="s">
        <v>340</v>
      </c>
      <c r="C262" s="46" t="s">
        <v>309</v>
      </c>
      <c r="D262" s="46" t="s">
        <v>310</v>
      </c>
      <c r="E262" s="46" t="s">
        <v>314</v>
      </c>
      <c r="F262" s="46"/>
      <c r="G262" s="46"/>
      <c r="H262" s="46"/>
      <c r="I262" s="46"/>
      <c r="J262" s="46"/>
      <c r="K262" s="46"/>
      <c r="L262" s="46"/>
      <c r="M262" s="46"/>
      <c r="N262" s="46"/>
      <c r="O262" s="46"/>
      <c r="P262" s="46"/>
      <c r="Q262" s="46"/>
    </row>
    <row r="263" spans="1:17" x14ac:dyDescent="0.25">
      <c r="A263" s="46" t="s">
        <v>58</v>
      </c>
      <c r="B263" s="46" t="s">
        <v>340</v>
      </c>
      <c r="C263" s="46" t="s">
        <v>309</v>
      </c>
      <c r="D263" s="46" t="s">
        <v>341</v>
      </c>
      <c r="E263" s="46" t="s">
        <v>342</v>
      </c>
      <c r="F263" s="46"/>
      <c r="G263" s="46"/>
      <c r="H263" s="46"/>
      <c r="I263" s="46"/>
      <c r="J263" s="46"/>
      <c r="K263" s="46"/>
      <c r="L263" s="46"/>
      <c r="M263" s="46"/>
      <c r="N263" s="46"/>
      <c r="O263" s="46"/>
      <c r="P263" s="46"/>
      <c r="Q263" s="46" t="s">
        <v>343</v>
      </c>
    </row>
    <row r="264" spans="1:17" x14ac:dyDescent="0.25">
      <c r="A264" s="46" t="s">
        <v>58</v>
      </c>
      <c r="B264" s="46" t="s">
        <v>340</v>
      </c>
      <c r="C264" s="46" t="s">
        <v>309</v>
      </c>
      <c r="D264" s="46" t="s">
        <v>344</v>
      </c>
      <c r="E264" s="46" t="s">
        <v>345</v>
      </c>
      <c r="F264" s="46"/>
      <c r="G264" s="46"/>
      <c r="H264" s="46"/>
      <c r="I264" s="46"/>
      <c r="J264" s="46"/>
      <c r="K264" s="46"/>
      <c r="L264" s="46"/>
      <c r="M264" s="46"/>
      <c r="N264" s="46"/>
      <c r="O264" s="46"/>
      <c r="P264" s="46"/>
      <c r="Q264" s="46" t="s">
        <v>346</v>
      </c>
    </row>
    <row r="265" spans="1:17" x14ac:dyDescent="0.25">
      <c r="A265" s="46" t="s">
        <v>58</v>
      </c>
      <c r="B265" s="46" t="s">
        <v>340</v>
      </c>
      <c r="C265" s="46" t="s">
        <v>309</v>
      </c>
      <c r="D265" s="46" t="s">
        <v>347</v>
      </c>
      <c r="E265" s="46" t="s">
        <v>348</v>
      </c>
      <c r="F265" s="46"/>
      <c r="G265" s="46"/>
      <c r="H265" s="46"/>
      <c r="I265" s="46"/>
      <c r="J265" s="46"/>
      <c r="K265" s="46"/>
      <c r="L265" s="46"/>
      <c r="M265" s="46"/>
      <c r="N265" s="46"/>
      <c r="O265" s="46"/>
      <c r="P265" s="46"/>
      <c r="Q265" s="46"/>
    </row>
    <row r="266" spans="1:17" x14ac:dyDescent="0.25">
      <c r="A266" s="46" t="s">
        <v>58</v>
      </c>
      <c r="B266" s="46" t="s">
        <v>340</v>
      </c>
      <c r="C266" s="46" t="s">
        <v>309</v>
      </c>
      <c r="D266" s="46" t="s">
        <v>349</v>
      </c>
      <c r="E266" s="46" t="s">
        <v>314</v>
      </c>
      <c r="F266" s="46"/>
      <c r="G266" s="46"/>
      <c r="H266" s="46"/>
      <c r="I266" s="46"/>
      <c r="J266" s="46"/>
      <c r="K266" s="46"/>
      <c r="L266" s="46"/>
      <c r="M266" s="46"/>
      <c r="N266" s="46"/>
      <c r="O266" s="46"/>
      <c r="P266" s="46"/>
      <c r="Q266" s="46" t="s">
        <v>343</v>
      </c>
    </row>
    <row r="267" spans="1:17" x14ac:dyDescent="0.25">
      <c r="A267" s="46" t="s">
        <v>58</v>
      </c>
      <c r="B267" s="46" t="s">
        <v>340</v>
      </c>
      <c r="C267" s="46" t="s">
        <v>309</v>
      </c>
      <c r="D267" s="46" t="s">
        <v>350</v>
      </c>
      <c r="E267" s="46" t="s">
        <v>97</v>
      </c>
      <c r="F267" s="46"/>
      <c r="G267" s="46"/>
      <c r="H267" s="46"/>
      <c r="I267" s="46"/>
      <c r="J267" s="46"/>
      <c r="K267" s="46"/>
      <c r="L267" s="46"/>
      <c r="M267" s="46"/>
      <c r="N267" s="46"/>
      <c r="O267" s="46"/>
      <c r="P267" s="46"/>
      <c r="Q267" s="46" t="s">
        <v>346</v>
      </c>
    </row>
    <row r="268" spans="1:17" x14ac:dyDescent="0.25">
      <c r="A268" s="46" t="s">
        <v>58</v>
      </c>
      <c r="B268" s="46" t="s">
        <v>340</v>
      </c>
      <c r="C268" s="46" t="s">
        <v>309</v>
      </c>
      <c r="D268" s="46" t="s">
        <v>351</v>
      </c>
      <c r="E268" s="46" t="s">
        <v>352</v>
      </c>
      <c r="F268" s="46"/>
      <c r="G268" s="46"/>
      <c r="H268" s="46"/>
      <c r="I268" s="46"/>
      <c r="J268" s="46"/>
      <c r="K268" s="46"/>
      <c r="L268" s="46"/>
      <c r="M268" s="46"/>
      <c r="N268" s="46"/>
      <c r="O268" s="46"/>
      <c r="P268" s="46"/>
      <c r="Q268" s="46"/>
    </row>
    <row r="269" spans="1:17" x14ac:dyDescent="0.25">
      <c r="A269" s="46" t="s">
        <v>58</v>
      </c>
      <c r="B269" s="46" t="s">
        <v>340</v>
      </c>
      <c r="C269" s="46" t="s">
        <v>309</v>
      </c>
      <c r="D269" s="46" t="s">
        <v>316</v>
      </c>
      <c r="E269" s="46" t="s">
        <v>335</v>
      </c>
      <c r="F269" s="46"/>
      <c r="G269" s="46"/>
      <c r="H269" s="46"/>
      <c r="I269" s="46"/>
      <c r="J269" s="46"/>
      <c r="K269" s="46"/>
      <c r="L269" s="46"/>
      <c r="M269" s="46"/>
      <c r="N269" s="46"/>
      <c r="O269" s="46"/>
      <c r="P269" s="46"/>
      <c r="Q269" s="46"/>
    </row>
    <row r="270" spans="1:17" x14ac:dyDescent="0.25">
      <c r="A270" s="46" t="s">
        <v>58</v>
      </c>
      <c r="B270" s="46" t="s">
        <v>340</v>
      </c>
      <c r="C270" s="46" t="s">
        <v>309</v>
      </c>
      <c r="D270" s="46" t="s">
        <v>317</v>
      </c>
      <c r="E270" s="46" t="s">
        <v>353</v>
      </c>
      <c r="F270" s="46"/>
      <c r="G270" s="46"/>
      <c r="H270" s="46"/>
      <c r="I270" s="46"/>
      <c r="J270" s="46"/>
      <c r="K270" s="46"/>
      <c r="L270" s="46"/>
      <c r="M270" s="46"/>
      <c r="N270" s="46"/>
      <c r="O270" s="46"/>
      <c r="P270" s="46"/>
      <c r="Q270" s="46"/>
    </row>
    <row r="271" spans="1:17" x14ac:dyDescent="0.25">
      <c r="A271" s="46" t="s">
        <v>58</v>
      </c>
      <c r="B271" s="46" t="s">
        <v>340</v>
      </c>
      <c r="C271" s="46" t="s">
        <v>309</v>
      </c>
      <c r="D271" s="46" t="s">
        <v>320</v>
      </c>
      <c r="E271" s="46" t="s">
        <v>89</v>
      </c>
      <c r="F271" s="46"/>
      <c r="G271" s="46"/>
      <c r="H271" s="46"/>
      <c r="I271" s="46"/>
      <c r="J271" s="46"/>
      <c r="K271" s="46"/>
      <c r="L271" s="46"/>
      <c r="M271" s="46"/>
      <c r="N271" s="46"/>
      <c r="O271" s="46"/>
      <c r="P271" s="46"/>
      <c r="Q271" s="46"/>
    </row>
    <row r="272" spans="1:17" x14ac:dyDescent="0.25">
      <c r="A272" s="46" t="s">
        <v>58</v>
      </c>
      <c r="B272" s="46" t="s">
        <v>340</v>
      </c>
      <c r="C272" s="46" t="s">
        <v>309</v>
      </c>
      <c r="D272" s="46" t="s">
        <v>322</v>
      </c>
      <c r="E272" s="46" t="s">
        <v>97</v>
      </c>
      <c r="F272" s="46"/>
      <c r="G272" s="46"/>
      <c r="H272" s="46"/>
      <c r="I272" s="46"/>
      <c r="J272" s="46"/>
      <c r="K272" s="46"/>
      <c r="L272" s="46"/>
      <c r="M272" s="46"/>
      <c r="N272" s="46"/>
      <c r="O272" s="46"/>
      <c r="P272" s="46"/>
      <c r="Q272" s="46"/>
    </row>
    <row r="273" spans="1:17" x14ac:dyDescent="0.25">
      <c r="A273" s="46" t="s">
        <v>58</v>
      </c>
      <c r="B273" s="46" t="s">
        <v>340</v>
      </c>
      <c r="C273" s="46" t="s">
        <v>309</v>
      </c>
      <c r="D273" s="46" t="s">
        <v>324</v>
      </c>
      <c r="E273" s="46" t="s">
        <v>237</v>
      </c>
      <c r="F273" s="46"/>
      <c r="G273" s="46"/>
      <c r="H273" s="46"/>
      <c r="I273" s="46"/>
      <c r="J273" s="46"/>
      <c r="K273" s="46"/>
      <c r="L273" s="46"/>
      <c r="M273" s="46"/>
      <c r="N273" s="46"/>
      <c r="O273" s="46"/>
      <c r="P273" s="46"/>
      <c r="Q273" s="46"/>
    </row>
    <row r="274" spans="1:17" x14ac:dyDescent="0.25">
      <c r="A274" s="46" t="s">
        <v>58</v>
      </c>
      <c r="B274" s="46" t="s">
        <v>340</v>
      </c>
      <c r="C274" s="46" t="s">
        <v>309</v>
      </c>
      <c r="D274" s="46" t="s">
        <v>354</v>
      </c>
      <c r="E274" s="46" t="s">
        <v>97</v>
      </c>
      <c r="F274" s="46"/>
      <c r="G274" s="46"/>
      <c r="H274" s="46"/>
      <c r="I274" s="46"/>
      <c r="J274" s="46"/>
      <c r="K274" s="46"/>
      <c r="L274" s="46"/>
      <c r="M274" s="46"/>
      <c r="N274" s="46"/>
      <c r="O274" s="46"/>
      <c r="P274" s="46"/>
      <c r="Q274" s="46"/>
    </row>
    <row r="275" spans="1:17" x14ac:dyDescent="0.25">
      <c r="A275" s="46" t="s">
        <v>58</v>
      </c>
      <c r="B275" s="46" t="s">
        <v>340</v>
      </c>
      <c r="C275" s="46" t="s">
        <v>309</v>
      </c>
      <c r="D275" s="46" t="s">
        <v>326</v>
      </c>
      <c r="E275" s="46" t="s">
        <v>355</v>
      </c>
      <c r="F275" s="46"/>
      <c r="G275" s="46"/>
      <c r="H275" s="46"/>
      <c r="I275" s="46"/>
      <c r="J275" s="46"/>
      <c r="K275" s="46"/>
      <c r="L275" s="46"/>
      <c r="M275" s="46"/>
      <c r="N275" s="46"/>
      <c r="O275" s="46"/>
      <c r="P275" s="46"/>
      <c r="Q275" s="46"/>
    </row>
    <row r="276" spans="1:17" x14ac:dyDescent="0.25">
      <c r="A276" s="46" t="s">
        <v>58</v>
      </c>
      <c r="B276" s="46" t="s">
        <v>340</v>
      </c>
      <c r="C276" s="46" t="s">
        <v>309</v>
      </c>
      <c r="D276" s="46" t="s">
        <v>356</v>
      </c>
      <c r="E276" s="46" t="s">
        <v>82</v>
      </c>
      <c r="F276" s="46"/>
      <c r="G276" s="46"/>
      <c r="H276" s="46"/>
      <c r="I276" s="46"/>
      <c r="J276" s="46"/>
      <c r="K276" s="46"/>
      <c r="L276" s="46"/>
      <c r="M276" s="46"/>
      <c r="N276" s="46"/>
      <c r="O276" s="46"/>
      <c r="P276" s="46"/>
      <c r="Q276" s="46"/>
    </row>
    <row r="277" spans="1:17" x14ac:dyDescent="0.25">
      <c r="A277" s="46" t="s">
        <v>58</v>
      </c>
      <c r="B277" s="46" t="s">
        <v>340</v>
      </c>
      <c r="C277" s="46" t="s">
        <v>309</v>
      </c>
      <c r="D277" s="46" t="s">
        <v>357</v>
      </c>
      <c r="E277" s="98" t="s">
        <v>358</v>
      </c>
      <c r="F277" s="46"/>
      <c r="G277" s="46"/>
      <c r="H277" s="46"/>
      <c r="I277" s="46"/>
      <c r="J277" s="46"/>
      <c r="K277" s="46"/>
      <c r="L277" s="46"/>
      <c r="M277" s="46"/>
      <c r="N277" s="46"/>
      <c r="O277" s="46"/>
      <c r="P277" s="46"/>
      <c r="Q277" s="46" t="s">
        <v>359</v>
      </c>
    </row>
    <row r="278" spans="1:17" x14ac:dyDescent="0.25">
      <c r="A278" s="46" t="s">
        <v>58</v>
      </c>
      <c r="B278" s="46" t="s">
        <v>340</v>
      </c>
      <c r="C278" s="46" t="s">
        <v>309</v>
      </c>
      <c r="D278" s="46" t="s">
        <v>360</v>
      </c>
      <c r="E278" s="98">
        <v>2</v>
      </c>
      <c r="F278" s="46"/>
      <c r="G278" s="46"/>
      <c r="H278" s="46"/>
      <c r="I278" s="46"/>
      <c r="J278" s="46"/>
      <c r="K278" s="46"/>
      <c r="L278" s="46"/>
      <c r="M278" s="46"/>
      <c r="N278" s="46"/>
      <c r="O278" s="46"/>
      <c r="P278" s="46"/>
      <c r="Q278" s="46" t="s">
        <v>361</v>
      </c>
    </row>
    <row r="279" spans="1:17" x14ac:dyDescent="0.25">
      <c r="A279" s="46" t="s">
        <v>58</v>
      </c>
      <c r="B279" s="46" t="s">
        <v>340</v>
      </c>
      <c r="C279" s="46" t="s">
        <v>309</v>
      </c>
      <c r="D279" s="46" t="s">
        <v>362</v>
      </c>
      <c r="E279" s="98" t="s">
        <v>358</v>
      </c>
      <c r="F279" s="46"/>
      <c r="G279" s="46"/>
      <c r="H279" s="46"/>
      <c r="I279" s="46"/>
      <c r="J279" s="46"/>
      <c r="K279" s="46"/>
      <c r="L279" s="46"/>
      <c r="M279" s="46"/>
      <c r="N279" s="46"/>
      <c r="O279" s="46"/>
      <c r="P279" s="46"/>
      <c r="Q279" s="46" t="s">
        <v>359</v>
      </c>
    </row>
    <row r="280" spans="1:17" x14ac:dyDescent="0.25">
      <c r="A280" s="46" t="s">
        <v>58</v>
      </c>
      <c r="B280" s="46" t="s">
        <v>340</v>
      </c>
      <c r="C280" s="46" t="s">
        <v>309</v>
      </c>
      <c r="D280" s="46" t="s">
        <v>363</v>
      </c>
      <c r="E280" s="98">
        <v>1</v>
      </c>
      <c r="F280" s="46"/>
      <c r="G280" s="46"/>
      <c r="H280" s="46"/>
      <c r="I280" s="46"/>
      <c r="J280" s="46"/>
      <c r="K280" s="46"/>
      <c r="L280" s="46"/>
      <c r="M280" s="46"/>
      <c r="N280" s="46"/>
      <c r="O280" s="46"/>
      <c r="P280" s="46"/>
      <c r="Q280" s="46" t="s">
        <v>361</v>
      </c>
    </row>
    <row r="281" spans="1:17" x14ac:dyDescent="0.25">
      <c r="A281" s="46" t="s">
        <v>58</v>
      </c>
      <c r="B281" s="46" t="s">
        <v>340</v>
      </c>
      <c r="C281" s="46" t="s">
        <v>309</v>
      </c>
      <c r="D281" s="46" t="s">
        <v>364</v>
      </c>
      <c r="E281" s="98" t="b">
        <v>0</v>
      </c>
      <c r="F281" s="46"/>
      <c r="G281" s="46"/>
      <c r="H281" s="46"/>
      <c r="I281" s="46"/>
      <c r="J281" s="46"/>
      <c r="K281" s="46"/>
      <c r="L281" s="46"/>
      <c r="M281" s="46"/>
      <c r="N281" s="46"/>
      <c r="O281" s="46"/>
      <c r="P281" s="46"/>
      <c r="Q281" s="46" t="s">
        <v>359</v>
      </c>
    </row>
    <row r="282" spans="1:17" x14ac:dyDescent="0.25">
      <c r="A282" s="46" t="s">
        <v>58</v>
      </c>
      <c r="B282" s="46" t="s">
        <v>340</v>
      </c>
      <c r="C282" s="46" t="s">
        <v>309</v>
      </c>
      <c r="D282" s="46" t="s">
        <v>365</v>
      </c>
      <c r="E282" s="98">
        <v>4</v>
      </c>
      <c r="F282" s="46"/>
      <c r="G282" s="46"/>
      <c r="H282" s="46"/>
      <c r="I282" s="46"/>
      <c r="J282" s="46"/>
      <c r="K282" s="46"/>
      <c r="L282" s="46"/>
      <c r="M282" s="46"/>
      <c r="N282" s="46"/>
      <c r="O282" s="46"/>
      <c r="P282" s="46"/>
      <c r="Q282" s="46" t="s">
        <v>361</v>
      </c>
    </row>
    <row r="283" spans="1:17" x14ac:dyDescent="0.25">
      <c r="A283" s="46" t="s">
        <v>58</v>
      </c>
      <c r="B283" s="46" t="s">
        <v>340</v>
      </c>
      <c r="C283" s="46" t="s">
        <v>309</v>
      </c>
      <c r="D283" s="46" t="s">
        <v>366</v>
      </c>
      <c r="E283" s="98" t="b">
        <v>1</v>
      </c>
      <c r="F283" s="46"/>
      <c r="G283" s="46"/>
      <c r="H283" s="46"/>
      <c r="I283" s="46"/>
      <c r="J283" s="46"/>
      <c r="K283" s="46"/>
      <c r="L283" s="46"/>
      <c r="M283" s="46"/>
      <c r="N283" s="46"/>
      <c r="O283" s="46"/>
      <c r="P283" s="46"/>
      <c r="Q283" s="46" t="s">
        <v>359</v>
      </c>
    </row>
    <row r="284" spans="1:17" x14ac:dyDescent="0.25">
      <c r="A284" s="46" t="s">
        <v>58</v>
      </c>
      <c r="B284" s="46" t="s">
        <v>340</v>
      </c>
      <c r="C284" s="46" t="s">
        <v>309</v>
      </c>
      <c r="D284" s="46" t="s">
        <v>367</v>
      </c>
      <c r="E284" s="98">
        <v>7</v>
      </c>
      <c r="F284" s="46"/>
      <c r="G284" s="46"/>
      <c r="H284" s="46"/>
      <c r="I284" s="46"/>
      <c r="J284" s="46"/>
      <c r="K284" s="46"/>
      <c r="L284" s="46"/>
      <c r="M284" s="46"/>
      <c r="N284" s="46"/>
      <c r="O284" s="46"/>
      <c r="P284" s="46"/>
      <c r="Q284" s="46" t="s">
        <v>361</v>
      </c>
    </row>
    <row r="285" spans="1:17" x14ac:dyDescent="0.25">
      <c r="A285" s="46" t="s">
        <v>58</v>
      </c>
      <c r="B285" s="46" t="s">
        <v>340</v>
      </c>
      <c r="C285" s="46" t="s">
        <v>309</v>
      </c>
      <c r="D285" s="46" t="s">
        <v>368</v>
      </c>
      <c r="E285" s="98" t="s">
        <v>358</v>
      </c>
      <c r="F285" s="46"/>
      <c r="G285" s="46"/>
      <c r="H285" s="46"/>
      <c r="I285" s="46"/>
      <c r="J285" s="46"/>
      <c r="K285" s="46"/>
      <c r="L285" s="46"/>
      <c r="M285" s="46"/>
      <c r="N285" s="46"/>
      <c r="O285" s="46"/>
      <c r="P285" s="46"/>
      <c r="Q285" s="46" t="s">
        <v>359</v>
      </c>
    </row>
    <row r="286" spans="1:17" x14ac:dyDescent="0.25">
      <c r="A286" s="46" t="s">
        <v>58</v>
      </c>
      <c r="B286" s="46" t="s">
        <v>340</v>
      </c>
      <c r="C286" s="46" t="s">
        <v>309</v>
      </c>
      <c r="D286" s="46" t="s">
        <v>369</v>
      </c>
      <c r="E286" s="98">
        <v>12</v>
      </c>
      <c r="F286" s="46"/>
      <c r="G286" s="46"/>
      <c r="H286" s="46"/>
      <c r="I286" s="46"/>
      <c r="J286" s="46"/>
      <c r="K286" s="46"/>
      <c r="L286" s="46"/>
      <c r="M286" s="46"/>
      <c r="N286" s="46"/>
      <c r="O286" s="46"/>
      <c r="P286" s="46"/>
      <c r="Q286" s="46" t="s">
        <v>361</v>
      </c>
    </row>
    <row r="287" spans="1:17" x14ac:dyDescent="0.25">
      <c r="A287" s="46" t="s">
        <v>58</v>
      </c>
      <c r="B287" s="46" t="s">
        <v>370</v>
      </c>
      <c r="C287" s="46" t="s">
        <v>309</v>
      </c>
      <c r="D287" s="46" t="s">
        <v>310</v>
      </c>
      <c r="E287" s="46" t="s">
        <v>314</v>
      </c>
      <c r="F287" s="46"/>
      <c r="G287" s="46"/>
      <c r="H287" s="46"/>
      <c r="I287" s="46"/>
      <c r="J287" s="46"/>
      <c r="K287" s="46"/>
      <c r="L287" s="46"/>
      <c r="M287" s="46"/>
      <c r="N287" s="46"/>
      <c r="O287" s="46"/>
      <c r="P287" s="46"/>
      <c r="Q287" s="46"/>
    </row>
    <row r="288" spans="1:17" x14ac:dyDescent="0.25">
      <c r="A288" s="46" t="s">
        <v>58</v>
      </c>
      <c r="B288" s="46" t="s">
        <v>370</v>
      </c>
      <c r="C288" s="46" t="s">
        <v>309</v>
      </c>
      <c r="D288" s="46" t="s">
        <v>316</v>
      </c>
      <c r="E288" s="46" t="s">
        <v>97</v>
      </c>
      <c r="F288" s="46"/>
      <c r="G288" s="46"/>
      <c r="H288" s="46"/>
      <c r="I288" s="46"/>
      <c r="J288" s="46"/>
      <c r="K288" s="46"/>
      <c r="L288" s="46"/>
      <c r="M288" s="46"/>
      <c r="N288" s="46"/>
      <c r="O288" s="46"/>
      <c r="P288" s="46"/>
      <c r="Q288" s="46"/>
    </row>
    <row r="289" spans="1:17" x14ac:dyDescent="0.25">
      <c r="A289" s="46" t="s">
        <v>58</v>
      </c>
      <c r="B289" s="46" t="s">
        <v>370</v>
      </c>
      <c r="C289" s="46" t="s">
        <v>309</v>
      </c>
      <c r="D289" s="46" t="s">
        <v>317</v>
      </c>
      <c r="E289" s="46" t="s">
        <v>318</v>
      </c>
      <c r="F289" s="46"/>
      <c r="G289" s="46"/>
      <c r="H289" s="46"/>
      <c r="I289" s="46"/>
      <c r="J289" s="46"/>
      <c r="K289" s="46"/>
      <c r="L289" s="46"/>
      <c r="M289" s="46"/>
      <c r="N289" s="46"/>
      <c r="O289" s="46"/>
      <c r="P289" s="46"/>
      <c r="Q289" s="46"/>
    </row>
    <row r="290" spans="1:17" x14ac:dyDescent="0.25">
      <c r="A290" s="46" t="s">
        <v>58</v>
      </c>
      <c r="B290" s="46" t="s">
        <v>370</v>
      </c>
      <c r="C290" s="46" t="s">
        <v>309</v>
      </c>
      <c r="D290" s="46" t="s">
        <v>320</v>
      </c>
      <c r="E290" s="46" t="s">
        <v>89</v>
      </c>
      <c r="F290" s="46"/>
      <c r="G290" s="46"/>
      <c r="H290" s="46"/>
      <c r="I290" s="46"/>
      <c r="J290" s="46"/>
      <c r="K290" s="46"/>
      <c r="L290" s="46"/>
      <c r="M290" s="46"/>
      <c r="N290" s="46"/>
      <c r="O290" s="46"/>
      <c r="P290" s="46"/>
      <c r="Q290" s="46"/>
    </row>
    <row r="291" spans="1:17" x14ac:dyDescent="0.25">
      <c r="A291" s="46" t="s">
        <v>58</v>
      </c>
      <c r="B291" s="46" t="s">
        <v>370</v>
      </c>
      <c r="C291" s="46" t="s">
        <v>309</v>
      </c>
      <c r="D291" s="46" t="s">
        <v>322</v>
      </c>
      <c r="E291" s="46" t="s">
        <v>97</v>
      </c>
      <c r="F291" s="46"/>
      <c r="G291" s="46"/>
      <c r="H291" s="46"/>
      <c r="I291" s="46"/>
      <c r="J291" s="46"/>
      <c r="K291" s="46"/>
      <c r="L291" s="46"/>
      <c r="M291" s="46"/>
      <c r="N291" s="46"/>
      <c r="O291" s="46"/>
      <c r="P291" s="46"/>
      <c r="Q291" s="46"/>
    </row>
    <row r="292" spans="1:17" x14ac:dyDescent="0.25">
      <c r="A292" s="46" t="s">
        <v>58</v>
      </c>
      <c r="B292" s="46" t="s">
        <v>370</v>
      </c>
      <c r="C292" s="46" t="s">
        <v>309</v>
      </c>
      <c r="D292" s="46" t="s">
        <v>324</v>
      </c>
      <c r="E292" s="46" t="s">
        <v>237</v>
      </c>
      <c r="F292" s="46"/>
      <c r="G292" s="46"/>
      <c r="H292" s="46"/>
      <c r="I292" s="46"/>
      <c r="J292" s="46"/>
      <c r="K292" s="46"/>
      <c r="L292" s="46"/>
      <c r="M292" s="46"/>
      <c r="N292" s="46"/>
      <c r="O292" s="46"/>
      <c r="P292" s="46"/>
      <c r="Q292" s="46"/>
    </row>
    <row r="293" spans="1:17" x14ac:dyDescent="0.25">
      <c r="A293" s="46" t="s">
        <v>58</v>
      </c>
      <c r="B293" s="46" t="s">
        <v>370</v>
      </c>
      <c r="C293" s="46" t="s">
        <v>309</v>
      </c>
      <c r="D293" s="46" t="s">
        <v>354</v>
      </c>
      <c r="E293" s="46" t="s">
        <v>97</v>
      </c>
      <c r="F293" s="46"/>
      <c r="G293" s="46"/>
      <c r="H293" s="46"/>
      <c r="I293" s="46"/>
      <c r="J293" s="46"/>
      <c r="K293" s="46"/>
      <c r="L293" s="46"/>
      <c r="M293" s="46"/>
      <c r="N293" s="46"/>
      <c r="O293" s="46"/>
      <c r="P293" s="46"/>
      <c r="Q293" s="46"/>
    </row>
    <row r="294" spans="1:17" x14ac:dyDescent="0.25">
      <c r="A294" s="46" t="s">
        <v>58</v>
      </c>
      <c r="B294" s="46" t="s">
        <v>370</v>
      </c>
      <c r="C294" s="46" t="s">
        <v>309</v>
      </c>
      <c r="D294" s="46" t="s">
        <v>326</v>
      </c>
      <c r="E294" s="46" t="s">
        <v>355</v>
      </c>
      <c r="F294" s="46"/>
      <c r="G294" s="46"/>
      <c r="H294" s="46"/>
      <c r="I294" s="46"/>
      <c r="J294" s="46"/>
      <c r="K294" s="46"/>
      <c r="L294" s="46"/>
      <c r="M294" s="46"/>
      <c r="N294" s="46"/>
      <c r="O294" s="46"/>
      <c r="P294" s="46"/>
      <c r="Q294" s="46"/>
    </row>
    <row r="295" spans="1:17" x14ac:dyDescent="0.25">
      <c r="A295" s="46" t="s">
        <v>58</v>
      </c>
      <c r="B295" s="46" t="s">
        <v>370</v>
      </c>
      <c r="C295" s="46" t="s">
        <v>309</v>
      </c>
      <c r="D295" s="46" t="s">
        <v>371</v>
      </c>
      <c r="E295" s="46" t="s">
        <v>312</v>
      </c>
      <c r="F295" s="46"/>
      <c r="G295" s="46"/>
      <c r="H295" s="46"/>
      <c r="I295" s="46"/>
      <c r="J295" s="46"/>
      <c r="K295" s="46"/>
      <c r="L295" s="46"/>
      <c r="M295" s="46"/>
      <c r="N295" s="46"/>
      <c r="O295" s="46"/>
      <c r="P295" s="46"/>
      <c r="Q295" s="46"/>
    </row>
    <row r="296" spans="1:17" x14ac:dyDescent="0.25">
      <c r="A296" s="46" t="s">
        <v>58</v>
      </c>
      <c r="B296" s="46" t="s">
        <v>370</v>
      </c>
      <c r="C296" s="46" t="s">
        <v>309</v>
      </c>
      <c r="D296" s="46" t="s">
        <v>356</v>
      </c>
      <c r="E296" s="46" t="s">
        <v>82</v>
      </c>
      <c r="F296" s="46"/>
      <c r="G296" s="46"/>
      <c r="H296" s="46"/>
      <c r="I296" s="46"/>
      <c r="J296" s="46"/>
      <c r="K296" s="46"/>
      <c r="L296" s="46"/>
      <c r="M296" s="46"/>
      <c r="N296" s="46"/>
      <c r="O296" s="46"/>
      <c r="P296" s="46"/>
      <c r="Q296" s="46"/>
    </row>
    <row r="297" spans="1:17" x14ac:dyDescent="0.25">
      <c r="A297" s="46" t="s">
        <v>58</v>
      </c>
      <c r="B297" s="46" t="s">
        <v>370</v>
      </c>
      <c r="C297" s="46" t="s">
        <v>309</v>
      </c>
      <c r="D297" s="46" t="s">
        <v>357</v>
      </c>
      <c r="E297" s="98" t="s">
        <v>372</v>
      </c>
      <c r="F297" s="46"/>
      <c r="G297" s="46"/>
      <c r="H297" s="46"/>
      <c r="I297" s="46"/>
      <c r="J297" s="46"/>
      <c r="K297" s="46"/>
      <c r="L297" s="46"/>
      <c r="M297" s="46"/>
      <c r="N297" s="46"/>
      <c r="O297" s="46"/>
      <c r="P297" s="46"/>
      <c r="Q297" s="46" t="s">
        <v>359</v>
      </c>
    </row>
    <row r="298" spans="1:17" x14ac:dyDescent="0.25">
      <c r="A298" s="46" t="s">
        <v>58</v>
      </c>
      <c r="B298" s="46" t="s">
        <v>370</v>
      </c>
      <c r="C298" s="46" t="s">
        <v>309</v>
      </c>
      <c r="D298" s="46" t="s">
        <v>360</v>
      </c>
      <c r="E298" s="98">
        <v>12</v>
      </c>
      <c r="F298" s="46"/>
      <c r="G298" s="46"/>
      <c r="H298" s="46"/>
      <c r="I298" s="46"/>
      <c r="J298" s="46"/>
      <c r="K298" s="46"/>
      <c r="L298" s="46"/>
      <c r="M298" s="46"/>
      <c r="N298" s="46"/>
      <c r="O298" s="46"/>
      <c r="P298" s="46"/>
      <c r="Q298" s="46" t="s">
        <v>361</v>
      </c>
    </row>
    <row r="299" spans="1:17" x14ac:dyDescent="0.25">
      <c r="A299" s="46" t="s">
        <v>58</v>
      </c>
      <c r="B299" s="46" t="s">
        <v>370</v>
      </c>
      <c r="C299" s="46" t="s">
        <v>309</v>
      </c>
      <c r="D299" s="46" t="s">
        <v>362</v>
      </c>
      <c r="E299" s="98" t="s">
        <v>372</v>
      </c>
      <c r="F299" s="46"/>
      <c r="G299" s="46"/>
      <c r="H299" s="46"/>
      <c r="I299" s="46"/>
      <c r="J299" s="46"/>
      <c r="K299" s="46"/>
      <c r="L299" s="46"/>
      <c r="M299" s="46"/>
      <c r="N299" s="46"/>
      <c r="O299" s="46"/>
      <c r="P299" s="46"/>
      <c r="Q299" s="46" t="s">
        <v>359</v>
      </c>
    </row>
    <row r="300" spans="1:17" x14ac:dyDescent="0.25">
      <c r="A300" s="46" t="s">
        <v>58</v>
      </c>
      <c r="B300" s="46" t="s">
        <v>370</v>
      </c>
      <c r="C300" s="46" t="s">
        <v>309</v>
      </c>
      <c r="D300" s="46" t="s">
        <v>363</v>
      </c>
      <c r="E300" s="98">
        <v>8</v>
      </c>
      <c r="F300" s="46"/>
      <c r="G300" s="46"/>
      <c r="H300" s="46"/>
      <c r="I300" s="46"/>
      <c r="J300" s="46"/>
      <c r="K300" s="46"/>
      <c r="L300" s="46"/>
      <c r="M300" s="46"/>
      <c r="N300" s="46"/>
      <c r="O300" s="46"/>
      <c r="P300" s="46"/>
      <c r="Q300" s="46" t="s">
        <v>361</v>
      </c>
    </row>
    <row r="301" spans="1:17" x14ac:dyDescent="0.25">
      <c r="A301" s="46" t="s">
        <v>58</v>
      </c>
      <c r="B301" s="46" t="s">
        <v>370</v>
      </c>
      <c r="C301" s="46" t="s">
        <v>309</v>
      </c>
      <c r="D301" s="46" t="s">
        <v>364</v>
      </c>
      <c r="E301" s="98" t="s">
        <v>372</v>
      </c>
      <c r="F301" s="46"/>
      <c r="G301" s="46"/>
      <c r="H301" s="46"/>
      <c r="I301" s="46"/>
      <c r="J301" s="46"/>
      <c r="K301" s="46"/>
      <c r="L301" s="46"/>
      <c r="M301" s="46"/>
      <c r="N301" s="46"/>
      <c r="O301" s="46"/>
      <c r="P301" s="46"/>
      <c r="Q301" s="46" t="s">
        <v>359</v>
      </c>
    </row>
    <row r="302" spans="1:17" x14ac:dyDescent="0.25">
      <c r="A302" s="46" t="s">
        <v>58</v>
      </c>
      <c r="B302" s="46" t="s">
        <v>370</v>
      </c>
      <c r="C302" s="46" t="s">
        <v>309</v>
      </c>
      <c r="D302" s="46" t="s">
        <v>365</v>
      </c>
      <c r="E302" s="98">
        <v>38</v>
      </c>
      <c r="F302" s="46"/>
      <c r="G302" s="46"/>
      <c r="H302" s="46"/>
      <c r="I302" s="46"/>
      <c r="J302" s="46"/>
      <c r="K302" s="46"/>
      <c r="L302" s="46"/>
      <c r="M302" s="46"/>
      <c r="N302" s="46"/>
      <c r="O302" s="46"/>
      <c r="P302" s="46"/>
      <c r="Q302" s="46" t="s">
        <v>361</v>
      </c>
    </row>
    <row r="303" spans="1:17" x14ac:dyDescent="0.25">
      <c r="A303" s="46" t="s">
        <v>58</v>
      </c>
      <c r="B303" s="46" t="s">
        <v>370</v>
      </c>
      <c r="C303" s="46" t="s">
        <v>309</v>
      </c>
      <c r="D303" s="46" t="s">
        <v>366</v>
      </c>
      <c r="E303" s="98" t="s">
        <v>372</v>
      </c>
      <c r="F303" s="46"/>
      <c r="G303" s="46"/>
      <c r="H303" s="46"/>
      <c r="I303" s="46"/>
      <c r="J303" s="46"/>
      <c r="K303" s="46"/>
      <c r="L303" s="46"/>
      <c r="M303" s="46"/>
      <c r="N303" s="46"/>
      <c r="O303" s="46"/>
      <c r="P303" s="46"/>
      <c r="Q303" s="46" t="s">
        <v>359</v>
      </c>
    </row>
    <row r="304" spans="1:17" x14ac:dyDescent="0.25">
      <c r="A304" s="46" t="s">
        <v>58</v>
      </c>
      <c r="B304" s="46" t="s">
        <v>370</v>
      </c>
      <c r="C304" s="46" t="s">
        <v>309</v>
      </c>
      <c r="D304" s="46" t="s">
        <v>367</v>
      </c>
      <c r="E304" s="98">
        <v>7</v>
      </c>
      <c r="F304" s="46"/>
      <c r="G304" s="46"/>
      <c r="H304" s="46"/>
      <c r="I304" s="46"/>
      <c r="J304" s="46"/>
      <c r="K304" s="46"/>
      <c r="L304" s="46"/>
      <c r="M304" s="46"/>
      <c r="N304" s="46"/>
      <c r="O304" s="46"/>
      <c r="P304" s="46"/>
      <c r="Q304" s="46" t="s">
        <v>361</v>
      </c>
    </row>
    <row r="305" spans="1:17" x14ac:dyDescent="0.25">
      <c r="A305" s="46" t="s">
        <v>58</v>
      </c>
      <c r="B305" s="46" t="s">
        <v>370</v>
      </c>
      <c r="C305" s="46" t="s">
        <v>309</v>
      </c>
      <c r="D305" s="46" t="s">
        <v>373</v>
      </c>
      <c r="E305" s="98" t="b">
        <v>1</v>
      </c>
      <c r="F305" s="46"/>
      <c r="G305" s="46"/>
      <c r="H305" s="46"/>
      <c r="I305" s="46"/>
      <c r="J305" s="46"/>
      <c r="K305" s="46"/>
      <c r="L305" s="46"/>
      <c r="M305" s="46"/>
      <c r="N305" s="46"/>
      <c r="O305" s="46"/>
      <c r="P305" s="46"/>
      <c r="Q305" s="46" t="s">
        <v>359</v>
      </c>
    </row>
    <row r="306" spans="1:17" x14ac:dyDescent="0.25">
      <c r="A306" s="46" t="s">
        <v>58</v>
      </c>
      <c r="B306" s="46" t="s">
        <v>370</v>
      </c>
      <c r="C306" s="46" t="s">
        <v>309</v>
      </c>
      <c r="D306" s="46" t="s">
        <v>374</v>
      </c>
      <c r="E306" s="98">
        <v>12</v>
      </c>
      <c r="F306" s="46"/>
      <c r="G306" s="46"/>
      <c r="H306" s="46"/>
      <c r="I306" s="46"/>
      <c r="J306" s="46"/>
      <c r="K306" s="46"/>
      <c r="L306" s="46"/>
      <c r="M306" s="46"/>
      <c r="N306" s="46"/>
      <c r="O306" s="46"/>
      <c r="P306" s="46"/>
      <c r="Q306" s="46" t="s">
        <v>361</v>
      </c>
    </row>
    <row r="307" spans="1:17" x14ac:dyDescent="0.25">
      <c r="B307" s="46"/>
    </row>
  </sheetData>
  <mergeCells count="4">
    <mergeCell ref="F7:P7"/>
    <mergeCell ref="F8:P8"/>
    <mergeCell ref="F9:P9"/>
    <mergeCell ref="F5:P5"/>
  </mergeCell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9" tint="-0.499984740745262"/>
  </sheetPr>
  <dimension ref="B2:X22"/>
  <sheetViews>
    <sheetView workbookViewId="0">
      <selection activeCell="I14" sqref="I14"/>
    </sheetView>
  </sheetViews>
  <sheetFormatPr defaultColWidth="9.140625" defaultRowHeight="15" x14ac:dyDescent="0.25"/>
  <cols>
    <col min="1" max="1" width="9.140625" style="100" customWidth="1"/>
    <col min="2" max="2" width="10.85546875" style="100" bestFit="1" customWidth="1"/>
    <col min="3" max="3" width="6.28515625" style="100" bestFit="1" customWidth="1"/>
    <col min="4" max="4" width="9.140625" style="100" customWidth="1"/>
    <col min="5" max="5" width="9.7109375" style="100" bestFit="1" customWidth="1"/>
    <col min="6" max="7" width="9.42578125" style="100" bestFit="1" customWidth="1"/>
    <col min="8" max="8" width="9" style="100" bestFit="1" customWidth="1"/>
    <col min="9" max="9" width="9.85546875" style="100" customWidth="1"/>
    <col min="10" max="10" width="4.7109375" style="100" bestFit="1" customWidth="1"/>
    <col min="11" max="12" width="9" style="100" bestFit="1" customWidth="1"/>
    <col min="13" max="13" width="9.140625" style="100" customWidth="1"/>
    <col min="14" max="14" width="4.28515625" style="100" bestFit="1" customWidth="1"/>
    <col min="15" max="15" width="9.7109375" style="100" bestFit="1" customWidth="1"/>
    <col min="16" max="16" width="8.42578125" style="100" bestFit="1" customWidth="1"/>
    <col min="17" max="18" width="5.5703125" style="100" bestFit="1" customWidth="1"/>
    <col min="19" max="152" width="9.140625" style="100" customWidth="1"/>
    <col min="153" max="16384" width="9.140625" style="100"/>
  </cols>
  <sheetData>
    <row r="2" spans="2:24" x14ac:dyDescent="0.25">
      <c r="B2" s="109" t="s">
        <v>375</v>
      </c>
      <c r="C2" s="108"/>
      <c r="E2" s="110" t="s">
        <v>376</v>
      </c>
      <c r="F2" s="108"/>
      <c r="G2" s="108"/>
      <c r="H2" s="108"/>
      <c r="I2" s="108"/>
      <c r="J2" s="108"/>
      <c r="K2" s="108"/>
      <c r="L2" s="108"/>
      <c r="N2" s="111" t="s">
        <v>377</v>
      </c>
      <c r="O2" s="108"/>
      <c r="P2" s="108"/>
      <c r="Q2" s="108"/>
      <c r="R2" s="108"/>
    </row>
    <row r="4" spans="2:24" ht="30" customHeight="1" x14ac:dyDescent="0.25">
      <c r="B4" s="112" t="s">
        <v>378</v>
      </c>
      <c r="C4" s="108"/>
      <c r="E4" s="102" t="s">
        <v>379</v>
      </c>
      <c r="F4" s="1" t="s">
        <v>380</v>
      </c>
      <c r="G4" s="1" t="s">
        <v>381</v>
      </c>
      <c r="H4" s="2" t="s">
        <v>382</v>
      </c>
      <c r="I4" s="99"/>
      <c r="J4" s="102" t="s">
        <v>383</v>
      </c>
      <c r="K4" s="1" t="s">
        <v>384</v>
      </c>
      <c r="L4" s="3" t="s">
        <v>385</v>
      </c>
      <c r="N4" s="113" t="s">
        <v>386</v>
      </c>
      <c r="O4" s="108"/>
      <c r="P4" s="4" t="s">
        <v>387</v>
      </c>
      <c r="Q4" s="114" t="s">
        <v>388</v>
      </c>
      <c r="R4" s="108"/>
      <c r="T4" s="107" t="s">
        <v>389</v>
      </c>
      <c r="U4" s="108"/>
      <c r="V4" s="108"/>
      <c r="W4" s="108"/>
      <c r="X4" s="108"/>
    </row>
    <row r="5" spans="2:24" x14ac:dyDescent="0.25">
      <c r="B5" s="32" t="s">
        <v>390</v>
      </c>
      <c r="C5" s="32" t="s">
        <v>391</v>
      </c>
      <c r="E5" s="5" t="s">
        <v>392</v>
      </c>
      <c r="F5" s="6" t="s">
        <v>393</v>
      </c>
      <c r="G5" s="6" t="s">
        <v>393</v>
      </c>
      <c r="H5" s="7" t="s">
        <v>394</v>
      </c>
      <c r="I5" s="99"/>
      <c r="J5" s="5" t="s">
        <v>392</v>
      </c>
      <c r="K5" s="6" t="s">
        <v>394</v>
      </c>
      <c r="L5" s="8" t="s">
        <v>394</v>
      </c>
      <c r="N5" s="9" t="s">
        <v>395</v>
      </c>
      <c r="O5" s="101" t="s">
        <v>379</v>
      </c>
      <c r="P5" s="10" t="s">
        <v>383</v>
      </c>
      <c r="Q5" s="11" t="s">
        <v>384</v>
      </c>
      <c r="R5" s="12" t="s">
        <v>385</v>
      </c>
      <c r="T5" s="99" t="s">
        <v>380</v>
      </c>
      <c r="U5" s="99" t="s">
        <v>381</v>
      </c>
      <c r="V5" s="99" t="s">
        <v>382</v>
      </c>
      <c r="W5" s="99" t="s">
        <v>384</v>
      </c>
      <c r="X5" s="99" t="s">
        <v>385</v>
      </c>
    </row>
    <row r="6" spans="2:24" x14ac:dyDescent="0.25">
      <c r="B6" s="26" t="s">
        <v>396</v>
      </c>
      <c r="C6" s="26">
        <f>100/2</f>
        <v>50</v>
      </c>
      <c r="E6" s="13">
        <v>0</v>
      </c>
      <c r="F6" s="33">
        <v>8</v>
      </c>
      <c r="G6" s="33">
        <v>128</v>
      </c>
      <c r="H6" s="34">
        <v>50</v>
      </c>
      <c r="J6" s="13">
        <v>0</v>
      </c>
      <c r="K6" s="14">
        <v>0</v>
      </c>
      <c r="L6" s="15">
        <v>0</v>
      </c>
      <c r="N6" s="16" t="s">
        <v>392</v>
      </c>
      <c r="O6" s="17" t="s">
        <v>392</v>
      </c>
      <c r="P6" s="17" t="s">
        <v>392</v>
      </c>
      <c r="Q6" s="18" t="s">
        <v>397</v>
      </c>
      <c r="R6" s="19" t="s">
        <v>397</v>
      </c>
      <c r="T6" s="100" t="s">
        <v>393</v>
      </c>
      <c r="U6" s="100" t="s">
        <v>393</v>
      </c>
      <c r="V6" s="100" t="s">
        <v>394</v>
      </c>
      <c r="W6" s="100" t="s">
        <v>394</v>
      </c>
      <c r="X6" s="100" t="s">
        <v>394</v>
      </c>
    </row>
    <row r="7" spans="2:24" x14ac:dyDescent="0.25">
      <c r="B7" s="26" t="s">
        <v>398</v>
      </c>
      <c r="C7" s="26">
        <f>1804.8/2</f>
        <v>902.4</v>
      </c>
      <c r="E7" s="13">
        <v>1</v>
      </c>
      <c r="F7" s="33">
        <v>64</v>
      </c>
      <c r="G7" s="33">
        <v>128</v>
      </c>
      <c r="H7" s="34">
        <v>50</v>
      </c>
      <c r="J7" s="13">
        <v>1</v>
      </c>
      <c r="K7" s="33">
        <v>5</v>
      </c>
      <c r="L7" s="15">
        <v>30</v>
      </c>
      <c r="N7" s="20">
        <v>15</v>
      </c>
      <c r="O7" s="21">
        <v>3</v>
      </c>
      <c r="P7" s="21">
        <v>0</v>
      </c>
      <c r="Q7" s="22">
        <f t="shared" ref="Q7:Q18" si="0">(1/MC_CLK_MIN)*T7+(1/19.2)*(V7+W7)</f>
        <v>10.308333333333334</v>
      </c>
      <c r="R7" s="23">
        <f t="shared" ref="R7:R18" si="1">(1/19.2)*X7+0.6</f>
        <v>0.6</v>
      </c>
      <c r="T7" s="100">
        <f t="shared" ref="T7:T18" si="2">VLOOKUP($O7,MC_POLICY_TABLE,MC_POLICY_COL_CSPD,FALSE)</f>
        <v>255</v>
      </c>
      <c r="U7" s="100">
        <f t="shared" ref="U7:U18" si="3">VLOOKUP($O7,MC_POLICY_TABLE,MC_POLICY_COL_IPT,FALSE)</f>
        <v>128</v>
      </c>
      <c r="V7" s="100">
        <f t="shared" ref="V7:V18" si="4">VLOOKUP($O7,MC_POLICY_TABLE,MC_POLICY_COL_ABSR,FALSE)</f>
        <v>100</v>
      </c>
      <c r="W7" s="100">
        <f t="shared" ref="W7:W18" si="5">VLOOKUP($P7,S3_TABLE,S3_COL_ENTRY,FALSE)</f>
        <v>0</v>
      </c>
      <c r="X7" s="100">
        <f t="shared" ref="X7:X18" si="6">VLOOKUP($P7,S3_TABLE,S3_COL_EXIT,FALSE)</f>
        <v>0</v>
      </c>
    </row>
    <row r="8" spans="2:24" x14ac:dyDescent="0.25">
      <c r="E8" s="13">
        <v>2</v>
      </c>
      <c r="F8" s="33">
        <v>128</v>
      </c>
      <c r="G8" s="33">
        <v>128</v>
      </c>
      <c r="H8" s="34">
        <v>100</v>
      </c>
      <c r="J8" s="24">
        <v>2</v>
      </c>
      <c r="K8" s="35">
        <v>5</v>
      </c>
      <c r="L8" s="25">
        <v>1900</v>
      </c>
      <c r="N8" s="13">
        <v>14</v>
      </c>
      <c r="O8" s="26">
        <v>2</v>
      </c>
      <c r="P8" s="26">
        <v>0</v>
      </c>
      <c r="Q8" s="27">
        <f t="shared" si="0"/>
        <v>7.7683333333333344</v>
      </c>
      <c r="R8" s="28">
        <f t="shared" si="1"/>
        <v>0.6</v>
      </c>
      <c r="T8" s="100">
        <f t="shared" si="2"/>
        <v>128</v>
      </c>
      <c r="U8" s="100">
        <f t="shared" si="3"/>
        <v>128</v>
      </c>
      <c r="V8" s="100">
        <f t="shared" si="4"/>
        <v>100</v>
      </c>
      <c r="W8" s="100">
        <f t="shared" si="5"/>
        <v>0</v>
      </c>
      <c r="X8" s="100">
        <f t="shared" si="6"/>
        <v>0</v>
      </c>
    </row>
    <row r="9" spans="2:24" x14ac:dyDescent="0.25">
      <c r="E9" s="24">
        <v>3</v>
      </c>
      <c r="F9" s="35">
        <v>255</v>
      </c>
      <c r="G9" s="35">
        <v>128</v>
      </c>
      <c r="H9" s="36">
        <v>100</v>
      </c>
      <c r="N9" s="13">
        <v>13</v>
      </c>
      <c r="O9" s="26">
        <v>1</v>
      </c>
      <c r="P9" s="26">
        <v>0</v>
      </c>
      <c r="Q9" s="27">
        <f t="shared" si="0"/>
        <v>3.8841666666666672</v>
      </c>
      <c r="R9" s="28">
        <f t="shared" si="1"/>
        <v>0.6</v>
      </c>
      <c r="T9" s="100">
        <f t="shared" si="2"/>
        <v>64</v>
      </c>
      <c r="U9" s="100">
        <f t="shared" si="3"/>
        <v>128</v>
      </c>
      <c r="V9" s="100">
        <f t="shared" si="4"/>
        <v>50</v>
      </c>
      <c r="W9" s="100">
        <f t="shared" si="5"/>
        <v>0</v>
      </c>
      <c r="X9" s="100">
        <f t="shared" si="6"/>
        <v>0</v>
      </c>
    </row>
    <row r="10" spans="2:24" x14ac:dyDescent="0.25">
      <c r="K10" s="100">
        <v>100</v>
      </c>
      <c r="N10" s="24">
        <v>12</v>
      </c>
      <c r="O10" s="29">
        <v>0</v>
      </c>
      <c r="P10" s="29">
        <v>0</v>
      </c>
      <c r="Q10" s="30">
        <f t="shared" si="0"/>
        <v>2.7641666666666671</v>
      </c>
      <c r="R10" s="31">
        <f t="shared" si="1"/>
        <v>0.6</v>
      </c>
      <c r="T10" s="100">
        <f t="shared" si="2"/>
        <v>8</v>
      </c>
      <c r="U10" s="100">
        <f t="shared" si="3"/>
        <v>128</v>
      </c>
      <c r="V10" s="100">
        <f t="shared" si="4"/>
        <v>50</v>
      </c>
      <c r="W10" s="100">
        <f t="shared" si="5"/>
        <v>0</v>
      </c>
      <c r="X10" s="100">
        <f t="shared" si="6"/>
        <v>0</v>
      </c>
    </row>
    <row r="11" spans="2:24" x14ac:dyDescent="0.25">
      <c r="K11" s="100">
        <v>150</v>
      </c>
      <c r="N11" s="20">
        <v>11</v>
      </c>
      <c r="O11" s="21">
        <v>3</v>
      </c>
      <c r="P11" s="21">
        <v>1</v>
      </c>
      <c r="Q11" s="22">
        <f t="shared" si="0"/>
        <v>10.568750000000001</v>
      </c>
      <c r="R11" s="23">
        <f t="shared" si="1"/>
        <v>2.1625000000000001</v>
      </c>
      <c r="T11" s="100">
        <f t="shared" si="2"/>
        <v>255</v>
      </c>
      <c r="U11" s="100">
        <f t="shared" si="3"/>
        <v>128</v>
      </c>
      <c r="V11" s="100">
        <f t="shared" si="4"/>
        <v>100</v>
      </c>
      <c r="W11" s="100">
        <f t="shared" si="5"/>
        <v>5</v>
      </c>
      <c r="X11" s="100">
        <f t="shared" si="6"/>
        <v>30</v>
      </c>
    </row>
    <row r="12" spans="2:24" x14ac:dyDescent="0.25">
      <c r="K12" s="100" t="s">
        <v>399</v>
      </c>
      <c r="N12" s="13">
        <v>10</v>
      </c>
      <c r="O12" s="26">
        <v>2</v>
      </c>
      <c r="P12" s="26">
        <v>1</v>
      </c>
      <c r="Q12" s="27">
        <f t="shared" si="0"/>
        <v>8.0287500000000005</v>
      </c>
      <c r="R12" s="28">
        <f t="shared" si="1"/>
        <v>2.1625000000000001</v>
      </c>
      <c r="T12" s="100">
        <f t="shared" si="2"/>
        <v>128</v>
      </c>
      <c r="U12" s="100">
        <f t="shared" si="3"/>
        <v>128</v>
      </c>
      <c r="V12" s="100">
        <f t="shared" si="4"/>
        <v>100</v>
      </c>
      <c r="W12" s="100">
        <f t="shared" si="5"/>
        <v>5</v>
      </c>
      <c r="X12" s="100">
        <f t="shared" si="6"/>
        <v>30</v>
      </c>
    </row>
    <row r="13" spans="2:24" x14ac:dyDescent="0.25">
      <c r="K13" s="100">
        <v>5</v>
      </c>
      <c r="N13" s="13">
        <v>9</v>
      </c>
      <c r="O13" s="26">
        <v>1</v>
      </c>
      <c r="P13" s="26">
        <v>1</v>
      </c>
      <c r="Q13" s="27">
        <f t="shared" si="0"/>
        <v>4.1445833333333333</v>
      </c>
      <c r="R13" s="28">
        <f t="shared" si="1"/>
        <v>2.1625000000000001</v>
      </c>
      <c r="T13" s="100">
        <f t="shared" si="2"/>
        <v>64</v>
      </c>
      <c r="U13" s="100">
        <f t="shared" si="3"/>
        <v>128</v>
      </c>
      <c r="V13" s="100">
        <f t="shared" si="4"/>
        <v>50</v>
      </c>
      <c r="W13" s="100">
        <f t="shared" si="5"/>
        <v>5</v>
      </c>
      <c r="X13" s="100">
        <f t="shared" si="6"/>
        <v>30</v>
      </c>
    </row>
    <row r="14" spans="2:24" x14ac:dyDescent="0.25">
      <c r="K14" s="100">
        <v>5</v>
      </c>
      <c r="N14" s="24">
        <v>8</v>
      </c>
      <c r="O14" s="29">
        <v>0</v>
      </c>
      <c r="P14" s="29">
        <v>1</v>
      </c>
      <c r="Q14" s="30">
        <f t="shared" si="0"/>
        <v>3.0245833333333336</v>
      </c>
      <c r="R14" s="31">
        <f t="shared" si="1"/>
        <v>2.1625000000000001</v>
      </c>
      <c r="T14" s="100">
        <f t="shared" si="2"/>
        <v>8</v>
      </c>
      <c r="U14" s="100">
        <f t="shared" si="3"/>
        <v>128</v>
      </c>
      <c r="V14" s="100">
        <f t="shared" si="4"/>
        <v>50</v>
      </c>
      <c r="W14" s="100">
        <f t="shared" si="5"/>
        <v>5</v>
      </c>
      <c r="X14" s="100">
        <f t="shared" si="6"/>
        <v>30</v>
      </c>
    </row>
    <row r="15" spans="2:24" x14ac:dyDescent="0.25">
      <c r="K15" s="100" t="s">
        <v>400</v>
      </c>
      <c r="N15" s="20">
        <v>7</v>
      </c>
      <c r="O15" s="21">
        <v>3</v>
      </c>
      <c r="P15" s="21">
        <v>2</v>
      </c>
      <c r="Q15" s="22">
        <f t="shared" si="0"/>
        <v>10.568750000000001</v>
      </c>
      <c r="R15" s="23">
        <f t="shared" si="1"/>
        <v>99.558333333333337</v>
      </c>
      <c r="T15" s="100">
        <f t="shared" si="2"/>
        <v>255</v>
      </c>
      <c r="U15" s="100">
        <f t="shared" si="3"/>
        <v>128</v>
      </c>
      <c r="V15" s="100">
        <f t="shared" si="4"/>
        <v>100</v>
      </c>
      <c r="W15" s="100">
        <f t="shared" si="5"/>
        <v>5</v>
      </c>
      <c r="X15" s="100">
        <f t="shared" si="6"/>
        <v>1900</v>
      </c>
    </row>
    <row r="16" spans="2:24" x14ac:dyDescent="0.25">
      <c r="N16" s="13">
        <v>6</v>
      </c>
      <c r="O16" s="26">
        <v>2</v>
      </c>
      <c r="P16" s="26">
        <v>2</v>
      </c>
      <c r="Q16" s="27">
        <f t="shared" si="0"/>
        <v>8.0287500000000005</v>
      </c>
      <c r="R16" s="28">
        <f t="shared" si="1"/>
        <v>99.558333333333337</v>
      </c>
      <c r="T16" s="100">
        <f t="shared" si="2"/>
        <v>128</v>
      </c>
      <c r="U16" s="100">
        <f t="shared" si="3"/>
        <v>128</v>
      </c>
      <c r="V16" s="100">
        <f t="shared" si="4"/>
        <v>100</v>
      </c>
      <c r="W16" s="100">
        <f t="shared" si="5"/>
        <v>5</v>
      </c>
      <c r="X16" s="100">
        <f t="shared" si="6"/>
        <v>1900</v>
      </c>
    </row>
    <row r="17" spans="14:24" x14ac:dyDescent="0.25">
      <c r="N17" s="13">
        <v>5</v>
      </c>
      <c r="O17" s="26">
        <v>1</v>
      </c>
      <c r="P17" s="26">
        <v>2</v>
      </c>
      <c r="Q17" s="27">
        <f t="shared" si="0"/>
        <v>4.1445833333333333</v>
      </c>
      <c r="R17" s="28">
        <f t="shared" si="1"/>
        <v>99.558333333333337</v>
      </c>
      <c r="T17" s="100">
        <f t="shared" si="2"/>
        <v>64</v>
      </c>
      <c r="U17" s="100">
        <f t="shared" si="3"/>
        <v>128</v>
      </c>
      <c r="V17" s="100">
        <f t="shared" si="4"/>
        <v>50</v>
      </c>
      <c r="W17" s="100">
        <f t="shared" si="5"/>
        <v>5</v>
      </c>
      <c r="X17" s="100">
        <f t="shared" si="6"/>
        <v>1900</v>
      </c>
    </row>
    <row r="18" spans="14:24" x14ac:dyDescent="0.25">
      <c r="N18" s="24">
        <v>4</v>
      </c>
      <c r="O18" s="29">
        <v>0</v>
      </c>
      <c r="P18" s="29">
        <v>2</v>
      </c>
      <c r="Q18" s="30">
        <f t="shared" si="0"/>
        <v>3.0245833333333336</v>
      </c>
      <c r="R18" s="31">
        <f t="shared" si="1"/>
        <v>99.558333333333337</v>
      </c>
      <c r="T18" s="100">
        <f t="shared" si="2"/>
        <v>8</v>
      </c>
      <c r="U18" s="100">
        <f t="shared" si="3"/>
        <v>128</v>
      </c>
      <c r="V18" s="100">
        <f t="shared" si="4"/>
        <v>50</v>
      </c>
      <c r="W18" s="100">
        <f t="shared" si="5"/>
        <v>5</v>
      </c>
      <c r="X18" s="100">
        <f t="shared" si="6"/>
        <v>1900</v>
      </c>
    </row>
    <row r="19" spans="14:24" x14ac:dyDescent="0.25">
      <c r="N19" s="20">
        <v>3</v>
      </c>
      <c r="O19" s="21">
        <v>3</v>
      </c>
      <c r="P19" s="21">
        <v>0</v>
      </c>
      <c r="Q19" s="22">
        <v>0</v>
      </c>
      <c r="R19" s="23">
        <v>0</v>
      </c>
    </row>
    <row r="20" spans="14:24" x14ac:dyDescent="0.25">
      <c r="N20" s="13">
        <v>2</v>
      </c>
      <c r="O20" s="26">
        <v>2</v>
      </c>
      <c r="P20" s="26">
        <v>0</v>
      </c>
      <c r="Q20" s="27">
        <v>0</v>
      </c>
      <c r="R20" s="28">
        <v>0</v>
      </c>
    </row>
    <row r="21" spans="14:24" x14ac:dyDescent="0.25">
      <c r="N21" s="13">
        <v>1</v>
      </c>
      <c r="O21" s="26">
        <v>1</v>
      </c>
      <c r="P21" s="26">
        <v>0</v>
      </c>
      <c r="Q21" s="27">
        <v>0</v>
      </c>
      <c r="R21" s="28">
        <v>0</v>
      </c>
    </row>
    <row r="22" spans="14:24" x14ac:dyDescent="0.25">
      <c r="N22" s="24">
        <v>0</v>
      </c>
      <c r="O22" s="29">
        <v>0</v>
      </c>
      <c r="P22" s="29">
        <v>0</v>
      </c>
      <c r="Q22" s="30">
        <v>0</v>
      </c>
      <c r="R22" s="31">
        <v>0</v>
      </c>
    </row>
  </sheetData>
  <mergeCells count="7">
    <mergeCell ref="T4:X4"/>
    <mergeCell ref="B2:C2"/>
    <mergeCell ref="E2:L2"/>
    <mergeCell ref="N2:R2"/>
    <mergeCell ref="B4:C4"/>
    <mergeCell ref="N4:O4"/>
    <mergeCell ref="Q4:R4"/>
  </mergeCells>
  <dataValidations count="3">
    <dataValidation type="whole" showInputMessage="1" showErrorMessage="1" errorTitle="Invalid Value" error="Range : 0 - 65535" sqref="H6:H9" xr:uid="{00000000-0002-0000-0300-000000000000}">
      <formula1>0</formula1>
      <formula2>65535</formula2>
    </dataValidation>
    <dataValidation type="whole" showInputMessage="1" showErrorMessage="1" errorTitle="Invalid Value" error="Range : 0 - 255" sqref="K7:K8 F6:F9" xr:uid="{00000000-0002-0000-0300-000001000000}">
      <formula1>0</formula1>
      <formula2>255</formula2>
    </dataValidation>
    <dataValidation type="whole" showInputMessage="1" showErrorMessage="1" errorTitle="Invalid Value" error="Range : 0 - 4095" sqref="G6:G9" xr:uid="{00000000-0002-0000-0300-000002000000}">
      <formula1>0</formula1>
      <formula2>4095</formula2>
    </dataValidation>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9" tint="-0.499984740745262"/>
  </sheetPr>
  <dimension ref="B1:R32"/>
  <sheetViews>
    <sheetView zoomScaleNormal="100" workbookViewId="0">
      <selection activeCell="R25" sqref="R25"/>
    </sheetView>
  </sheetViews>
  <sheetFormatPr defaultColWidth="5.7109375" defaultRowHeight="15" x14ac:dyDescent="0.25"/>
  <cols>
    <col min="1" max="1" width="3.7109375" style="100" customWidth="1"/>
    <col min="2" max="2" width="14.85546875" style="100" customWidth="1"/>
    <col min="3" max="5" width="10.7109375" style="100" customWidth="1"/>
    <col min="6" max="6" width="3.7109375" style="100" customWidth="1"/>
    <col min="7" max="7" width="49.28515625" style="100" customWidth="1"/>
    <col min="8" max="19" width="10.7109375" style="100" customWidth="1"/>
    <col min="20" max="39" width="5.7109375" style="100" customWidth="1"/>
    <col min="40" max="16384" width="5.7109375" style="100"/>
  </cols>
  <sheetData>
    <row r="1" spans="2:18" ht="15.75" customHeight="1" x14ac:dyDescent="0.25"/>
    <row r="2" spans="2:18" x14ac:dyDescent="0.25">
      <c r="B2" s="103" t="s">
        <v>401</v>
      </c>
      <c r="C2" s="87" t="s">
        <v>402</v>
      </c>
      <c r="D2" s="87" t="s">
        <v>403</v>
      </c>
      <c r="E2" s="96" t="s">
        <v>404</v>
      </c>
      <c r="G2" s="115" t="s">
        <v>405</v>
      </c>
      <c r="H2" s="108"/>
      <c r="I2" s="108"/>
      <c r="J2" s="108"/>
      <c r="K2" s="108"/>
      <c r="L2" s="108"/>
      <c r="M2" s="108"/>
      <c r="N2" s="108"/>
      <c r="O2" s="108"/>
      <c r="P2" s="108"/>
      <c r="Q2" s="108"/>
      <c r="R2" s="108"/>
    </row>
    <row r="3" spans="2:18" x14ac:dyDescent="0.25">
      <c r="B3" s="51" t="s">
        <v>406</v>
      </c>
      <c r="C3" s="57">
        <v>30</v>
      </c>
      <c r="D3" s="57">
        <v>8</v>
      </c>
      <c r="E3" s="52"/>
      <c r="F3" s="99"/>
      <c r="G3" s="51" t="s">
        <v>407</v>
      </c>
      <c r="H3" s="53">
        <f>STRUCT!F3</f>
        <v>100</v>
      </c>
      <c r="I3" s="53">
        <f>STRUCT!G3</f>
        <v>200</v>
      </c>
      <c r="J3" s="53">
        <f>STRUCT!H3</f>
        <v>300</v>
      </c>
      <c r="K3" s="53">
        <f>STRUCT!I3</f>
        <v>451.2</v>
      </c>
      <c r="L3" s="53">
        <f>STRUCT!J3</f>
        <v>547.20000000000005</v>
      </c>
      <c r="M3" s="53">
        <f>STRUCT!K3</f>
        <v>681.6</v>
      </c>
      <c r="N3" s="53" t="str">
        <f>STRUCT!L3</f>
        <v>768</v>
      </c>
      <c r="O3" s="53">
        <f>STRUCT!M3</f>
        <v>1017.6</v>
      </c>
      <c r="P3" s="53">
        <f>STRUCT!N3</f>
        <v>1353.6</v>
      </c>
      <c r="Q3" s="53">
        <f>STRUCT!O3</f>
        <v>1555.2</v>
      </c>
      <c r="R3" s="54">
        <f>STRUCT!P3</f>
        <v>1804.8</v>
      </c>
    </row>
    <row r="4" spans="2:18" x14ac:dyDescent="0.25">
      <c r="B4" s="51" t="s">
        <v>408</v>
      </c>
      <c r="C4" s="57">
        <v>15</v>
      </c>
      <c r="D4" s="57">
        <v>3</v>
      </c>
      <c r="E4" s="52"/>
      <c r="F4" s="99"/>
      <c r="G4" s="51" t="s">
        <v>409</v>
      </c>
      <c r="H4" s="55" t="s">
        <v>358</v>
      </c>
      <c r="I4" s="55" t="s">
        <v>372</v>
      </c>
      <c r="J4" s="55" t="b">
        <v>1</v>
      </c>
      <c r="K4" s="55" t="b">
        <v>1</v>
      </c>
      <c r="L4" s="55" t="b">
        <v>1</v>
      </c>
      <c r="M4" s="55" t="b">
        <v>1</v>
      </c>
      <c r="N4" s="55" t="b">
        <v>1</v>
      </c>
      <c r="O4" s="55" t="b">
        <v>1</v>
      </c>
      <c r="P4" s="55" t="b">
        <v>1</v>
      </c>
      <c r="Q4" s="55" t="b">
        <v>1</v>
      </c>
      <c r="R4" s="56" t="b">
        <v>1</v>
      </c>
    </row>
    <row r="5" spans="2:18" x14ac:dyDescent="0.25">
      <c r="B5" s="51" t="s">
        <v>410</v>
      </c>
      <c r="C5" s="57">
        <v>7.5</v>
      </c>
      <c r="D5" s="57">
        <v>2</v>
      </c>
      <c r="E5" s="52"/>
      <c r="G5" s="51" t="s">
        <v>411</v>
      </c>
      <c r="H5" s="55" t="s">
        <v>176</v>
      </c>
      <c r="I5" s="55" t="s">
        <v>176</v>
      </c>
      <c r="J5" s="55" t="s">
        <v>176</v>
      </c>
      <c r="K5" s="55" t="s">
        <v>177</v>
      </c>
      <c r="L5" s="55" t="s">
        <v>178</v>
      </c>
      <c r="M5" s="55" t="s">
        <v>178</v>
      </c>
      <c r="N5" s="55" t="s">
        <v>178</v>
      </c>
      <c r="O5" s="55" t="s">
        <v>179</v>
      </c>
      <c r="P5" s="55" t="s">
        <v>180</v>
      </c>
      <c r="Q5" s="55" t="s">
        <v>180</v>
      </c>
      <c r="R5" s="56" t="s">
        <v>412</v>
      </c>
    </row>
    <row r="6" spans="2:18" x14ac:dyDescent="0.25">
      <c r="B6" s="51" t="s">
        <v>413</v>
      </c>
      <c r="C6" s="57">
        <v>17.5</v>
      </c>
      <c r="D6" s="57">
        <v>1</v>
      </c>
      <c r="E6" s="52"/>
      <c r="G6" s="51" t="s">
        <v>414</v>
      </c>
      <c r="H6" s="55" t="s">
        <v>180</v>
      </c>
      <c r="I6" s="55" t="s">
        <v>180</v>
      </c>
      <c r="J6" s="55" t="s">
        <v>180</v>
      </c>
      <c r="K6" s="55" t="s">
        <v>180</v>
      </c>
      <c r="L6" s="55" t="s">
        <v>180</v>
      </c>
      <c r="M6" s="55" t="s">
        <v>180</v>
      </c>
      <c r="N6" s="55" t="s">
        <v>180</v>
      </c>
      <c r="O6" s="55" t="s">
        <v>180</v>
      </c>
      <c r="P6" s="55" t="s">
        <v>180</v>
      </c>
      <c r="Q6" s="55" t="s">
        <v>180</v>
      </c>
      <c r="R6" s="56" t="s">
        <v>180</v>
      </c>
    </row>
    <row r="7" spans="2:18" ht="15.75" customHeight="1" thickBot="1" x14ac:dyDescent="0.3">
      <c r="B7" s="51" t="s">
        <v>415</v>
      </c>
      <c r="C7" s="57">
        <v>7.5</v>
      </c>
      <c r="D7" s="57">
        <v>5</v>
      </c>
      <c r="E7" s="52"/>
      <c r="G7" s="58" t="s">
        <v>416</v>
      </c>
      <c r="H7" s="88" t="s">
        <v>71</v>
      </c>
      <c r="I7" s="88" t="s">
        <v>71</v>
      </c>
      <c r="J7" s="88" t="s">
        <v>71</v>
      </c>
      <c r="K7" s="88" t="s">
        <v>71</v>
      </c>
      <c r="L7" s="88" t="s">
        <v>71</v>
      </c>
      <c r="M7" s="88" t="s">
        <v>71</v>
      </c>
      <c r="N7" s="88" t="s">
        <v>71</v>
      </c>
      <c r="O7" s="88" t="s">
        <v>71</v>
      </c>
      <c r="P7" s="88" t="s">
        <v>71</v>
      </c>
      <c r="Q7" s="88" t="s">
        <v>71</v>
      </c>
      <c r="R7" s="89" t="s">
        <v>71</v>
      </c>
    </row>
    <row r="8" spans="2:18" ht="15.75" customHeight="1" thickBot="1" x14ac:dyDescent="0.3">
      <c r="B8" s="51" t="s">
        <v>417</v>
      </c>
      <c r="C8" s="59"/>
      <c r="D8" s="57">
        <v>8</v>
      </c>
      <c r="E8" s="52"/>
    </row>
    <row r="9" spans="2:18" x14ac:dyDescent="0.25">
      <c r="B9" s="51" t="s">
        <v>418</v>
      </c>
      <c r="C9" s="57">
        <v>7.5</v>
      </c>
      <c r="D9" s="57">
        <v>8</v>
      </c>
      <c r="E9" s="52"/>
      <c r="G9" s="115" t="s">
        <v>419</v>
      </c>
      <c r="H9" s="108"/>
      <c r="J9" s="99" t="s">
        <v>420</v>
      </c>
    </row>
    <row r="10" spans="2:18" x14ac:dyDescent="0.25">
      <c r="B10" s="51" t="s">
        <v>421</v>
      </c>
      <c r="C10" s="57">
        <v>18</v>
      </c>
      <c r="D10" s="57">
        <v>4</v>
      </c>
      <c r="E10" s="60" t="b">
        <v>1</v>
      </c>
      <c r="G10" s="51" t="s">
        <v>422</v>
      </c>
      <c r="H10" s="82" t="s">
        <v>372</v>
      </c>
      <c r="J10" s="83" t="s">
        <v>423</v>
      </c>
    </row>
    <row r="11" spans="2:18" x14ac:dyDescent="0.25">
      <c r="B11" s="51" t="s">
        <v>424</v>
      </c>
      <c r="C11" s="57">
        <v>18</v>
      </c>
      <c r="D11" s="57">
        <v>4</v>
      </c>
      <c r="E11" s="60" t="b">
        <v>1</v>
      </c>
      <c r="G11" s="51" t="s">
        <v>425</v>
      </c>
      <c r="H11" s="82" t="s">
        <v>372</v>
      </c>
      <c r="J11" s="83" t="s">
        <v>426</v>
      </c>
    </row>
    <row r="12" spans="2:18" ht="15.75" customHeight="1" x14ac:dyDescent="0.25">
      <c r="B12" s="51" t="s">
        <v>427</v>
      </c>
      <c r="C12" s="57">
        <v>21</v>
      </c>
      <c r="D12" s="57">
        <v>4</v>
      </c>
      <c r="E12" s="60" t="b">
        <v>1</v>
      </c>
      <c r="G12" s="51" t="s">
        <v>428</v>
      </c>
      <c r="H12" s="82" t="s">
        <v>372</v>
      </c>
      <c r="J12" s="83" t="s">
        <v>429</v>
      </c>
    </row>
    <row r="13" spans="2:18" x14ac:dyDescent="0.25">
      <c r="B13" s="51" t="s">
        <v>430</v>
      </c>
      <c r="C13" s="57">
        <v>42</v>
      </c>
      <c r="D13" s="57">
        <v>3</v>
      </c>
      <c r="E13" s="60" t="b">
        <v>1</v>
      </c>
      <c r="G13" s="51" t="s">
        <v>431</v>
      </c>
      <c r="H13" s="82" t="s">
        <v>372</v>
      </c>
      <c r="J13" s="83" t="s">
        <v>432</v>
      </c>
    </row>
    <row r="14" spans="2:18" x14ac:dyDescent="0.25">
      <c r="B14" s="51" t="s">
        <v>433</v>
      </c>
      <c r="C14" s="57">
        <v>10</v>
      </c>
      <c r="D14" s="57">
        <v>4</v>
      </c>
      <c r="E14" s="60" t="b">
        <v>1</v>
      </c>
      <c r="G14" s="51" t="s">
        <v>434</v>
      </c>
      <c r="H14" s="82" t="s">
        <v>358</v>
      </c>
      <c r="J14" s="83" t="s">
        <v>435</v>
      </c>
    </row>
    <row r="15" spans="2:18" x14ac:dyDescent="0.25">
      <c r="B15" s="51" t="s">
        <v>436</v>
      </c>
      <c r="C15" s="59"/>
      <c r="D15" s="57">
        <v>4</v>
      </c>
      <c r="E15" s="52"/>
      <c r="G15" s="51" t="s">
        <v>437</v>
      </c>
      <c r="H15" s="82" t="s">
        <v>358</v>
      </c>
      <c r="J15" s="83" t="s">
        <v>435</v>
      </c>
    </row>
    <row r="16" spans="2:18" x14ac:dyDescent="0.25">
      <c r="B16" s="51" t="s">
        <v>438</v>
      </c>
      <c r="C16" s="57">
        <v>40</v>
      </c>
      <c r="D16" s="57">
        <v>1</v>
      </c>
      <c r="E16" s="52"/>
      <c r="G16" s="51" t="s">
        <v>439</v>
      </c>
      <c r="H16" s="82" t="s">
        <v>372</v>
      </c>
      <c r="J16" s="83" t="s">
        <v>440</v>
      </c>
    </row>
    <row r="17" spans="2:10" x14ac:dyDescent="0.25">
      <c r="B17" s="51" t="s">
        <v>441</v>
      </c>
      <c r="C17" s="57">
        <v>1.5</v>
      </c>
      <c r="D17" s="57">
        <v>1</v>
      </c>
      <c r="E17" s="52"/>
      <c r="G17" s="51" t="s">
        <v>442</v>
      </c>
      <c r="H17" s="82" t="s">
        <v>358</v>
      </c>
      <c r="J17" s="95" t="s">
        <v>443</v>
      </c>
    </row>
    <row r="18" spans="2:10" x14ac:dyDescent="0.25">
      <c r="B18" s="51" t="s">
        <v>444</v>
      </c>
      <c r="C18" s="57">
        <v>3.5</v>
      </c>
      <c r="D18" s="57">
        <v>1</v>
      </c>
      <c r="E18" s="52"/>
      <c r="G18" s="51" t="s">
        <v>445</v>
      </c>
      <c r="H18" s="82" t="s">
        <v>358</v>
      </c>
      <c r="J18" s="83" t="s">
        <v>446</v>
      </c>
    </row>
    <row r="19" spans="2:10" ht="15.75" customHeight="1" thickBot="1" x14ac:dyDescent="0.3">
      <c r="B19" s="51" t="s">
        <v>447</v>
      </c>
      <c r="C19" s="57">
        <v>250</v>
      </c>
      <c r="D19" s="57">
        <v>1</v>
      </c>
      <c r="E19" s="52"/>
      <c r="G19" s="58" t="s">
        <v>448</v>
      </c>
      <c r="H19" s="86" t="s">
        <v>358</v>
      </c>
      <c r="J19" s="83" t="s">
        <v>449</v>
      </c>
    </row>
    <row r="20" spans="2:10" x14ac:dyDescent="0.25">
      <c r="B20" s="51" t="s">
        <v>450</v>
      </c>
      <c r="C20" s="57">
        <f>3904*1</f>
        <v>3904</v>
      </c>
      <c r="D20" s="59"/>
      <c r="E20" s="52"/>
    </row>
    <row r="21" spans="2:10" x14ac:dyDescent="0.25">
      <c r="B21" s="51" t="s">
        <v>451</v>
      </c>
      <c r="C21" s="57">
        <v>14</v>
      </c>
      <c r="D21" s="57">
        <v>8</v>
      </c>
      <c r="E21" s="52"/>
    </row>
    <row r="22" spans="2:10" x14ac:dyDescent="0.25">
      <c r="B22" s="51" t="s">
        <v>452</v>
      </c>
      <c r="C22" s="57">
        <v>10</v>
      </c>
      <c r="D22" s="57">
        <v>10</v>
      </c>
      <c r="E22" s="52"/>
    </row>
    <row r="23" spans="2:10" x14ac:dyDescent="0.25">
      <c r="B23" s="51" t="s">
        <v>453</v>
      </c>
      <c r="C23" s="57">
        <v>14</v>
      </c>
      <c r="D23" s="57">
        <v>10</v>
      </c>
      <c r="E23" s="52"/>
      <c r="H23" s="104"/>
    </row>
    <row r="24" spans="2:10" x14ac:dyDescent="0.25">
      <c r="B24" s="51" t="s">
        <v>454</v>
      </c>
      <c r="C24" s="57">
        <v>1.5</v>
      </c>
      <c r="D24" s="57">
        <v>1</v>
      </c>
      <c r="E24" s="52"/>
    </row>
    <row r="25" spans="2:10" x14ac:dyDescent="0.25">
      <c r="B25" s="51" t="s">
        <v>455</v>
      </c>
      <c r="C25" s="57">
        <v>3.5</v>
      </c>
      <c r="D25" s="57">
        <v>1</v>
      </c>
      <c r="E25" s="52"/>
    </row>
    <row r="26" spans="2:10" x14ac:dyDescent="0.25">
      <c r="B26" s="51" t="s">
        <v>456</v>
      </c>
      <c r="C26" s="57">
        <v>1.5</v>
      </c>
      <c r="D26" s="57">
        <v>1</v>
      </c>
      <c r="E26" s="52"/>
    </row>
    <row r="27" spans="2:10" x14ac:dyDescent="0.25">
      <c r="B27" s="51" t="s">
        <v>457</v>
      </c>
      <c r="C27" s="57">
        <v>3.5</v>
      </c>
      <c r="D27" s="57">
        <v>1</v>
      </c>
      <c r="E27" s="52"/>
    </row>
    <row r="28" spans="2:10" x14ac:dyDescent="0.25">
      <c r="B28" s="51" t="s">
        <v>458</v>
      </c>
      <c r="C28" s="57">
        <v>7.5</v>
      </c>
      <c r="D28" s="57">
        <v>4</v>
      </c>
      <c r="E28" s="52"/>
    </row>
    <row r="29" spans="2:10" x14ac:dyDescent="0.25">
      <c r="B29" s="51" t="s">
        <v>459</v>
      </c>
      <c r="C29" s="57">
        <v>1.75</v>
      </c>
      <c r="D29" s="57">
        <v>3</v>
      </c>
      <c r="E29" s="52"/>
    </row>
    <row r="30" spans="2:10" x14ac:dyDescent="0.25">
      <c r="B30" s="51" t="s">
        <v>460</v>
      </c>
      <c r="C30" s="57">
        <v>7.5</v>
      </c>
      <c r="D30" s="57">
        <v>5</v>
      </c>
      <c r="E30" s="52"/>
    </row>
    <row r="31" spans="2:10" x14ac:dyDescent="0.25">
      <c r="B31" s="51" t="s">
        <v>461</v>
      </c>
      <c r="C31" s="57">
        <v>1.75</v>
      </c>
      <c r="D31" s="57">
        <v>5</v>
      </c>
      <c r="E31" s="52"/>
    </row>
    <row r="32" spans="2:10" ht="15.75" customHeight="1" thickBot="1" x14ac:dyDescent="0.3">
      <c r="B32" s="58" t="s">
        <v>462</v>
      </c>
      <c r="C32" s="61">
        <v>14</v>
      </c>
      <c r="D32" s="61">
        <v>10</v>
      </c>
      <c r="E32" s="62"/>
    </row>
  </sheetData>
  <mergeCells count="2">
    <mergeCell ref="G2:R2"/>
    <mergeCell ref="G9:H9"/>
  </mergeCells>
  <dataValidations count="14">
    <dataValidation type="decimal" showInputMessage="1" showErrorMessage="1" error="Valid Range : 0.0 to 3413281.25" sqref="C20" xr:uid="{00000000-0002-0000-0400-000000000000}">
      <formula1>0</formula1>
      <formula2>3413281.25</formula2>
    </dataValidation>
    <dataValidation type="decimal" showInputMessage="1" showErrorMessage="1" error="Valid Range : 0.0 to 1048.575" sqref="C19" xr:uid="{00000000-0002-0000-0400-000001000000}">
      <formula1>0</formula1>
      <formula2>1048.57495117187</formula2>
    </dataValidation>
    <dataValidation type="decimal" showInputMessage="1" showErrorMessage="1" error="Valid Range : 0.0 to 4.095" sqref="C25:C27" xr:uid="{00000000-0002-0000-0400-000002000000}">
      <formula1>0</formula1>
      <formula2>4.09499979019165</formula2>
    </dataValidation>
    <dataValidation type="decimal" showInputMessage="1" showErrorMessage="1" error="Valid Range : 0.0 to 16.383" sqref="C18" xr:uid="{00000000-0002-0000-0400-000003000000}">
      <formula1>0</formula1>
      <formula2>16.382999420166</formula2>
    </dataValidation>
    <dataValidation type="decimal" showInputMessage="1" showErrorMessage="1" error="Valid Range : 0.0 to 8.191" sqref="C17:C32" xr:uid="{00000000-0002-0000-0400-000004000000}">
      <formula1>0</formula1>
      <formula2>8.19099998474121</formula2>
    </dataValidation>
    <dataValidation type="decimal" showInputMessage="1" showErrorMessage="1" error="Valid Range : 0.0 to 262.143" sqref="C13:C16" xr:uid="{00000000-0002-0000-0400-000005000000}">
      <formula1>0</formula1>
      <formula2>262.143005371093</formula2>
    </dataValidation>
    <dataValidation type="decimal" showInputMessage="1" showErrorMessage="1" error="Valid Range : 0.0 to 32.767" sqref="C5:C31" xr:uid="{00000000-0002-0000-0400-000006000000}">
      <formula1>0</formula1>
      <formula2>32.7669982910156</formula2>
    </dataValidation>
    <dataValidation type="decimal" showInputMessage="1" showErrorMessage="1" error="Valid Range : 0.0 to 65.535" sqref="C4:C24" xr:uid="{00000000-0002-0000-0400-000007000000}">
      <formula1>0</formula1>
      <formula2>65.5350036621093</formula2>
    </dataValidation>
    <dataValidation type="decimal" showInputMessage="1" showErrorMessage="1" error="Valid Range : 0.0 to 131.071" sqref="C3:C12" xr:uid="{00000000-0002-0000-0400-000008000000}">
      <formula1>0</formula1>
      <formula2>131.070999145507</formula2>
    </dataValidation>
    <dataValidation type="list" showInputMessage="1" showErrorMessage="1" error="Valid Options : TRUE,FALSE" sqref="E10:E14 H4:H19 I4 J4 K4 L4 M4 N4 O4 P4 Q4 R4" xr:uid="{00000000-0002-0000-0400-000009000000}">
      <formula1>"TRUE,FALSE"</formula1>
    </dataValidation>
    <dataValidation type="whole" showInputMessage="1" showErrorMessage="1" error="Valid Range : 0 to 31" sqref="D8" xr:uid="{00000000-0002-0000-0400-00000A000000}">
      <formula1>0</formula1>
      <formula2>31</formula2>
    </dataValidation>
    <dataValidation type="whole" showInputMessage="1" showErrorMessage="1" error="Valid Range : 0 to 255" sqref="D7:D32" xr:uid="{00000000-0002-0000-0400-00000B000000}">
      <formula1>0</formula1>
      <formula2>255</formula2>
    </dataValidation>
    <dataValidation type="whole" showInputMessage="1" showErrorMessage="1" error="Valid Range : 0 to 15" sqref="D3:D28" xr:uid="{00000000-0002-0000-0400-00000C000000}">
      <formula1>0</formula1>
      <formula2>15</formula2>
    </dataValidation>
    <dataValidation type="list" showInputMessage="1" showErrorMessage="1" error="Valid Options : TURBO,NOMINAL,SVS_L1,SVS,LOW_SVS,MIN_SVS" sqref="P5:P7 Q5:Q7 R5:R7 H5:H7 I5:I7 J5:J7 K5:K7 L5:L7 M5:M7 N5:N7 O5:O7" xr:uid="{00000000-0002-0000-0400-00000D000000}">
      <formula1>"TURBO,NOMINAL,SVS_L1,SVS,LOW_SVS,MIN_SVS"</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L4315"/>
  <sheetViews>
    <sheetView tabSelected="1" workbookViewId="0">
      <pane ySplit="10" topLeftCell="A273" activePane="bottomLeft" state="frozen"/>
      <selection pane="bottomLeft" activeCell="C6" sqref="C6"/>
    </sheetView>
  </sheetViews>
  <sheetFormatPr defaultRowHeight="15" x14ac:dyDescent="0.25"/>
  <cols>
    <col min="1" max="1" width="39.7109375" style="42" bestFit="1" customWidth="1"/>
    <col min="2" max="2" width="24.140625" style="42" bestFit="1" customWidth="1"/>
    <col min="3" max="3" width="65.7109375" style="42" bestFit="1" customWidth="1"/>
    <col min="4" max="4" width="28.85546875" style="42" bestFit="1" customWidth="1"/>
    <col min="5" max="5" width="13.5703125" style="42" bestFit="1" customWidth="1"/>
    <col min="6" max="6" width="19.42578125" style="42" bestFit="1" customWidth="1"/>
    <col min="7" max="7" width="11.28515625" style="42" bestFit="1" customWidth="1"/>
    <col min="8" max="8" width="17" style="42" bestFit="1" customWidth="1"/>
    <col min="9" max="9" width="13.5703125" style="42" bestFit="1" customWidth="1"/>
    <col min="10" max="10" width="25.28515625" style="42" bestFit="1" customWidth="1"/>
    <col min="11" max="11" width="20.5703125" style="42" bestFit="1" customWidth="1"/>
    <col min="12" max="12" width="13.5703125" style="42" bestFit="1" customWidth="1"/>
  </cols>
  <sheetData>
    <row r="1" spans="1:12" x14ac:dyDescent="0.25">
      <c r="A1" s="63" t="s">
        <v>463</v>
      </c>
      <c r="B1" s="63">
        <v>7</v>
      </c>
      <c r="C1" s="63"/>
      <c r="D1" s="63"/>
      <c r="E1" s="63"/>
      <c r="F1" s="63"/>
      <c r="G1" s="63"/>
      <c r="H1" s="63"/>
      <c r="I1" s="63"/>
      <c r="J1" s="63"/>
      <c r="K1" s="63"/>
      <c r="L1" s="63"/>
    </row>
    <row r="2" spans="1:12" x14ac:dyDescent="0.25">
      <c r="A2" s="63" t="s">
        <v>464</v>
      </c>
      <c r="B2" s="63">
        <v>1</v>
      </c>
      <c r="C2" s="63"/>
      <c r="D2" s="63"/>
      <c r="E2" s="63"/>
      <c r="F2" s="63"/>
      <c r="G2" s="63"/>
      <c r="H2" s="63"/>
      <c r="I2" s="63"/>
      <c r="J2" s="63"/>
      <c r="K2" s="63"/>
      <c r="L2" s="63"/>
    </row>
    <row r="3" spans="1:12" x14ac:dyDescent="0.25">
      <c r="A3" s="63" t="s">
        <v>465</v>
      </c>
      <c r="B3" s="63">
        <v>1</v>
      </c>
      <c r="C3" s="63"/>
      <c r="D3" s="63"/>
      <c r="E3" s="63"/>
      <c r="F3" s="63"/>
      <c r="G3" s="63"/>
      <c r="H3" s="63"/>
      <c r="I3" s="63"/>
      <c r="J3" s="63"/>
      <c r="K3" s="63"/>
      <c r="L3" s="63"/>
    </row>
    <row r="4" spans="1:12" x14ac:dyDescent="0.25">
      <c r="A4" s="63" t="s">
        <v>466</v>
      </c>
      <c r="B4" s="63">
        <v>6</v>
      </c>
      <c r="C4" s="63"/>
      <c r="D4" s="63"/>
      <c r="E4" s="63"/>
      <c r="F4" s="63"/>
      <c r="G4" s="63"/>
      <c r="H4" s="63"/>
      <c r="I4" s="63"/>
      <c r="J4" s="63"/>
      <c r="K4" s="63"/>
      <c r="L4" s="63"/>
    </row>
    <row r="5" spans="1:12" x14ac:dyDescent="0.25">
      <c r="A5" s="63" t="s">
        <v>467</v>
      </c>
      <c r="B5" s="63">
        <v>2</v>
      </c>
      <c r="C5" s="63"/>
      <c r="D5" s="63"/>
      <c r="E5" s="63"/>
      <c r="F5" s="63"/>
      <c r="G5" s="63"/>
      <c r="H5" s="63"/>
      <c r="I5" s="63"/>
      <c r="J5" s="63"/>
      <c r="K5" s="63"/>
      <c r="L5" s="63"/>
    </row>
    <row r="6" spans="1:12" x14ac:dyDescent="0.25">
      <c r="A6" s="63" t="s">
        <v>468</v>
      </c>
      <c r="B6" s="63">
        <v>1</v>
      </c>
      <c r="C6" s="63"/>
      <c r="D6" s="63"/>
      <c r="E6" s="63"/>
      <c r="F6" s="63"/>
      <c r="G6" s="63"/>
      <c r="H6" s="63"/>
      <c r="I6" s="63"/>
      <c r="J6" s="63"/>
      <c r="K6" s="63"/>
      <c r="L6" s="63"/>
    </row>
    <row r="7" spans="1:12" x14ac:dyDescent="0.25">
      <c r="A7" s="63" t="s">
        <v>469</v>
      </c>
      <c r="B7" s="63">
        <v>1</v>
      </c>
      <c r="C7" s="63"/>
      <c r="D7" s="63"/>
      <c r="E7" s="63"/>
      <c r="F7" s="63"/>
      <c r="G7" s="63"/>
      <c r="H7" s="63"/>
      <c r="I7" s="63"/>
      <c r="J7" s="63"/>
      <c r="K7" s="63"/>
      <c r="L7" s="63"/>
    </row>
    <row r="8" spans="1:12" x14ac:dyDescent="0.25">
      <c r="A8" s="63" t="s">
        <v>470</v>
      </c>
      <c r="B8" s="63">
        <v>1</v>
      </c>
      <c r="C8" s="63"/>
      <c r="D8" s="63"/>
      <c r="E8" s="63"/>
      <c r="F8" s="63"/>
      <c r="G8" s="63"/>
      <c r="H8" s="63"/>
      <c r="I8" s="63"/>
      <c r="J8" s="63"/>
      <c r="K8" s="63"/>
      <c r="L8" s="63"/>
    </row>
    <row r="9" spans="1:12" x14ac:dyDescent="0.25">
      <c r="A9" s="63"/>
      <c r="B9" s="63"/>
      <c r="C9" s="63"/>
      <c r="D9" s="63"/>
      <c r="E9" s="63"/>
      <c r="F9" s="63"/>
      <c r="G9" s="63"/>
      <c r="H9" s="63"/>
      <c r="I9" s="63"/>
      <c r="J9" s="63"/>
      <c r="K9" s="63"/>
      <c r="L9" s="63"/>
    </row>
    <row r="10" spans="1:12" x14ac:dyDescent="0.25">
      <c r="A10" s="41" t="s">
        <v>13</v>
      </c>
      <c r="B10" s="41" t="s">
        <v>471</v>
      </c>
      <c r="C10" s="41" t="s">
        <v>50</v>
      </c>
      <c r="D10" s="41" t="s">
        <v>51</v>
      </c>
      <c r="E10" s="41" t="s">
        <v>472</v>
      </c>
      <c r="F10" s="41" t="s">
        <v>473</v>
      </c>
      <c r="G10" s="41" t="s">
        <v>474</v>
      </c>
      <c r="H10" s="41" t="s">
        <v>52</v>
      </c>
      <c r="I10" s="41" t="s">
        <v>475</v>
      </c>
      <c r="J10" s="41" t="s">
        <v>476</v>
      </c>
      <c r="K10" s="41" t="s">
        <v>477</v>
      </c>
      <c r="L10" s="41" t="s">
        <v>478</v>
      </c>
    </row>
    <row r="11" spans="1:12" x14ac:dyDescent="0.25">
      <c r="A11" s="40" t="s">
        <v>39</v>
      </c>
      <c r="B11" s="40" t="s">
        <v>479</v>
      </c>
      <c r="C11" s="40" t="s">
        <v>480</v>
      </c>
      <c r="D11" s="40" t="s">
        <v>481</v>
      </c>
      <c r="E11" s="40" t="s">
        <v>481</v>
      </c>
      <c r="F11" s="40">
        <v>0</v>
      </c>
      <c r="G11" s="40"/>
      <c r="H11" s="40" t="s">
        <v>482</v>
      </c>
      <c r="I11" s="40"/>
      <c r="J11" s="40">
        <v>0</v>
      </c>
      <c r="K11" s="40">
        <v>0</v>
      </c>
      <c r="L11" s="40">
        <v>0</v>
      </c>
    </row>
    <row r="12" spans="1:12" x14ac:dyDescent="0.25">
      <c r="A12" s="40" t="s">
        <v>39</v>
      </c>
      <c r="B12" s="40" t="s">
        <v>483</v>
      </c>
      <c r="C12" s="40" t="s">
        <v>484</v>
      </c>
      <c r="D12" s="40" t="s">
        <v>485</v>
      </c>
      <c r="E12" s="40" t="s">
        <v>486</v>
      </c>
      <c r="F12" s="40">
        <v>1</v>
      </c>
      <c r="G12" s="40"/>
      <c r="H12" s="40" t="s">
        <v>482</v>
      </c>
      <c r="I12" s="40"/>
      <c r="J12" s="40">
        <v>0</v>
      </c>
      <c r="K12" s="40">
        <v>0</v>
      </c>
      <c r="L12" s="40">
        <v>0</v>
      </c>
    </row>
    <row r="13" spans="1:12" x14ac:dyDescent="0.25">
      <c r="A13" s="40" t="s">
        <v>39</v>
      </c>
      <c r="B13" s="40" t="s">
        <v>487</v>
      </c>
      <c r="C13" s="40" t="s">
        <v>488</v>
      </c>
      <c r="D13" s="40" t="s">
        <v>489</v>
      </c>
      <c r="E13" s="40" t="s">
        <v>490</v>
      </c>
      <c r="F13" s="40">
        <v>1</v>
      </c>
      <c r="G13" s="40"/>
      <c r="H13" s="40" t="s">
        <v>482</v>
      </c>
      <c r="I13" s="40"/>
      <c r="J13" s="40">
        <v>0</v>
      </c>
      <c r="K13" s="40">
        <v>0</v>
      </c>
      <c r="L13" s="40">
        <v>0</v>
      </c>
    </row>
    <row r="14" spans="1:12" x14ac:dyDescent="0.25">
      <c r="A14" s="40" t="s">
        <v>39</v>
      </c>
      <c r="B14" s="40" t="s">
        <v>491</v>
      </c>
      <c r="C14" s="40" t="s">
        <v>492</v>
      </c>
      <c r="D14" s="40" t="s">
        <v>493</v>
      </c>
      <c r="E14" s="40" t="s">
        <v>493</v>
      </c>
      <c r="F14" s="40">
        <v>0</v>
      </c>
      <c r="G14" s="40"/>
      <c r="H14" s="40" t="s">
        <v>482</v>
      </c>
      <c r="I14" s="40"/>
      <c r="J14" s="40">
        <v>0</v>
      </c>
      <c r="K14" s="40">
        <v>0</v>
      </c>
      <c r="L14" s="40">
        <v>0</v>
      </c>
    </row>
    <row r="15" spans="1:12" x14ac:dyDescent="0.25">
      <c r="A15" s="40" t="s">
        <v>39</v>
      </c>
      <c r="B15" s="40" t="s">
        <v>494</v>
      </c>
      <c r="C15" s="40" t="s">
        <v>495</v>
      </c>
      <c r="D15" s="40" t="s">
        <v>493</v>
      </c>
      <c r="E15" s="40" t="s">
        <v>493</v>
      </c>
      <c r="F15" s="40">
        <v>0</v>
      </c>
      <c r="G15" s="40"/>
      <c r="H15" s="40" t="s">
        <v>482</v>
      </c>
      <c r="I15" s="40"/>
      <c r="J15" s="40">
        <v>0</v>
      </c>
      <c r="K15" s="40">
        <v>0</v>
      </c>
      <c r="L15" s="40">
        <v>0</v>
      </c>
    </row>
    <row r="16" spans="1:12" x14ac:dyDescent="0.25">
      <c r="A16" s="40" t="s">
        <v>39</v>
      </c>
      <c r="B16" s="40" t="s">
        <v>496</v>
      </c>
      <c r="C16" s="40" t="s">
        <v>497</v>
      </c>
      <c r="D16" s="40" t="s">
        <v>493</v>
      </c>
      <c r="E16" s="40" t="s">
        <v>493</v>
      </c>
      <c r="F16" s="40">
        <v>0</v>
      </c>
      <c r="G16" s="40"/>
      <c r="H16" s="40" t="s">
        <v>482</v>
      </c>
      <c r="I16" s="40"/>
      <c r="J16" s="40">
        <v>0</v>
      </c>
      <c r="K16" s="40">
        <v>0</v>
      </c>
      <c r="L16" s="40">
        <v>0</v>
      </c>
    </row>
    <row r="17" spans="1:12" x14ac:dyDescent="0.25">
      <c r="A17" s="40" t="s">
        <v>39</v>
      </c>
      <c r="B17" s="40" t="s">
        <v>498</v>
      </c>
      <c r="C17" s="40" t="s">
        <v>499</v>
      </c>
      <c r="D17" s="40" t="s">
        <v>493</v>
      </c>
      <c r="E17" s="40" t="s">
        <v>493</v>
      </c>
      <c r="F17" s="40">
        <v>0</v>
      </c>
      <c r="G17" s="40"/>
      <c r="H17" s="40" t="s">
        <v>482</v>
      </c>
      <c r="I17" s="40"/>
      <c r="J17" s="40">
        <v>0</v>
      </c>
      <c r="K17" s="40">
        <v>0</v>
      </c>
      <c r="L17" s="40">
        <v>0</v>
      </c>
    </row>
    <row r="18" spans="1:12" x14ac:dyDescent="0.25">
      <c r="A18" s="40" t="s">
        <v>39</v>
      </c>
      <c r="B18" s="40" t="s">
        <v>500</v>
      </c>
      <c r="C18" s="40" t="s">
        <v>501</v>
      </c>
      <c r="D18" s="40" t="s">
        <v>493</v>
      </c>
      <c r="E18" s="40" t="s">
        <v>493</v>
      </c>
      <c r="F18" s="40">
        <v>0</v>
      </c>
      <c r="G18" s="40"/>
      <c r="H18" s="40" t="s">
        <v>482</v>
      </c>
      <c r="I18" s="40"/>
      <c r="J18" s="40">
        <v>0</v>
      </c>
      <c r="K18" s="40">
        <v>0</v>
      </c>
      <c r="L18" s="40">
        <v>0</v>
      </c>
    </row>
    <row r="19" spans="1:12" x14ac:dyDescent="0.25">
      <c r="A19" s="40" t="s">
        <v>39</v>
      </c>
      <c r="B19" s="40" t="s">
        <v>502</v>
      </c>
      <c r="C19" s="40" t="s">
        <v>503</v>
      </c>
      <c r="D19" s="40" t="s">
        <v>504</v>
      </c>
      <c r="E19" s="40" t="s">
        <v>505</v>
      </c>
      <c r="F19" s="40">
        <v>1</v>
      </c>
      <c r="G19" s="40"/>
      <c r="H19" s="40" t="s">
        <v>482</v>
      </c>
      <c r="I19" s="40"/>
      <c r="J19" s="40">
        <v>0</v>
      </c>
      <c r="K19" s="40">
        <v>0</v>
      </c>
      <c r="L19" s="40">
        <v>0</v>
      </c>
    </row>
    <row r="20" spans="1:12" x14ac:dyDescent="0.25">
      <c r="A20" s="40" t="s">
        <v>39</v>
      </c>
      <c r="B20" s="40" t="s">
        <v>506</v>
      </c>
      <c r="C20" s="40" t="s">
        <v>507</v>
      </c>
      <c r="D20" s="40" t="s">
        <v>508</v>
      </c>
      <c r="E20" s="40" t="s">
        <v>509</v>
      </c>
      <c r="F20" s="40">
        <v>1</v>
      </c>
      <c r="G20" s="40"/>
      <c r="H20" s="40" t="s">
        <v>482</v>
      </c>
      <c r="I20" s="40"/>
      <c r="J20" s="40">
        <v>0</v>
      </c>
      <c r="K20" s="40">
        <v>0</v>
      </c>
      <c r="L20" s="40">
        <v>0</v>
      </c>
    </row>
    <row r="21" spans="1:12" x14ac:dyDescent="0.25">
      <c r="A21" s="40" t="s">
        <v>39</v>
      </c>
      <c r="B21" s="40" t="s">
        <v>510</v>
      </c>
      <c r="C21" s="40" t="s">
        <v>511</v>
      </c>
      <c r="D21" s="40" t="s">
        <v>512</v>
      </c>
      <c r="E21" s="40" t="s">
        <v>513</v>
      </c>
      <c r="F21" s="40">
        <v>1</v>
      </c>
      <c r="G21" s="40"/>
      <c r="H21" s="40" t="s">
        <v>482</v>
      </c>
      <c r="I21" s="40"/>
      <c r="J21" s="40">
        <v>0</v>
      </c>
      <c r="K21" s="40">
        <v>0</v>
      </c>
      <c r="L21" s="40">
        <v>0</v>
      </c>
    </row>
    <row r="22" spans="1:12" x14ac:dyDescent="0.25">
      <c r="A22" s="40" t="s">
        <v>39</v>
      </c>
      <c r="B22" s="40" t="s">
        <v>514</v>
      </c>
      <c r="C22" s="40" t="s">
        <v>515</v>
      </c>
      <c r="D22" s="40" t="s">
        <v>516</v>
      </c>
      <c r="E22" s="40" t="s">
        <v>517</v>
      </c>
      <c r="F22" s="40">
        <v>1</v>
      </c>
      <c r="G22" s="40"/>
      <c r="H22" s="40" t="s">
        <v>482</v>
      </c>
      <c r="I22" s="40"/>
      <c r="J22" s="40">
        <v>0</v>
      </c>
      <c r="K22" s="40">
        <v>0</v>
      </c>
      <c r="L22" s="40">
        <v>0</v>
      </c>
    </row>
    <row r="23" spans="1:12" x14ac:dyDescent="0.25">
      <c r="A23" s="40" t="s">
        <v>39</v>
      </c>
      <c r="B23" s="40" t="s">
        <v>518</v>
      </c>
      <c r="C23" s="40" t="s">
        <v>519</v>
      </c>
      <c r="D23" s="40" t="s">
        <v>520</v>
      </c>
      <c r="E23" s="40" t="s">
        <v>517</v>
      </c>
      <c r="F23" s="40">
        <v>1</v>
      </c>
      <c r="G23" s="40"/>
      <c r="H23" s="40" t="s">
        <v>482</v>
      </c>
      <c r="I23" s="40"/>
      <c r="J23" s="40">
        <v>0</v>
      </c>
      <c r="K23" s="40">
        <v>0</v>
      </c>
      <c r="L23" s="40">
        <v>0</v>
      </c>
    </row>
    <row r="24" spans="1:12" x14ac:dyDescent="0.25">
      <c r="A24" s="40" t="s">
        <v>39</v>
      </c>
      <c r="B24" s="40" t="s">
        <v>521</v>
      </c>
      <c r="C24" s="40" t="s">
        <v>522</v>
      </c>
      <c r="D24" s="40" t="s">
        <v>493</v>
      </c>
      <c r="E24" s="40" t="s">
        <v>493</v>
      </c>
      <c r="F24" s="40">
        <v>0</v>
      </c>
      <c r="G24" s="40"/>
      <c r="H24" s="40" t="s">
        <v>482</v>
      </c>
      <c r="I24" s="40"/>
      <c r="J24" s="40">
        <v>0</v>
      </c>
      <c r="K24" s="40">
        <v>0</v>
      </c>
      <c r="L24" s="40">
        <v>0</v>
      </c>
    </row>
    <row r="25" spans="1:12" x14ac:dyDescent="0.25">
      <c r="A25" s="40" t="s">
        <v>39</v>
      </c>
      <c r="B25" s="40" t="s">
        <v>523</v>
      </c>
      <c r="C25" s="40" t="s">
        <v>524</v>
      </c>
      <c r="D25" s="40" t="s">
        <v>493</v>
      </c>
      <c r="E25" s="40" t="s">
        <v>493</v>
      </c>
      <c r="F25" s="40">
        <v>0</v>
      </c>
      <c r="G25" s="40"/>
      <c r="H25" s="40" t="s">
        <v>482</v>
      </c>
      <c r="I25" s="40"/>
      <c r="J25" s="40">
        <v>0</v>
      </c>
      <c r="K25" s="40">
        <v>0</v>
      </c>
      <c r="L25" s="40">
        <v>0</v>
      </c>
    </row>
    <row r="26" spans="1:12" x14ac:dyDescent="0.25">
      <c r="A26" s="40" t="s">
        <v>39</v>
      </c>
      <c r="B26" s="40" t="s">
        <v>525</v>
      </c>
      <c r="C26" s="40" t="s">
        <v>526</v>
      </c>
      <c r="D26" s="40" t="s">
        <v>493</v>
      </c>
      <c r="E26" s="40" t="s">
        <v>493</v>
      </c>
      <c r="F26" s="40">
        <v>0</v>
      </c>
      <c r="G26" s="40"/>
      <c r="H26" s="40" t="s">
        <v>482</v>
      </c>
      <c r="I26" s="40"/>
      <c r="J26" s="40">
        <v>0</v>
      </c>
      <c r="K26" s="40">
        <v>0</v>
      </c>
      <c r="L26" s="40">
        <v>0</v>
      </c>
    </row>
    <row r="27" spans="1:12" x14ac:dyDescent="0.25">
      <c r="A27" s="40" t="s">
        <v>39</v>
      </c>
      <c r="B27" s="40" t="s">
        <v>527</v>
      </c>
      <c r="C27" s="40" t="s">
        <v>528</v>
      </c>
      <c r="D27" s="40" t="s">
        <v>493</v>
      </c>
      <c r="E27" s="40" t="s">
        <v>493</v>
      </c>
      <c r="F27" s="40">
        <v>0</v>
      </c>
      <c r="G27" s="40"/>
      <c r="H27" s="40" t="s">
        <v>482</v>
      </c>
      <c r="I27" s="40"/>
      <c r="J27" s="40">
        <v>0</v>
      </c>
      <c r="K27" s="40">
        <v>0</v>
      </c>
      <c r="L27" s="40">
        <v>0</v>
      </c>
    </row>
    <row r="28" spans="1:12" x14ac:dyDescent="0.25">
      <c r="A28" s="40" t="s">
        <v>39</v>
      </c>
      <c r="B28" s="40" t="s">
        <v>529</v>
      </c>
      <c r="C28" s="40" t="s">
        <v>530</v>
      </c>
      <c r="D28" s="40" t="s">
        <v>493</v>
      </c>
      <c r="E28" s="40" t="s">
        <v>493</v>
      </c>
      <c r="F28" s="40">
        <v>0</v>
      </c>
      <c r="G28" s="40"/>
      <c r="H28" s="40" t="s">
        <v>482</v>
      </c>
      <c r="I28" s="40"/>
      <c r="J28" s="40">
        <v>0</v>
      </c>
      <c r="K28" s="40">
        <v>0</v>
      </c>
      <c r="L28" s="40">
        <v>0</v>
      </c>
    </row>
    <row r="29" spans="1:12" x14ac:dyDescent="0.25">
      <c r="A29" s="40" t="s">
        <v>39</v>
      </c>
      <c r="B29" s="40" t="s">
        <v>531</v>
      </c>
      <c r="C29" s="40" t="s">
        <v>532</v>
      </c>
      <c r="D29" s="40" t="s">
        <v>493</v>
      </c>
      <c r="E29" s="40" t="s">
        <v>493</v>
      </c>
      <c r="F29" s="40">
        <v>0</v>
      </c>
      <c r="G29" s="40"/>
      <c r="H29" s="40" t="s">
        <v>482</v>
      </c>
      <c r="I29" s="40"/>
      <c r="J29" s="40">
        <v>0</v>
      </c>
      <c r="K29" s="40">
        <v>0</v>
      </c>
      <c r="L29" s="40">
        <v>0</v>
      </c>
    </row>
    <row r="30" spans="1:12" x14ac:dyDescent="0.25">
      <c r="A30" s="40" t="s">
        <v>39</v>
      </c>
      <c r="B30" s="40" t="s">
        <v>533</v>
      </c>
      <c r="C30" s="40" t="s">
        <v>534</v>
      </c>
      <c r="D30" s="40" t="s">
        <v>493</v>
      </c>
      <c r="E30" s="40" t="s">
        <v>493</v>
      </c>
      <c r="F30" s="40">
        <v>0</v>
      </c>
      <c r="G30" s="40"/>
      <c r="H30" s="40" t="s">
        <v>493</v>
      </c>
      <c r="I30" s="40"/>
      <c r="J30" s="40">
        <v>1</v>
      </c>
      <c r="K30" s="40">
        <v>1</v>
      </c>
      <c r="L30" s="40">
        <v>1</v>
      </c>
    </row>
    <row r="31" spans="1:12" x14ac:dyDescent="0.25">
      <c r="A31" s="40" t="s">
        <v>39</v>
      </c>
      <c r="B31" s="40" t="s">
        <v>535</v>
      </c>
      <c r="C31" s="40" t="s">
        <v>536</v>
      </c>
      <c r="D31" s="40" t="s">
        <v>493</v>
      </c>
      <c r="E31" s="40" t="s">
        <v>493</v>
      </c>
      <c r="F31" s="40">
        <v>0</v>
      </c>
      <c r="G31" s="40"/>
      <c r="H31" s="40" t="s">
        <v>482</v>
      </c>
      <c r="I31" s="40"/>
      <c r="J31" s="40">
        <v>0</v>
      </c>
      <c r="K31" s="40">
        <v>0</v>
      </c>
      <c r="L31" s="40">
        <v>0</v>
      </c>
    </row>
    <row r="32" spans="1:12" x14ac:dyDescent="0.25">
      <c r="A32" s="40" t="s">
        <v>39</v>
      </c>
      <c r="B32" s="40" t="s">
        <v>537</v>
      </c>
      <c r="C32" s="40" t="s">
        <v>538</v>
      </c>
      <c r="D32" s="40" t="s">
        <v>539</v>
      </c>
      <c r="E32" s="40" t="s">
        <v>493</v>
      </c>
      <c r="F32" s="40">
        <v>1</v>
      </c>
      <c r="G32" s="40"/>
      <c r="H32" s="40" t="s">
        <v>482</v>
      </c>
      <c r="I32" s="40"/>
      <c r="J32" s="40">
        <v>0</v>
      </c>
      <c r="K32" s="40">
        <v>0</v>
      </c>
      <c r="L32" s="40">
        <v>0</v>
      </c>
    </row>
    <row r="33" spans="1:12" x14ac:dyDescent="0.25">
      <c r="A33" s="40" t="s">
        <v>39</v>
      </c>
      <c r="B33" s="40" t="s">
        <v>540</v>
      </c>
      <c r="C33" s="40" t="s">
        <v>541</v>
      </c>
      <c r="D33" s="40" t="s">
        <v>493</v>
      </c>
      <c r="E33" s="40" t="s">
        <v>493</v>
      </c>
      <c r="F33" s="40">
        <v>0</v>
      </c>
      <c r="G33" s="40"/>
      <c r="H33" s="40" t="s">
        <v>493</v>
      </c>
      <c r="I33" s="40"/>
      <c r="J33" s="40">
        <v>0</v>
      </c>
      <c r="K33" s="40">
        <v>0</v>
      </c>
      <c r="L33" s="40">
        <v>0</v>
      </c>
    </row>
    <row r="34" spans="1:12" x14ac:dyDescent="0.25">
      <c r="A34" s="40" t="s">
        <v>39</v>
      </c>
      <c r="B34" s="40" t="s">
        <v>542</v>
      </c>
      <c r="C34" s="40" t="s">
        <v>543</v>
      </c>
      <c r="D34" s="40" t="s">
        <v>493</v>
      </c>
      <c r="E34" s="40" t="s">
        <v>493</v>
      </c>
      <c r="F34" s="40">
        <v>0</v>
      </c>
      <c r="G34" s="40"/>
      <c r="H34" s="40" t="s">
        <v>493</v>
      </c>
      <c r="I34" s="40"/>
      <c r="J34" s="40">
        <v>0</v>
      </c>
      <c r="K34" s="40">
        <v>0</v>
      </c>
      <c r="L34" s="40">
        <v>0</v>
      </c>
    </row>
    <row r="35" spans="1:12" x14ac:dyDescent="0.25">
      <c r="A35" s="40" t="s">
        <v>39</v>
      </c>
      <c r="B35" s="40" t="s">
        <v>544</v>
      </c>
      <c r="C35" s="40" t="s">
        <v>545</v>
      </c>
      <c r="D35" s="40" t="s">
        <v>546</v>
      </c>
      <c r="E35" s="40" t="s">
        <v>547</v>
      </c>
      <c r="F35" s="40">
        <v>1</v>
      </c>
      <c r="G35" s="40"/>
      <c r="H35" s="40" t="s">
        <v>482</v>
      </c>
      <c r="I35" s="40"/>
      <c r="J35" s="40">
        <v>0</v>
      </c>
      <c r="K35" s="40">
        <v>0</v>
      </c>
      <c r="L35" s="40">
        <v>0</v>
      </c>
    </row>
    <row r="36" spans="1:12" x14ac:dyDescent="0.25">
      <c r="A36" s="40" t="s">
        <v>39</v>
      </c>
      <c r="B36" s="40" t="s">
        <v>548</v>
      </c>
      <c r="C36" s="40" t="s">
        <v>549</v>
      </c>
      <c r="D36" s="40" t="s">
        <v>546</v>
      </c>
      <c r="E36" s="40" t="s">
        <v>547</v>
      </c>
      <c r="F36" s="40">
        <v>1</v>
      </c>
      <c r="G36" s="40"/>
      <c r="H36" s="40" t="s">
        <v>482</v>
      </c>
      <c r="I36" s="40"/>
      <c r="J36" s="40">
        <v>0</v>
      </c>
      <c r="K36" s="40">
        <v>0</v>
      </c>
      <c r="L36" s="40">
        <v>0</v>
      </c>
    </row>
    <row r="37" spans="1:12" x14ac:dyDescent="0.25">
      <c r="A37" s="40" t="s">
        <v>39</v>
      </c>
      <c r="B37" s="40" t="s">
        <v>550</v>
      </c>
      <c r="C37" s="40" t="s">
        <v>551</v>
      </c>
      <c r="D37" s="40" t="s">
        <v>552</v>
      </c>
      <c r="E37" s="40" t="s">
        <v>493</v>
      </c>
      <c r="F37" s="40">
        <v>1</v>
      </c>
      <c r="G37" s="40"/>
      <c r="H37" s="40" t="s">
        <v>482</v>
      </c>
      <c r="I37" s="40"/>
      <c r="J37" s="40">
        <v>0</v>
      </c>
      <c r="K37" s="40">
        <v>0</v>
      </c>
      <c r="L37" s="40">
        <v>0</v>
      </c>
    </row>
    <row r="38" spans="1:12" x14ac:dyDescent="0.25">
      <c r="A38" s="40" t="s">
        <v>39</v>
      </c>
      <c r="B38" s="40" t="s">
        <v>553</v>
      </c>
      <c r="C38" s="40" t="s">
        <v>554</v>
      </c>
      <c r="D38" s="40" t="s">
        <v>493</v>
      </c>
      <c r="E38" s="40" t="s">
        <v>493</v>
      </c>
      <c r="F38" s="40">
        <v>0</v>
      </c>
      <c r="G38" s="40"/>
      <c r="H38" s="40" t="s">
        <v>482</v>
      </c>
      <c r="I38" s="40"/>
      <c r="J38" s="40">
        <v>0</v>
      </c>
      <c r="K38" s="40">
        <v>0</v>
      </c>
      <c r="L38" s="40">
        <v>0</v>
      </c>
    </row>
    <row r="39" spans="1:12" x14ac:dyDescent="0.25">
      <c r="A39" s="40" t="s">
        <v>39</v>
      </c>
      <c r="B39" s="40" t="s">
        <v>555</v>
      </c>
      <c r="C39" s="40" t="s">
        <v>556</v>
      </c>
      <c r="D39" s="40" t="s">
        <v>557</v>
      </c>
      <c r="E39" s="40" t="s">
        <v>493</v>
      </c>
      <c r="F39" s="40">
        <v>1</v>
      </c>
      <c r="G39" s="40"/>
      <c r="H39" s="40" t="s">
        <v>482</v>
      </c>
      <c r="I39" s="40"/>
      <c r="J39" s="40">
        <v>0</v>
      </c>
      <c r="K39" s="40">
        <v>0</v>
      </c>
      <c r="L39" s="40">
        <v>0</v>
      </c>
    </row>
    <row r="40" spans="1:12" x14ac:dyDescent="0.25">
      <c r="A40" s="40" t="s">
        <v>39</v>
      </c>
      <c r="B40" s="40" t="s">
        <v>558</v>
      </c>
      <c r="C40" s="40" t="s">
        <v>559</v>
      </c>
      <c r="D40" s="40" t="s">
        <v>560</v>
      </c>
      <c r="E40" s="40" t="s">
        <v>493</v>
      </c>
      <c r="F40" s="40">
        <v>1</v>
      </c>
      <c r="G40" s="40"/>
      <c r="H40" s="40" t="s">
        <v>482</v>
      </c>
      <c r="I40" s="40"/>
      <c r="J40" s="40">
        <v>0</v>
      </c>
      <c r="K40" s="40">
        <v>0</v>
      </c>
      <c r="L40" s="40">
        <v>0</v>
      </c>
    </row>
    <row r="41" spans="1:12" x14ac:dyDescent="0.25">
      <c r="A41" s="40" t="s">
        <v>39</v>
      </c>
      <c r="B41" s="40" t="s">
        <v>561</v>
      </c>
      <c r="C41" s="40" t="s">
        <v>562</v>
      </c>
      <c r="D41" s="40" t="s">
        <v>563</v>
      </c>
      <c r="E41" s="40" t="s">
        <v>564</v>
      </c>
      <c r="F41" s="40">
        <v>1</v>
      </c>
      <c r="G41" s="40"/>
      <c r="H41" s="40" t="s">
        <v>482</v>
      </c>
      <c r="I41" s="40"/>
      <c r="J41" s="40">
        <v>0</v>
      </c>
      <c r="K41" s="40">
        <v>0</v>
      </c>
      <c r="L41" s="40">
        <v>0</v>
      </c>
    </row>
    <row r="42" spans="1:12" x14ac:dyDescent="0.25">
      <c r="A42" s="40" t="s">
        <v>39</v>
      </c>
      <c r="B42" s="40" t="s">
        <v>565</v>
      </c>
      <c r="C42" s="40" t="s">
        <v>566</v>
      </c>
      <c r="D42" s="40" t="s">
        <v>493</v>
      </c>
      <c r="E42" s="40" t="s">
        <v>493</v>
      </c>
      <c r="F42" s="40">
        <v>0</v>
      </c>
      <c r="G42" s="40"/>
      <c r="H42" s="40" t="s">
        <v>482</v>
      </c>
      <c r="I42" s="40"/>
      <c r="J42" s="40">
        <v>0</v>
      </c>
      <c r="K42" s="40">
        <v>0</v>
      </c>
      <c r="L42" s="40">
        <v>0</v>
      </c>
    </row>
    <row r="43" spans="1:12" x14ac:dyDescent="0.25">
      <c r="A43" s="40" t="s">
        <v>39</v>
      </c>
      <c r="B43" s="40" t="s">
        <v>567</v>
      </c>
      <c r="C43" s="40" t="s">
        <v>568</v>
      </c>
      <c r="D43" s="40" t="s">
        <v>569</v>
      </c>
      <c r="E43" s="40" t="s">
        <v>569</v>
      </c>
      <c r="F43" s="40">
        <v>0</v>
      </c>
      <c r="G43" s="40"/>
      <c r="H43" s="40" t="s">
        <v>482</v>
      </c>
      <c r="I43" s="40"/>
      <c r="J43" s="40">
        <v>0</v>
      </c>
      <c r="K43" s="40">
        <v>0</v>
      </c>
      <c r="L43" s="40">
        <v>0</v>
      </c>
    </row>
    <row r="44" spans="1:12" x14ac:dyDescent="0.25">
      <c r="A44" s="40" t="s">
        <v>39</v>
      </c>
      <c r="B44" s="40" t="s">
        <v>570</v>
      </c>
      <c r="C44" s="40" t="s">
        <v>571</v>
      </c>
      <c r="D44" s="40" t="s">
        <v>572</v>
      </c>
      <c r="E44" s="40" t="s">
        <v>573</v>
      </c>
      <c r="F44" s="40">
        <v>1</v>
      </c>
      <c r="G44" s="40"/>
      <c r="H44" s="40" t="s">
        <v>482</v>
      </c>
      <c r="I44" s="40"/>
      <c r="J44" s="40">
        <v>0</v>
      </c>
      <c r="K44" s="40">
        <v>0</v>
      </c>
      <c r="L44" s="40">
        <v>0</v>
      </c>
    </row>
    <row r="45" spans="1:12" x14ac:dyDescent="0.25">
      <c r="A45" s="40" t="s">
        <v>39</v>
      </c>
      <c r="B45" s="40" t="s">
        <v>574</v>
      </c>
      <c r="C45" s="40" t="s">
        <v>575</v>
      </c>
      <c r="D45" s="40" t="s">
        <v>576</v>
      </c>
      <c r="E45" s="40" t="s">
        <v>576</v>
      </c>
      <c r="F45" s="40">
        <v>0</v>
      </c>
      <c r="G45" s="40"/>
      <c r="H45" s="40" t="s">
        <v>482</v>
      </c>
      <c r="I45" s="40"/>
      <c r="J45" s="40">
        <v>0</v>
      </c>
      <c r="K45" s="40">
        <v>0</v>
      </c>
      <c r="L45" s="40">
        <v>0</v>
      </c>
    </row>
    <row r="46" spans="1:12" x14ac:dyDescent="0.25">
      <c r="A46" s="40" t="s">
        <v>39</v>
      </c>
      <c r="B46" s="40" t="s">
        <v>577</v>
      </c>
      <c r="C46" s="40" t="s">
        <v>578</v>
      </c>
      <c r="D46" s="40" t="s">
        <v>579</v>
      </c>
      <c r="E46" s="40" t="s">
        <v>493</v>
      </c>
      <c r="F46" s="40">
        <v>1</v>
      </c>
      <c r="G46" s="40"/>
      <c r="H46" s="40" t="s">
        <v>482</v>
      </c>
      <c r="I46" s="40"/>
      <c r="J46" s="40">
        <v>1</v>
      </c>
      <c r="K46" s="40">
        <v>1</v>
      </c>
      <c r="L46" s="40">
        <v>0</v>
      </c>
    </row>
    <row r="47" spans="1:12" x14ac:dyDescent="0.25">
      <c r="A47" s="40" t="s">
        <v>39</v>
      </c>
      <c r="B47" s="40" t="s">
        <v>580</v>
      </c>
      <c r="C47" s="40" t="s">
        <v>581</v>
      </c>
      <c r="D47" s="40" t="s">
        <v>493</v>
      </c>
      <c r="E47" s="40" t="s">
        <v>493</v>
      </c>
      <c r="F47" s="40">
        <v>0</v>
      </c>
      <c r="G47" s="40"/>
      <c r="H47" s="40" t="s">
        <v>482</v>
      </c>
      <c r="I47" s="40"/>
      <c r="J47" s="40">
        <v>0</v>
      </c>
      <c r="K47" s="40">
        <v>0</v>
      </c>
      <c r="L47" s="40">
        <v>0</v>
      </c>
    </row>
    <row r="48" spans="1:12" x14ac:dyDescent="0.25">
      <c r="A48" s="40" t="s">
        <v>39</v>
      </c>
      <c r="B48" s="40" t="s">
        <v>582</v>
      </c>
      <c r="C48" s="40" t="s">
        <v>583</v>
      </c>
      <c r="D48" s="40" t="s">
        <v>584</v>
      </c>
      <c r="E48" s="40" t="s">
        <v>585</v>
      </c>
      <c r="F48" s="40">
        <v>1</v>
      </c>
      <c r="G48" s="40"/>
      <c r="H48" s="40" t="s">
        <v>482</v>
      </c>
      <c r="I48" s="40"/>
      <c r="J48" s="40">
        <v>0</v>
      </c>
      <c r="K48" s="40">
        <v>0</v>
      </c>
      <c r="L48" s="40">
        <v>0</v>
      </c>
    </row>
    <row r="49" spans="1:12" x14ac:dyDescent="0.25">
      <c r="A49" s="40" t="s">
        <v>39</v>
      </c>
      <c r="B49" s="40" t="s">
        <v>586</v>
      </c>
      <c r="C49" s="40" t="s">
        <v>587</v>
      </c>
      <c r="D49" s="40" t="s">
        <v>493</v>
      </c>
      <c r="E49" s="40" t="s">
        <v>493</v>
      </c>
      <c r="F49" s="40">
        <v>0</v>
      </c>
      <c r="G49" s="40"/>
      <c r="H49" s="40" t="s">
        <v>482</v>
      </c>
      <c r="I49" s="40"/>
      <c r="J49" s="40">
        <v>0</v>
      </c>
      <c r="K49" s="40">
        <v>0</v>
      </c>
      <c r="L49" s="40">
        <v>0</v>
      </c>
    </row>
    <row r="50" spans="1:12" x14ac:dyDescent="0.25">
      <c r="A50" s="40" t="s">
        <v>39</v>
      </c>
      <c r="B50" s="40" t="s">
        <v>588</v>
      </c>
      <c r="C50" s="40" t="s">
        <v>589</v>
      </c>
      <c r="D50" s="40" t="s">
        <v>493</v>
      </c>
      <c r="E50" s="40" t="s">
        <v>493</v>
      </c>
      <c r="F50" s="40">
        <v>0</v>
      </c>
      <c r="G50" s="40"/>
      <c r="H50" s="40" t="s">
        <v>482</v>
      </c>
      <c r="I50" s="40"/>
      <c r="J50" s="40">
        <v>0</v>
      </c>
      <c r="K50" s="40">
        <v>0</v>
      </c>
      <c r="L50" s="40">
        <v>0</v>
      </c>
    </row>
    <row r="51" spans="1:12" x14ac:dyDescent="0.25">
      <c r="A51" s="40" t="s">
        <v>39</v>
      </c>
      <c r="B51" s="40" t="s">
        <v>590</v>
      </c>
      <c r="C51" s="40" t="s">
        <v>591</v>
      </c>
      <c r="D51" s="40" t="s">
        <v>592</v>
      </c>
      <c r="E51" s="40" t="s">
        <v>493</v>
      </c>
      <c r="F51" s="40">
        <v>1</v>
      </c>
      <c r="G51" s="40"/>
      <c r="H51" s="40" t="s">
        <v>482</v>
      </c>
      <c r="I51" s="40"/>
      <c r="J51" s="40">
        <v>1</v>
      </c>
      <c r="K51" s="40">
        <v>1</v>
      </c>
      <c r="L51" s="40">
        <v>0</v>
      </c>
    </row>
    <row r="52" spans="1:12" x14ac:dyDescent="0.25">
      <c r="A52" s="40" t="s">
        <v>39</v>
      </c>
      <c r="B52" s="40" t="s">
        <v>593</v>
      </c>
      <c r="C52" s="40" t="s">
        <v>594</v>
      </c>
      <c r="D52" s="40" t="s">
        <v>569</v>
      </c>
      <c r="E52" s="40" t="s">
        <v>569</v>
      </c>
      <c r="F52" s="40">
        <v>0</v>
      </c>
      <c r="G52" s="40"/>
      <c r="H52" s="40" t="s">
        <v>482</v>
      </c>
      <c r="I52" s="40"/>
      <c r="J52" s="40">
        <v>0</v>
      </c>
      <c r="K52" s="40">
        <v>0</v>
      </c>
      <c r="L52" s="40">
        <v>0</v>
      </c>
    </row>
    <row r="53" spans="1:12" x14ac:dyDescent="0.25">
      <c r="A53" s="40" t="s">
        <v>39</v>
      </c>
      <c r="B53" s="40" t="s">
        <v>595</v>
      </c>
      <c r="C53" s="40" t="s">
        <v>596</v>
      </c>
      <c r="D53" s="40" t="s">
        <v>572</v>
      </c>
      <c r="E53" s="40" t="s">
        <v>573</v>
      </c>
      <c r="F53" s="40">
        <v>1</v>
      </c>
      <c r="G53" s="40"/>
      <c r="H53" s="40" t="s">
        <v>597</v>
      </c>
      <c r="I53" s="40"/>
      <c r="J53" s="40">
        <v>0</v>
      </c>
      <c r="K53" s="40">
        <v>0</v>
      </c>
      <c r="L53" s="40">
        <v>1</v>
      </c>
    </row>
    <row r="54" spans="1:12" x14ac:dyDescent="0.25">
      <c r="A54" s="40" t="s">
        <v>39</v>
      </c>
      <c r="B54" s="40" t="s">
        <v>598</v>
      </c>
      <c r="C54" s="40" t="s">
        <v>599</v>
      </c>
      <c r="D54" s="40" t="s">
        <v>493</v>
      </c>
      <c r="E54" s="40" t="s">
        <v>493</v>
      </c>
      <c r="F54" s="40">
        <v>0</v>
      </c>
      <c r="G54" s="40"/>
      <c r="H54" s="40" t="s">
        <v>600</v>
      </c>
      <c r="I54" s="40"/>
      <c r="J54" s="40">
        <v>0</v>
      </c>
      <c r="K54" s="40">
        <v>0</v>
      </c>
      <c r="L54" s="40">
        <v>1</v>
      </c>
    </row>
    <row r="55" spans="1:12" x14ac:dyDescent="0.25">
      <c r="A55" s="40" t="s">
        <v>39</v>
      </c>
      <c r="B55" s="40" t="s">
        <v>601</v>
      </c>
      <c r="C55" s="40" t="s">
        <v>602</v>
      </c>
      <c r="D55" s="40" t="s">
        <v>493</v>
      </c>
      <c r="E55" s="40" t="s">
        <v>493</v>
      </c>
      <c r="F55" s="40">
        <v>0</v>
      </c>
      <c r="G55" s="40"/>
      <c r="H55" s="40" t="s">
        <v>482</v>
      </c>
      <c r="I55" s="40"/>
      <c r="J55" s="40">
        <v>0</v>
      </c>
      <c r="K55" s="40">
        <v>0</v>
      </c>
      <c r="L55" s="40">
        <v>0</v>
      </c>
    </row>
    <row r="56" spans="1:12" x14ac:dyDescent="0.25">
      <c r="A56" s="40" t="s">
        <v>39</v>
      </c>
      <c r="B56" s="40" t="s">
        <v>603</v>
      </c>
      <c r="C56" s="40" t="s">
        <v>604</v>
      </c>
      <c r="D56" s="40" t="s">
        <v>605</v>
      </c>
      <c r="E56" s="40" t="s">
        <v>605</v>
      </c>
      <c r="F56" s="40">
        <v>0</v>
      </c>
      <c r="G56" s="40"/>
      <c r="H56" s="40" t="s">
        <v>482</v>
      </c>
      <c r="I56" s="40"/>
      <c r="J56" s="40">
        <v>0</v>
      </c>
      <c r="K56" s="40">
        <v>0</v>
      </c>
      <c r="L56" s="40">
        <v>0</v>
      </c>
    </row>
    <row r="57" spans="1:12" x14ac:dyDescent="0.25">
      <c r="A57" s="40" t="s">
        <v>39</v>
      </c>
      <c r="B57" s="40" t="s">
        <v>606</v>
      </c>
      <c r="C57" s="40" t="s">
        <v>607</v>
      </c>
      <c r="D57" s="40" t="s">
        <v>608</v>
      </c>
      <c r="E57" s="40" t="s">
        <v>609</v>
      </c>
      <c r="F57" s="40">
        <v>1</v>
      </c>
      <c r="G57" s="40"/>
      <c r="H57" s="40" t="s">
        <v>482</v>
      </c>
      <c r="I57" s="40"/>
      <c r="J57" s="40">
        <v>0</v>
      </c>
      <c r="K57" s="40">
        <v>0</v>
      </c>
      <c r="L57" s="40">
        <v>0</v>
      </c>
    </row>
    <row r="58" spans="1:12" x14ac:dyDescent="0.25">
      <c r="A58" s="40" t="s">
        <v>39</v>
      </c>
      <c r="B58" s="40" t="s">
        <v>610</v>
      </c>
      <c r="C58" s="40" t="s">
        <v>611</v>
      </c>
      <c r="D58" s="40" t="s">
        <v>493</v>
      </c>
      <c r="E58" s="40" t="s">
        <v>493</v>
      </c>
      <c r="F58" s="40">
        <v>0</v>
      </c>
      <c r="G58" s="40"/>
      <c r="H58" s="40" t="s">
        <v>482</v>
      </c>
      <c r="I58" s="40"/>
      <c r="J58" s="40">
        <v>0</v>
      </c>
      <c r="K58" s="40">
        <v>0</v>
      </c>
      <c r="L58" s="40">
        <v>0</v>
      </c>
    </row>
    <row r="59" spans="1:12" x14ac:dyDescent="0.25">
      <c r="A59" s="40" t="s">
        <v>39</v>
      </c>
      <c r="B59" s="40" t="s">
        <v>612</v>
      </c>
      <c r="C59" s="40" t="s">
        <v>613</v>
      </c>
      <c r="D59" s="40" t="s">
        <v>569</v>
      </c>
      <c r="E59" s="40" t="s">
        <v>569</v>
      </c>
      <c r="F59" s="40">
        <v>0</v>
      </c>
      <c r="G59" s="40"/>
      <c r="H59" s="40" t="s">
        <v>482</v>
      </c>
      <c r="I59" s="40"/>
      <c r="J59" s="40">
        <v>0</v>
      </c>
      <c r="K59" s="40">
        <v>0</v>
      </c>
      <c r="L59" s="40">
        <v>0</v>
      </c>
    </row>
    <row r="60" spans="1:12" x14ac:dyDescent="0.25">
      <c r="A60" s="40" t="s">
        <v>39</v>
      </c>
      <c r="B60" s="40" t="s">
        <v>614</v>
      </c>
      <c r="C60" s="40" t="s">
        <v>615</v>
      </c>
      <c r="D60" s="40" t="s">
        <v>572</v>
      </c>
      <c r="E60" s="40" t="s">
        <v>573</v>
      </c>
      <c r="F60" s="40">
        <v>1</v>
      </c>
      <c r="G60" s="40"/>
      <c r="H60" s="40" t="s">
        <v>482</v>
      </c>
      <c r="I60" s="40"/>
      <c r="J60" s="40">
        <v>0</v>
      </c>
      <c r="K60" s="40">
        <v>0</v>
      </c>
      <c r="L60" s="40">
        <v>0</v>
      </c>
    </row>
    <row r="61" spans="1:12" x14ac:dyDescent="0.25">
      <c r="A61" s="40" t="s">
        <v>39</v>
      </c>
      <c r="B61" s="40" t="s">
        <v>616</v>
      </c>
      <c r="C61" s="40" t="s">
        <v>617</v>
      </c>
      <c r="D61" s="40" t="s">
        <v>618</v>
      </c>
      <c r="E61" s="40" t="s">
        <v>619</v>
      </c>
      <c r="F61" s="40">
        <v>1</v>
      </c>
      <c r="G61" s="40"/>
      <c r="H61" s="40" t="s">
        <v>482</v>
      </c>
      <c r="I61" s="40"/>
      <c r="J61" s="40">
        <v>0</v>
      </c>
      <c r="K61" s="40">
        <v>0</v>
      </c>
      <c r="L61" s="40">
        <v>0</v>
      </c>
    </row>
    <row r="62" spans="1:12" x14ac:dyDescent="0.25">
      <c r="A62" s="40" t="s">
        <v>39</v>
      </c>
      <c r="B62" s="40" t="s">
        <v>620</v>
      </c>
      <c r="C62" s="40" t="s">
        <v>621</v>
      </c>
      <c r="D62" s="40" t="s">
        <v>622</v>
      </c>
      <c r="E62" s="40" t="s">
        <v>622</v>
      </c>
      <c r="F62" s="40">
        <v>0</v>
      </c>
      <c r="G62" s="40"/>
      <c r="H62" s="40" t="s">
        <v>482</v>
      </c>
      <c r="I62" s="40"/>
      <c r="J62" s="40">
        <v>0</v>
      </c>
      <c r="K62" s="40">
        <v>0</v>
      </c>
      <c r="L62" s="40">
        <v>0</v>
      </c>
    </row>
    <row r="63" spans="1:12" x14ac:dyDescent="0.25">
      <c r="A63" s="40" t="s">
        <v>39</v>
      </c>
      <c r="B63" s="40" t="s">
        <v>623</v>
      </c>
      <c r="C63" s="40" t="s">
        <v>624</v>
      </c>
      <c r="D63" s="40" t="s">
        <v>493</v>
      </c>
      <c r="E63" s="40" t="s">
        <v>493</v>
      </c>
      <c r="F63" s="40">
        <v>0</v>
      </c>
      <c r="G63" s="40"/>
      <c r="H63" s="40" t="s">
        <v>482</v>
      </c>
      <c r="I63" s="40"/>
      <c r="J63" s="40">
        <v>0</v>
      </c>
      <c r="K63" s="40">
        <v>0</v>
      </c>
      <c r="L63" s="40">
        <v>0</v>
      </c>
    </row>
    <row r="64" spans="1:12" x14ac:dyDescent="0.25">
      <c r="A64" s="40" t="s">
        <v>39</v>
      </c>
      <c r="B64" s="40" t="s">
        <v>625</v>
      </c>
      <c r="C64" s="40" t="s">
        <v>626</v>
      </c>
      <c r="D64" s="40" t="s">
        <v>627</v>
      </c>
      <c r="E64" s="40" t="s">
        <v>628</v>
      </c>
      <c r="F64" s="40">
        <v>1</v>
      </c>
      <c r="G64" s="40"/>
      <c r="H64" s="40" t="s">
        <v>629</v>
      </c>
      <c r="I64" s="40"/>
      <c r="J64" s="40">
        <v>0</v>
      </c>
      <c r="K64" s="40">
        <v>0</v>
      </c>
      <c r="L64" s="40">
        <v>1</v>
      </c>
    </row>
    <row r="65" spans="1:12" x14ac:dyDescent="0.25">
      <c r="A65" s="40" t="s">
        <v>39</v>
      </c>
      <c r="B65" s="40" t="s">
        <v>630</v>
      </c>
      <c r="C65" s="40" t="s">
        <v>631</v>
      </c>
      <c r="D65" s="40" t="s">
        <v>627</v>
      </c>
      <c r="E65" s="40" t="s">
        <v>628</v>
      </c>
      <c r="F65" s="40">
        <v>1</v>
      </c>
      <c r="G65" s="40"/>
      <c r="H65" s="40" t="s">
        <v>629</v>
      </c>
      <c r="I65" s="40"/>
      <c r="J65" s="40">
        <v>0</v>
      </c>
      <c r="K65" s="40">
        <v>0</v>
      </c>
      <c r="L65" s="40">
        <v>1</v>
      </c>
    </row>
    <row r="66" spans="1:12" x14ac:dyDescent="0.25">
      <c r="A66" s="40" t="s">
        <v>39</v>
      </c>
      <c r="B66" s="40" t="s">
        <v>632</v>
      </c>
      <c r="C66" s="40" t="s">
        <v>633</v>
      </c>
      <c r="D66" s="40" t="s">
        <v>627</v>
      </c>
      <c r="E66" s="40" t="s">
        <v>628</v>
      </c>
      <c r="F66" s="40">
        <v>1</v>
      </c>
      <c r="G66" s="40"/>
      <c r="H66" s="40" t="s">
        <v>629</v>
      </c>
      <c r="I66" s="40"/>
      <c r="J66" s="40">
        <v>0</v>
      </c>
      <c r="K66" s="40">
        <v>0</v>
      </c>
      <c r="L66" s="40">
        <v>1</v>
      </c>
    </row>
    <row r="67" spans="1:12" x14ac:dyDescent="0.25">
      <c r="A67" s="40" t="s">
        <v>39</v>
      </c>
      <c r="B67" s="40" t="s">
        <v>634</v>
      </c>
      <c r="C67" s="40" t="s">
        <v>635</v>
      </c>
      <c r="D67" s="40" t="s">
        <v>627</v>
      </c>
      <c r="E67" s="40" t="s">
        <v>628</v>
      </c>
      <c r="F67" s="40">
        <v>1</v>
      </c>
      <c r="G67" s="40"/>
      <c r="H67" s="40" t="s">
        <v>629</v>
      </c>
      <c r="I67" s="40"/>
      <c r="J67" s="40">
        <v>0</v>
      </c>
      <c r="K67" s="40">
        <v>0</v>
      </c>
      <c r="L67" s="40">
        <v>1</v>
      </c>
    </row>
    <row r="68" spans="1:12" x14ac:dyDescent="0.25">
      <c r="A68" s="40" t="s">
        <v>39</v>
      </c>
      <c r="B68" s="40" t="s">
        <v>636</v>
      </c>
      <c r="C68" s="40" t="s">
        <v>637</v>
      </c>
      <c r="D68" s="40" t="s">
        <v>627</v>
      </c>
      <c r="E68" s="40" t="s">
        <v>628</v>
      </c>
      <c r="F68" s="40">
        <v>1</v>
      </c>
      <c r="G68" s="40"/>
      <c r="H68" s="40" t="s">
        <v>629</v>
      </c>
      <c r="I68" s="40"/>
      <c r="J68" s="40">
        <v>0</v>
      </c>
      <c r="K68" s="40">
        <v>0</v>
      </c>
      <c r="L68" s="40">
        <v>1</v>
      </c>
    </row>
    <row r="69" spans="1:12" x14ac:dyDescent="0.25">
      <c r="A69" s="40" t="s">
        <v>39</v>
      </c>
      <c r="B69" s="40" t="s">
        <v>638</v>
      </c>
      <c r="C69" s="40" t="s">
        <v>639</v>
      </c>
      <c r="D69" s="40" t="s">
        <v>627</v>
      </c>
      <c r="E69" s="40" t="s">
        <v>628</v>
      </c>
      <c r="F69" s="40">
        <v>1</v>
      </c>
      <c r="G69" s="40"/>
      <c r="H69" s="40" t="s">
        <v>629</v>
      </c>
      <c r="I69" s="40"/>
      <c r="J69" s="40">
        <v>0</v>
      </c>
      <c r="K69" s="40">
        <v>0</v>
      </c>
      <c r="L69" s="40">
        <v>1</v>
      </c>
    </row>
    <row r="70" spans="1:12" x14ac:dyDescent="0.25">
      <c r="A70" s="40" t="s">
        <v>39</v>
      </c>
      <c r="B70" s="40" t="s">
        <v>640</v>
      </c>
      <c r="C70" s="40" t="s">
        <v>641</v>
      </c>
      <c r="D70" s="40" t="s">
        <v>627</v>
      </c>
      <c r="E70" s="40" t="s">
        <v>628</v>
      </c>
      <c r="F70" s="40">
        <v>1</v>
      </c>
      <c r="G70" s="40"/>
      <c r="H70" s="40" t="s">
        <v>629</v>
      </c>
      <c r="I70" s="40"/>
      <c r="J70" s="40">
        <v>0</v>
      </c>
      <c r="K70" s="40">
        <v>0</v>
      </c>
      <c r="L70" s="40">
        <v>1</v>
      </c>
    </row>
    <row r="71" spans="1:12" x14ac:dyDescent="0.25">
      <c r="A71" s="40" t="s">
        <v>39</v>
      </c>
      <c r="B71" s="40" t="s">
        <v>642</v>
      </c>
      <c r="C71" s="40" t="s">
        <v>643</v>
      </c>
      <c r="D71" s="40" t="s">
        <v>627</v>
      </c>
      <c r="E71" s="40" t="s">
        <v>628</v>
      </c>
      <c r="F71" s="40">
        <v>1</v>
      </c>
      <c r="G71" s="40"/>
      <c r="H71" s="40" t="s">
        <v>629</v>
      </c>
      <c r="I71" s="40"/>
      <c r="J71" s="40">
        <v>0</v>
      </c>
      <c r="K71" s="40">
        <v>0</v>
      </c>
      <c r="L71" s="40">
        <v>1</v>
      </c>
    </row>
    <row r="72" spans="1:12" x14ac:dyDescent="0.25">
      <c r="A72" s="40" t="s">
        <v>39</v>
      </c>
      <c r="B72" s="40" t="s">
        <v>644</v>
      </c>
      <c r="C72" s="40" t="s">
        <v>645</v>
      </c>
      <c r="D72" s="40" t="s">
        <v>627</v>
      </c>
      <c r="E72" s="40" t="s">
        <v>628</v>
      </c>
      <c r="F72" s="40">
        <v>1</v>
      </c>
      <c r="G72" s="40"/>
      <c r="H72" s="40" t="s">
        <v>629</v>
      </c>
      <c r="I72" s="40"/>
      <c r="J72" s="40">
        <v>0</v>
      </c>
      <c r="K72" s="40">
        <v>0</v>
      </c>
      <c r="L72" s="40">
        <v>1</v>
      </c>
    </row>
    <row r="73" spans="1:12" x14ac:dyDescent="0.25">
      <c r="A73" s="40" t="s">
        <v>39</v>
      </c>
      <c r="B73" s="40" t="s">
        <v>646</v>
      </c>
      <c r="C73" s="40" t="s">
        <v>647</v>
      </c>
      <c r="D73" s="40" t="s">
        <v>627</v>
      </c>
      <c r="E73" s="40" t="s">
        <v>628</v>
      </c>
      <c r="F73" s="40">
        <v>1</v>
      </c>
      <c r="G73" s="40"/>
      <c r="H73" s="40" t="s">
        <v>629</v>
      </c>
      <c r="I73" s="40"/>
      <c r="J73" s="40">
        <v>0</v>
      </c>
      <c r="K73" s="40">
        <v>0</v>
      </c>
      <c r="L73" s="40">
        <v>1</v>
      </c>
    </row>
    <row r="74" spans="1:12" x14ac:dyDescent="0.25">
      <c r="A74" s="40" t="s">
        <v>39</v>
      </c>
      <c r="B74" s="40" t="s">
        <v>648</v>
      </c>
      <c r="C74" s="40" t="s">
        <v>649</v>
      </c>
      <c r="D74" s="40" t="s">
        <v>627</v>
      </c>
      <c r="E74" s="40" t="s">
        <v>628</v>
      </c>
      <c r="F74" s="40">
        <v>1</v>
      </c>
      <c r="G74" s="40"/>
      <c r="H74" s="40" t="s">
        <v>629</v>
      </c>
      <c r="I74" s="40"/>
      <c r="J74" s="40">
        <v>0</v>
      </c>
      <c r="K74" s="40">
        <v>0</v>
      </c>
      <c r="L74" s="40">
        <v>1</v>
      </c>
    </row>
    <row r="75" spans="1:12" x14ac:dyDescent="0.25">
      <c r="A75" s="40" t="s">
        <v>39</v>
      </c>
      <c r="B75" s="40" t="s">
        <v>650</v>
      </c>
      <c r="C75" s="40" t="s">
        <v>651</v>
      </c>
      <c r="D75" s="40" t="s">
        <v>560</v>
      </c>
      <c r="E75" s="40" t="s">
        <v>560</v>
      </c>
      <c r="F75" s="40">
        <v>0</v>
      </c>
      <c r="G75" s="40"/>
      <c r="H75" s="40" t="s">
        <v>652</v>
      </c>
      <c r="I75" s="40"/>
      <c r="J75" s="40">
        <v>0</v>
      </c>
      <c r="K75" s="40">
        <v>0</v>
      </c>
      <c r="L75" s="40">
        <v>1</v>
      </c>
    </row>
    <row r="76" spans="1:12" x14ac:dyDescent="0.25">
      <c r="A76" s="40" t="s">
        <v>39</v>
      </c>
      <c r="B76" s="40" t="s">
        <v>653</v>
      </c>
      <c r="C76" s="40" t="s">
        <v>654</v>
      </c>
      <c r="D76" s="40" t="s">
        <v>560</v>
      </c>
      <c r="E76" s="40" t="s">
        <v>560</v>
      </c>
      <c r="F76" s="40">
        <v>0</v>
      </c>
      <c r="G76" s="40"/>
      <c r="H76" s="40" t="s">
        <v>652</v>
      </c>
      <c r="I76" s="40"/>
      <c r="J76" s="40">
        <v>0</v>
      </c>
      <c r="K76" s="40">
        <v>0</v>
      </c>
      <c r="L76" s="40">
        <v>1</v>
      </c>
    </row>
    <row r="77" spans="1:12" x14ac:dyDescent="0.25">
      <c r="A77" s="40" t="s">
        <v>39</v>
      </c>
      <c r="B77" s="40" t="s">
        <v>655</v>
      </c>
      <c r="C77" s="40" t="s">
        <v>656</v>
      </c>
      <c r="D77" s="40" t="s">
        <v>560</v>
      </c>
      <c r="E77" s="40" t="s">
        <v>560</v>
      </c>
      <c r="F77" s="40">
        <v>0</v>
      </c>
      <c r="G77" s="40"/>
      <c r="H77" s="40" t="s">
        <v>652</v>
      </c>
      <c r="I77" s="40"/>
      <c r="J77" s="40">
        <v>0</v>
      </c>
      <c r="K77" s="40">
        <v>0</v>
      </c>
      <c r="L77" s="40">
        <v>1</v>
      </c>
    </row>
    <row r="78" spans="1:12" x14ac:dyDescent="0.25">
      <c r="A78" s="40" t="s">
        <v>39</v>
      </c>
      <c r="B78" s="40" t="s">
        <v>657</v>
      </c>
      <c r="C78" s="40" t="s">
        <v>658</v>
      </c>
      <c r="D78" s="40" t="s">
        <v>560</v>
      </c>
      <c r="E78" s="40" t="s">
        <v>560</v>
      </c>
      <c r="F78" s="40">
        <v>0</v>
      </c>
      <c r="G78" s="40"/>
      <c r="H78" s="40" t="s">
        <v>652</v>
      </c>
      <c r="I78" s="40"/>
      <c r="J78" s="40">
        <v>0</v>
      </c>
      <c r="K78" s="40">
        <v>0</v>
      </c>
      <c r="L78" s="40">
        <v>1</v>
      </c>
    </row>
    <row r="79" spans="1:12" x14ac:dyDescent="0.25">
      <c r="A79" s="40" t="s">
        <v>39</v>
      </c>
      <c r="B79" s="40" t="s">
        <v>659</v>
      </c>
      <c r="C79" s="40" t="s">
        <v>660</v>
      </c>
      <c r="D79" s="40" t="s">
        <v>560</v>
      </c>
      <c r="E79" s="40" t="s">
        <v>560</v>
      </c>
      <c r="F79" s="40">
        <v>0</v>
      </c>
      <c r="G79" s="40"/>
      <c r="H79" s="40" t="s">
        <v>652</v>
      </c>
      <c r="I79" s="40"/>
      <c r="J79" s="40">
        <v>0</v>
      </c>
      <c r="K79" s="40">
        <v>0</v>
      </c>
      <c r="L79" s="40">
        <v>1</v>
      </c>
    </row>
    <row r="80" spans="1:12" x14ac:dyDescent="0.25">
      <c r="A80" s="40" t="s">
        <v>39</v>
      </c>
      <c r="B80" s="40" t="s">
        <v>661</v>
      </c>
      <c r="C80" s="40" t="s">
        <v>662</v>
      </c>
      <c r="D80" s="40" t="s">
        <v>560</v>
      </c>
      <c r="E80" s="40" t="s">
        <v>560</v>
      </c>
      <c r="F80" s="40">
        <v>0</v>
      </c>
      <c r="G80" s="40"/>
      <c r="H80" s="40" t="s">
        <v>652</v>
      </c>
      <c r="I80" s="40"/>
      <c r="J80" s="40">
        <v>0</v>
      </c>
      <c r="K80" s="40">
        <v>0</v>
      </c>
      <c r="L80" s="40">
        <v>1</v>
      </c>
    </row>
    <row r="81" spans="1:12" x14ac:dyDescent="0.25">
      <c r="A81" s="40" t="s">
        <v>39</v>
      </c>
      <c r="B81" s="40" t="s">
        <v>663</v>
      </c>
      <c r="C81" s="40" t="s">
        <v>664</v>
      </c>
      <c r="D81" s="40" t="s">
        <v>560</v>
      </c>
      <c r="E81" s="40" t="s">
        <v>560</v>
      </c>
      <c r="F81" s="40">
        <v>0</v>
      </c>
      <c r="G81" s="40"/>
      <c r="H81" s="40" t="s">
        <v>652</v>
      </c>
      <c r="I81" s="40"/>
      <c r="J81" s="40">
        <v>0</v>
      </c>
      <c r="K81" s="40">
        <v>0</v>
      </c>
      <c r="L81" s="40">
        <v>1</v>
      </c>
    </row>
    <row r="82" spans="1:12" x14ac:dyDescent="0.25">
      <c r="A82" s="40" t="s">
        <v>39</v>
      </c>
      <c r="B82" s="40" t="s">
        <v>665</v>
      </c>
      <c r="C82" s="40" t="s">
        <v>666</v>
      </c>
      <c r="D82" s="40" t="s">
        <v>560</v>
      </c>
      <c r="E82" s="40" t="s">
        <v>560</v>
      </c>
      <c r="F82" s="40">
        <v>0</v>
      </c>
      <c r="G82" s="40"/>
      <c r="H82" s="40" t="s">
        <v>652</v>
      </c>
      <c r="I82" s="40"/>
      <c r="J82" s="40">
        <v>0</v>
      </c>
      <c r="K82" s="40">
        <v>0</v>
      </c>
      <c r="L82" s="40">
        <v>1</v>
      </c>
    </row>
    <row r="83" spans="1:12" x14ac:dyDescent="0.25">
      <c r="A83" s="40" t="s">
        <v>39</v>
      </c>
      <c r="B83" s="40" t="s">
        <v>667</v>
      </c>
      <c r="C83" s="40" t="s">
        <v>668</v>
      </c>
      <c r="D83" s="40" t="s">
        <v>560</v>
      </c>
      <c r="E83" s="40" t="s">
        <v>560</v>
      </c>
      <c r="F83" s="40">
        <v>0</v>
      </c>
      <c r="G83" s="40"/>
      <c r="H83" s="40" t="s">
        <v>652</v>
      </c>
      <c r="I83" s="40"/>
      <c r="J83" s="40">
        <v>0</v>
      </c>
      <c r="K83" s="40">
        <v>0</v>
      </c>
      <c r="L83" s="40">
        <v>1</v>
      </c>
    </row>
    <row r="84" spans="1:12" x14ac:dyDescent="0.25">
      <c r="A84" s="40" t="s">
        <v>39</v>
      </c>
      <c r="B84" s="40" t="s">
        <v>669</v>
      </c>
      <c r="C84" s="40" t="s">
        <v>670</v>
      </c>
      <c r="D84" s="40" t="s">
        <v>560</v>
      </c>
      <c r="E84" s="40" t="s">
        <v>560</v>
      </c>
      <c r="F84" s="40">
        <v>0</v>
      </c>
      <c r="G84" s="40"/>
      <c r="H84" s="40" t="s">
        <v>652</v>
      </c>
      <c r="I84" s="40"/>
      <c r="J84" s="40">
        <v>0</v>
      </c>
      <c r="K84" s="40">
        <v>0</v>
      </c>
      <c r="L84" s="40">
        <v>1</v>
      </c>
    </row>
    <row r="85" spans="1:12" x14ac:dyDescent="0.25">
      <c r="A85" s="40" t="s">
        <v>39</v>
      </c>
      <c r="B85" s="40" t="s">
        <v>671</v>
      </c>
      <c r="C85" s="40" t="s">
        <v>672</v>
      </c>
      <c r="D85" s="40" t="s">
        <v>560</v>
      </c>
      <c r="E85" s="40" t="s">
        <v>560</v>
      </c>
      <c r="F85" s="40">
        <v>0</v>
      </c>
      <c r="G85" s="40"/>
      <c r="H85" s="40" t="s">
        <v>652</v>
      </c>
      <c r="I85" s="40"/>
      <c r="J85" s="40">
        <v>0</v>
      </c>
      <c r="K85" s="40">
        <v>0</v>
      </c>
      <c r="L85" s="40">
        <v>1</v>
      </c>
    </row>
    <row r="86" spans="1:12" x14ac:dyDescent="0.25">
      <c r="A86" s="40" t="s">
        <v>39</v>
      </c>
      <c r="B86" s="40" t="s">
        <v>673</v>
      </c>
      <c r="C86" s="40" t="s">
        <v>674</v>
      </c>
      <c r="D86" s="40" t="s">
        <v>675</v>
      </c>
      <c r="E86" s="40" t="s">
        <v>493</v>
      </c>
      <c r="F86" s="40">
        <v>1</v>
      </c>
      <c r="G86" s="40"/>
      <c r="H86" s="40" t="s">
        <v>482</v>
      </c>
      <c r="I86" s="40"/>
      <c r="J86" s="40">
        <v>0</v>
      </c>
      <c r="K86" s="40">
        <v>0</v>
      </c>
      <c r="L86" s="40">
        <v>0</v>
      </c>
    </row>
    <row r="87" spans="1:12" x14ac:dyDescent="0.25">
      <c r="A87" s="40" t="s">
        <v>39</v>
      </c>
      <c r="B87" s="40" t="s">
        <v>676</v>
      </c>
      <c r="C87" s="40" t="s">
        <v>677</v>
      </c>
      <c r="D87" s="40" t="s">
        <v>493</v>
      </c>
      <c r="E87" s="40" t="s">
        <v>493</v>
      </c>
      <c r="F87" s="40">
        <v>0</v>
      </c>
      <c r="G87" s="40"/>
      <c r="H87" s="40" t="s">
        <v>482</v>
      </c>
      <c r="I87" s="40"/>
      <c r="J87" s="40">
        <v>0</v>
      </c>
      <c r="K87" s="40">
        <v>0</v>
      </c>
      <c r="L87" s="40">
        <v>0</v>
      </c>
    </row>
    <row r="88" spans="1:12" x14ac:dyDescent="0.25">
      <c r="A88" s="40" t="s">
        <v>39</v>
      </c>
      <c r="B88" s="40" t="s">
        <v>678</v>
      </c>
      <c r="C88" s="40" t="s">
        <v>679</v>
      </c>
      <c r="D88" s="40" t="s">
        <v>680</v>
      </c>
      <c r="E88" s="40" t="s">
        <v>493</v>
      </c>
      <c r="F88" s="40">
        <v>1</v>
      </c>
      <c r="G88" s="40"/>
      <c r="H88" s="40" t="s">
        <v>482</v>
      </c>
      <c r="I88" s="40"/>
      <c r="J88" s="40">
        <v>0</v>
      </c>
      <c r="K88" s="40">
        <v>0</v>
      </c>
      <c r="L88" s="40">
        <v>0</v>
      </c>
    </row>
    <row r="89" spans="1:12" x14ac:dyDescent="0.25">
      <c r="A89" s="40" t="s">
        <v>39</v>
      </c>
      <c r="B89" s="40" t="s">
        <v>681</v>
      </c>
      <c r="C89" s="40" t="s">
        <v>682</v>
      </c>
      <c r="D89" s="40" t="s">
        <v>683</v>
      </c>
      <c r="E89" s="40" t="s">
        <v>493</v>
      </c>
      <c r="F89" s="40">
        <v>1</v>
      </c>
      <c r="G89" s="40"/>
      <c r="H89" s="40" t="s">
        <v>482</v>
      </c>
      <c r="I89" s="40"/>
      <c r="J89" s="40">
        <v>0</v>
      </c>
      <c r="K89" s="40">
        <v>0</v>
      </c>
      <c r="L89" s="40">
        <v>0</v>
      </c>
    </row>
    <row r="90" spans="1:12" x14ac:dyDescent="0.25">
      <c r="A90" s="40" t="s">
        <v>39</v>
      </c>
      <c r="B90" s="40" t="s">
        <v>684</v>
      </c>
      <c r="C90" s="40" t="s">
        <v>685</v>
      </c>
      <c r="D90" s="40" t="s">
        <v>493</v>
      </c>
      <c r="E90" s="40" t="s">
        <v>493</v>
      </c>
      <c r="F90" s="40">
        <v>0</v>
      </c>
      <c r="G90" s="40"/>
      <c r="H90" s="40" t="s">
        <v>482</v>
      </c>
      <c r="I90" s="40"/>
      <c r="J90" s="40">
        <v>0</v>
      </c>
      <c r="K90" s="40">
        <v>0</v>
      </c>
      <c r="L90" s="40">
        <v>0</v>
      </c>
    </row>
    <row r="91" spans="1:12" x14ac:dyDescent="0.25">
      <c r="A91" s="40" t="s">
        <v>39</v>
      </c>
      <c r="B91" s="40" t="s">
        <v>686</v>
      </c>
      <c r="C91" s="40" t="s">
        <v>687</v>
      </c>
      <c r="D91" s="40" t="s">
        <v>688</v>
      </c>
      <c r="E91" s="40" t="s">
        <v>688</v>
      </c>
      <c r="F91" s="40">
        <v>0</v>
      </c>
      <c r="G91" s="40"/>
      <c r="H91" s="40" t="s">
        <v>482</v>
      </c>
      <c r="I91" s="40"/>
      <c r="J91" s="40">
        <v>0</v>
      </c>
      <c r="K91" s="40">
        <v>0</v>
      </c>
      <c r="L91" s="40">
        <v>0</v>
      </c>
    </row>
    <row r="92" spans="1:12" x14ac:dyDescent="0.25">
      <c r="A92" s="40" t="s">
        <v>39</v>
      </c>
      <c r="B92" s="40" t="s">
        <v>689</v>
      </c>
      <c r="C92" s="40" t="s">
        <v>690</v>
      </c>
      <c r="D92" s="40" t="s">
        <v>691</v>
      </c>
      <c r="E92" s="40" t="s">
        <v>691</v>
      </c>
      <c r="F92" s="40">
        <v>0</v>
      </c>
      <c r="G92" s="40"/>
      <c r="H92" s="40" t="s">
        <v>482</v>
      </c>
      <c r="I92" s="40"/>
      <c r="J92" s="40">
        <v>0</v>
      </c>
      <c r="K92" s="40">
        <v>0</v>
      </c>
      <c r="L92" s="40">
        <v>0</v>
      </c>
    </row>
    <row r="93" spans="1:12" x14ac:dyDescent="0.25">
      <c r="A93" s="40" t="s">
        <v>39</v>
      </c>
      <c r="B93" s="40" t="s">
        <v>692</v>
      </c>
      <c r="C93" s="40" t="s">
        <v>693</v>
      </c>
      <c r="D93" s="40" t="s">
        <v>694</v>
      </c>
      <c r="E93" s="40" t="s">
        <v>694</v>
      </c>
      <c r="F93" s="40">
        <v>0</v>
      </c>
      <c r="G93" s="40"/>
      <c r="H93" s="40" t="s">
        <v>482</v>
      </c>
      <c r="I93" s="40"/>
      <c r="J93" s="40">
        <v>0</v>
      </c>
      <c r="K93" s="40">
        <v>0</v>
      </c>
      <c r="L93" s="40">
        <v>0</v>
      </c>
    </row>
    <row r="94" spans="1:12" x14ac:dyDescent="0.25">
      <c r="A94" s="40" t="s">
        <v>39</v>
      </c>
      <c r="B94" s="40" t="s">
        <v>695</v>
      </c>
      <c r="C94" s="40" t="s">
        <v>696</v>
      </c>
      <c r="D94" s="40" t="s">
        <v>493</v>
      </c>
      <c r="E94" s="40" t="s">
        <v>493</v>
      </c>
      <c r="F94" s="40">
        <v>0</v>
      </c>
      <c r="G94" s="40"/>
      <c r="H94" s="40" t="s">
        <v>482</v>
      </c>
      <c r="I94" s="40"/>
      <c r="J94" s="40">
        <v>0</v>
      </c>
      <c r="K94" s="40">
        <v>0</v>
      </c>
      <c r="L94" s="40">
        <v>0</v>
      </c>
    </row>
    <row r="95" spans="1:12" x14ac:dyDescent="0.25">
      <c r="A95" s="40" t="s">
        <v>39</v>
      </c>
      <c r="B95" s="40" t="s">
        <v>697</v>
      </c>
      <c r="C95" s="40" t="s">
        <v>698</v>
      </c>
      <c r="D95" s="40" t="s">
        <v>699</v>
      </c>
      <c r="E95" s="40" t="s">
        <v>699</v>
      </c>
      <c r="F95" s="40">
        <v>0</v>
      </c>
      <c r="G95" s="40"/>
      <c r="H95" s="40" t="s">
        <v>482</v>
      </c>
      <c r="I95" s="40"/>
      <c r="J95" s="40">
        <v>0</v>
      </c>
      <c r="K95" s="40">
        <v>0</v>
      </c>
      <c r="L95" s="40">
        <v>0</v>
      </c>
    </row>
    <row r="96" spans="1:12" x14ac:dyDescent="0.25">
      <c r="A96" s="40" t="s">
        <v>39</v>
      </c>
      <c r="B96" s="40" t="s">
        <v>700</v>
      </c>
      <c r="C96" s="40" t="s">
        <v>701</v>
      </c>
      <c r="D96" s="40" t="s">
        <v>702</v>
      </c>
      <c r="E96" s="40" t="s">
        <v>703</v>
      </c>
      <c r="F96" s="40">
        <v>1</v>
      </c>
      <c r="G96" s="40"/>
      <c r="H96" s="40" t="s">
        <v>482</v>
      </c>
      <c r="I96" s="40"/>
      <c r="J96" s="40">
        <v>0</v>
      </c>
      <c r="K96" s="40">
        <v>0</v>
      </c>
      <c r="L96" s="40">
        <v>0</v>
      </c>
    </row>
    <row r="97" spans="1:12" x14ac:dyDescent="0.25">
      <c r="A97" s="40" t="s">
        <v>39</v>
      </c>
      <c r="B97" s="40" t="s">
        <v>704</v>
      </c>
      <c r="C97" s="40" t="s">
        <v>705</v>
      </c>
      <c r="D97" s="40" t="s">
        <v>706</v>
      </c>
      <c r="E97" s="40" t="s">
        <v>707</v>
      </c>
      <c r="F97" s="40">
        <v>1</v>
      </c>
      <c r="G97" s="40"/>
      <c r="H97" s="40" t="s">
        <v>482</v>
      </c>
      <c r="I97" s="40"/>
      <c r="J97" s="40">
        <v>0</v>
      </c>
      <c r="K97" s="40">
        <v>0</v>
      </c>
      <c r="L97" s="40">
        <v>0</v>
      </c>
    </row>
    <row r="98" spans="1:12" x14ac:dyDescent="0.25">
      <c r="A98" s="40" t="s">
        <v>39</v>
      </c>
      <c r="B98" s="40" t="s">
        <v>708</v>
      </c>
      <c r="C98" s="40" t="s">
        <v>709</v>
      </c>
      <c r="D98" s="40" t="s">
        <v>710</v>
      </c>
      <c r="E98" s="40" t="s">
        <v>710</v>
      </c>
      <c r="F98" s="40">
        <v>0</v>
      </c>
      <c r="G98" s="40"/>
      <c r="H98" s="40" t="s">
        <v>482</v>
      </c>
      <c r="I98" s="40"/>
      <c r="J98" s="40">
        <v>0</v>
      </c>
      <c r="K98" s="40">
        <v>0</v>
      </c>
      <c r="L98" s="40">
        <v>0</v>
      </c>
    </row>
    <row r="99" spans="1:12" x14ac:dyDescent="0.25">
      <c r="A99" s="40" t="s">
        <v>39</v>
      </c>
      <c r="B99" s="40" t="s">
        <v>711</v>
      </c>
      <c r="C99" s="40" t="s">
        <v>712</v>
      </c>
      <c r="D99" s="40" t="s">
        <v>713</v>
      </c>
      <c r="E99" s="40" t="s">
        <v>714</v>
      </c>
      <c r="F99" s="40">
        <v>1</v>
      </c>
      <c r="G99" s="40"/>
      <c r="H99" s="40" t="s">
        <v>482</v>
      </c>
      <c r="I99" s="40"/>
      <c r="J99" s="40">
        <v>0</v>
      </c>
      <c r="K99" s="40">
        <v>0</v>
      </c>
      <c r="L99" s="40">
        <v>0</v>
      </c>
    </row>
    <row r="100" spans="1:12" x14ac:dyDescent="0.25">
      <c r="A100" s="40" t="s">
        <v>39</v>
      </c>
      <c r="B100" s="40" t="s">
        <v>715</v>
      </c>
      <c r="C100" s="40" t="s">
        <v>716</v>
      </c>
      <c r="D100" s="40" t="s">
        <v>717</v>
      </c>
      <c r="E100" s="40" t="s">
        <v>717</v>
      </c>
      <c r="F100" s="40">
        <v>0</v>
      </c>
      <c r="G100" s="40"/>
      <c r="H100" s="40" t="s">
        <v>482</v>
      </c>
      <c r="I100" s="40"/>
      <c r="J100" s="40">
        <v>0</v>
      </c>
      <c r="K100" s="40">
        <v>0</v>
      </c>
      <c r="L100" s="40">
        <v>0</v>
      </c>
    </row>
    <row r="101" spans="1:12" x14ac:dyDescent="0.25">
      <c r="A101" s="40" t="s">
        <v>39</v>
      </c>
      <c r="B101" s="40" t="s">
        <v>718</v>
      </c>
      <c r="C101" s="40" t="s">
        <v>719</v>
      </c>
      <c r="D101" s="40" t="s">
        <v>493</v>
      </c>
      <c r="E101" s="40" t="s">
        <v>493</v>
      </c>
      <c r="F101" s="40">
        <v>0</v>
      </c>
      <c r="G101" s="40"/>
      <c r="H101" s="40" t="s">
        <v>482</v>
      </c>
      <c r="I101" s="40"/>
      <c r="J101" s="40">
        <v>0</v>
      </c>
      <c r="K101" s="40">
        <v>0</v>
      </c>
      <c r="L101" s="40">
        <v>0</v>
      </c>
    </row>
    <row r="102" spans="1:12" x14ac:dyDescent="0.25">
      <c r="A102" s="40" t="s">
        <v>39</v>
      </c>
      <c r="B102" s="40" t="s">
        <v>720</v>
      </c>
      <c r="C102" s="40" t="s">
        <v>721</v>
      </c>
      <c r="D102" s="40" t="s">
        <v>493</v>
      </c>
      <c r="E102" s="40" t="s">
        <v>493</v>
      </c>
      <c r="F102" s="40">
        <v>0</v>
      </c>
      <c r="G102" s="40"/>
      <c r="H102" s="40" t="s">
        <v>482</v>
      </c>
      <c r="I102" s="40"/>
      <c r="J102" s="40">
        <v>0</v>
      </c>
      <c r="K102" s="40">
        <v>0</v>
      </c>
      <c r="L102" s="40">
        <v>0</v>
      </c>
    </row>
    <row r="103" spans="1:12" x14ac:dyDescent="0.25">
      <c r="A103" s="40" t="s">
        <v>39</v>
      </c>
      <c r="B103" s="40" t="s">
        <v>722</v>
      </c>
      <c r="C103" s="40" t="s">
        <v>723</v>
      </c>
      <c r="D103" s="40" t="s">
        <v>493</v>
      </c>
      <c r="E103" s="40" t="s">
        <v>493</v>
      </c>
      <c r="F103" s="40">
        <v>0</v>
      </c>
      <c r="G103" s="40"/>
      <c r="H103" s="40" t="s">
        <v>482</v>
      </c>
      <c r="I103" s="40"/>
      <c r="J103" s="40">
        <v>0</v>
      </c>
      <c r="K103" s="40">
        <v>0</v>
      </c>
      <c r="L103" s="40">
        <v>0</v>
      </c>
    </row>
    <row r="104" spans="1:12" x14ac:dyDescent="0.25">
      <c r="A104" s="40" t="s">
        <v>39</v>
      </c>
      <c r="B104" s="40" t="s">
        <v>724</v>
      </c>
      <c r="C104" s="40" t="s">
        <v>725</v>
      </c>
      <c r="D104" s="40" t="s">
        <v>493</v>
      </c>
      <c r="E104" s="40" t="s">
        <v>493</v>
      </c>
      <c r="F104" s="40">
        <v>0</v>
      </c>
      <c r="G104" s="40"/>
      <c r="H104" s="40" t="s">
        <v>482</v>
      </c>
      <c r="I104" s="40"/>
      <c r="J104" s="40">
        <v>0</v>
      </c>
      <c r="K104" s="40">
        <v>0</v>
      </c>
      <c r="L104" s="40">
        <v>0</v>
      </c>
    </row>
    <row r="105" spans="1:12" x14ac:dyDescent="0.25">
      <c r="A105" s="40" t="s">
        <v>39</v>
      </c>
      <c r="B105" s="40" t="s">
        <v>726</v>
      </c>
      <c r="C105" s="40" t="s">
        <v>727</v>
      </c>
      <c r="D105" s="40" t="s">
        <v>728</v>
      </c>
      <c r="E105" s="40" t="s">
        <v>493</v>
      </c>
      <c r="F105" s="40">
        <v>1</v>
      </c>
      <c r="G105" s="40"/>
      <c r="H105" s="40" t="s">
        <v>482</v>
      </c>
      <c r="I105" s="40"/>
      <c r="J105" s="40">
        <v>0</v>
      </c>
      <c r="K105" s="40">
        <v>0</v>
      </c>
      <c r="L105" s="40">
        <v>0</v>
      </c>
    </row>
    <row r="106" spans="1:12" x14ac:dyDescent="0.25">
      <c r="A106" s="40" t="s">
        <v>39</v>
      </c>
      <c r="B106" s="40" t="s">
        <v>729</v>
      </c>
      <c r="C106" s="40" t="s">
        <v>730</v>
      </c>
      <c r="D106" s="40" t="s">
        <v>731</v>
      </c>
      <c r="E106" s="40" t="s">
        <v>732</v>
      </c>
      <c r="F106" s="40">
        <v>1</v>
      </c>
      <c r="G106" s="40"/>
      <c r="H106" s="40" t="s">
        <v>482</v>
      </c>
      <c r="I106" s="40"/>
      <c r="J106" s="40">
        <v>0</v>
      </c>
      <c r="K106" s="40">
        <v>0</v>
      </c>
      <c r="L106" s="40">
        <v>0</v>
      </c>
    </row>
    <row r="107" spans="1:12" x14ac:dyDescent="0.25">
      <c r="A107" s="40" t="s">
        <v>39</v>
      </c>
      <c r="B107" s="40" t="s">
        <v>733</v>
      </c>
      <c r="C107" s="40" t="s">
        <v>734</v>
      </c>
      <c r="D107" s="40" t="s">
        <v>735</v>
      </c>
      <c r="E107" s="40" t="s">
        <v>493</v>
      </c>
      <c r="F107" s="40">
        <v>1</v>
      </c>
      <c r="G107" s="40"/>
      <c r="H107" s="40" t="s">
        <v>482</v>
      </c>
      <c r="I107" s="40"/>
      <c r="J107" s="40">
        <v>0</v>
      </c>
      <c r="K107" s="40">
        <v>0</v>
      </c>
      <c r="L107" s="40">
        <v>0</v>
      </c>
    </row>
    <row r="108" spans="1:12" x14ac:dyDescent="0.25">
      <c r="A108" s="40" t="s">
        <v>39</v>
      </c>
      <c r="B108" s="40" t="s">
        <v>736</v>
      </c>
      <c r="C108" s="40" t="s">
        <v>737</v>
      </c>
      <c r="D108" s="40" t="s">
        <v>738</v>
      </c>
      <c r="E108" s="40" t="s">
        <v>738</v>
      </c>
      <c r="F108" s="40">
        <v>0</v>
      </c>
      <c r="G108" s="40"/>
      <c r="H108" s="40" t="s">
        <v>482</v>
      </c>
      <c r="I108" s="40"/>
      <c r="J108" s="40">
        <v>0</v>
      </c>
      <c r="K108" s="40">
        <v>0</v>
      </c>
      <c r="L108" s="40">
        <v>0</v>
      </c>
    </row>
    <row r="109" spans="1:12" x14ac:dyDescent="0.25">
      <c r="A109" s="40" t="s">
        <v>39</v>
      </c>
      <c r="B109" s="40" t="s">
        <v>739</v>
      </c>
      <c r="C109" s="40" t="s">
        <v>740</v>
      </c>
      <c r="D109" s="40" t="s">
        <v>738</v>
      </c>
      <c r="E109" s="40" t="s">
        <v>738</v>
      </c>
      <c r="F109" s="40">
        <v>0</v>
      </c>
      <c r="G109" s="40"/>
      <c r="H109" s="40" t="s">
        <v>482</v>
      </c>
      <c r="I109" s="40"/>
      <c r="J109" s="40">
        <v>0</v>
      </c>
      <c r="K109" s="40">
        <v>0</v>
      </c>
      <c r="L109" s="40">
        <v>0</v>
      </c>
    </row>
    <row r="110" spans="1:12" x14ac:dyDescent="0.25">
      <c r="A110" s="40" t="s">
        <v>39</v>
      </c>
      <c r="B110" s="40" t="s">
        <v>741</v>
      </c>
      <c r="C110" s="40" t="s">
        <v>742</v>
      </c>
      <c r="D110" s="40" t="s">
        <v>743</v>
      </c>
      <c r="E110" s="40" t="s">
        <v>743</v>
      </c>
      <c r="F110" s="40">
        <v>0</v>
      </c>
      <c r="G110" s="40"/>
      <c r="H110" s="40" t="s">
        <v>482</v>
      </c>
      <c r="I110" s="40"/>
      <c r="J110" s="40">
        <v>0</v>
      </c>
      <c r="K110" s="40">
        <v>0</v>
      </c>
      <c r="L110" s="40">
        <v>0</v>
      </c>
    </row>
    <row r="111" spans="1:12" x14ac:dyDescent="0.25">
      <c r="A111" s="40" t="s">
        <v>39</v>
      </c>
      <c r="B111" s="40" t="s">
        <v>744</v>
      </c>
      <c r="C111" s="40" t="s">
        <v>745</v>
      </c>
      <c r="D111" s="40" t="s">
        <v>738</v>
      </c>
      <c r="E111" s="40" t="s">
        <v>738</v>
      </c>
      <c r="F111" s="40">
        <v>0</v>
      </c>
      <c r="G111" s="40"/>
      <c r="H111" s="40" t="s">
        <v>482</v>
      </c>
      <c r="I111" s="40"/>
      <c r="J111" s="40">
        <v>0</v>
      </c>
      <c r="K111" s="40">
        <v>0</v>
      </c>
      <c r="L111" s="40">
        <v>0</v>
      </c>
    </row>
    <row r="112" spans="1:12" x14ac:dyDescent="0.25">
      <c r="A112" s="40" t="s">
        <v>39</v>
      </c>
      <c r="B112" s="40" t="s">
        <v>746</v>
      </c>
      <c r="C112" s="40" t="s">
        <v>747</v>
      </c>
      <c r="D112" s="40" t="s">
        <v>743</v>
      </c>
      <c r="E112" s="40" t="s">
        <v>743</v>
      </c>
      <c r="F112" s="40">
        <v>0</v>
      </c>
      <c r="G112" s="40"/>
      <c r="H112" s="40" t="s">
        <v>482</v>
      </c>
      <c r="I112" s="40"/>
      <c r="J112" s="40">
        <v>0</v>
      </c>
      <c r="K112" s="40">
        <v>0</v>
      </c>
      <c r="L112" s="40">
        <v>0</v>
      </c>
    </row>
    <row r="113" spans="1:12" x14ac:dyDescent="0.25">
      <c r="A113" s="40" t="s">
        <v>39</v>
      </c>
      <c r="B113" s="40" t="s">
        <v>748</v>
      </c>
      <c r="C113" s="40" t="s">
        <v>749</v>
      </c>
      <c r="D113" s="40" t="s">
        <v>743</v>
      </c>
      <c r="E113" s="40" t="s">
        <v>743</v>
      </c>
      <c r="F113" s="40">
        <v>0</v>
      </c>
      <c r="G113" s="40"/>
      <c r="H113" s="40" t="s">
        <v>482</v>
      </c>
      <c r="I113" s="40"/>
      <c r="J113" s="40">
        <v>0</v>
      </c>
      <c r="K113" s="40">
        <v>0</v>
      </c>
      <c r="L113" s="40">
        <v>0</v>
      </c>
    </row>
    <row r="114" spans="1:12" x14ac:dyDescent="0.25">
      <c r="A114" s="40" t="s">
        <v>39</v>
      </c>
      <c r="B114" s="40" t="s">
        <v>750</v>
      </c>
      <c r="C114" s="40" t="s">
        <v>751</v>
      </c>
      <c r="D114" s="40" t="s">
        <v>743</v>
      </c>
      <c r="E114" s="40" t="s">
        <v>743</v>
      </c>
      <c r="F114" s="40">
        <v>0</v>
      </c>
      <c r="G114" s="40"/>
      <c r="H114" s="40" t="s">
        <v>482</v>
      </c>
      <c r="I114" s="40"/>
      <c r="J114" s="40">
        <v>0</v>
      </c>
      <c r="K114" s="40">
        <v>0</v>
      </c>
      <c r="L114" s="40">
        <v>0</v>
      </c>
    </row>
    <row r="115" spans="1:12" x14ac:dyDescent="0.25">
      <c r="A115" s="40" t="s">
        <v>39</v>
      </c>
      <c r="B115" s="40" t="s">
        <v>752</v>
      </c>
      <c r="C115" s="40" t="s">
        <v>753</v>
      </c>
      <c r="D115" s="40" t="s">
        <v>754</v>
      </c>
      <c r="E115" s="40" t="s">
        <v>754</v>
      </c>
      <c r="F115" s="40">
        <v>0</v>
      </c>
      <c r="G115" s="40"/>
      <c r="H115" s="40" t="s">
        <v>482</v>
      </c>
      <c r="I115" s="40"/>
      <c r="J115" s="40">
        <v>0</v>
      </c>
      <c r="K115" s="40">
        <v>0</v>
      </c>
      <c r="L115" s="40">
        <v>0</v>
      </c>
    </row>
    <row r="116" spans="1:12" x14ac:dyDescent="0.25">
      <c r="A116" s="40" t="s">
        <v>39</v>
      </c>
      <c r="B116" s="40" t="s">
        <v>755</v>
      </c>
      <c r="C116" s="40" t="s">
        <v>756</v>
      </c>
      <c r="D116" s="40" t="s">
        <v>757</v>
      </c>
      <c r="E116" s="40" t="s">
        <v>757</v>
      </c>
      <c r="F116" s="40">
        <v>0</v>
      </c>
      <c r="G116" s="40"/>
      <c r="H116" s="40" t="s">
        <v>482</v>
      </c>
      <c r="I116" s="40"/>
      <c r="J116" s="40">
        <v>0</v>
      </c>
      <c r="K116" s="40">
        <v>0</v>
      </c>
      <c r="L116" s="40">
        <v>0</v>
      </c>
    </row>
    <row r="117" spans="1:12" x14ac:dyDescent="0.25">
      <c r="A117" s="40" t="s">
        <v>39</v>
      </c>
      <c r="B117" s="40" t="s">
        <v>758</v>
      </c>
      <c r="C117" s="40" t="s">
        <v>759</v>
      </c>
      <c r="D117" s="40" t="s">
        <v>738</v>
      </c>
      <c r="E117" s="40" t="s">
        <v>738</v>
      </c>
      <c r="F117" s="40">
        <v>0</v>
      </c>
      <c r="G117" s="40"/>
      <c r="H117" s="40" t="s">
        <v>482</v>
      </c>
      <c r="I117" s="40"/>
      <c r="J117" s="40">
        <v>0</v>
      </c>
      <c r="K117" s="40">
        <v>0</v>
      </c>
      <c r="L117" s="40">
        <v>0</v>
      </c>
    </row>
    <row r="118" spans="1:12" x14ac:dyDescent="0.25">
      <c r="A118" s="40" t="s">
        <v>39</v>
      </c>
      <c r="B118" s="40" t="s">
        <v>760</v>
      </c>
      <c r="C118" s="40" t="s">
        <v>761</v>
      </c>
      <c r="D118" s="40" t="s">
        <v>762</v>
      </c>
      <c r="E118" s="40" t="s">
        <v>762</v>
      </c>
      <c r="F118" s="40">
        <v>0</v>
      </c>
      <c r="G118" s="40"/>
      <c r="H118" s="40" t="s">
        <v>482</v>
      </c>
      <c r="I118" s="40"/>
      <c r="J118" s="40">
        <v>0</v>
      </c>
      <c r="K118" s="40">
        <v>0</v>
      </c>
      <c r="L118" s="40">
        <v>0</v>
      </c>
    </row>
    <row r="119" spans="1:12" x14ac:dyDescent="0.25">
      <c r="A119" s="40" t="s">
        <v>39</v>
      </c>
      <c r="B119" s="40" t="s">
        <v>763</v>
      </c>
      <c r="C119" s="40" t="s">
        <v>764</v>
      </c>
      <c r="D119" s="40" t="s">
        <v>738</v>
      </c>
      <c r="E119" s="40" t="s">
        <v>738</v>
      </c>
      <c r="F119" s="40">
        <v>0</v>
      </c>
      <c r="G119" s="40"/>
      <c r="H119" s="40" t="s">
        <v>482</v>
      </c>
      <c r="I119" s="40"/>
      <c r="J119" s="40">
        <v>0</v>
      </c>
      <c r="K119" s="40">
        <v>0</v>
      </c>
      <c r="L119" s="40">
        <v>0</v>
      </c>
    </row>
    <row r="120" spans="1:12" x14ac:dyDescent="0.25">
      <c r="A120" s="40" t="s">
        <v>39</v>
      </c>
      <c r="B120" s="40" t="s">
        <v>765</v>
      </c>
      <c r="C120" s="40" t="s">
        <v>766</v>
      </c>
      <c r="D120" s="40" t="s">
        <v>767</v>
      </c>
      <c r="E120" s="40" t="s">
        <v>767</v>
      </c>
      <c r="F120" s="40">
        <v>0</v>
      </c>
      <c r="G120" s="40"/>
      <c r="H120" s="40" t="s">
        <v>482</v>
      </c>
      <c r="I120" s="40"/>
      <c r="J120" s="40">
        <v>0</v>
      </c>
      <c r="K120" s="40">
        <v>0</v>
      </c>
      <c r="L120" s="40">
        <v>0</v>
      </c>
    </row>
    <row r="121" spans="1:12" x14ac:dyDescent="0.25">
      <c r="A121" s="40" t="s">
        <v>39</v>
      </c>
      <c r="B121" s="40" t="s">
        <v>768</v>
      </c>
      <c r="C121" s="40" t="s">
        <v>769</v>
      </c>
      <c r="D121" s="40" t="s">
        <v>770</v>
      </c>
      <c r="E121" s="40" t="s">
        <v>770</v>
      </c>
      <c r="F121" s="40">
        <v>0</v>
      </c>
      <c r="G121" s="40"/>
      <c r="H121" s="40" t="s">
        <v>482</v>
      </c>
      <c r="I121" s="40"/>
      <c r="J121" s="40">
        <v>0</v>
      </c>
      <c r="K121" s="40">
        <v>0</v>
      </c>
      <c r="L121" s="40">
        <v>0</v>
      </c>
    </row>
    <row r="122" spans="1:12" x14ac:dyDescent="0.25">
      <c r="A122" s="40" t="s">
        <v>39</v>
      </c>
      <c r="B122" s="40" t="s">
        <v>771</v>
      </c>
      <c r="C122" s="40" t="s">
        <v>772</v>
      </c>
      <c r="D122" s="40" t="s">
        <v>770</v>
      </c>
      <c r="E122" s="40" t="s">
        <v>770</v>
      </c>
      <c r="F122" s="40">
        <v>0</v>
      </c>
      <c r="G122" s="40"/>
      <c r="H122" s="40" t="s">
        <v>482</v>
      </c>
      <c r="I122" s="40"/>
      <c r="J122" s="40">
        <v>0</v>
      </c>
      <c r="K122" s="40">
        <v>0</v>
      </c>
      <c r="L122" s="40">
        <v>0</v>
      </c>
    </row>
    <row r="123" spans="1:12" x14ac:dyDescent="0.25">
      <c r="A123" s="40" t="s">
        <v>39</v>
      </c>
      <c r="B123" s="40" t="s">
        <v>773</v>
      </c>
      <c r="C123" s="40" t="s">
        <v>774</v>
      </c>
      <c r="D123" s="40" t="s">
        <v>743</v>
      </c>
      <c r="E123" s="40" t="s">
        <v>743</v>
      </c>
      <c r="F123" s="40">
        <v>0</v>
      </c>
      <c r="G123" s="40"/>
      <c r="H123" s="40" t="s">
        <v>482</v>
      </c>
      <c r="I123" s="40"/>
      <c r="J123" s="40">
        <v>0</v>
      </c>
      <c r="K123" s="40">
        <v>0</v>
      </c>
      <c r="L123" s="40">
        <v>0</v>
      </c>
    </row>
    <row r="124" spans="1:12" x14ac:dyDescent="0.25">
      <c r="A124" s="40" t="s">
        <v>39</v>
      </c>
      <c r="B124" s="40" t="s">
        <v>775</v>
      </c>
      <c r="C124" s="40" t="s">
        <v>776</v>
      </c>
      <c r="D124" s="40" t="s">
        <v>738</v>
      </c>
      <c r="E124" s="40" t="s">
        <v>738</v>
      </c>
      <c r="F124" s="40">
        <v>0</v>
      </c>
      <c r="G124" s="40"/>
      <c r="H124" s="40" t="s">
        <v>482</v>
      </c>
      <c r="I124" s="40"/>
      <c r="J124" s="40">
        <v>0</v>
      </c>
      <c r="K124" s="40">
        <v>0</v>
      </c>
      <c r="L124" s="40">
        <v>0</v>
      </c>
    </row>
    <row r="125" spans="1:12" x14ac:dyDescent="0.25">
      <c r="A125" s="40" t="s">
        <v>39</v>
      </c>
      <c r="B125" s="40" t="s">
        <v>777</v>
      </c>
      <c r="C125" s="40" t="s">
        <v>778</v>
      </c>
      <c r="D125" s="40" t="s">
        <v>779</v>
      </c>
      <c r="E125" s="40" t="s">
        <v>779</v>
      </c>
      <c r="F125" s="40">
        <v>0</v>
      </c>
      <c r="G125" s="40"/>
      <c r="H125" s="40" t="s">
        <v>482</v>
      </c>
      <c r="I125" s="40"/>
      <c r="J125" s="40">
        <v>0</v>
      </c>
      <c r="K125" s="40">
        <v>0</v>
      </c>
      <c r="L125" s="40">
        <v>0</v>
      </c>
    </row>
    <row r="126" spans="1:12" x14ac:dyDescent="0.25">
      <c r="A126" s="40" t="s">
        <v>39</v>
      </c>
      <c r="B126" s="40" t="s">
        <v>780</v>
      </c>
      <c r="C126" s="40" t="s">
        <v>781</v>
      </c>
      <c r="D126" s="40" t="s">
        <v>782</v>
      </c>
      <c r="E126" s="40" t="s">
        <v>782</v>
      </c>
      <c r="F126" s="40">
        <v>0</v>
      </c>
      <c r="G126" s="40"/>
      <c r="H126" s="40" t="s">
        <v>482</v>
      </c>
      <c r="I126" s="40"/>
      <c r="J126" s="40">
        <v>0</v>
      </c>
      <c r="K126" s="40">
        <v>0</v>
      </c>
      <c r="L126" s="40">
        <v>0</v>
      </c>
    </row>
    <row r="127" spans="1:12" x14ac:dyDescent="0.25">
      <c r="A127" s="40" t="s">
        <v>39</v>
      </c>
      <c r="B127" s="40" t="s">
        <v>783</v>
      </c>
      <c r="C127" s="40" t="s">
        <v>784</v>
      </c>
      <c r="D127" s="40" t="s">
        <v>785</v>
      </c>
      <c r="E127" s="40" t="s">
        <v>493</v>
      </c>
      <c r="F127" s="40">
        <v>1</v>
      </c>
      <c r="G127" s="40"/>
      <c r="H127" s="40" t="s">
        <v>482</v>
      </c>
      <c r="I127" s="40"/>
      <c r="J127" s="40">
        <v>0</v>
      </c>
      <c r="K127" s="40">
        <v>0</v>
      </c>
      <c r="L127" s="40">
        <v>0</v>
      </c>
    </row>
    <row r="128" spans="1:12" x14ac:dyDescent="0.25">
      <c r="A128" s="40" t="s">
        <v>39</v>
      </c>
      <c r="B128" s="40" t="s">
        <v>786</v>
      </c>
      <c r="C128" s="40" t="s">
        <v>787</v>
      </c>
      <c r="D128" s="40" t="s">
        <v>788</v>
      </c>
      <c r="E128" s="40" t="s">
        <v>493</v>
      </c>
      <c r="F128" s="40">
        <v>1</v>
      </c>
      <c r="G128" s="40"/>
      <c r="H128" s="40" t="s">
        <v>482</v>
      </c>
      <c r="I128" s="40"/>
      <c r="J128" s="40">
        <v>0</v>
      </c>
      <c r="K128" s="40">
        <v>0</v>
      </c>
      <c r="L128" s="40">
        <v>0</v>
      </c>
    </row>
    <row r="129" spans="1:12" x14ac:dyDescent="0.25">
      <c r="A129" s="40" t="s">
        <v>39</v>
      </c>
      <c r="B129" s="40" t="s">
        <v>789</v>
      </c>
      <c r="C129" s="40" t="s">
        <v>790</v>
      </c>
      <c r="D129" s="40" t="s">
        <v>791</v>
      </c>
      <c r="E129" s="40" t="s">
        <v>493</v>
      </c>
      <c r="F129" s="40">
        <v>1</v>
      </c>
      <c r="G129" s="40"/>
      <c r="H129" s="40" t="s">
        <v>482</v>
      </c>
      <c r="I129" s="40"/>
      <c r="J129" s="40">
        <v>0</v>
      </c>
      <c r="K129" s="40">
        <v>0</v>
      </c>
      <c r="L129" s="40">
        <v>0</v>
      </c>
    </row>
    <row r="130" spans="1:12" x14ac:dyDescent="0.25">
      <c r="A130" s="40" t="s">
        <v>39</v>
      </c>
      <c r="B130" s="40" t="s">
        <v>792</v>
      </c>
      <c r="C130" s="40" t="s">
        <v>793</v>
      </c>
      <c r="D130" s="40" t="s">
        <v>791</v>
      </c>
      <c r="E130" s="40" t="s">
        <v>493</v>
      </c>
      <c r="F130" s="40">
        <v>1</v>
      </c>
      <c r="G130" s="40"/>
      <c r="H130" s="40" t="s">
        <v>482</v>
      </c>
      <c r="I130" s="40"/>
      <c r="J130" s="40">
        <v>0</v>
      </c>
      <c r="K130" s="40">
        <v>0</v>
      </c>
      <c r="L130" s="40">
        <v>0</v>
      </c>
    </row>
    <row r="131" spans="1:12" x14ac:dyDescent="0.25">
      <c r="A131" s="40" t="s">
        <v>39</v>
      </c>
      <c r="B131" s="40" t="s">
        <v>794</v>
      </c>
      <c r="C131" s="40" t="s">
        <v>795</v>
      </c>
      <c r="D131" s="40" t="s">
        <v>796</v>
      </c>
      <c r="E131" s="40" t="s">
        <v>493</v>
      </c>
      <c r="F131" s="40">
        <v>1</v>
      </c>
      <c r="G131" s="40"/>
      <c r="H131" s="40" t="s">
        <v>482</v>
      </c>
      <c r="I131" s="40"/>
      <c r="J131" s="40">
        <v>0</v>
      </c>
      <c r="K131" s="40">
        <v>0</v>
      </c>
      <c r="L131" s="40">
        <v>0</v>
      </c>
    </row>
    <row r="132" spans="1:12" x14ac:dyDescent="0.25">
      <c r="A132" s="40" t="s">
        <v>39</v>
      </c>
      <c r="B132" s="40" t="s">
        <v>797</v>
      </c>
      <c r="C132" s="40" t="s">
        <v>798</v>
      </c>
      <c r="D132" s="40" t="s">
        <v>796</v>
      </c>
      <c r="E132" s="40" t="s">
        <v>493</v>
      </c>
      <c r="F132" s="40">
        <v>1</v>
      </c>
      <c r="G132" s="40"/>
      <c r="H132" s="40" t="s">
        <v>482</v>
      </c>
      <c r="I132" s="40"/>
      <c r="J132" s="40">
        <v>0</v>
      </c>
      <c r="K132" s="40">
        <v>0</v>
      </c>
      <c r="L132" s="40">
        <v>0</v>
      </c>
    </row>
    <row r="133" spans="1:12" x14ac:dyDescent="0.25">
      <c r="A133" s="40" t="s">
        <v>39</v>
      </c>
      <c r="B133" s="40" t="s">
        <v>799</v>
      </c>
      <c r="C133" s="40" t="s">
        <v>800</v>
      </c>
      <c r="D133" s="40" t="s">
        <v>801</v>
      </c>
      <c r="E133" s="40" t="s">
        <v>493</v>
      </c>
      <c r="F133" s="40">
        <v>1</v>
      </c>
      <c r="G133" s="40"/>
      <c r="H133" s="40" t="s">
        <v>482</v>
      </c>
      <c r="I133" s="40"/>
      <c r="J133" s="40">
        <v>0</v>
      </c>
      <c r="K133" s="40">
        <v>0</v>
      </c>
      <c r="L133" s="40">
        <v>0</v>
      </c>
    </row>
    <row r="134" spans="1:12" x14ac:dyDescent="0.25">
      <c r="A134" s="40" t="s">
        <v>39</v>
      </c>
      <c r="B134" s="40" t="s">
        <v>802</v>
      </c>
      <c r="C134" s="40" t="s">
        <v>803</v>
      </c>
      <c r="D134" s="40" t="s">
        <v>801</v>
      </c>
      <c r="E134" s="40" t="s">
        <v>493</v>
      </c>
      <c r="F134" s="40">
        <v>1</v>
      </c>
      <c r="G134" s="40"/>
      <c r="H134" s="40" t="s">
        <v>482</v>
      </c>
      <c r="I134" s="40"/>
      <c r="J134" s="40">
        <v>0</v>
      </c>
      <c r="K134" s="40">
        <v>0</v>
      </c>
      <c r="L134" s="40">
        <v>0</v>
      </c>
    </row>
    <row r="135" spans="1:12" x14ac:dyDescent="0.25">
      <c r="A135" s="40" t="s">
        <v>39</v>
      </c>
      <c r="B135" s="40" t="s">
        <v>804</v>
      </c>
      <c r="C135" s="40" t="s">
        <v>805</v>
      </c>
      <c r="D135" s="40" t="s">
        <v>806</v>
      </c>
      <c r="E135" s="40" t="s">
        <v>493</v>
      </c>
      <c r="F135" s="40">
        <v>1</v>
      </c>
      <c r="G135" s="40"/>
      <c r="H135" s="40" t="s">
        <v>482</v>
      </c>
      <c r="I135" s="40"/>
      <c r="J135" s="40">
        <v>0</v>
      </c>
      <c r="K135" s="40">
        <v>0</v>
      </c>
      <c r="L135" s="40">
        <v>0</v>
      </c>
    </row>
    <row r="136" spans="1:12" x14ac:dyDescent="0.25">
      <c r="A136" s="40" t="s">
        <v>39</v>
      </c>
      <c r="B136" s="40" t="s">
        <v>807</v>
      </c>
      <c r="C136" s="40" t="s">
        <v>808</v>
      </c>
      <c r="D136" s="40" t="s">
        <v>809</v>
      </c>
      <c r="E136" s="40" t="s">
        <v>493</v>
      </c>
      <c r="F136" s="40">
        <v>1</v>
      </c>
      <c r="G136" s="40"/>
      <c r="H136" s="40" t="s">
        <v>482</v>
      </c>
      <c r="I136" s="40"/>
      <c r="J136" s="40">
        <v>0</v>
      </c>
      <c r="K136" s="40">
        <v>0</v>
      </c>
      <c r="L136" s="40">
        <v>0</v>
      </c>
    </row>
    <row r="137" spans="1:12" x14ac:dyDescent="0.25">
      <c r="A137" s="40" t="s">
        <v>39</v>
      </c>
      <c r="B137" s="40" t="s">
        <v>810</v>
      </c>
      <c r="C137" s="40" t="s">
        <v>811</v>
      </c>
      <c r="D137" s="40" t="s">
        <v>812</v>
      </c>
      <c r="E137" s="40" t="s">
        <v>493</v>
      </c>
      <c r="F137" s="40">
        <v>1</v>
      </c>
      <c r="G137" s="40"/>
      <c r="H137" s="40" t="s">
        <v>482</v>
      </c>
      <c r="I137" s="40"/>
      <c r="J137" s="40">
        <v>0</v>
      </c>
      <c r="K137" s="40">
        <v>0</v>
      </c>
      <c r="L137" s="40">
        <v>0</v>
      </c>
    </row>
    <row r="138" spans="1:12" x14ac:dyDescent="0.25">
      <c r="A138" s="40" t="s">
        <v>39</v>
      </c>
      <c r="B138" s="40" t="s">
        <v>813</v>
      </c>
      <c r="C138" s="40" t="s">
        <v>814</v>
      </c>
      <c r="D138" s="40" t="s">
        <v>815</v>
      </c>
      <c r="E138" s="40" t="s">
        <v>493</v>
      </c>
      <c r="F138" s="40">
        <v>1</v>
      </c>
      <c r="G138" s="40"/>
      <c r="H138" s="40" t="s">
        <v>482</v>
      </c>
      <c r="I138" s="40"/>
      <c r="J138" s="40">
        <v>0</v>
      </c>
      <c r="K138" s="40">
        <v>0</v>
      </c>
      <c r="L138" s="40">
        <v>0</v>
      </c>
    </row>
    <row r="139" spans="1:12" x14ac:dyDescent="0.25">
      <c r="A139" s="40" t="s">
        <v>39</v>
      </c>
      <c r="B139" s="40" t="s">
        <v>816</v>
      </c>
      <c r="C139" s="40" t="s">
        <v>817</v>
      </c>
      <c r="D139" s="40" t="s">
        <v>818</v>
      </c>
      <c r="E139" s="40" t="s">
        <v>819</v>
      </c>
      <c r="F139" s="40">
        <v>1</v>
      </c>
      <c r="G139" s="40"/>
      <c r="H139" s="40" t="s">
        <v>482</v>
      </c>
      <c r="I139" s="40"/>
      <c r="J139" s="40">
        <v>0</v>
      </c>
      <c r="K139" s="40">
        <v>0</v>
      </c>
      <c r="L139" s="40">
        <v>0</v>
      </c>
    </row>
    <row r="140" spans="1:12" x14ac:dyDescent="0.25">
      <c r="A140" s="40" t="s">
        <v>39</v>
      </c>
      <c r="B140" s="40" t="s">
        <v>820</v>
      </c>
      <c r="C140" s="40" t="s">
        <v>821</v>
      </c>
      <c r="D140" s="40" t="s">
        <v>493</v>
      </c>
      <c r="E140" s="40" t="s">
        <v>493</v>
      </c>
      <c r="F140" s="40">
        <v>0</v>
      </c>
      <c r="G140" s="40"/>
      <c r="H140" s="40" t="s">
        <v>482</v>
      </c>
      <c r="I140" s="40"/>
      <c r="J140" s="40">
        <v>0</v>
      </c>
      <c r="K140" s="40">
        <v>0</v>
      </c>
      <c r="L140" s="40">
        <v>0</v>
      </c>
    </row>
    <row r="141" spans="1:12" x14ac:dyDescent="0.25">
      <c r="A141" s="40" t="s">
        <v>39</v>
      </c>
      <c r="B141" s="40" t="s">
        <v>822</v>
      </c>
      <c r="C141" s="40" t="s">
        <v>823</v>
      </c>
      <c r="D141" s="40" t="s">
        <v>493</v>
      </c>
      <c r="E141" s="40" t="s">
        <v>493</v>
      </c>
      <c r="F141" s="40">
        <v>0</v>
      </c>
      <c r="G141" s="40"/>
      <c r="H141" s="40" t="s">
        <v>482</v>
      </c>
      <c r="I141" s="40"/>
      <c r="J141" s="40">
        <v>0</v>
      </c>
      <c r="K141" s="40">
        <v>0</v>
      </c>
      <c r="L141" s="40">
        <v>0</v>
      </c>
    </row>
    <row r="142" spans="1:12" x14ac:dyDescent="0.25">
      <c r="A142" s="40" t="s">
        <v>39</v>
      </c>
      <c r="B142" s="40" t="s">
        <v>824</v>
      </c>
      <c r="C142" s="40" t="s">
        <v>825</v>
      </c>
      <c r="D142" s="40" t="s">
        <v>493</v>
      </c>
      <c r="E142" s="40" t="s">
        <v>493</v>
      </c>
      <c r="F142" s="40">
        <v>0</v>
      </c>
      <c r="G142" s="40"/>
      <c r="H142" s="40" t="s">
        <v>482</v>
      </c>
      <c r="I142" s="40"/>
      <c r="J142" s="40">
        <v>0</v>
      </c>
      <c r="K142" s="40">
        <v>0</v>
      </c>
      <c r="L142" s="40">
        <v>0</v>
      </c>
    </row>
    <row r="143" spans="1:12" x14ac:dyDescent="0.25">
      <c r="A143" s="40" t="s">
        <v>39</v>
      </c>
      <c r="B143" s="40" t="s">
        <v>826</v>
      </c>
      <c r="C143" s="40" t="s">
        <v>827</v>
      </c>
      <c r="D143" s="40" t="s">
        <v>493</v>
      </c>
      <c r="E143" s="40" t="s">
        <v>493</v>
      </c>
      <c r="F143" s="40">
        <v>0</v>
      </c>
      <c r="G143" s="40"/>
      <c r="H143" s="40" t="s">
        <v>482</v>
      </c>
      <c r="I143" s="40"/>
      <c r="J143" s="40">
        <v>0</v>
      </c>
      <c r="K143" s="40">
        <v>0</v>
      </c>
      <c r="L143" s="40">
        <v>0</v>
      </c>
    </row>
    <row r="144" spans="1:12" x14ac:dyDescent="0.25">
      <c r="A144" s="40" t="s">
        <v>39</v>
      </c>
      <c r="B144" s="40" t="s">
        <v>828</v>
      </c>
      <c r="C144" s="40" t="s">
        <v>829</v>
      </c>
      <c r="D144" s="40" t="s">
        <v>493</v>
      </c>
      <c r="E144" s="40" t="s">
        <v>493</v>
      </c>
      <c r="F144" s="40">
        <v>0</v>
      </c>
      <c r="G144" s="40"/>
      <c r="H144" s="40" t="s">
        <v>482</v>
      </c>
      <c r="I144" s="40"/>
      <c r="J144" s="40">
        <v>0</v>
      </c>
      <c r="K144" s="40">
        <v>0</v>
      </c>
      <c r="L144" s="40">
        <v>0</v>
      </c>
    </row>
    <row r="145" spans="1:12" x14ac:dyDescent="0.25">
      <c r="A145" s="40" t="s">
        <v>39</v>
      </c>
      <c r="B145" s="40" t="s">
        <v>830</v>
      </c>
      <c r="C145" s="40" t="s">
        <v>831</v>
      </c>
      <c r="D145" s="40" t="s">
        <v>493</v>
      </c>
      <c r="E145" s="40" t="s">
        <v>493</v>
      </c>
      <c r="F145" s="40">
        <v>0</v>
      </c>
      <c r="G145" s="40"/>
      <c r="H145" s="40" t="s">
        <v>482</v>
      </c>
      <c r="I145" s="40"/>
      <c r="J145" s="40">
        <v>0</v>
      </c>
      <c r="K145" s="40">
        <v>0</v>
      </c>
      <c r="L145" s="40">
        <v>0</v>
      </c>
    </row>
    <row r="146" spans="1:12" x14ac:dyDescent="0.25">
      <c r="A146" s="40" t="s">
        <v>39</v>
      </c>
      <c r="B146" s="40" t="s">
        <v>832</v>
      </c>
      <c r="C146" s="40" t="s">
        <v>833</v>
      </c>
      <c r="D146" s="40" t="s">
        <v>493</v>
      </c>
      <c r="E146" s="40" t="s">
        <v>493</v>
      </c>
      <c r="F146" s="40">
        <v>0</v>
      </c>
      <c r="G146" s="40"/>
      <c r="H146" s="40" t="s">
        <v>482</v>
      </c>
      <c r="I146" s="40"/>
      <c r="J146" s="40">
        <v>0</v>
      </c>
      <c r="K146" s="40">
        <v>0</v>
      </c>
      <c r="L146" s="40">
        <v>0</v>
      </c>
    </row>
    <row r="147" spans="1:12" x14ac:dyDescent="0.25">
      <c r="A147" s="40" t="s">
        <v>39</v>
      </c>
      <c r="B147" s="40" t="s">
        <v>834</v>
      </c>
      <c r="C147" s="40" t="s">
        <v>835</v>
      </c>
      <c r="D147" s="40" t="s">
        <v>493</v>
      </c>
      <c r="E147" s="40" t="s">
        <v>493</v>
      </c>
      <c r="F147" s="40">
        <v>0</v>
      </c>
      <c r="G147" s="40"/>
      <c r="H147" s="40" t="s">
        <v>482</v>
      </c>
      <c r="I147" s="40"/>
      <c r="J147" s="40">
        <v>0</v>
      </c>
      <c r="K147" s="40">
        <v>0</v>
      </c>
      <c r="L147" s="40">
        <v>0</v>
      </c>
    </row>
    <row r="148" spans="1:12" x14ac:dyDescent="0.25">
      <c r="A148" s="40" t="s">
        <v>39</v>
      </c>
      <c r="B148" s="40" t="s">
        <v>836</v>
      </c>
      <c r="C148" s="40" t="s">
        <v>837</v>
      </c>
      <c r="D148" s="40" t="s">
        <v>493</v>
      </c>
      <c r="E148" s="40" t="s">
        <v>493</v>
      </c>
      <c r="F148" s="40">
        <v>0</v>
      </c>
      <c r="G148" s="40"/>
      <c r="H148" s="40" t="s">
        <v>482</v>
      </c>
      <c r="I148" s="40"/>
      <c r="J148" s="40">
        <v>0</v>
      </c>
      <c r="K148" s="40">
        <v>0</v>
      </c>
      <c r="L148" s="40">
        <v>0</v>
      </c>
    </row>
    <row r="149" spans="1:12" x14ac:dyDescent="0.25">
      <c r="A149" s="40" t="s">
        <v>39</v>
      </c>
      <c r="B149" s="40" t="s">
        <v>838</v>
      </c>
      <c r="C149" s="40" t="s">
        <v>839</v>
      </c>
      <c r="D149" s="40" t="s">
        <v>493</v>
      </c>
      <c r="E149" s="40" t="s">
        <v>493</v>
      </c>
      <c r="F149" s="40">
        <v>0</v>
      </c>
      <c r="G149" s="40"/>
      <c r="H149" s="40" t="s">
        <v>482</v>
      </c>
      <c r="I149" s="40"/>
      <c r="J149" s="40">
        <v>0</v>
      </c>
      <c r="K149" s="40">
        <v>0</v>
      </c>
      <c r="L149" s="40">
        <v>0</v>
      </c>
    </row>
    <row r="150" spans="1:12" x14ac:dyDescent="0.25">
      <c r="A150" s="40" t="s">
        <v>39</v>
      </c>
      <c r="B150" s="40" t="s">
        <v>840</v>
      </c>
      <c r="C150" s="40" t="s">
        <v>841</v>
      </c>
      <c r="D150" s="40" t="s">
        <v>493</v>
      </c>
      <c r="E150" s="40" t="s">
        <v>493</v>
      </c>
      <c r="F150" s="40">
        <v>0</v>
      </c>
      <c r="G150" s="40"/>
      <c r="H150" s="40" t="s">
        <v>482</v>
      </c>
      <c r="I150" s="40"/>
      <c r="J150" s="40">
        <v>0</v>
      </c>
      <c r="K150" s="40">
        <v>0</v>
      </c>
      <c r="L150" s="40">
        <v>0</v>
      </c>
    </row>
    <row r="151" spans="1:12" x14ac:dyDescent="0.25">
      <c r="A151" s="40" t="s">
        <v>39</v>
      </c>
      <c r="B151" s="40" t="s">
        <v>842</v>
      </c>
      <c r="C151" s="40" t="s">
        <v>843</v>
      </c>
      <c r="D151" s="40" t="s">
        <v>493</v>
      </c>
      <c r="E151" s="40" t="s">
        <v>493</v>
      </c>
      <c r="F151" s="40">
        <v>0</v>
      </c>
      <c r="G151" s="40"/>
      <c r="H151" s="40" t="s">
        <v>482</v>
      </c>
      <c r="I151" s="40"/>
      <c r="J151" s="40">
        <v>0</v>
      </c>
      <c r="K151" s="40">
        <v>0</v>
      </c>
      <c r="L151" s="40">
        <v>0</v>
      </c>
    </row>
    <row r="152" spans="1:12" x14ac:dyDescent="0.25">
      <c r="A152" s="40" t="s">
        <v>39</v>
      </c>
      <c r="B152" s="40" t="s">
        <v>844</v>
      </c>
      <c r="C152" s="40" t="s">
        <v>845</v>
      </c>
      <c r="D152" s="40" t="s">
        <v>493</v>
      </c>
      <c r="E152" s="40" t="s">
        <v>493</v>
      </c>
      <c r="F152" s="40">
        <v>0</v>
      </c>
      <c r="G152" s="40"/>
      <c r="H152" s="40" t="s">
        <v>482</v>
      </c>
      <c r="I152" s="40"/>
      <c r="J152" s="40">
        <v>0</v>
      </c>
      <c r="K152" s="40">
        <v>0</v>
      </c>
      <c r="L152" s="40">
        <v>0</v>
      </c>
    </row>
    <row r="153" spans="1:12" x14ac:dyDescent="0.25">
      <c r="A153" s="40" t="s">
        <v>39</v>
      </c>
      <c r="B153" s="40" t="s">
        <v>846</v>
      </c>
      <c r="C153" s="40" t="s">
        <v>847</v>
      </c>
      <c r="D153" s="40" t="s">
        <v>493</v>
      </c>
      <c r="E153" s="40" t="s">
        <v>493</v>
      </c>
      <c r="F153" s="40">
        <v>0</v>
      </c>
      <c r="G153" s="40"/>
      <c r="H153" s="40" t="s">
        <v>482</v>
      </c>
      <c r="I153" s="40"/>
      <c r="J153" s="40">
        <v>0</v>
      </c>
      <c r="K153" s="40">
        <v>0</v>
      </c>
      <c r="L153" s="40">
        <v>0</v>
      </c>
    </row>
    <row r="154" spans="1:12" x14ac:dyDescent="0.25">
      <c r="A154" s="40" t="s">
        <v>39</v>
      </c>
      <c r="B154" s="40" t="s">
        <v>848</v>
      </c>
      <c r="C154" s="40" t="s">
        <v>849</v>
      </c>
      <c r="D154" s="40" t="s">
        <v>493</v>
      </c>
      <c r="E154" s="40" t="s">
        <v>493</v>
      </c>
      <c r="F154" s="40">
        <v>0</v>
      </c>
      <c r="G154" s="40"/>
      <c r="H154" s="40" t="s">
        <v>482</v>
      </c>
      <c r="I154" s="40"/>
      <c r="J154" s="40">
        <v>0</v>
      </c>
      <c r="K154" s="40">
        <v>0</v>
      </c>
      <c r="L154" s="40">
        <v>0</v>
      </c>
    </row>
    <row r="155" spans="1:12" x14ac:dyDescent="0.25">
      <c r="A155" s="40" t="s">
        <v>39</v>
      </c>
      <c r="B155" s="40" t="s">
        <v>850</v>
      </c>
      <c r="C155" s="40" t="s">
        <v>851</v>
      </c>
      <c r="D155" s="40" t="s">
        <v>493</v>
      </c>
      <c r="E155" s="40" t="s">
        <v>493</v>
      </c>
      <c r="F155" s="40">
        <v>0</v>
      </c>
      <c r="G155" s="40"/>
      <c r="H155" s="40" t="s">
        <v>482</v>
      </c>
      <c r="I155" s="40"/>
      <c r="J155" s="40">
        <v>0</v>
      </c>
      <c r="K155" s="40">
        <v>0</v>
      </c>
      <c r="L155" s="40">
        <v>0</v>
      </c>
    </row>
    <row r="156" spans="1:12" x14ac:dyDescent="0.25">
      <c r="A156" s="40" t="s">
        <v>39</v>
      </c>
      <c r="B156" s="40" t="s">
        <v>852</v>
      </c>
      <c r="C156" s="40" t="s">
        <v>853</v>
      </c>
      <c r="D156" s="40" t="s">
        <v>493</v>
      </c>
      <c r="E156" s="40" t="s">
        <v>493</v>
      </c>
      <c r="F156" s="40">
        <v>0</v>
      </c>
      <c r="G156" s="40"/>
      <c r="H156" s="40" t="s">
        <v>482</v>
      </c>
      <c r="I156" s="40"/>
      <c r="J156" s="40">
        <v>0</v>
      </c>
      <c r="K156" s="40">
        <v>0</v>
      </c>
      <c r="L156" s="40">
        <v>0</v>
      </c>
    </row>
    <row r="157" spans="1:12" x14ac:dyDescent="0.25">
      <c r="A157" s="40" t="s">
        <v>39</v>
      </c>
      <c r="B157" s="40" t="s">
        <v>854</v>
      </c>
      <c r="C157" s="40" t="s">
        <v>855</v>
      </c>
      <c r="D157" s="40" t="s">
        <v>493</v>
      </c>
      <c r="E157" s="40" t="s">
        <v>493</v>
      </c>
      <c r="F157" s="40">
        <v>0</v>
      </c>
      <c r="G157" s="40"/>
      <c r="H157" s="40" t="s">
        <v>482</v>
      </c>
      <c r="I157" s="40"/>
      <c r="J157" s="40">
        <v>0</v>
      </c>
      <c r="K157" s="40">
        <v>0</v>
      </c>
      <c r="L157" s="40">
        <v>0</v>
      </c>
    </row>
    <row r="158" spans="1:12" x14ac:dyDescent="0.25">
      <c r="A158" s="40" t="s">
        <v>39</v>
      </c>
      <c r="B158" s="40" t="s">
        <v>856</v>
      </c>
      <c r="C158" s="40" t="s">
        <v>857</v>
      </c>
      <c r="D158" s="40" t="s">
        <v>493</v>
      </c>
      <c r="E158" s="40" t="s">
        <v>493</v>
      </c>
      <c r="F158" s="40">
        <v>0</v>
      </c>
      <c r="G158" s="40"/>
      <c r="H158" s="40" t="s">
        <v>482</v>
      </c>
      <c r="I158" s="40"/>
      <c r="J158" s="40">
        <v>0</v>
      </c>
      <c r="K158" s="40">
        <v>0</v>
      </c>
      <c r="L158" s="40">
        <v>0</v>
      </c>
    </row>
    <row r="159" spans="1:12" x14ac:dyDescent="0.25">
      <c r="A159" s="40" t="s">
        <v>39</v>
      </c>
      <c r="B159" s="40" t="s">
        <v>858</v>
      </c>
      <c r="C159" s="40" t="s">
        <v>859</v>
      </c>
      <c r="D159" s="40" t="s">
        <v>493</v>
      </c>
      <c r="E159" s="40" t="s">
        <v>493</v>
      </c>
      <c r="F159" s="40">
        <v>0</v>
      </c>
      <c r="G159" s="40"/>
      <c r="H159" s="40" t="s">
        <v>482</v>
      </c>
      <c r="I159" s="40"/>
      <c r="J159" s="40">
        <v>0</v>
      </c>
      <c r="K159" s="40">
        <v>0</v>
      </c>
      <c r="L159" s="40">
        <v>0</v>
      </c>
    </row>
    <row r="160" spans="1:12" x14ac:dyDescent="0.25">
      <c r="A160" s="40" t="s">
        <v>39</v>
      </c>
      <c r="B160" s="40" t="s">
        <v>860</v>
      </c>
      <c r="C160" s="40" t="s">
        <v>861</v>
      </c>
      <c r="D160" s="40" t="s">
        <v>493</v>
      </c>
      <c r="E160" s="40" t="s">
        <v>493</v>
      </c>
      <c r="F160" s="40">
        <v>0</v>
      </c>
      <c r="G160" s="40"/>
      <c r="H160" s="40" t="s">
        <v>482</v>
      </c>
      <c r="I160" s="40"/>
      <c r="J160" s="40">
        <v>0</v>
      </c>
      <c r="K160" s="40">
        <v>0</v>
      </c>
      <c r="L160" s="40">
        <v>0</v>
      </c>
    </row>
    <row r="161" spans="1:12" x14ac:dyDescent="0.25">
      <c r="A161" s="40" t="s">
        <v>39</v>
      </c>
      <c r="B161" s="40" t="s">
        <v>862</v>
      </c>
      <c r="C161" s="40" t="s">
        <v>863</v>
      </c>
      <c r="D161" s="40" t="s">
        <v>493</v>
      </c>
      <c r="E161" s="40" t="s">
        <v>493</v>
      </c>
      <c r="F161" s="40">
        <v>0</v>
      </c>
      <c r="G161" s="40"/>
      <c r="H161" s="40" t="s">
        <v>482</v>
      </c>
      <c r="I161" s="40"/>
      <c r="J161" s="40">
        <v>0</v>
      </c>
      <c r="K161" s="40">
        <v>0</v>
      </c>
      <c r="L161" s="40">
        <v>0</v>
      </c>
    </row>
    <row r="162" spans="1:12" x14ac:dyDescent="0.25">
      <c r="A162" s="40" t="s">
        <v>39</v>
      </c>
      <c r="B162" s="40" t="s">
        <v>864</v>
      </c>
      <c r="C162" s="40" t="s">
        <v>865</v>
      </c>
      <c r="D162" s="40" t="s">
        <v>866</v>
      </c>
      <c r="E162" s="40" t="s">
        <v>866</v>
      </c>
      <c r="F162" s="40">
        <v>0</v>
      </c>
      <c r="G162" s="40"/>
      <c r="H162" s="40" t="s">
        <v>482</v>
      </c>
      <c r="I162" s="40"/>
      <c r="J162" s="40">
        <v>0</v>
      </c>
      <c r="K162" s="40">
        <v>0</v>
      </c>
      <c r="L162" s="40">
        <v>0</v>
      </c>
    </row>
    <row r="163" spans="1:12" x14ac:dyDescent="0.25">
      <c r="A163" s="40" t="s">
        <v>39</v>
      </c>
      <c r="B163" s="40" t="s">
        <v>867</v>
      </c>
      <c r="C163" s="40" t="s">
        <v>868</v>
      </c>
      <c r="D163" s="40" t="s">
        <v>493</v>
      </c>
      <c r="E163" s="40" t="s">
        <v>493</v>
      </c>
      <c r="F163" s="40">
        <v>0</v>
      </c>
      <c r="G163" s="40"/>
      <c r="H163" s="40" t="s">
        <v>482</v>
      </c>
      <c r="I163" s="40"/>
      <c r="J163" s="40">
        <v>0</v>
      </c>
      <c r="K163" s="40">
        <v>0</v>
      </c>
      <c r="L163" s="40">
        <v>0</v>
      </c>
    </row>
    <row r="164" spans="1:12" x14ac:dyDescent="0.25">
      <c r="A164" s="40" t="s">
        <v>39</v>
      </c>
      <c r="B164" s="40" t="s">
        <v>869</v>
      </c>
      <c r="C164" s="40" t="s">
        <v>870</v>
      </c>
      <c r="D164" s="40" t="s">
        <v>493</v>
      </c>
      <c r="E164" s="40" t="s">
        <v>493</v>
      </c>
      <c r="F164" s="40">
        <v>0</v>
      </c>
      <c r="G164" s="40"/>
      <c r="H164" s="40" t="s">
        <v>482</v>
      </c>
      <c r="I164" s="40"/>
      <c r="J164" s="40">
        <v>0</v>
      </c>
      <c r="K164" s="40">
        <v>0</v>
      </c>
      <c r="L164" s="40">
        <v>0</v>
      </c>
    </row>
    <row r="165" spans="1:12" x14ac:dyDescent="0.25">
      <c r="A165" s="40" t="s">
        <v>39</v>
      </c>
      <c r="B165" s="40" t="s">
        <v>871</v>
      </c>
      <c r="C165" s="40" t="s">
        <v>872</v>
      </c>
      <c r="D165" s="40" t="s">
        <v>493</v>
      </c>
      <c r="E165" s="40" t="s">
        <v>493</v>
      </c>
      <c r="F165" s="40">
        <v>0</v>
      </c>
      <c r="G165" s="40"/>
      <c r="H165" s="40" t="s">
        <v>482</v>
      </c>
      <c r="I165" s="40"/>
      <c r="J165" s="40">
        <v>0</v>
      </c>
      <c r="K165" s="40">
        <v>0</v>
      </c>
      <c r="L165" s="40">
        <v>0</v>
      </c>
    </row>
    <row r="166" spans="1:12" x14ac:dyDescent="0.25">
      <c r="A166" s="40" t="s">
        <v>39</v>
      </c>
      <c r="B166" s="40" t="s">
        <v>873</v>
      </c>
      <c r="C166" s="40" t="s">
        <v>874</v>
      </c>
      <c r="D166" s="40" t="s">
        <v>493</v>
      </c>
      <c r="E166" s="40" t="s">
        <v>493</v>
      </c>
      <c r="F166" s="40">
        <v>0</v>
      </c>
      <c r="G166" s="40"/>
      <c r="H166" s="40" t="s">
        <v>482</v>
      </c>
      <c r="I166" s="40"/>
      <c r="J166" s="40">
        <v>0</v>
      </c>
      <c r="K166" s="40">
        <v>0</v>
      </c>
      <c r="L166" s="40">
        <v>0</v>
      </c>
    </row>
    <row r="167" spans="1:12" x14ac:dyDescent="0.25">
      <c r="A167" s="40" t="s">
        <v>39</v>
      </c>
      <c r="B167" s="40" t="s">
        <v>875</v>
      </c>
      <c r="C167" s="40" t="s">
        <v>876</v>
      </c>
      <c r="D167" s="40" t="s">
        <v>493</v>
      </c>
      <c r="E167" s="40" t="s">
        <v>493</v>
      </c>
      <c r="F167" s="40">
        <v>0</v>
      </c>
      <c r="G167" s="40"/>
      <c r="H167" s="40" t="s">
        <v>482</v>
      </c>
      <c r="I167" s="40"/>
      <c r="J167" s="40">
        <v>0</v>
      </c>
      <c r="K167" s="40">
        <v>0</v>
      </c>
      <c r="L167" s="40">
        <v>0</v>
      </c>
    </row>
    <row r="168" spans="1:12" x14ac:dyDescent="0.25">
      <c r="A168" s="40" t="s">
        <v>39</v>
      </c>
      <c r="B168" s="40" t="s">
        <v>877</v>
      </c>
      <c r="C168" s="40" t="s">
        <v>878</v>
      </c>
      <c r="D168" s="40" t="s">
        <v>493</v>
      </c>
      <c r="E168" s="40" t="s">
        <v>493</v>
      </c>
      <c r="F168" s="40">
        <v>0</v>
      </c>
      <c r="G168" s="40"/>
      <c r="H168" s="40" t="s">
        <v>482</v>
      </c>
      <c r="I168" s="40"/>
      <c r="J168" s="40">
        <v>0</v>
      </c>
      <c r="K168" s="40">
        <v>0</v>
      </c>
      <c r="L168" s="40">
        <v>0</v>
      </c>
    </row>
    <row r="169" spans="1:12" x14ac:dyDescent="0.25">
      <c r="A169" s="40" t="s">
        <v>39</v>
      </c>
      <c r="B169" s="40" t="s">
        <v>879</v>
      </c>
      <c r="C169" s="40" t="s">
        <v>880</v>
      </c>
      <c r="D169" s="40" t="s">
        <v>493</v>
      </c>
      <c r="E169" s="40" t="s">
        <v>493</v>
      </c>
      <c r="F169" s="40">
        <v>0</v>
      </c>
      <c r="G169" s="40"/>
      <c r="H169" s="40" t="s">
        <v>482</v>
      </c>
      <c r="I169" s="40"/>
      <c r="J169" s="40">
        <v>0</v>
      </c>
      <c r="K169" s="40">
        <v>0</v>
      </c>
      <c r="L169" s="40">
        <v>0</v>
      </c>
    </row>
    <row r="170" spans="1:12" x14ac:dyDescent="0.25">
      <c r="A170" s="40" t="s">
        <v>39</v>
      </c>
      <c r="B170" s="40" t="s">
        <v>881</v>
      </c>
      <c r="C170" s="40" t="s">
        <v>882</v>
      </c>
      <c r="D170" s="40" t="s">
        <v>493</v>
      </c>
      <c r="E170" s="40" t="s">
        <v>493</v>
      </c>
      <c r="F170" s="40">
        <v>0</v>
      </c>
      <c r="G170" s="40"/>
      <c r="H170" s="40" t="s">
        <v>883</v>
      </c>
      <c r="I170" s="40"/>
      <c r="J170" s="40">
        <v>0</v>
      </c>
      <c r="K170" s="40">
        <v>0</v>
      </c>
      <c r="L170" s="40">
        <v>1</v>
      </c>
    </row>
    <row r="171" spans="1:12" x14ac:dyDescent="0.25">
      <c r="A171" s="40" t="s">
        <v>39</v>
      </c>
      <c r="B171" s="40" t="s">
        <v>884</v>
      </c>
      <c r="C171" s="40" t="s">
        <v>885</v>
      </c>
      <c r="D171" s="40" t="s">
        <v>493</v>
      </c>
      <c r="E171" s="40" t="s">
        <v>493</v>
      </c>
      <c r="F171" s="40">
        <v>0</v>
      </c>
      <c r="G171" s="40"/>
      <c r="H171" s="40" t="s">
        <v>883</v>
      </c>
      <c r="I171" s="40"/>
      <c r="J171" s="40">
        <v>0</v>
      </c>
      <c r="K171" s="40">
        <v>0</v>
      </c>
      <c r="L171" s="40">
        <v>1</v>
      </c>
    </row>
    <row r="172" spans="1:12" x14ac:dyDescent="0.25">
      <c r="A172" s="40" t="s">
        <v>39</v>
      </c>
      <c r="B172" s="40" t="s">
        <v>886</v>
      </c>
      <c r="C172" s="40" t="s">
        <v>887</v>
      </c>
      <c r="D172" s="40" t="s">
        <v>493</v>
      </c>
      <c r="E172" s="40" t="s">
        <v>493</v>
      </c>
      <c r="F172" s="40">
        <v>0</v>
      </c>
      <c r="G172" s="40"/>
      <c r="H172" s="40" t="s">
        <v>883</v>
      </c>
      <c r="I172" s="40"/>
      <c r="J172" s="40">
        <v>0</v>
      </c>
      <c r="K172" s="40">
        <v>0</v>
      </c>
      <c r="L172" s="40">
        <v>1</v>
      </c>
    </row>
    <row r="173" spans="1:12" x14ac:dyDescent="0.25">
      <c r="A173" s="40" t="s">
        <v>39</v>
      </c>
      <c r="B173" s="40" t="s">
        <v>888</v>
      </c>
      <c r="C173" s="40" t="s">
        <v>889</v>
      </c>
      <c r="D173" s="40" t="s">
        <v>493</v>
      </c>
      <c r="E173" s="40" t="s">
        <v>493</v>
      </c>
      <c r="F173" s="40">
        <v>0</v>
      </c>
      <c r="G173" s="40"/>
      <c r="H173" s="40" t="s">
        <v>883</v>
      </c>
      <c r="I173" s="40"/>
      <c r="J173" s="40">
        <v>0</v>
      </c>
      <c r="K173" s="40">
        <v>0</v>
      </c>
      <c r="L173" s="40">
        <v>1</v>
      </c>
    </row>
    <row r="174" spans="1:12" x14ac:dyDescent="0.25">
      <c r="A174" s="40" t="s">
        <v>39</v>
      </c>
      <c r="B174" s="40" t="s">
        <v>890</v>
      </c>
      <c r="C174" s="40" t="s">
        <v>891</v>
      </c>
      <c r="D174" s="40" t="s">
        <v>493</v>
      </c>
      <c r="E174" s="40" t="s">
        <v>493</v>
      </c>
      <c r="F174" s="40">
        <v>0</v>
      </c>
      <c r="G174" s="40"/>
      <c r="H174" s="40" t="s">
        <v>883</v>
      </c>
      <c r="I174" s="40"/>
      <c r="J174" s="40">
        <v>0</v>
      </c>
      <c r="K174" s="40">
        <v>0</v>
      </c>
      <c r="L174" s="40">
        <v>1</v>
      </c>
    </row>
    <row r="175" spans="1:12" x14ac:dyDescent="0.25">
      <c r="A175" s="40" t="s">
        <v>39</v>
      </c>
      <c r="B175" s="40" t="s">
        <v>892</v>
      </c>
      <c r="C175" s="40" t="s">
        <v>893</v>
      </c>
      <c r="D175" s="40" t="s">
        <v>493</v>
      </c>
      <c r="E175" s="40" t="s">
        <v>493</v>
      </c>
      <c r="F175" s="40">
        <v>0</v>
      </c>
      <c r="G175" s="40"/>
      <c r="H175" s="40" t="s">
        <v>883</v>
      </c>
      <c r="I175" s="40"/>
      <c r="J175" s="40">
        <v>0</v>
      </c>
      <c r="K175" s="40">
        <v>0</v>
      </c>
      <c r="L175" s="40">
        <v>1</v>
      </c>
    </row>
    <row r="176" spans="1:12" x14ac:dyDescent="0.25">
      <c r="A176" s="40" t="s">
        <v>39</v>
      </c>
      <c r="B176" s="40" t="s">
        <v>894</v>
      </c>
      <c r="C176" s="40" t="s">
        <v>895</v>
      </c>
      <c r="D176" s="40" t="s">
        <v>493</v>
      </c>
      <c r="E176" s="40" t="s">
        <v>896</v>
      </c>
      <c r="F176" s="40">
        <v>1</v>
      </c>
      <c r="G176" s="40"/>
      <c r="H176" s="40" t="s">
        <v>883</v>
      </c>
      <c r="I176" s="40"/>
      <c r="J176" s="40">
        <v>0</v>
      </c>
      <c r="K176" s="40">
        <v>0</v>
      </c>
      <c r="L176" s="40">
        <v>1</v>
      </c>
    </row>
    <row r="177" spans="1:12" x14ac:dyDescent="0.25">
      <c r="A177" s="40" t="s">
        <v>39</v>
      </c>
      <c r="B177" s="40" t="s">
        <v>897</v>
      </c>
      <c r="C177" s="40" t="s">
        <v>898</v>
      </c>
      <c r="D177" s="40" t="s">
        <v>493</v>
      </c>
      <c r="E177" s="40" t="s">
        <v>899</v>
      </c>
      <c r="F177" s="40">
        <v>1</v>
      </c>
      <c r="G177" s="40"/>
      <c r="H177" s="40" t="s">
        <v>883</v>
      </c>
      <c r="I177" s="40"/>
      <c r="J177" s="40">
        <v>0</v>
      </c>
      <c r="K177" s="40">
        <v>0</v>
      </c>
      <c r="L177" s="40">
        <v>1</v>
      </c>
    </row>
    <row r="178" spans="1:12" x14ac:dyDescent="0.25">
      <c r="A178" s="40" t="s">
        <v>39</v>
      </c>
      <c r="B178" s="40" t="s">
        <v>900</v>
      </c>
      <c r="C178" s="40" t="s">
        <v>901</v>
      </c>
      <c r="D178" s="40" t="s">
        <v>902</v>
      </c>
      <c r="E178" s="40" t="s">
        <v>493</v>
      </c>
      <c r="F178" s="40">
        <v>1</v>
      </c>
      <c r="G178" s="40"/>
      <c r="H178" s="40" t="s">
        <v>493</v>
      </c>
      <c r="I178" s="40"/>
      <c r="J178" s="40">
        <v>0</v>
      </c>
      <c r="K178" s="40">
        <v>0</v>
      </c>
      <c r="L178" s="40">
        <v>1</v>
      </c>
    </row>
    <row r="179" spans="1:12" x14ac:dyDescent="0.25">
      <c r="A179" s="40" t="s">
        <v>39</v>
      </c>
      <c r="B179" s="40" t="s">
        <v>903</v>
      </c>
      <c r="C179" s="40" t="s">
        <v>904</v>
      </c>
      <c r="D179" s="40" t="s">
        <v>493</v>
      </c>
      <c r="E179" s="40" t="s">
        <v>493</v>
      </c>
      <c r="F179" s="40">
        <v>0</v>
      </c>
      <c r="G179" s="40"/>
      <c r="H179" s="40" t="s">
        <v>493</v>
      </c>
      <c r="I179" s="40"/>
      <c r="J179" s="40">
        <v>0</v>
      </c>
      <c r="K179" s="40">
        <v>0</v>
      </c>
      <c r="L179" s="40">
        <v>1</v>
      </c>
    </row>
    <row r="180" spans="1:12" x14ac:dyDescent="0.25">
      <c r="A180" s="40" t="s">
        <v>39</v>
      </c>
      <c r="B180" s="40" t="s">
        <v>905</v>
      </c>
      <c r="C180" s="40" t="s">
        <v>906</v>
      </c>
      <c r="D180" s="40" t="s">
        <v>493</v>
      </c>
      <c r="E180" s="40" t="s">
        <v>493</v>
      </c>
      <c r="F180" s="40">
        <v>0</v>
      </c>
      <c r="G180" s="40"/>
      <c r="H180" s="40" t="s">
        <v>493</v>
      </c>
      <c r="I180" s="40"/>
      <c r="J180" s="40">
        <v>0</v>
      </c>
      <c r="K180" s="40">
        <v>0</v>
      </c>
      <c r="L180" s="40">
        <v>1</v>
      </c>
    </row>
    <row r="181" spans="1:12" x14ac:dyDescent="0.25">
      <c r="A181" s="40" t="s">
        <v>39</v>
      </c>
      <c r="B181" s="40" t="s">
        <v>907</v>
      </c>
      <c r="C181" s="40" t="s">
        <v>908</v>
      </c>
      <c r="D181" s="40" t="s">
        <v>493</v>
      </c>
      <c r="E181" s="40" t="s">
        <v>493</v>
      </c>
      <c r="F181" s="40">
        <v>0</v>
      </c>
      <c r="G181" s="40"/>
      <c r="H181" s="40" t="s">
        <v>493</v>
      </c>
      <c r="I181" s="40"/>
      <c r="J181" s="40">
        <v>0</v>
      </c>
      <c r="K181" s="40">
        <v>0</v>
      </c>
      <c r="L181" s="40">
        <v>1</v>
      </c>
    </row>
    <row r="182" spans="1:12" x14ac:dyDescent="0.25">
      <c r="A182" s="40" t="s">
        <v>39</v>
      </c>
      <c r="B182" s="40" t="s">
        <v>909</v>
      </c>
      <c r="C182" s="40" t="s">
        <v>910</v>
      </c>
      <c r="D182" s="40" t="s">
        <v>911</v>
      </c>
      <c r="E182" s="40" t="s">
        <v>493</v>
      </c>
      <c r="F182" s="40">
        <v>1</v>
      </c>
      <c r="G182" s="40"/>
      <c r="H182" s="40" t="s">
        <v>493</v>
      </c>
      <c r="I182" s="40"/>
      <c r="J182" s="40">
        <v>0</v>
      </c>
      <c r="K182" s="40">
        <v>0</v>
      </c>
      <c r="L182" s="40">
        <v>1</v>
      </c>
    </row>
    <row r="183" spans="1:12" x14ac:dyDescent="0.25">
      <c r="A183" s="40" t="s">
        <v>39</v>
      </c>
      <c r="B183" s="40" t="s">
        <v>912</v>
      </c>
      <c r="C183" s="40" t="s">
        <v>913</v>
      </c>
      <c r="D183" s="40" t="s">
        <v>914</v>
      </c>
      <c r="E183" s="40" t="s">
        <v>493</v>
      </c>
      <c r="F183" s="40">
        <v>1</v>
      </c>
      <c r="G183" s="40"/>
      <c r="H183" s="40" t="s">
        <v>493</v>
      </c>
      <c r="I183" s="40"/>
      <c r="J183" s="40">
        <v>0</v>
      </c>
      <c r="K183" s="40">
        <v>0</v>
      </c>
      <c r="L183" s="40">
        <v>1</v>
      </c>
    </row>
    <row r="184" spans="1:12" x14ac:dyDescent="0.25">
      <c r="A184" s="40" t="s">
        <v>39</v>
      </c>
      <c r="B184" s="40" t="s">
        <v>915</v>
      </c>
      <c r="C184" s="40" t="s">
        <v>916</v>
      </c>
      <c r="D184" s="40" t="s">
        <v>917</v>
      </c>
      <c r="E184" s="40" t="s">
        <v>493</v>
      </c>
      <c r="F184" s="40">
        <v>1</v>
      </c>
      <c r="G184" s="40"/>
      <c r="H184" s="40" t="s">
        <v>493</v>
      </c>
      <c r="I184" s="40"/>
      <c r="J184" s="40">
        <v>0</v>
      </c>
      <c r="K184" s="40">
        <v>0</v>
      </c>
      <c r="L184" s="40">
        <v>1</v>
      </c>
    </row>
    <row r="185" spans="1:12" x14ac:dyDescent="0.25">
      <c r="A185" s="40" t="s">
        <v>39</v>
      </c>
      <c r="B185" s="40" t="s">
        <v>918</v>
      </c>
      <c r="C185" s="40" t="s">
        <v>919</v>
      </c>
      <c r="D185" s="40" t="s">
        <v>920</v>
      </c>
      <c r="E185" s="40" t="s">
        <v>493</v>
      </c>
      <c r="F185" s="40">
        <v>1</v>
      </c>
      <c r="G185" s="40"/>
      <c r="H185" s="40" t="s">
        <v>493</v>
      </c>
      <c r="I185" s="40"/>
      <c r="J185" s="40">
        <v>0</v>
      </c>
      <c r="K185" s="40">
        <v>0</v>
      </c>
      <c r="L185" s="40">
        <v>1</v>
      </c>
    </row>
    <row r="186" spans="1:12" x14ac:dyDescent="0.25">
      <c r="A186" s="40" t="s">
        <v>39</v>
      </c>
      <c r="B186" s="40" t="s">
        <v>921</v>
      </c>
      <c r="C186" s="40" t="s">
        <v>922</v>
      </c>
      <c r="D186" s="40" t="s">
        <v>923</v>
      </c>
      <c r="E186" s="40" t="s">
        <v>493</v>
      </c>
      <c r="F186" s="40">
        <v>1</v>
      </c>
      <c r="G186" s="40"/>
      <c r="H186" s="40" t="s">
        <v>493</v>
      </c>
      <c r="I186" s="40"/>
      <c r="J186" s="40">
        <v>0</v>
      </c>
      <c r="K186" s="40">
        <v>0</v>
      </c>
      <c r="L186" s="40">
        <v>1</v>
      </c>
    </row>
    <row r="187" spans="1:12" x14ac:dyDescent="0.25">
      <c r="A187" s="40" t="s">
        <v>39</v>
      </c>
      <c r="B187" s="40" t="s">
        <v>924</v>
      </c>
      <c r="C187" s="40" t="s">
        <v>925</v>
      </c>
      <c r="D187" s="40" t="s">
        <v>926</v>
      </c>
      <c r="E187" s="40" t="s">
        <v>493</v>
      </c>
      <c r="F187" s="40">
        <v>1</v>
      </c>
      <c r="G187" s="40"/>
      <c r="H187" s="40" t="s">
        <v>493</v>
      </c>
      <c r="I187" s="40"/>
      <c r="J187" s="40">
        <v>0</v>
      </c>
      <c r="K187" s="40">
        <v>0</v>
      </c>
      <c r="L187" s="40">
        <v>1</v>
      </c>
    </row>
    <row r="188" spans="1:12" x14ac:dyDescent="0.25">
      <c r="A188" s="40" t="s">
        <v>39</v>
      </c>
      <c r="B188" s="40" t="s">
        <v>927</v>
      </c>
      <c r="C188" s="40" t="s">
        <v>928</v>
      </c>
      <c r="D188" s="40" t="s">
        <v>929</v>
      </c>
      <c r="E188" s="40" t="s">
        <v>493</v>
      </c>
      <c r="F188" s="40">
        <v>1</v>
      </c>
      <c r="G188" s="40"/>
      <c r="H188" s="40" t="s">
        <v>493</v>
      </c>
      <c r="I188" s="40"/>
      <c r="J188" s="40">
        <v>0</v>
      </c>
      <c r="K188" s="40">
        <v>0</v>
      </c>
      <c r="L188" s="40">
        <v>1</v>
      </c>
    </row>
    <row r="189" spans="1:12" x14ac:dyDescent="0.25">
      <c r="A189" s="40" t="s">
        <v>39</v>
      </c>
      <c r="B189" s="40" t="s">
        <v>930</v>
      </c>
      <c r="C189" s="40" t="s">
        <v>931</v>
      </c>
      <c r="D189" s="40" t="s">
        <v>932</v>
      </c>
      <c r="E189" s="40" t="s">
        <v>493</v>
      </c>
      <c r="F189" s="40">
        <v>1</v>
      </c>
      <c r="G189" s="40"/>
      <c r="H189" s="40" t="s">
        <v>493</v>
      </c>
      <c r="I189" s="40"/>
      <c r="J189" s="40">
        <v>0</v>
      </c>
      <c r="K189" s="40">
        <v>0</v>
      </c>
      <c r="L189" s="40">
        <v>1</v>
      </c>
    </row>
    <row r="190" spans="1:12" x14ac:dyDescent="0.25">
      <c r="A190" s="40" t="s">
        <v>39</v>
      </c>
      <c r="B190" s="40" t="s">
        <v>933</v>
      </c>
      <c r="C190" s="40" t="s">
        <v>934</v>
      </c>
      <c r="D190" s="40" t="s">
        <v>935</v>
      </c>
      <c r="E190" s="40" t="s">
        <v>493</v>
      </c>
      <c r="F190" s="40">
        <v>1</v>
      </c>
      <c r="G190" s="40"/>
      <c r="H190" s="40" t="s">
        <v>493</v>
      </c>
      <c r="I190" s="40"/>
      <c r="J190" s="40">
        <v>0</v>
      </c>
      <c r="K190" s="40">
        <v>0</v>
      </c>
      <c r="L190" s="40">
        <v>1</v>
      </c>
    </row>
    <row r="191" spans="1:12" x14ac:dyDescent="0.25">
      <c r="A191" s="40" t="s">
        <v>39</v>
      </c>
      <c r="B191" s="40" t="s">
        <v>936</v>
      </c>
      <c r="C191" s="40" t="s">
        <v>937</v>
      </c>
      <c r="D191" s="40" t="s">
        <v>938</v>
      </c>
      <c r="E191" s="40" t="s">
        <v>493</v>
      </c>
      <c r="F191" s="40">
        <v>1</v>
      </c>
      <c r="G191" s="40"/>
      <c r="H191" s="40" t="s">
        <v>493</v>
      </c>
      <c r="I191" s="40"/>
      <c r="J191" s="40">
        <v>0</v>
      </c>
      <c r="K191" s="40">
        <v>0</v>
      </c>
      <c r="L191" s="40">
        <v>1</v>
      </c>
    </row>
    <row r="192" spans="1:12" x14ac:dyDescent="0.25">
      <c r="A192" s="40" t="s">
        <v>39</v>
      </c>
      <c r="B192" s="40" t="s">
        <v>939</v>
      </c>
      <c r="C192" s="40" t="s">
        <v>940</v>
      </c>
      <c r="D192" s="40" t="s">
        <v>941</v>
      </c>
      <c r="E192" s="40" t="s">
        <v>493</v>
      </c>
      <c r="F192" s="40">
        <v>1</v>
      </c>
      <c r="G192" s="40"/>
      <c r="H192" s="40" t="s">
        <v>493</v>
      </c>
      <c r="I192" s="40"/>
      <c r="J192" s="40">
        <v>0</v>
      </c>
      <c r="K192" s="40">
        <v>0</v>
      </c>
      <c r="L192" s="40">
        <v>1</v>
      </c>
    </row>
    <row r="193" spans="1:12" x14ac:dyDescent="0.25">
      <c r="A193" s="40" t="s">
        <v>39</v>
      </c>
      <c r="B193" s="40" t="s">
        <v>942</v>
      </c>
      <c r="C193" s="40" t="s">
        <v>943</v>
      </c>
      <c r="D193" s="40" t="s">
        <v>944</v>
      </c>
      <c r="E193" s="40" t="s">
        <v>493</v>
      </c>
      <c r="F193" s="40">
        <v>1</v>
      </c>
      <c r="G193" s="40"/>
      <c r="H193" s="40" t="s">
        <v>493</v>
      </c>
      <c r="I193" s="40"/>
      <c r="J193" s="40">
        <v>0</v>
      </c>
      <c r="K193" s="40">
        <v>0</v>
      </c>
      <c r="L193" s="40">
        <v>1</v>
      </c>
    </row>
    <row r="194" spans="1:12" x14ac:dyDescent="0.25">
      <c r="A194" s="40" t="s">
        <v>39</v>
      </c>
      <c r="B194" s="40" t="s">
        <v>945</v>
      </c>
      <c r="C194" s="40" t="s">
        <v>946</v>
      </c>
      <c r="D194" s="40" t="s">
        <v>947</v>
      </c>
      <c r="E194" s="40" t="s">
        <v>493</v>
      </c>
      <c r="F194" s="40">
        <v>1</v>
      </c>
      <c r="G194" s="40"/>
      <c r="H194" s="40" t="s">
        <v>482</v>
      </c>
      <c r="I194" s="40"/>
      <c r="J194" s="40">
        <v>0</v>
      </c>
      <c r="K194" s="40">
        <v>0</v>
      </c>
      <c r="L194" s="40">
        <v>0</v>
      </c>
    </row>
    <row r="195" spans="1:12" x14ac:dyDescent="0.25">
      <c r="A195" s="40" t="s">
        <v>39</v>
      </c>
      <c r="B195" s="40" t="s">
        <v>948</v>
      </c>
      <c r="C195" s="40" t="s">
        <v>949</v>
      </c>
      <c r="D195" s="40" t="s">
        <v>950</v>
      </c>
      <c r="E195" s="40" t="s">
        <v>493</v>
      </c>
      <c r="F195" s="40">
        <v>1</v>
      </c>
      <c r="G195" s="40"/>
      <c r="H195" s="40" t="s">
        <v>482</v>
      </c>
      <c r="I195" s="40"/>
      <c r="J195" s="40">
        <v>0</v>
      </c>
      <c r="K195" s="40">
        <v>0</v>
      </c>
      <c r="L195" s="40">
        <v>0</v>
      </c>
    </row>
    <row r="196" spans="1:12" x14ac:dyDescent="0.25">
      <c r="A196" s="40" t="s">
        <v>39</v>
      </c>
      <c r="B196" s="40" t="s">
        <v>951</v>
      </c>
      <c r="C196" s="40" t="s">
        <v>952</v>
      </c>
      <c r="D196" s="40" t="s">
        <v>953</v>
      </c>
      <c r="E196" s="40" t="s">
        <v>493</v>
      </c>
      <c r="F196" s="40">
        <v>1</v>
      </c>
      <c r="G196" s="40"/>
      <c r="H196" s="40" t="s">
        <v>482</v>
      </c>
      <c r="I196" s="40"/>
      <c r="J196" s="40">
        <v>0</v>
      </c>
      <c r="K196" s="40">
        <v>0</v>
      </c>
      <c r="L196" s="40">
        <v>0</v>
      </c>
    </row>
    <row r="197" spans="1:12" x14ac:dyDescent="0.25">
      <c r="A197" s="40" t="s">
        <v>39</v>
      </c>
      <c r="B197" s="40" t="s">
        <v>954</v>
      </c>
      <c r="C197" s="40" t="s">
        <v>955</v>
      </c>
      <c r="D197" s="40" t="s">
        <v>956</v>
      </c>
      <c r="E197" s="40" t="s">
        <v>493</v>
      </c>
      <c r="F197" s="40">
        <v>1</v>
      </c>
      <c r="G197" s="40"/>
      <c r="H197" s="40" t="s">
        <v>482</v>
      </c>
      <c r="I197" s="40"/>
      <c r="J197" s="40">
        <v>0</v>
      </c>
      <c r="K197" s="40">
        <v>0</v>
      </c>
      <c r="L197" s="40">
        <v>0</v>
      </c>
    </row>
    <row r="198" spans="1:12" x14ac:dyDescent="0.25">
      <c r="A198" s="40" t="s">
        <v>39</v>
      </c>
      <c r="B198" s="40" t="s">
        <v>957</v>
      </c>
      <c r="C198" s="40" t="s">
        <v>958</v>
      </c>
      <c r="D198" s="40" t="s">
        <v>959</v>
      </c>
      <c r="E198" s="40" t="s">
        <v>493</v>
      </c>
      <c r="F198" s="40">
        <v>1</v>
      </c>
      <c r="G198" s="40"/>
      <c r="H198" s="40" t="s">
        <v>482</v>
      </c>
      <c r="I198" s="40"/>
      <c r="J198" s="40">
        <v>0</v>
      </c>
      <c r="K198" s="40">
        <v>0</v>
      </c>
      <c r="L198" s="40">
        <v>0</v>
      </c>
    </row>
    <row r="199" spans="1:12" x14ac:dyDescent="0.25">
      <c r="A199" s="40" t="s">
        <v>39</v>
      </c>
      <c r="B199" s="40" t="s">
        <v>960</v>
      </c>
      <c r="C199" s="40" t="s">
        <v>961</v>
      </c>
      <c r="D199" s="40" t="s">
        <v>929</v>
      </c>
      <c r="E199" s="40" t="s">
        <v>493</v>
      </c>
      <c r="F199" s="40">
        <v>1</v>
      </c>
      <c r="G199" s="40"/>
      <c r="H199" s="40" t="s">
        <v>482</v>
      </c>
      <c r="I199" s="40"/>
      <c r="J199" s="40">
        <v>0</v>
      </c>
      <c r="K199" s="40">
        <v>0</v>
      </c>
      <c r="L199" s="40">
        <v>0</v>
      </c>
    </row>
    <row r="200" spans="1:12" x14ac:dyDescent="0.25">
      <c r="A200" s="40" t="s">
        <v>39</v>
      </c>
      <c r="B200" s="40" t="s">
        <v>962</v>
      </c>
      <c r="C200" s="40" t="s">
        <v>963</v>
      </c>
      <c r="D200" s="40" t="s">
        <v>964</v>
      </c>
      <c r="E200" s="40" t="s">
        <v>493</v>
      </c>
      <c r="F200" s="40">
        <v>1</v>
      </c>
      <c r="G200" s="40"/>
      <c r="H200" s="40" t="s">
        <v>482</v>
      </c>
      <c r="I200" s="40"/>
      <c r="J200" s="40">
        <v>0</v>
      </c>
      <c r="K200" s="40">
        <v>0</v>
      </c>
      <c r="L200" s="40">
        <v>0</v>
      </c>
    </row>
    <row r="201" spans="1:12" x14ac:dyDescent="0.25">
      <c r="A201" s="40" t="s">
        <v>39</v>
      </c>
      <c r="B201" s="40" t="s">
        <v>965</v>
      </c>
      <c r="C201" s="40" t="s">
        <v>966</v>
      </c>
      <c r="D201" s="40" t="s">
        <v>967</v>
      </c>
      <c r="E201" s="40" t="s">
        <v>493</v>
      </c>
      <c r="F201" s="40">
        <v>1</v>
      </c>
      <c r="G201" s="40"/>
      <c r="H201" s="40" t="s">
        <v>482</v>
      </c>
      <c r="I201" s="40"/>
      <c r="J201" s="40">
        <v>0</v>
      </c>
      <c r="K201" s="40">
        <v>0</v>
      </c>
      <c r="L201" s="40">
        <v>0</v>
      </c>
    </row>
    <row r="202" spans="1:12" x14ac:dyDescent="0.25">
      <c r="A202" s="40" t="s">
        <v>39</v>
      </c>
      <c r="B202" s="40" t="s">
        <v>968</v>
      </c>
      <c r="C202" s="40" t="s">
        <v>969</v>
      </c>
      <c r="D202" s="40" t="s">
        <v>691</v>
      </c>
      <c r="E202" s="40" t="s">
        <v>691</v>
      </c>
      <c r="F202" s="40">
        <v>0</v>
      </c>
      <c r="G202" s="40"/>
      <c r="H202" s="40" t="s">
        <v>883</v>
      </c>
      <c r="I202" s="40"/>
      <c r="J202" s="40">
        <v>0</v>
      </c>
      <c r="K202" s="40">
        <v>0</v>
      </c>
      <c r="L202" s="40">
        <v>1</v>
      </c>
    </row>
    <row r="203" spans="1:12" x14ac:dyDescent="0.25">
      <c r="A203" s="40" t="s">
        <v>39</v>
      </c>
      <c r="B203" s="40" t="s">
        <v>970</v>
      </c>
      <c r="C203" s="40" t="s">
        <v>971</v>
      </c>
      <c r="D203" s="40" t="s">
        <v>972</v>
      </c>
      <c r="E203" s="40" t="s">
        <v>691</v>
      </c>
      <c r="F203" s="40">
        <v>1</v>
      </c>
      <c r="G203" s="40"/>
      <c r="H203" s="40" t="s">
        <v>883</v>
      </c>
      <c r="I203" s="40"/>
      <c r="J203" s="40">
        <v>0</v>
      </c>
      <c r="K203" s="40">
        <v>0</v>
      </c>
      <c r="L203" s="40">
        <v>1</v>
      </c>
    </row>
    <row r="204" spans="1:12" x14ac:dyDescent="0.25">
      <c r="A204" s="40" t="s">
        <v>39</v>
      </c>
      <c r="B204" s="40" t="s">
        <v>973</v>
      </c>
      <c r="C204" s="40" t="s">
        <v>974</v>
      </c>
      <c r="D204" s="40" t="s">
        <v>972</v>
      </c>
      <c r="E204" s="40" t="s">
        <v>691</v>
      </c>
      <c r="F204" s="40">
        <v>1</v>
      </c>
      <c r="G204" s="40"/>
      <c r="H204" s="40" t="s">
        <v>883</v>
      </c>
      <c r="I204" s="40"/>
      <c r="J204" s="40">
        <v>0</v>
      </c>
      <c r="K204" s="40">
        <v>0</v>
      </c>
      <c r="L204" s="40">
        <v>1</v>
      </c>
    </row>
    <row r="205" spans="1:12" x14ac:dyDescent="0.25">
      <c r="A205" s="40" t="s">
        <v>39</v>
      </c>
      <c r="B205" s="40" t="s">
        <v>975</v>
      </c>
      <c r="C205" s="40" t="s">
        <v>976</v>
      </c>
      <c r="D205" s="40" t="s">
        <v>972</v>
      </c>
      <c r="E205" s="40" t="s">
        <v>691</v>
      </c>
      <c r="F205" s="40">
        <v>1</v>
      </c>
      <c r="G205" s="40"/>
      <c r="H205" s="40" t="s">
        <v>883</v>
      </c>
      <c r="I205" s="40"/>
      <c r="J205" s="40">
        <v>0</v>
      </c>
      <c r="K205" s="40">
        <v>0</v>
      </c>
      <c r="L205" s="40">
        <v>1</v>
      </c>
    </row>
    <row r="206" spans="1:12" x14ac:dyDescent="0.25">
      <c r="A206" s="40" t="s">
        <v>39</v>
      </c>
      <c r="B206" s="40" t="s">
        <v>977</v>
      </c>
      <c r="C206" s="40" t="s">
        <v>978</v>
      </c>
      <c r="D206" s="40" t="s">
        <v>972</v>
      </c>
      <c r="E206" s="40" t="s">
        <v>691</v>
      </c>
      <c r="F206" s="40">
        <v>1</v>
      </c>
      <c r="G206" s="40"/>
      <c r="H206" s="40" t="s">
        <v>883</v>
      </c>
      <c r="I206" s="40"/>
      <c r="J206" s="40">
        <v>0</v>
      </c>
      <c r="K206" s="40">
        <v>0</v>
      </c>
      <c r="L206" s="40">
        <v>1</v>
      </c>
    </row>
    <row r="207" spans="1:12" x14ac:dyDescent="0.25">
      <c r="A207" s="40" t="s">
        <v>39</v>
      </c>
      <c r="B207" s="40" t="s">
        <v>979</v>
      </c>
      <c r="C207" s="40" t="s">
        <v>980</v>
      </c>
      <c r="D207" s="40" t="s">
        <v>972</v>
      </c>
      <c r="E207" s="40" t="s">
        <v>691</v>
      </c>
      <c r="F207" s="40">
        <v>1</v>
      </c>
      <c r="G207" s="40"/>
      <c r="H207" s="40" t="s">
        <v>883</v>
      </c>
      <c r="I207" s="40"/>
      <c r="J207" s="40">
        <v>0</v>
      </c>
      <c r="K207" s="40">
        <v>0</v>
      </c>
      <c r="L207" s="40">
        <v>1</v>
      </c>
    </row>
    <row r="208" spans="1:12" x14ac:dyDescent="0.25">
      <c r="A208" s="40" t="s">
        <v>39</v>
      </c>
      <c r="B208" s="40" t="s">
        <v>981</v>
      </c>
      <c r="C208" s="40" t="s">
        <v>982</v>
      </c>
      <c r="D208" s="40" t="s">
        <v>972</v>
      </c>
      <c r="E208" s="40" t="s">
        <v>691</v>
      </c>
      <c r="F208" s="40">
        <v>1</v>
      </c>
      <c r="G208" s="40"/>
      <c r="H208" s="40" t="s">
        <v>883</v>
      </c>
      <c r="I208" s="40"/>
      <c r="J208" s="40">
        <v>0</v>
      </c>
      <c r="K208" s="40">
        <v>0</v>
      </c>
      <c r="L208" s="40">
        <v>1</v>
      </c>
    </row>
    <row r="209" spans="1:12" x14ac:dyDescent="0.25">
      <c r="A209" s="40" t="s">
        <v>39</v>
      </c>
      <c r="B209" s="40" t="s">
        <v>983</v>
      </c>
      <c r="C209" s="40" t="s">
        <v>984</v>
      </c>
      <c r="D209" s="40" t="s">
        <v>972</v>
      </c>
      <c r="E209" s="40" t="s">
        <v>691</v>
      </c>
      <c r="F209" s="40">
        <v>1</v>
      </c>
      <c r="G209" s="40"/>
      <c r="H209" s="40" t="s">
        <v>482</v>
      </c>
      <c r="I209" s="40"/>
      <c r="J209" s="40">
        <v>0</v>
      </c>
      <c r="K209" s="40">
        <v>0</v>
      </c>
      <c r="L209" s="40">
        <v>1</v>
      </c>
    </row>
    <row r="210" spans="1:12" x14ac:dyDescent="0.25">
      <c r="A210" s="40" t="s">
        <v>39</v>
      </c>
      <c r="B210" s="40" t="s">
        <v>985</v>
      </c>
      <c r="C210" s="40" t="s">
        <v>986</v>
      </c>
      <c r="D210" s="40" t="s">
        <v>694</v>
      </c>
      <c r="E210" s="40" t="s">
        <v>694</v>
      </c>
      <c r="F210" s="40">
        <v>0</v>
      </c>
      <c r="G210" s="40"/>
      <c r="H210" s="40" t="s">
        <v>482</v>
      </c>
      <c r="I210" s="40"/>
      <c r="J210" s="40">
        <v>0</v>
      </c>
      <c r="K210" s="40">
        <v>0</v>
      </c>
      <c r="L210" s="40">
        <v>0</v>
      </c>
    </row>
    <row r="211" spans="1:12" x14ac:dyDescent="0.25">
      <c r="A211" s="40" t="s">
        <v>39</v>
      </c>
      <c r="B211" s="40" t="s">
        <v>987</v>
      </c>
      <c r="C211" s="40" t="s">
        <v>988</v>
      </c>
      <c r="D211" s="40" t="s">
        <v>694</v>
      </c>
      <c r="E211" s="40" t="s">
        <v>694</v>
      </c>
      <c r="F211" s="40">
        <v>0</v>
      </c>
      <c r="G211" s="40"/>
      <c r="H211" s="40" t="s">
        <v>482</v>
      </c>
      <c r="I211" s="40"/>
      <c r="J211" s="40">
        <v>0</v>
      </c>
      <c r="K211" s="40">
        <v>0</v>
      </c>
      <c r="L211" s="40">
        <v>0</v>
      </c>
    </row>
    <row r="212" spans="1:12" x14ac:dyDescent="0.25">
      <c r="A212" s="40" t="s">
        <v>39</v>
      </c>
      <c r="B212" s="40" t="s">
        <v>989</v>
      </c>
      <c r="C212" s="40" t="s">
        <v>990</v>
      </c>
      <c r="D212" s="40" t="s">
        <v>694</v>
      </c>
      <c r="E212" s="40" t="s">
        <v>694</v>
      </c>
      <c r="F212" s="40">
        <v>0</v>
      </c>
      <c r="G212" s="40"/>
      <c r="H212" s="40" t="s">
        <v>482</v>
      </c>
      <c r="I212" s="40"/>
      <c r="J212" s="40">
        <v>0</v>
      </c>
      <c r="K212" s="40">
        <v>0</v>
      </c>
      <c r="L212" s="40">
        <v>0</v>
      </c>
    </row>
    <row r="213" spans="1:12" x14ac:dyDescent="0.25">
      <c r="A213" s="40" t="s">
        <v>39</v>
      </c>
      <c r="B213" s="40" t="s">
        <v>991</v>
      </c>
      <c r="C213" s="40" t="s">
        <v>992</v>
      </c>
      <c r="D213" s="40" t="s">
        <v>694</v>
      </c>
      <c r="E213" s="40" t="s">
        <v>694</v>
      </c>
      <c r="F213" s="40">
        <v>0</v>
      </c>
      <c r="G213" s="40"/>
      <c r="H213" s="40" t="s">
        <v>482</v>
      </c>
      <c r="I213" s="40"/>
      <c r="J213" s="40">
        <v>0</v>
      </c>
      <c r="K213" s="40">
        <v>0</v>
      </c>
      <c r="L213" s="40">
        <v>0</v>
      </c>
    </row>
    <row r="214" spans="1:12" x14ac:dyDescent="0.25">
      <c r="A214" s="40" t="s">
        <v>39</v>
      </c>
      <c r="B214" s="40" t="s">
        <v>993</v>
      </c>
      <c r="C214" s="40" t="s">
        <v>994</v>
      </c>
      <c r="D214" s="40" t="s">
        <v>995</v>
      </c>
      <c r="E214" s="40" t="s">
        <v>694</v>
      </c>
      <c r="F214" s="40">
        <v>1</v>
      </c>
      <c r="G214" s="40"/>
      <c r="H214" s="40" t="s">
        <v>482</v>
      </c>
      <c r="I214" s="40"/>
      <c r="J214" s="40">
        <v>0</v>
      </c>
      <c r="K214" s="40">
        <v>0</v>
      </c>
      <c r="L214" s="40">
        <v>0</v>
      </c>
    </row>
    <row r="215" spans="1:12" x14ac:dyDescent="0.25">
      <c r="A215" s="40" t="s">
        <v>39</v>
      </c>
      <c r="B215" s="40" t="s">
        <v>996</v>
      </c>
      <c r="C215" s="40" t="s">
        <v>997</v>
      </c>
      <c r="D215" s="40" t="s">
        <v>998</v>
      </c>
      <c r="E215" s="40" t="s">
        <v>694</v>
      </c>
      <c r="F215" s="40">
        <v>1</v>
      </c>
      <c r="G215" s="40"/>
      <c r="H215" s="40" t="s">
        <v>482</v>
      </c>
      <c r="I215" s="40"/>
      <c r="J215" s="40">
        <v>0</v>
      </c>
      <c r="K215" s="40">
        <v>0</v>
      </c>
      <c r="L215" s="40">
        <v>0</v>
      </c>
    </row>
    <row r="216" spans="1:12" x14ac:dyDescent="0.25">
      <c r="A216" s="40" t="s">
        <v>39</v>
      </c>
      <c r="B216" s="40" t="s">
        <v>999</v>
      </c>
      <c r="C216" s="40" t="s">
        <v>1000</v>
      </c>
      <c r="D216" s="40" t="s">
        <v>998</v>
      </c>
      <c r="E216" s="40" t="s">
        <v>694</v>
      </c>
      <c r="F216" s="40">
        <v>1</v>
      </c>
      <c r="G216" s="40"/>
      <c r="H216" s="40" t="s">
        <v>482</v>
      </c>
      <c r="I216" s="40"/>
      <c r="J216" s="40">
        <v>0</v>
      </c>
      <c r="K216" s="40">
        <v>0</v>
      </c>
      <c r="L216" s="40">
        <v>0</v>
      </c>
    </row>
    <row r="217" spans="1:12" x14ac:dyDescent="0.25">
      <c r="A217" s="40" t="s">
        <v>39</v>
      </c>
      <c r="B217" s="40" t="s">
        <v>1001</v>
      </c>
      <c r="C217" s="40" t="s">
        <v>1002</v>
      </c>
      <c r="D217" s="40" t="s">
        <v>998</v>
      </c>
      <c r="E217" s="40" t="s">
        <v>694</v>
      </c>
      <c r="F217" s="40">
        <v>1</v>
      </c>
      <c r="G217" s="40"/>
      <c r="H217" s="40" t="s">
        <v>482</v>
      </c>
      <c r="I217" s="40"/>
      <c r="J217" s="40">
        <v>0</v>
      </c>
      <c r="K217" s="40">
        <v>0</v>
      </c>
      <c r="L217" s="40">
        <v>0</v>
      </c>
    </row>
    <row r="218" spans="1:12" x14ac:dyDescent="0.25">
      <c r="A218" s="40" t="s">
        <v>39</v>
      </c>
      <c r="B218" s="40" t="s">
        <v>1003</v>
      </c>
      <c r="C218" s="40" t="s">
        <v>1004</v>
      </c>
      <c r="D218" s="40" t="s">
        <v>1005</v>
      </c>
      <c r="E218" s="40" t="s">
        <v>1006</v>
      </c>
      <c r="F218" s="40">
        <v>1</v>
      </c>
      <c r="G218" s="40"/>
      <c r="H218" s="40" t="s">
        <v>482</v>
      </c>
      <c r="I218" s="40"/>
      <c r="J218" s="40">
        <v>0</v>
      </c>
      <c r="K218" s="40">
        <v>0</v>
      </c>
      <c r="L218" s="40">
        <v>0</v>
      </c>
    </row>
    <row r="219" spans="1:12" x14ac:dyDescent="0.25">
      <c r="A219" s="40" t="s">
        <v>39</v>
      </c>
      <c r="B219" s="40" t="s">
        <v>1007</v>
      </c>
      <c r="C219" s="40" t="s">
        <v>1008</v>
      </c>
      <c r="D219" s="40" t="s">
        <v>1009</v>
      </c>
      <c r="E219" s="40" t="s">
        <v>1010</v>
      </c>
      <c r="F219" s="40">
        <v>1</v>
      </c>
      <c r="G219" s="40"/>
      <c r="H219" s="40" t="s">
        <v>482</v>
      </c>
      <c r="I219" s="40"/>
      <c r="J219" s="40">
        <v>0</v>
      </c>
      <c r="K219" s="40">
        <v>0</v>
      </c>
      <c r="L219" s="40">
        <v>0</v>
      </c>
    </row>
    <row r="220" spans="1:12" x14ac:dyDescent="0.25">
      <c r="A220" s="40" t="s">
        <v>39</v>
      </c>
      <c r="B220" s="40" t="s">
        <v>1011</v>
      </c>
      <c r="C220" s="40" t="s">
        <v>1012</v>
      </c>
      <c r="D220" s="40" t="s">
        <v>1013</v>
      </c>
      <c r="E220" s="40" t="s">
        <v>1010</v>
      </c>
      <c r="F220" s="40">
        <v>1</v>
      </c>
      <c r="G220" s="40"/>
      <c r="H220" s="40" t="s">
        <v>482</v>
      </c>
      <c r="I220" s="40"/>
      <c r="J220" s="40">
        <v>0</v>
      </c>
      <c r="K220" s="40">
        <v>0</v>
      </c>
      <c r="L220" s="40">
        <v>0</v>
      </c>
    </row>
    <row r="221" spans="1:12" x14ac:dyDescent="0.25">
      <c r="A221" s="40" t="s">
        <v>39</v>
      </c>
      <c r="B221" s="40" t="s">
        <v>1014</v>
      </c>
      <c r="C221" s="40" t="s">
        <v>1015</v>
      </c>
      <c r="D221" s="40" t="s">
        <v>1013</v>
      </c>
      <c r="E221" s="40" t="s">
        <v>1016</v>
      </c>
      <c r="F221" s="40">
        <v>1</v>
      </c>
      <c r="G221" s="40"/>
      <c r="H221" s="40" t="s">
        <v>482</v>
      </c>
      <c r="I221" s="40"/>
      <c r="J221" s="40">
        <v>0</v>
      </c>
      <c r="K221" s="40">
        <v>0</v>
      </c>
      <c r="L221" s="40">
        <v>0</v>
      </c>
    </row>
    <row r="222" spans="1:12" x14ac:dyDescent="0.25">
      <c r="A222" s="40" t="s">
        <v>39</v>
      </c>
      <c r="B222" s="40" t="s">
        <v>1017</v>
      </c>
      <c r="C222" s="40" t="s">
        <v>1018</v>
      </c>
      <c r="D222" s="40" t="s">
        <v>1013</v>
      </c>
      <c r="E222" s="40" t="s">
        <v>1016</v>
      </c>
      <c r="F222" s="40">
        <v>1</v>
      </c>
      <c r="G222" s="40"/>
      <c r="H222" s="40" t="s">
        <v>482</v>
      </c>
      <c r="I222" s="40"/>
      <c r="J222" s="40">
        <v>0</v>
      </c>
      <c r="K222" s="40">
        <v>0</v>
      </c>
      <c r="L222" s="40">
        <v>0</v>
      </c>
    </row>
    <row r="223" spans="1:12" x14ac:dyDescent="0.25">
      <c r="A223" s="40" t="s">
        <v>39</v>
      </c>
      <c r="B223" s="40" t="s">
        <v>1019</v>
      </c>
      <c r="C223" s="40" t="s">
        <v>1020</v>
      </c>
      <c r="D223" s="40" t="s">
        <v>1013</v>
      </c>
      <c r="E223" s="40" t="s">
        <v>1016</v>
      </c>
      <c r="F223" s="40">
        <v>1</v>
      </c>
      <c r="G223" s="40"/>
      <c r="H223" s="40" t="s">
        <v>482</v>
      </c>
      <c r="I223" s="40"/>
      <c r="J223" s="40">
        <v>0</v>
      </c>
      <c r="K223" s="40">
        <v>0</v>
      </c>
      <c r="L223" s="40">
        <v>0</v>
      </c>
    </row>
    <row r="224" spans="1:12" x14ac:dyDescent="0.25">
      <c r="A224" s="40" t="s">
        <v>39</v>
      </c>
      <c r="B224" s="40" t="s">
        <v>1021</v>
      </c>
      <c r="C224" s="40" t="s">
        <v>1022</v>
      </c>
      <c r="D224" s="40" t="s">
        <v>1023</v>
      </c>
      <c r="E224" s="40" t="s">
        <v>1016</v>
      </c>
      <c r="F224" s="40">
        <v>1</v>
      </c>
      <c r="G224" s="40"/>
      <c r="H224" s="40" t="s">
        <v>493</v>
      </c>
      <c r="I224" s="40"/>
      <c r="J224" s="40">
        <v>1</v>
      </c>
      <c r="K224" s="40">
        <v>1</v>
      </c>
      <c r="L224" s="40">
        <v>1</v>
      </c>
    </row>
    <row r="225" spans="1:12" x14ac:dyDescent="0.25">
      <c r="A225" s="40" t="s">
        <v>39</v>
      </c>
      <c r="B225" s="40" t="s">
        <v>1024</v>
      </c>
      <c r="C225" s="40" t="s">
        <v>1025</v>
      </c>
      <c r="D225" s="40" t="s">
        <v>1023</v>
      </c>
      <c r="E225" s="40" t="s">
        <v>1016</v>
      </c>
      <c r="F225" s="40">
        <v>1</v>
      </c>
      <c r="G225" s="40"/>
      <c r="H225" s="40" t="s">
        <v>482</v>
      </c>
      <c r="I225" s="40"/>
      <c r="J225" s="40">
        <v>0</v>
      </c>
      <c r="K225" s="40">
        <v>0</v>
      </c>
      <c r="L225" s="40">
        <v>0</v>
      </c>
    </row>
    <row r="226" spans="1:12" x14ac:dyDescent="0.25">
      <c r="A226" s="40" t="s">
        <v>39</v>
      </c>
      <c r="B226" s="40" t="s">
        <v>1026</v>
      </c>
      <c r="C226" s="40" t="s">
        <v>1027</v>
      </c>
      <c r="D226" s="40" t="s">
        <v>493</v>
      </c>
      <c r="E226" s="40" t="s">
        <v>493</v>
      </c>
      <c r="F226" s="40">
        <v>0</v>
      </c>
      <c r="G226" s="40"/>
      <c r="H226" s="40" t="s">
        <v>1028</v>
      </c>
      <c r="I226" s="40"/>
      <c r="J226" s="40">
        <v>0</v>
      </c>
      <c r="K226" s="40">
        <v>0</v>
      </c>
      <c r="L226" s="40">
        <v>1</v>
      </c>
    </row>
    <row r="227" spans="1:12" x14ac:dyDescent="0.25">
      <c r="A227" s="40" t="s">
        <v>39</v>
      </c>
      <c r="B227" s="40" t="s">
        <v>1029</v>
      </c>
      <c r="C227" s="40" t="s">
        <v>1030</v>
      </c>
      <c r="D227" s="40" t="s">
        <v>493</v>
      </c>
      <c r="E227" s="40" t="s">
        <v>493</v>
      </c>
      <c r="F227" s="40">
        <v>0</v>
      </c>
      <c r="G227" s="40"/>
      <c r="H227" s="40" t="s">
        <v>1028</v>
      </c>
      <c r="I227" s="40"/>
      <c r="J227" s="40">
        <v>0</v>
      </c>
      <c r="K227" s="40">
        <v>0</v>
      </c>
      <c r="L227" s="40">
        <v>1</v>
      </c>
    </row>
    <row r="228" spans="1:12" x14ac:dyDescent="0.25">
      <c r="A228" s="40" t="s">
        <v>39</v>
      </c>
      <c r="B228" s="40" t="s">
        <v>1031</v>
      </c>
      <c r="C228" s="40" t="s">
        <v>1032</v>
      </c>
      <c r="D228" s="40" t="s">
        <v>493</v>
      </c>
      <c r="E228" s="40" t="s">
        <v>493</v>
      </c>
      <c r="F228" s="40">
        <v>0</v>
      </c>
      <c r="G228" s="40"/>
      <c r="H228" s="40" t="s">
        <v>1028</v>
      </c>
      <c r="I228" s="40"/>
      <c r="J228" s="40">
        <v>0</v>
      </c>
      <c r="K228" s="40">
        <v>0</v>
      </c>
      <c r="L228" s="40">
        <v>1</v>
      </c>
    </row>
    <row r="229" spans="1:12" x14ac:dyDescent="0.25">
      <c r="A229" s="40" t="s">
        <v>39</v>
      </c>
      <c r="B229" s="40" t="s">
        <v>1033</v>
      </c>
      <c r="C229" s="40" t="s">
        <v>1034</v>
      </c>
      <c r="D229" s="40" t="s">
        <v>493</v>
      </c>
      <c r="E229" s="40" t="s">
        <v>493</v>
      </c>
      <c r="F229" s="40">
        <v>0</v>
      </c>
      <c r="G229" s="40"/>
      <c r="H229" s="40" t="s">
        <v>1028</v>
      </c>
      <c r="I229" s="40"/>
      <c r="J229" s="40">
        <v>0</v>
      </c>
      <c r="K229" s="40">
        <v>0</v>
      </c>
      <c r="L229" s="40">
        <v>1</v>
      </c>
    </row>
    <row r="230" spans="1:12" x14ac:dyDescent="0.25">
      <c r="A230" s="40" t="s">
        <v>39</v>
      </c>
      <c r="B230" s="40" t="s">
        <v>1035</v>
      </c>
      <c r="C230" s="40" t="s">
        <v>1036</v>
      </c>
      <c r="D230" s="40" t="s">
        <v>493</v>
      </c>
      <c r="E230" s="40" t="s">
        <v>493</v>
      </c>
      <c r="F230" s="40">
        <v>0</v>
      </c>
      <c r="G230" s="40"/>
      <c r="H230" s="40" t="s">
        <v>1028</v>
      </c>
      <c r="I230" s="40"/>
      <c r="J230" s="40">
        <v>0</v>
      </c>
      <c r="K230" s="40">
        <v>0</v>
      </c>
      <c r="L230" s="40">
        <v>1</v>
      </c>
    </row>
    <row r="231" spans="1:12" x14ac:dyDescent="0.25">
      <c r="A231" s="40" t="s">
        <v>39</v>
      </c>
      <c r="B231" s="40" t="s">
        <v>1037</v>
      </c>
      <c r="C231" s="40" t="s">
        <v>1038</v>
      </c>
      <c r="D231" s="40" t="s">
        <v>493</v>
      </c>
      <c r="E231" s="40" t="s">
        <v>493</v>
      </c>
      <c r="F231" s="40">
        <v>0</v>
      </c>
      <c r="G231" s="40"/>
      <c r="H231" s="40" t="s">
        <v>1028</v>
      </c>
      <c r="I231" s="40"/>
      <c r="J231" s="40">
        <v>0</v>
      </c>
      <c r="K231" s="40">
        <v>0</v>
      </c>
      <c r="L231" s="40">
        <v>1</v>
      </c>
    </row>
    <row r="232" spans="1:12" x14ac:dyDescent="0.25">
      <c r="A232" s="40" t="s">
        <v>39</v>
      </c>
      <c r="B232" s="40" t="s">
        <v>1039</v>
      </c>
      <c r="C232" s="40" t="s">
        <v>1040</v>
      </c>
      <c r="D232" s="40" t="s">
        <v>493</v>
      </c>
      <c r="E232" s="40" t="s">
        <v>493</v>
      </c>
      <c r="F232" s="40">
        <v>0</v>
      </c>
      <c r="G232" s="40"/>
      <c r="H232" s="40" t="s">
        <v>1028</v>
      </c>
      <c r="I232" s="40"/>
      <c r="J232" s="40">
        <v>0</v>
      </c>
      <c r="K232" s="40">
        <v>0</v>
      </c>
      <c r="L232" s="40">
        <v>1</v>
      </c>
    </row>
    <row r="233" spans="1:12" x14ac:dyDescent="0.25">
      <c r="A233" s="40" t="s">
        <v>39</v>
      </c>
      <c r="B233" s="40" t="s">
        <v>1041</v>
      </c>
      <c r="C233" s="40" t="s">
        <v>1042</v>
      </c>
      <c r="D233" s="40" t="s">
        <v>493</v>
      </c>
      <c r="E233" s="40" t="s">
        <v>493</v>
      </c>
      <c r="F233" s="40">
        <v>0</v>
      </c>
      <c r="G233" s="40"/>
      <c r="H233" s="40" t="s">
        <v>493</v>
      </c>
      <c r="I233" s="40"/>
      <c r="J233" s="40">
        <v>0</v>
      </c>
      <c r="K233" s="40">
        <v>0</v>
      </c>
      <c r="L233" s="40">
        <v>1</v>
      </c>
    </row>
    <row r="234" spans="1:12" x14ac:dyDescent="0.25">
      <c r="A234" s="40" t="s">
        <v>39</v>
      </c>
      <c r="B234" s="40" t="s">
        <v>1043</v>
      </c>
      <c r="C234" s="40" t="s">
        <v>1044</v>
      </c>
      <c r="D234" s="40" t="s">
        <v>493</v>
      </c>
      <c r="E234" s="40" t="s">
        <v>493</v>
      </c>
      <c r="F234" s="40">
        <v>0</v>
      </c>
      <c r="G234" s="40"/>
      <c r="H234" s="40" t="s">
        <v>482</v>
      </c>
      <c r="I234" s="40"/>
      <c r="J234" s="40">
        <v>0</v>
      </c>
      <c r="K234" s="40">
        <v>0</v>
      </c>
      <c r="L234" s="40">
        <v>0</v>
      </c>
    </row>
    <row r="235" spans="1:12" x14ac:dyDescent="0.25">
      <c r="A235" s="40" t="s">
        <v>39</v>
      </c>
      <c r="B235" s="40" t="s">
        <v>1045</v>
      </c>
      <c r="C235" s="40" t="s">
        <v>1046</v>
      </c>
      <c r="D235" s="40" t="s">
        <v>1047</v>
      </c>
      <c r="E235" s="40" t="s">
        <v>493</v>
      </c>
      <c r="F235" s="40">
        <v>1</v>
      </c>
      <c r="G235" s="40"/>
      <c r="H235" s="40" t="s">
        <v>482</v>
      </c>
      <c r="I235" s="40"/>
      <c r="J235" s="40">
        <v>0</v>
      </c>
      <c r="K235" s="40">
        <v>0</v>
      </c>
      <c r="L235" s="40">
        <v>0</v>
      </c>
    </row>
    <row r="236" spans="1:12" x14ac:dyDescent="0.25">
      <c r="A236" s="40" t="s">
        <v>39</v>
      </c>
      <c r="B236" s="40" t="s">
        <v>1048</v>
      </c>
      <c r="C236" s="40" t="s">
        <v>1049</v>
      </c>
      <c r="D236" s="40" t="s">
        <v>950</v>
      </c>
      <c r="E236" s="40" t="s">
        <v>493</v>
      </c>
      <c r="F236" s="40">
        <v>1</v>
      </c>
      <c r="G236" s="40"/>
      <c r="H236" s="40" t="s">
        <v>482</v>
      </c>
      <c r="I236" s="40"/>
      <c r="J236" s="40">
        <v>0</v>
      </c>
      <c r="K236" s="40">
        <v>0</v>
      </c>
      <c r="L236" s="40">
        <v>0</v>
      </c>
    </row>
    <row r="237" spans="1:12" x14ac:dyDescent="0.25">
      <c r="A237" s="40" t="s">
        <v>39</v>
      </c>
      <c r="B237" s="40" t="s">
        <v>1050</v>
      </c>
      <c r="C237" s="40" t="s">
        <v>1051</v>
      </c>
      <c r="D237" s="40" t="s">
        <v>953</v>
      </c>
      <c r="E237" s="40" t="s">
        <v>493</v>
      </c>
      <c r="F237" s="40">
        <v>1</v>
      </c>
      <c r="G237" s="40"/>
      <c r="H237" s="40" t="s">
        <v>482</v>
      </c>
      <c r="I237" s="40"/>
      <c r="J237" s="40">
        <v>0</v>
      </c>
      <c r="K237" s="40">
        <v>0</v>
      </c>
      <c r="L237" s="40">
        <v>0</v>
      </c>
    </row>
    <row r="238" spans="1:12" x14ac:dyDescent="0.25">
      <c r="A238" s="40" t="s">
        <v>39</v>
      </c>
      <c r="B238" s="40" t="s">
        <v>1052</v>
      </c>
      <c r="C238" s="40" t="s">
        <v>1053</v>
      </c>
      <c r="D238" s="40" t="s">
        <v>956</v>
      </c>
      <c r="E238" s="40" t="s">
        <v>493</v>
      </c>
      <c r="F238" s="40">
        <v>1</v>
      </c>
      <c r="G238" s="40"/>
      <c r="H238" s="40" t="s">
        <v>482</v>
      </c>
      <c r="I238" s="40"/>
      <c r="J238" s="40">
        <v>0</v>
      </c>
      <c r="K238" s="40">
        <v>0</v>
      </c>
      <c r="L238" s="40">
        <v>0</v>
      </c>
    </row>
    <row r="239" spans="1:12" x14ac:dyDescent="0.25">
      <c r="A239" s="40" t="s">
        <v>39</v>
      </c>
      <c r="B239" s="40" t="s">
        <v>1054</v>
      </c>
      <c r="C239" s="40" t="s">
        <v>1055</v>
      </c>
      <c r="D239" s="40" t="s">
        <v>959</v>
      </c>
      <c r="E239" s="40" t="s">
        <v>493</v>
      </c>
      <c r="F239" s="40">
        <v>1</v>
      </c>
      <c r="G239" s="40"/>
      <c r="H239" s="40" t="s">
        <v>482</v>
      </c>
      <c r="I239" s="40"/>
      <c r="J239" s="40">
        <v>0</v>
      </c>
      <c r="K239" s="40">
        <v>0</v>
      </c>
      <c r="L239" s="40">
        <v>0</v>
      </c>
    </row>
    <row r="240" spans="1:12" x14ac:dyDescent="0.25">
      <c r="A240" s="40" t="s">
        <v>39</v>
      </c>
      <c r="B240" s="40" t="s">
        <v>1056</v>
      </c>
      <c r="C240" s="40" t="s">
        <v>1057</v>
      </c>
      <c r="D240" s="40" t="s">
        <v>929</v>
      </c>
      <c r="E240" s="40" t="s">
        <v>493</v>
      </c>
      <c r="F240" s="40">
        <v>1</v>
      </c>
      <c r="G240" s="40"/>
      <c r="H240" s="40" t="s">
        <v>482</v>
      </c>
      <c r="I240" s="40"/>
      <c r="J240" s="40">
        <v>0</v>
      </c>
      <c r="K240" s="40">
        <v>0</v>
      </c>
      <c r="L240" s="40">
        <v>0</v>
      </c>
    </row>
    <row r="241" spans="1:12" x14ac:dyDescent="0.25">
      <c r="A241" s="40" t="s">
        <v>39</v>
      </c>
      <c r="B241" s="40" t="s">
        <v>1058</v>
      </c>
      <c r="C241" s="40" t="s">
        <v>1059</v>
      </c>
      <c r="D241" s="40" t="s">
        <v>964</v>
      </c>
      <c r="E241" s="40" t="s">
        <v>493</v>
      </c>
      <c r="F241" s="40">
        <v>1</v>
      </c>
      <c r="G241" s="40"/>
      <c r="H241" s="40" t="s">
        <v>482</v>
      </c>
      <c r="I241" s="40"/>
      <c r="J241" s="40">
        <v>0</v>
      </c>
      <c r="K241" s="40">
        <v>0</v>
      </c>
      <c r="L241" s="40">
        <v>0</v>
      </c>
    </row>
    <row r="242" spans="1:12" x14ac:dyDescent="0.25">
      <c r="A242" s="40" t="s">
        <v>39</v>
      </c>
      <c r="B242" s="40" t="s">
        <v>1060</v>
      </c>
      <c r="C242" s="40" t="s">
        <v>1061</v>
      </c>
      <c r="D242" s="40" t="s">
        <v>929</v>
      </c>
      <c r="E242" s="40" t="s">
        <v>493</v>
      </c>
      <c r="F242" s="40">
        <v>1</v>
      </c>
      <c r="G242" s="40"/>
      <c r="H242" s="40" t="s">
        <v>482</v>
      </c>
      <c r="I242" s="40"/>
      <c r="J242" s="40">
        <v>0</v>
      </c>
      <c r="K242" s="40">
        <v>0</v>
      </c>
      <c r="L242" s="40">
        <v>0</v>
      </c>
    </row>
    <row r="243" spans="1:12" x14ac:dyDescent="0.25">
      <c r="A243" s="40" t="s">
        <v>39</v>
      </c>
      <c r="B243" s="40" t="s">
        <v>1062</v>
      </c>
      <c r="C243" s="40" t="s">
        <v>1063</v>
      </c>
      <c r="D243" s="40" t="s">
        <v>1064</v>
      </c>
      <c r="E243" s="40" t="s">
        <v>493</v>
      </c>
      <c r="F243" s="40">
        <v>1</v>
      </c>
      <c r="G243" s="40"/>
      <c r="H243" s="40" t="s">
        <v>482</v>
      </c>
      <c r="I243" s="40"/>
      <c r="J243" s="40">
        <v>0</v>
      </c>
      <c r="K243" s="40">
        <v>0</v>
      </c>
      <c r="L243" s="40">
        <v>0</v>
      </c>
    </row>
    <row r="244" spans="1:12" x14ac:dyDescent="0.25">
      <c r="A244" s="40" t="s">
        <v>39</v>
      </c>
      <c r="B244" s="40" t="s">
        <v>1065</v>
      </c>
      <c r="C244" s="40" t="s">
        <v>1066</v>
      </c>
      <c r="D244" s="40" t="s">
        <v>1064</v>
      </c>
      <c r="E244" s="40" t="s">
        <v>493</v>
      </c>
      <c r="F244" s="40">
        <v>1</v>
      </c>
      <c r="G244" s="40"/>
      <c r="H244" s="40" t="s">
        <v>482</v>
      </c>
      <c r="I244" s="40"/>
      <c r="J244" s="40">
        <v>0</v>
      </c>
      <c r="K244" s="40">
        <v>0</v>
      </c>
      <c r="L244" s="40">
        <v>0</v>
      </c>
    </row>
    <row r="245" spans="1:12" x14ac:dyDescent="0.25">
      <c r="A245" s="40" t="s">
        <v>39</v>
      </c>
      <c r="B245" s="40" t="s">
        <v>1067</v>
      </c>
      <c r="C245" s="40" t="s">
        <v>1068</v>
      </c>
      <c r="D245" s="40" t="s">
        <v>1064</v>
      </c>
      <c r="E245" s="40" t="s">
        <v>493</v>
      </c>
      <c r="F245" s="40">
        <v>1</v>
      </c>
      <c r="G245" s="40"/>
      <c r="H245" s="40" t="s">
        <v>482</v>
      </c>
      <c r="I245" s="40"/>
      <c r="J245" s="40">
        <v>0</v>
      </c>
      <c r="K245" s="40">
        <v>0</v>
      </c>
      <c r="L245" s="40">
        <v>0</v>
      </c>
    </row>
    <row r="246" spans="1:12" x14ac:dyDescent="0.25">
      <c r="A246" s="40" t="s">
        <v>39</v>
      </c>
      <c r="B246" s="40" t="s">
        <v>1069</v>
      </c>
      <c r="C246" s="40" t="s">
        <v>1070</v>
      </c>
      <c r="D246" s="40" t="s">
        <v>1064</v>
      </c>
      <c r="E246" s="40" t="s">
        <v>493</v>
      </c>
      <c r="F246" s="40">
        <v>1</v>
      </c>
      <c r="G246" s="40"/>
      <c r="H246" s="40" t="s">
        <v>482</v>
      </c>
      <c r="I246" s="40"/>
      <c r="J246" s="40">
        <v>0</v>
      </c>
      <c r="K246" s="40">
        <v>0</v>
      </c>
      <c r="L246" s="40">
        <v>0</v>
      </c>
    </row>
    <row r="247" spans="1:12" x14ac:dyDescent="0.25">
      <c r="A247" s="40" t="s">
        <v>39</v>
      </c>
      <c r="B247" s="40" t="s">
        <v>1071</v>
      </c>
      <c r="C247" s="40" t="s">
        <v>1072</v>
      </c>
      <c r="D247" s="40" t="s">
        <v>493</v>
      </c>
      <c r="E247" s="40" t="s">
        <v>493</v>
      </c>
      <c r="F247" s="40">
        <v>0</v>
      </c>
      <c r="G247" s="40"/>
      <c r="H247" s="40" t="s">
        <v>482</v>
      </c>
      <c r="I247" s="40"/>
      <c r="J247" s="40">
        <v>0</v>
      </c>
      <c r="K247" s="40">
        <v>0</v>
      </c>
      <c r="L247" s="40">
        <v>0</v>
      </c>
    </row>
    <row r="248" spans="1:12" x14ac:dyDescent="0.25">
      <c r="A248" s="40" t="s">
        <v>39</v>
      </c>
      <c r="B248" s="40" t="s">
        <v>1073</v>
      </c>
      <c r="C248" s="40" t="s">
        <v>1074</v>
      </c>
      <c r="D248" s="40" t="s">
        <v>493</v>
      </c>
      <c r="E248" s="40" t="s">
        <v>493</v>
      </c>
      <c r="F248" s="40">
        <v>0</v>
      </c>
      <c r="G248" s="40"/>
      <c r="H248" s="40" t="s">
        <v>482</v>
      </c>
      <c r="I248" s="40"/>
      <c r="J248" s="40">
        <v>0</v>
      </c>
      <c r="K248" s="40">
        <v>0</v>
      </c>
      <c r="L248" s="40">
        <v>0</v>
      </c>
    </row>
    <row r="249" spans="1:12" x14ac:dyDescent="0.25">
      <c r="A249" s="40" t="s">
        <v>39</v>
      </c>
      <c r="B249" s="40" t="s">
        <v>1075</v>
      </c>
      <c r="C249" s="40" t="s">
        <v>1076</v>
      </c>
      <c r="D249" s="40" t="s">
        <v>493</v>
      </c>
      <c r="E249" s="40" t="s">
        <v>493</v>
      </c>
      <c r="F249" s="40">
        <v>0</v>
      </c>
      <c r="G249" s="40"/>
      <c r="H249" s="40" t="s">
        <v>482</v>
      </c>
      <c r="I249" s="40"/>
      <c r="J249" s="40">
        <v>0</v>
      </c>
      <c r="K249" s="40">
        <v>0</v>
      </c>
      <c r="L249" s="40">
        <v>0</v>
      </c>
    </row>
    <row r="250" spans="1:12" x14ac:dyDescent="0.25">
      <c r="A250" s="40" t="s">
        <v>39</v>
      </c>
      <c r="B250" s="40" t="s">
        <v>1077</v>
      </c>
      <c r="C250" s="40" t="s">
        <v>1078</v>
      </c>
      <c r="D250" s="40" t="s">
        <v>493</v>
      </c>
      <c r="E250" s="40" t="s">
        <v>493</v>
      </c>
      <c r="F250" s="40">
        <v>0</v>
      </c>
      <c r="G250" s="40"/>
      <c r="H250" s="40" t="s">
        <v>482</v>
      </c>
      <c r="I250" s="40"/>
      <c r="J250" s="40">
        <v>0</v>
      </c>
      <c r="K250" s="40">
        <v>0</v>
      </c>
      <c r="L250" s="40">
        <v>0</v>
      </c>
    </row>
    <row r="251" spans="1:12" x14ac:dyDescent="0.25">
      <c r="A251" s="40" t="s">
        <v>39</v>
      </c>
      <c r="B251" s="40" t="s">
        <v>1079</v>
      </c>
      <c r="C251" s="40" t="s">
        <v>1080</v>
      </c>
      <c r="D251" s="40" t="s">
        <v>493</v>
      </c>
      <c r="E251" s="40" t="s">
        <v>493</v>
      </c>
      <c r="F251" s="40">
        <v>0</v>
      </c>
      <c r="G251" s="40"/>
      <c r="H251" s="40" t="s">
        <v>883</v>
      </c>
      <c r="I251" s="40"/>
      <c r="J251" s="40">
        <v>0</v>
      </c>
      <c r="K251" s="40">
        <v>0</v>
      </c>
      <c r="L251" s="40">
        <v>1</v>
      </c>
    </row>
    <row r="252" spans="1:12" x14ac:dyDescent="0.25">
      <c r="A252" s="40" t="s">
        <v>39</v>
      </c>
      <c r="B252" s="40" t="s">
        <v>1081</v>
      </c>
      <c r="C252" s="40" t="s">
        <v>1082</v>
      </c>
      <c r="D252" s="40" t="s">
        <v>493</v>
      </c>
      <c r="E252" s="40" t="s">
        <v>493</v>
      </c>
      <c r="F252" s="40">
        <v>0</v>
      </c>
      <c r="G252" s="40"/>
      <c r="H252" s="40" t="s">
        <v>883</v>
      </c>
      <c r="I252" s="40"/>
      <c r="J252" s="40">
        <v>0</v>
      </c>
      <c r="K252" s="40">
        <v>0</v>
      </c>
      <c r="L252" s="40">
        <v>1</v>
      </c>
    </row>
    <row r="253" spans="1:12" x14ac:dyDescent="0.25">
      <c r="A253" s="40" t="s">
        <v>39</v>
      </c>
      <c r="B253" s="40" t="s">
        <v>1083</v>
      </c>
      <c r="C253" s="40" t="s">
        <v>1084</v>
      </c>
      <c r="D253" s="40" t="s">
        <v>493</v>
      </c>
      <c r="E253" s="40" t="s">
        <v>493</v>
      </c>
      <c r="F253" s="40">
        <v>0</v>
      </c>
      <c r="G253" s="40"/>
      <c r="H253" s="40" t="s">
        <v>883</v>
      </c>
      <c r="I253" s="40"/>
      <c r="J253" s="40">
        <v>0</v>
      </c>
      <c r="K253" s="40">
        <v>0</v>
      </c>
      <c r="L253" s="40">
        <v>1</v>
      </c>
    </row>
    <row r="254" spans="1:12" x14ac:dyDescent="0.25">
      <c r="A254" s="40" t="s">
        <v>39</v>
      </c>
      <c r="B254" s="40" t="s">
        <v>1085</v>
      </c>
      <c r="C254" s="40" t="s">
        <v>1086</v>
      </c>
      <c r="D254" s="40" t="s">
        <v>493</v>
      </c>
      <c r="E254" s="40" t="s">
        <v>493</v>
      </c>
      <c r="F254" s="40">
        <v>0</v>
      </c>
      <c r="G254" s="40"/>
      <c r="H254" s="40" t="s">
        <v>883</v>
      </c>
      <c r="I254" s="40"/>
      <c r="J254" s="40">
        <v>0</v>
      </c>
      <c r="K254" s="40">
        <v>0</v>
      </c>
      <c r="L254" s="40">
        <v>1</v>
      </c>
    </row>
    <row r="255" spans="1:12" x14ac:dyDescent="0.25">
      <c r="A255" s="40" t="s">
        <v>39</v>
      </c>
      <c r="B255" s="40" t="s">
        <v>1087</v>
      </c>
      <c r="C255" s="40" t="s">
        <v>1088</v>
      </c>
      <c r="D255" s="40" t="s">
        <v>493</v>
      </c>
      <c r="E255" s="40" t="s">
        <v>493</v>
      </c>
      <c r="F255" s="40">
        <v>0</v>
      </c>
      <c r="G255" s="40"/>
      <c r="H255" s="40" t="s">
        <v>883</v>
      </c>
      <c r="I255" s="40"/>
      <c r="J255" s="40">
        <v>0</v>
      </c>
      <c r="K255" s="40">
        <v>0</v>
      </c>
      <c r="L255" s="40">
        <v>1</v>
      </c>
    </row>
    <row r="256" spans="1:12" x14ac:dyDescent="0.25">
      <c r="A256" s="40" t="s">
        <v>39</v>
      </c>
      <c r="B256" s="40" t="s">
        <v>1089</v>
      </c>
      <c r="C256" s="40" t="s">
        <v>1090</v>
      </c>
      <c r="D256" s="40" t="s">
        <v>493</v>
      </c>
      <c r="E256" s="40" t="s">
        <v>493</v>
      </c>
      <c r="F256" s="40">
        <v>0</v>
      </c>
      <c r="G256" s="40"/>
      <c r="H256" s="40" t="s">
        <v>883</v>
      </c>
      <c r="I256" s="40"/>
      <c r="J256" s="40">
        <v>0</v>
      </c>
      <c r="K256" s="40">
        <v>0</v>
      </c>
      <c r="L256" s="40">
        <v>1</v>
      </c>
    </row>
    <row r="257" spans="1:12" x14ac:dyDescent="0.25">
      <c r="A257" s="40" t="s">
        <v>39</v>
      </c>
      <c r="B257" s="40" t="s">
        <v>1091</v>
      </c>
      <c r="C257" s="40" t="s">
        <v>1092</v>
      </c>
      <c r="D257" s="40" t="s">
        <v>493</v>
      </c>
      <c r="E257" s="40" t="s">
        <v>493</v>
      </c>
      <c r="F257" s="40">
        <v>0</v>
      </c>
      <c r="G257" s="40"/>
      <c r="H257" s="40" t="s">
        <v>883</v>
      </c>
      <c r="I257" s="40"/>
      <c r="J257" s="40">
        <v>0</v>
      </c>
      <c r="K257" s="40">
        <v>0</v>
      </c>
      <c r="L257" s="40">
        <v>1</v>
      </c>
    </row>
    <row r="258" spans="1:12" x14ac:dyDescent="0.25">
      <c r="A258" s="40" t="s">
        <v>39</v>
      </c>
      <c r="B258" s="40" t="s">
        <v>1093</v>
      </c>
      <c r="C258" s="40" t="s">
        <v>1094</v>
      </c>
      <c r="D258" s="40" t="s">
        <v>493</v>
      </c>
      <c r="E258" s="40" t="s">
        <v>493</v>
      </c>
      <c r="F258" s="40">
        <v>0</v>
      </c>
      <c r="G258" s="40"/>
      <c r="H258" s="40" t="s">
        <v>883</v>
      </c>
      <c r="I258" s="40"/>
      <c r="J258" s="40">
        <v>0</v>
      </c>
      <c r="K258" s="40">
        <v>0</v>
      </c>
      <c r="L258" s="40">
        <v>1</v>
      </c>
    </row>
    <row r="259" spans="1:12" x14ac:dyDescent="0.25">
      <c r="A259" s="40" t="s">
        <v>39</v>
      </c>
      <c r="B259" s="40" t="s">
        <v>1095</v>
      </c>
      <c r="C259" s="40" t="s">
        <v>1096</v>
      </c>
      <c r="D259" s="40" t="s">
        <v>493</v>
      </c>
      <c r="E259" s="40" t="s">
        <v>493</v>
      </c>
      <c r="F259" s="40">
        <v>0</v>
      </c>
      <c r="G259" s="40"/>
      <c r="H259" s="40" t="s">
        <v>883</v>
      </c>
      <c r="I259" s="40"/>
      <c r="J259" s="40">
        <v>0</v>
      </c>
      <c r="K259" s="40">
        <v>0</v>
      </c>
      <c r="L259" s="40">
        <v>1</v>
      </c>
    </row>
    <row r="260" spans="1:12" x14ac:dyDescent="0.25">
      <c r="A260" s="40" t="s">
        <v>39</v>
      </c>
      <c r="B260" s="40" t="s">
        <v>1097</v>
      </c>
      <c r="C260" s="40" t="s">
        <v>1098</v>
      </c>
      <c r="D260" s="40" t="s">
        <v>493</v>
      </c>
      <c r="E260" s="40" t="s">
        <v>493</v>
      </c>
      <c r="F260" s="40">
        <v>0</v>
      </c>
      <c r="G260" s="40"/>
      <c r="H260" s="40" t="s">
        <v>883</v>
      </c>
      <c r="I260" s="40"/>
      <c r="J260" s="40">
        <v>0</v>
      </c>
      <c r="K260" s="40">
        <v>0</v>
      </c>
      <c r="L260" s="40">
        <v>1</v>
      </c>
    </row>
    <row r="261" spans="1:12" x14ac:dyDescent="0.25">
      <c r="A261" s="40" t="s">
        <v>39</v>
      </c>
      <c r="B261" s="40" t="s">
        <v>1099</v>
      </c>
      <c r="C261" s="40" t="s">
        <v>1100</v>
      </c>
      <c r="D261" s="40" t="s">
        <v>493</v>
      </c>
      <c r="E261" s="40" t="s">
        <v>493</v>
      </c>
      <c r="F261" s="40">
        <v>0</v>
      </c>
      <c r="G261" s="40"/>
      <c r="H261" s="40" t="s">
        <v>883</v>
      </c>
      <c r="I261" s="40"/>
      <c r="J261" s="40">
        <v>0</v>
      </c>
      <c r="K261" s="40">
        <v>0</v>
      </c>
      <c r="L261" s="40">
        <v>1</v>
      </c>
    </row>
    <row r="262" spans="1:12" x14ac:dyDescent="0.25">
      <c r="A262" s="40" t="s">
        <v>39</v>
      </c>
      <c r="B262" s="40" t="s">
        <v>1101</v>
      </c>
      <c r="C262" s="40" t="s">
        <v>1102</v>
      </c>
      <c r="D262" s="40" t="s">
        <v>493</v>
      </c>
      <c r="E262" s="40" t="s">
        <v>493</v>
      </c>
      <c r="F262" s="40">
        <v>0</v>
      </c>
      <c r="G262" s="40"/>
      <c r="H262" s="40" t="s">
        <v>883</v>
      </c>
      <c r="I262" s="40"/>
      <c r="J262" s="40">
        <v>0</v>
      </c>
      <c r="K262" s="40">
        <v>0</v>
      </c>
      <c r="L262" s="40">
        <v>1</v>
      </c>
    </row>
    <row r="263" spans="1:12" x14ac:dyDescent="0.25">
      <c r="A263" s="40" t="s">
        <v>39</v>
      </c>
      <c r="B263" s="40" t="s">
        <v>1103</v>
      </c>
      <c r="C263" s="40" t="s">
        <v>1104</v>
      </c>
      <c r="D263" s="40" t="s">
        <v>493</v>
      </c>
      <c r="E263" s="40" t="s">
        <v>493</v>
      </c>
      <c r="F263" s="40">
        <v>0</v>
      </c>
      <c r="G263" s="40"/>
      <c r="H263" s="40" t="s">
        <v>883</v>
      </c>
      <c r="I263" s="40"/>
      <c r="J263" s="40">
        <v>0</v>
      </c>
      <c r="K263" s="40">
        <v>0</v>
      </c>
      <c r="L263" s="40">
        <v>1</v>
      </c>
    </row>
    <row r="264" spans="1:12" x14ac:dyDescent="0.25">
      <c r="A264" s="40" t="s">
        <v>39</v>
      </c>
      <c r="B264" s="40" t="s">
        <v>1105</v>
      </c>
      <c r="C264" s="40" t="s">
        <v>1106</v>
      </c>
      <c r="D264" s="40" t="s">
        <v>493</v>
      </c>
      <c r="E264" s="40" t="s">
        <v>493</v>
      </c>
      <c r="F264" s="40">
        <v>0</v>
      </c>
      <c r="G264" s="40"/>
      <c r="H264" s="40" t="s">
        <v>883</v>
      </c>
      <c r="I264" s="40"/>
      <c r="J264" s="40">
        <v>0</v>
      </c>
      <c r="K264" s="40">
        <v>0</v>
      </c>
      <c r="L264" s="40">
        <v>1</v>
      </c>
    </row>
    <row r="265" spans="1:12" x14ac:dyDescent="0.25">
      <c r="A265" s="40" t="s">
        <v>39</v>
      </c>
      <c r="B265" s="40" t="s">
        <v>1107</v>
      </c>
      <c r="C265" s="40" t="s">
        <v>1108</v>
      </c>
      <c r="D265" s="40" t="s">
        <v>493</v>
      </c>
      <c r="E265" s="40" t="s">
        <v>493</v>
      </c>
      <c r="F265" s="40">
        <v>0</v>
      </c>
      <c r="G265" s="40"/>
      <c r="H265" s="40" t="s">
        <v>883</v>
      </c>
      <c r="I265" s="40"/>
      <c r="J265" s="40">
        <v>0</v>
      </c>
      <c r="K265" s="40">
        <v>0</v>
      </c>
      <c r="L265" s="40">
        <v>1</v>
      </c>
    </row>
    <row r="266" spans="1:12" x14ac:dyDescent="0.25">
      <c r="A266" s="40" t="s">
        <v>39</v>
      </c>
      <c r="B266" s="40" t="s">
        <v>1109</v>
      </c>
      <c r="C266" s="40" t="s">
        <v>1110</v>
      </c>
      <c r="D266" s="40" t="s">
        <v>493</v>
      </c>
      <c r="E266" s="40" t="s">
        <v>493</v>
      </c>
      <c r="F266" s="40">
        <v>0</v>
      </c>
      <c r="G266" s="40"/>
      <c r="H266" s="40" t="s">
        <v>883</v>
      </c>
      <c r="I266" s="40"/>
      <c r="J266" s="40">
        <v>0</v>
      </c>
      <c r="K266" s="40">
        <v>0</v>
      </c>
      <c r="L266" s="40">
        <v>1</v>
      </c>
    </row>
    <row r="267" spans="1:12" x14ac:dyDescent="0.25">
      <c r="A267" s="40" t="s">
        <v>39</v>
      </c>
      <c r="B267" s="40" t="s">
        <v>1111</v>
      </c>
      <c r="C267" s="40" t="s">
        <v>1112</v>
      </c>
      <c r="D267" s="40" t="s">
        <v>1064</v>
      </c>
      <c r="E267" s="40" t="s">
        <v>569</v>
      </c>
      <c r="F267" s="40">
        <v>1</v>
      </c>
      <c r="G267" s="40"/>
      <c r="H267" s="40" t="s">
        <v>482</v>
      </c>
      <c r="I267" s="40"/>
      <c r="J267" s="40">
        <v>0</v>
      </c>
      <c r="K267" s="40">
        <v>0</v>
      </c>
      <c r="L267" s="40">
        <v>0</v>
      </c>
    </row>
    <row r="268" spans="1:12" x14ac:dyDescent="0.25">
      <c r="A268" s="40" t="s">
        <v>39</v>
      </c>
      <c r="B268" s="40" t="s">
        <v>1113</v>
      </c>
      <c r="C268" s="40" t="s">
        <v>1114</v>
      </c>
      <c r="D268" s="40" t="s">
        <v>1064</v>
      </c>
      <c r="E268" s="40" t="s">
        <v>605</v>
      </c>
      <c r="F268" s="40">
        <v>1</v>
      </c>
      <c r="G268" s="40"/>
      <c r="H268" s="40" t="s">
        <v>482</v>
      </c>
      <c r="I268" s="40"/>
      <c r="J268" s="40">
        <v>0</v>
      </c>
      <c r="K268" s="40">
        <v>0</v>
      </c>
      <c r="L268" s="40">
        <v>0</v>
      </c>
    </row>
    <row r="269" spans="1:12" x14ac:dyDescent="0.25">
      <c r="A269" s="40" t="s">
        <v>39</v>
      </c>
      <c r="B269" s="40" t="s">
        <v>1115</v>
      </c>
      <c r="C269" s="40" t="s">
        <v>1116</v>
      </c>
      <c r="D269" s="40" t="s">
        <v>1064</v>
      </c>
      <c r="E269" s="40" t="s">
        <v>605</v>
      </c>
      <c r="F269" s="40">
        <v>1</v>
      </c>
      <c r="G269" s="40"/>
      <c r="H269" s="40" t="s">
        <v>482</v>
      </c>
      <c r="I269" s="40"/>
      <c r="J269" s="40">
        <v>0</v>
      </c>
      <c r="K269" s="40">
        <v>0</v>
      </c>
      <c r="L269" s="40">
        <v>0</v>
      </c>
    </row>
    <row r="270" spans="1:12" x14ac:dyDescent="0.25">
      <c r="A270" s="40" t="s">
        <v>39</v>
      </c>
      <c r="B270" s="40" t="s">
        <v>1117</v>
      </c>
      <c r="C270" s="40" t="s">
        <v>1118</v>
      </c>
      <c r="D270" s="40" t="s">
        <v>1064</v>
      </c>
      <c r="E270" s="40" t="s">
        <v>605</v>
      </c>
      <c r="F270" s="40">
        <v>1</v>
      </c>
      <c r="G270" s="40"/>
      <c r="H270" s="40" t="s">
        <v>482</v>
      </c>
      <c r="I270" s="40"/>
      <c r="J270" s="40">
        <v>0</v>
      </c>
      <c r="K270" s="40">
        <v>0</v>
      </c>
      <c r="L270" s="40">
        <v>0</v>
      </c>
    </row>
    <row r="271" spans="1:12" x14ac:dyDescent="0.25">
      <c r="A271" s="40" t="s">
        <v>39</v>
      </c>
      <c r="B271" s="40" t="s">
        <v>1119</v>
      </c>
      <c r="C271" s="40" t="s">
        <v>1120</v>
      </c>
      <c r="D271" s="40" t="s">
        <v>1064</v>
      </c>
      <c r="E271" s="40" t="s">
        <v>605</v>
      </c>
      <c r="F271" s="40">
        <v>1</v>
      </c>
      <c r="G271" s="40"/>
      <c r="H271" s="40" t="s">
        <v>482</v>
      </c>
      <c r="I271" s="40"/>
      <c r="J271" s="40">
        <v>0</v>
      </c>
      <c r="K271" s="40">
        <v>0</v>
      </c>
      <c r="L271" s="40">
        <v>0</v>
      </c>
    </row>
    <row r="272" spans="1:12" x14ac:dyDescent="0.25">
      <c r="A272" s="40" t="s">
        <v>39</v>
      </c>
      <c r="B272" s="40" t="s">
        <v>1121</v>
      </c>
      <c r="C272" s="40" t="s">
        <v>1122</v>
      </c>
      <c r="D272" s="40" t="s">
        <v>1064</v>
      </c>
      <c r="E272" s="40" t="s">
        <v>605</v>
      </c>
      <c r="F272" s="40">
        <v>1</v>
      </c>
      <c r="G272" s="40"/>
      <c r="H272" s="40" t="s">
        <v>482</v>
      </c>
      <c r="I272" s="40"/>
      <c r="J272" s="40">
        <v>0</v>
      </c>
      <c r="K272" s="40">
        <v>0</v>
      </c>
      <c r="L272" s="40">
        <v>0</v>
      </c>
    </row>
    <row r="273" spans="1:12" x14ac:dyDescent="0.25">
      <c r="A273" s="40" t="s">
        <v>39</v>
      </c>
      <c r="B273" s="40" t="s">
        <v>1123</v>
      </c>
      <c r="C273" s="40" t="s">
        <v>1124</v>
      </c>
      <c r="D273" s="40" t="s">
        <v>1064</v>
      </c>
      <c r="E273" s="40" t="s">
        <v>605</v>
      </c>
      <c r="F273" s="40">
        <v>1</v>
      </c>
      <c r="G273" s="40"/>
      <c r="H273" s="40" t="s">
        <v>482</v>
      </c>
      <c r="I273" s="40"/>
      <c r="J273" s="40">
        <v>0</v>
      </c>
      <c r="K273" s="40">
        <v>0</v>
      </c>
      <c r="L273" s="40">
        <v>0</v>
      </c>
    </row>
    <row r="274" spans="1:12" x14ac:dyDescent="0.25">
      <c r="A274" s="40" t="s">
        <v>39</v>
      </c>
      <c r="B274" s="40" t="s">
        <v>1125</v>
      </c>
      <c r="C274" s="40" t="s">
        <v>1126</v>
      </c>
      <c r="D274" s="40" t="s">
        <v>1064</v>
      </c>
      <c r="E274" s="40" t="s">
        <v>605</v>
      </c>
      <c r="F274" s="40">
        <v>1</v>
      </c>
      <c r="G274" s="40"/>
      <c r="H274" s="40" t="s">
        <v>482</v>
      </c>
      <c r="I274" s="40"/>
      <c r="J274" s="40">
        <v>0</v>
      </c>
      <c r="K274" s="40">
        <v>0</v>
      </c>
      <c r="L274" s="40">
        <v>0</v>
      </c>
    </row>
    <row r="275" spans="1:12" x14ac:dyDescent="0.25">
      <c r="A275" s="40" t="s">
        <v>39</v>
      </c>
      <c r="B275" s="40" t="s">
        <v>1127</v>
      </c>
      <c r="C275" s="40" t="s">
        <v>1128</v>
      </c>
      <c r="D275" s="40" t="s">
        <v>1129</v>
      </c>
      <c r="E275" s="40" t="s">
        <v>1130</v>
      </c>
      <c r="F275" s="40">
        <v>1</v>
      </c>
      <c r="G275" s="40"/>
      <c r="H275" s="40" t="s">
        <v>482</v>
      </c>
      <c r="I275" s="40"/>
      <c r="J275" s="40">
        <v>0</v>
      </c>
      <c r="K275" s="40">
        <v>0</v>
      </c>
      <c r="L275" s="40">
        <v>0</v>
      </c>
    </row>
    <row r="276" spans="1:12" x14ac:dyDescent="0.25">
      <c r="A276" s="40" t="s">
        <v>39</v>
      </c>
      <c r="B276" s="40" t="s">
        <v>1131</v>
      </c>
      <c r="C276" s="40" t="s">
        <v>1132</v>
      </c>
      <c r="D276" s="40" t="s">
        <v>493</v>
      </c>
      <c r="E276" s="40" t="s">
        <v>493</v>
      </c>
      <c r="F276" s="40">
        <v>0</v>
      </c>
      <c r="G276" s="40"/>
      <c r="H276" s="40" t="s">
        <v>482</v>
      </c>
      <c r="I276" s="40"/>
      <c r="J276" s="40">
        <v>0</v>
      </c>
      <c r="K276" s="40">
        <v>0</v>
      </c>
      <c r="L276" s="40">
        <v>0</v>
      </c>
    </row>
    <row r="277" spans="1:12" x14ac:dyDescent="0.25">
      <c r="A277" s="40" t="s">
        <v>39</v>
      </c>
      <c r="B277" s="40" t="s">
        <v>1133</v>
      </c>
      <c r="C277" s="40" t="s">
        <v>1134</v>
      </c>
      <c r="D277" s="40" t="s">
        <v>1135</v>
      </c>
      <c r="E277" s="40" t="s">
        <v>493</v>
      </c>
      <c r="F277" s="40">
        <v>1</v>
      </c>
      <c r="G277" s="40"/>
      <c r="H277" s="40" t="s">
        <v>493</v>
      </c>
      <c r="I277" s="40"/>
      <c r="J277" s="40">
        <v>0</v>
      </c>
      <c r="K277" s="40">
        <v>0</v>
      </c>
      <c r="L277" s="40">
        <v>1</v>
      </c>
    </row>
    <row r="278" spans="1:12" x14ac:dyDescent="0.25">
      <c r="A278" s="40" t="s">
        <v>39</v>
      </c>
      <c r="B278" s="40" t="s">
        <v>1136</v>
      </c>
      <c r="C278" s="40" t="s">
        <v>1137</v>
      </c>
      <c r="D278" s="40" t="s">
        <v>1138</v>
      </c>
      <c r="E278" s="40" t="s">
        <v>1138</v>
      </c>
      <c r="F278" s="40">
        <v>0</v>
      </c>
      <c r="G278" s="40"/>
      <c r="H278" s="40" t="s">
        <v>493</v>
      </c>
      <c r="I278" s="40"/>
      <c r="J278" s="40">
        <v>0</v>
      </c>
      <c r="K278" s="40">
        <v>0</v>
      </c>
      <c r="L278" s="40">
        <v>1</v>
      </c>
    </row>
    <row r="279" spans="1:12" x14ac:dyDescent="0.25">
      <c r="A279" s="40" t="s">
        <v>39</v>
      </c>
      <c r="B279" s="40" t="s">
        <v>1139</v>
      </c>
      <c r="C279" s="40" t="s">
        <v>1140</v>
      </c>
      <c r="D279" s="40" t="s">
        <v>493</v>
      </c>
      <c r="E279" s="40" t="s">
        <v>493</v>
      </c>
      <c r="F279" s="40">
        <v>0</v>
      </c>
      <c r="G279" s="40"/>
      <c r="H279" s="40" t="s">
        <v>493</v>
      </c>
      <c r="I279" s="40"/>
      <c r="J279" s="40">
        <v>0</v>
      </c>
      <c r="K279" s="40">
        <v>0</v>
      </c>
      <c r="L279" s="40">
        <v>1</v>
      </c>
    </row>
    <row r="280" spans="1:12" x14ac:dyDescent="0.25">
      <c r="A280" s="40" t="s">
        <v>39</v>
      </c>
      <c r="B280" s="40" t="s">
        <v>1141</v>
      </c>
      <c r="C280" s="40" t="s">
        <v>1142</v>
      </c>
      <c r="D280" s="40" t="s">
        <v>1143</v>
      </c>
      <c r="E280" s="40" t="s">
        <v>1143</v>
      </c>
      <c r="F280" s="40">
        <v>0</v>
      </c>
      <c r="G280" s="40"/>
      <c r="H280" s="40" t="s">
        <v>493</v>
      </c>
      <c r="I280" s="40"/>
      <c r="J280" s="40">
        <v>0</v>
      </c>
      <c r="K280" s="40">
        <v>0</v>
      </c>
      <c r="L280" s="40">
        <v>1</v>
      </c>
    </row>
    <row r="281" spans="1:12" x14ac:dyDescent="0.25">
      <c r="A281" s="40" t="s">
        <v>39</v>
      </c>
      <c r="B281" s="40" t="s">
        <v>1144</v>
      </c>
      <c r="C281" s="40" t="s">
        <v>1145</v>
      </c>
      <c r="D281" s="40" t="s">
        <v>493</v>
      </c>
      <c r="E281" s="40" t="s">
        <v>493</v>
      </c>
      <c r="F281" s="40">
        <v>0</v>
      </c>
      <c r="G281" s="40"/>
      <c r="H281" s="40" t="s">
        <v>493</v>
      </c>
      <c r="I281" s="40"/>
      <c r="J281" s="40">
        <v>0</v>
      </c>
      <c r="K281" s="40">
        <v>0</v>
      </c>
      <c r="L281" s="40">
        <v>1</v>
      </c>
    </row>
    <row r="282" spans="1:12" x14ac:dyDescent="0.25">
      <c r="A282" s="40" t="s">
        <v>39</v>
      </c>
      <c r="B282" s="40" t="s">
        <v>1146</v>
      </c>
      <c r="C282" s="40" t="s">
        <v>1147</v>
      </c>
      <c r="D282" s="40" t="s">
        <v>1148</v>
      </c>
      <c r="E282" s="40" t="s">
        <v>1149</v>
      </c>
      <c r="F282" s="40">
        <v>1</v>
      </c>
      <c r="G282" s="40"/>
      <c r="H282" s="40" t="s">
        <v>482</v>
      </c>
      <c r="I282" s="40"/>
      <c r="J282" s="40">
        <v>0</v>
      </c>
      <c r="K282" s="40">
        <v>0</v>
      </c>
      <c r="L282" s="40">
        <v>0</v>
      </c>
    </row>
    <row r="283" spans="1:12" x14ac:dyDescent="0.25">
      <c r="A283" s="40" t="s">
        <v>39</v>
      </c>
      <c r="B283" s="40" t="s">
        <v>1150</v>
      </c>
      <c r="C283" s="40" t="s">
        <v>1151</v>
      </c>
      <c r="D283" s="40" t="s">
        <v>493</v>
      </c>
      <c r="E283" s="40" t="s">
        <v>493</v>
      </c>
      <c r="F283" s="40">
        <v>0</v>
      </c>
      <c r="G283" s="40"/>
      <c r="H283" s="40" t="s">
        <v>482</v>
      </c>
      <c r="I283" s="40"/>
      <c r="J283" s="40">
        <v>0</v>
      </c>
      <c r="K283" s="40">
        <v>0</v>
      </c>
      <c r="L283" s="40">
        <v>0</v>
      </c>
    </row>
    <row r="284" spans="1:12" x14ac:dyDescent="0.25">
      <c r="A284" s="40" t="s">
        <v>39</v>
      </c>
      <c r="B284" s="40" t="s">
        <v>1152</v>
      </c>
      <c r="C284" s="40" t="s">
        <v>1153</v>
      </c>
      <c r="D284" s="40" t="s">
        <v>1154</v>
      </c>
      <c r="E284" s="40" t="s">
        <v>493</v>
      </c>
      <c r="F284" s="40">
        <v>1</v>
      </c>
      <c r="G284" s="40"/>
      <c r="H284" s="40" t="s">
        <v>482</v>
      </c>
      <c r="I284" s="40"/>
      <c r="J284" s="40">
        <v>0</v>
      </c>
      <c r="K284" s="40">
        <v>0</v>
      </c>
      <c r="L284" s="40">
        <v>0</v>
      </c>
    </row>
    <row r="285" spans="1:12" x14ac:dyDescent="0.25">
      <c r="A285" s="40" t="s">
        <v>39</v>
      </c>
      <c r="B285" s="40" t="s">
        <v>1155</v>
      </c>
      <c r="C285" s="40" t="s">
        <v>1156</v>
      </c>
      <c r="D285" s="40" t="s">
        <v>13401</v>
      </c>
      <c r="E285" s="40" t="s">
        <v>493</v>
      </c>
      <c r="F285" s="40">
        <v>1</v>
      </c>
      <c r="G285" s="40"/>
      <c r="H285" s="40" t="s">
        <v>482</v>
      </c>
      <c r="I285" s="40"/>
      <c r="J285" s="40">
        <v>0</v>
      </c>
      <c r="K285" s="40">
        <v>0</v>
      </c>
      <c r="L285" s="40">
        <v>0</v>
      </c>
    </row>
    <row r="286" spans="1:12" x14ac:dyDescent="0.25">
      <c r="A286" s="40" t="s">
        <v>39</v>
      </c>
      <c r="B286" s="40" t="s">
        <v>1157</v>
      </c>
      <c r="C286" s="40" t="s">
        <v>1158</v>
      </c>
      <c r="D286" s="40" t="s">
        <v>1159</v>
      </c>
      <c r="E286" s="40" t="s">
        <v>493</v>
      </c>
      <c r="F286" s="40">
        <v>1</v>
      </c>
      <c r="G286" s="40"/>
      <c r="H286" s="40" t="s">
        <v>482</v>
      </c>
      <c r="I286" s="40"/>
      <c r="J286" s="40">
        <v>0</v>
      </c>
      <c r="K286" s="40">
        <v>0</v>
      </c>
      <c r="L286" s="40">
        <v>0</v>
      </c>
    </row>
    <row r="287" spans="1:12" x14ac:dyDescent="0.25">
      <c r="A287" s="40" t="s">
        <v>39</v>
      </c>
      <c r="B287" s="40" t="s">
        <v>1160</v>
      </c>
      <c r="C287" s="40" t="s">
        <v>1161</v>
      </c>
      <c r="D287" s="40" t="s">
        <v>1159</v>
      </c>
      <c r="E287" s="40" t="s">
        <v>493</v>
      </c>
      <c r="F287" s="40">
        <v>1</v>
      </c>
      <c r="G287" s="40"/>
      <c r="H287" s="40" t="s">
        <v>482</v>
      </c>
      <c r="I287" s="40"/>
      <c r="J287" s="40">
        <v>0</v>
      </c>
      <c r="K287" s="40">
        <v>0</v>
      </c>
      <c r="L287" s="40">
        <v>0</v>
      </c>
    </row>
    <row r="288" spans="1:12" x14ac:dyDescent="0.25">
      <c r="A288" s="40" t="s">
        <v>39</v>
      </c>
      <c r="B288" s="40" t="s">
        <v>1162</v>
      </c>
      <c r="C288" s="40" t="s">
        <v>1163</v>
      </c>
      <c r="D288" s="40" t="s">
        <v>1159</v>
      </c>
      <c r="E288" s="40" t="s">
        <v>493</v>
      </c>
      <c r="F288" s="40">
        <v>1</v>
      </c>
      <c r="G288" s="40"/>
      <c r="H288" s="40" t="s">
        <v>482</v>
      </c>
      <c r="I288" s="40"/>
      <c r="J288" s="40">
        <v>0</v>
      </c>
      <c r="K288" s="40">
        <v>0</v>
      </c>
      <c r="L288" s="40">
        <v>0</v>
      </c>
    </row>
    <row r="289" spans="1:12" x14ac:dyDescent="0.25">
      <c r="A289" s="40" t="s">
        <v>39</v>
      </c>
      <c r="B289" s="40" t="s">
        <v>1164</v>
      </c>
      <c r="C289" s="40" t="s">
        <v>1165</v>
      </c>
      <c r="D289" s="40" t="s">
        <v>1166</v>
      </c>
      <c r="E289" s="40" t="s">
        <v>493</v>
      </c>
      <c r="F289" s="40">
        <v>1</v>
      </c>
      <c r="G289" s="40"/>
      <c r="H289" s="40" t="s">
        <v>482</v>
      </c>
      <c r="I289" s="40"/>
      <c r="J289" s="40">
        <v>0</v>
      </c>
      <c r="K289" s="40">
        <v>0</v>
      </c>
      <c r="L289" s="40">
        <v>0</v>
      </c>
    </row>
    <row r="290" spans="1:12" x14ac:dyDescent="0.25">
      <c r="A290" s="40" t="s">
        <v>39</v>
      </c>
      <c r="B290" s="40" t="s">
        <v>1167</v>
      </c>
      <c r="C290" s="40" t="s">
        <v>1168</v>
      </c>
      <c r="D290" s="40" t="s">
        <v>1166</v>
      </c>
      <c r="E290" s="40" t="s">
        <v>493</v>
      </c>
      <c r="F290" s="40">
        <v>1</v>
      </c>
      <c r="G290" s="40"/>
      <c r="H290" s="40" t="s">
        <v>482</v>
      </c>
      <c r="I290" s="40"/>
      <c r="J290" s="40">
        <v>0</v>
      </c>
      <c r="K290" s="40">
        <v>0</v>
      </c>
      <c r="L290" s="40">
        <v>0</v>
      </c>
    </row>
    <row r="291" spans="1:12" x14ac:dyDescent="0.25">
      <c r="A291" s="40" t="s">
        <v>39</v>
      </c>
      <c r="B291" s="40" t="s">
        <v>1169</v>
      </c>
      <c r="C291" s="40" t="s">
        <v>1170</v>
      </c>
      <c r="D291" s="40" t="s">
        <v>1166</v>
      </c>
      <c r="E291" s="40" t="s">
        <v>493</v>
      </c>
      <c r="F291" s="40">
        <v>1</v>
      </c>
      <c r="G291" s="40"/>
      <c r="H291" s="40" t="s">
        <v>482</v>
      </c>
      <c r="I291" s="40"/>
      <c r="J291" s="40">
        <v>0</v>
      </c>
      <c r="K291" s="40">
        <v>0</v>
      </c>
      <c r="L291" s="40">
        <v>0</v>
      </c>
    </row>
    <row r="292" spans="1:12" x14ac:dyDescent="0.25">
      <c r="A292" s="40" t="s">
        <v>39</v>
      </c>
      <c r="B292" s="40" t="s">
        <v>1171</v>
      </c>
      <c r="C292" s="40" t="s">
        <v>1172</v>
      </c>
      <c r="D292" s="40" t="s">
        <v>1166</v>
      </c>
      <c r="E292" s="40" t="s">
        <v>493</v>
      </c>
      <c r="F292" s="40">
        <v>1</v>
      </c>
      <c r="G292" s="40"/>
      <c r="H292" s="40" t="s">
        <v>482</v>
      </c>
      <c r="I292" s="40"/>
      <c r="J292" s="40">
        <v>0</v>
      </c>
      <c r="K292" s="40">
        <v>0</v>
      </c>
      <c r="L292" s="40">
        <v>0</v>
      </c>
    </row>
    <row r="293" spans="1:12" x14ac:dyDescent="0.25">
      <c r="A293" s="40" t="s">
        <v>39</v>
      </c>
      <c r="B293" s="40" t="s">
        <v>1173</v>
      </c>
      <c r="C293" s="40" t="s">
        <v>1174</v>
      </c>
      <c r="D293" s="40" t="s">
        <v>1148</v>
      </c>
      <c r="E293" s="40" t="s">
        <v>493</v>
      </c>
      <c r="F293" s="40">
        <v>1</v>
      </c>
      <c r="G293" s="40"/>
      <c r="H293" s="40" t="s">
        <v>482</v>
      </c>
      <c r="I293" s="40"/>
      <c r="J293" s="40">
        <v>0</v>
      </c>
      <c r="K293" s="40">
        <v>0</v>
      </c>
      <c r="L293" s="40">
        <v>0</v>
      </c>
    </row>
    <row r="294" spans="1:12" x14ac:dyDescent="0.25">
      <c r="A294" s="40" t="s">
        <v>39</v>
      </c>
      <c r="B294" s="40" t="s">
        <v>1175</v>
      </c>
      <c r="C294" s="40" t="s">
        <v>1176</v>
      </c>
      <c r="D294" s="40" t="s">
        <v>1148</v>
      </c>
      <c r="E294" s="40" t="s">
        <v>493</v>
      </c>
      <c r="F294" s="40">
        <v>1</v>
      </c>
      <c r="G294" s="40"/>
      <c r="H294" s="40" t="s">
        <v>482</v>
      </c>
      <c r="I294" s="40"/>
      <c r="J294" s="40">
        <v>0</v>
      </c>
      <c r="K294" s="40">
        <v>0</v>
      </c>
      <c r="L294" s="40">
        <v>0</v>
      </c>
    </row>
    <row r="295" spans="1:12" x14ac:dyDescent="0.25">
      <c r="A295" s="40" t="s">
        <v>39</v>
      </c>
      <c r="B295" s="40" t="s">
        <v>1177</v>
      </c>
      <c r="C295" s="40" t="s">
        <v>1178</v>
      </c>
      <c r="D295" s="40" t="s">
        <v>1148</v>
      </c>
      <c r="E295" s="40" t="s">
        <v>493</v>
      </c>
      <c r="F295" s="40">
        <v>1</v>
      </c>
      <c r="G295" s="40"/>
      <c r="H295" s="40" t="s">
        <v>482</v>
      </c>
      <c r="I295" s="40"/>
      <c r="J295" s="40">
        <v>0</v>
      </c>
      <c r="K295" s="40">
        <v>0</v>
      </c>
      <c r="L295" s="40">
        <v>0</v>
      </c>
    </row>
    <row r="296" spans="1:12" x14ac:dyDescent="0.25">
      <c r="A296" s="40" t="s">
        <v>39</v>
      </c>
      <c r="B296" s="40" t="s">
        <v>1179</v>
      </c>
      <c r="C296" s="40" t="s">
        <v>1180</v>
      </c>
      <c r="D296" s="40" t="s">
        <v>1148</v>
      </c>
      <c r="E296" s="40" t="s">
        <v>493</v>
      </c>
      <c r="F296" s="40">
        <v>1</v>
      </c>
      <c r="G296" s="40"/>
      <c r="H296" s="40" t="s">
        <v>482</v>
      </c>
      <c r="I296" s="40"/>
      <c r="J296" s="40">
        <v>0</v>
      </c>
      <c r="K296" s="40">
        <v>0</v>
      </c>
      <c r="L296" s="40">
        <v>0</v>
      </c>
    </row>
    <row r="297" spans="1:12" x14ac:dyDescent="0.25">
      <c r="A297" s="40" t="s">
        <v>39</v>
      </c>
      <c r="B297" s="40" t="s">
        <v>1181</v>
      </c>
      <c r="C297" s="40" t="s">
        <v>1182</v>
      </c>
      <c r="D297" s="40" t="s">
        <v>1183</v>
      </c>
      <c r="E297" s="40" t="s">
        <v>493</v>
      </c>
      <c r="F297" s="40">
        <v>1</v>
      </c>
      <c r="G297" s="40"/>
      <c r="H297" s="40" t="s">
        <v>482</v>
      </c>
      <c r="I297" s="40"/>
      <c r="J297" s="40">
        <v>0</v>
      </c>
      <c r="K297" s="40">
        <v>0</v>
      </c>
      <c r="L297" s="40">
        <v>0</v>
      </c>
    </row>
    <row r="298" spans="1:12" x14ac:dyDescent="0.25">
      <c r="A298" s="40" t="s">
        <v>39</v>
      </c>
      <c r="B298" s="40" t="s">
        <v>1184</v>
      </c>
      <c r="C298" s="40" t="s">
        <v>1185</v>
      </c>
      <c r="D298" s="40" t="s">
        <v>1183</v>
      </c>
      <c r="E298" s="40" t="s">
        <v>493</v>
      </c>
      <c r="F298" s="40">
        <v>1</v>
      </c>
      <c r="G298" s="40"/>
      <c r="H298" s="40" t="s">
        <v>482</v>
      </c>
      <c r="I298" s="40"/>
      <c r="J298" s="40">
        <v>0</v>
      </c>
      <c r="K298" s="40">
        <v>0</v>
      </c>
      <c r="L298" s="40">
        <v>0</v>
      </c>
    </row>
    <row r="299" spans="1:12" x14ac:dyDescent="0.25">
      <c r="A299" s="40" t="s">
        <v>39</v>
      </c>
      <c r="B299" s="40" t="s">
        <v>1186</v>
      </c>
      <c r="C299" s="40" t="s">
        <v>1187</v>
      </c>
      <c r="D299" s="40" t="s">
        <v>1188</v>
      </c>
      <c r="E299" s="40" t="s">
        <v>493</v>
      </c>
      <c r="F299" s="40">
        <v>1</v>
      </c>
      <c r="G299" s="40"/>
      <c r="H299" s="40" t="s">
        <v>482</v>
      </c>
      <c r="I299" s="40"/>
      <c r="J299" s="40">
        <v>0</v>
      </c>
      <c r="K299" s="40">
        <v>0</v>
      </c>
      <c r="L299" s="40">
        <v>0</v>
      </c>
    </row>
    <row r="300" spans="1:12" x14ac:dyDescent="0.25">
      <c r="A300" s="40" t="s">
        <v>39</v>
      </c>
      <c r="B300" s="40" t="s">
        <v>1189</v>
      </c>
      <c r="C300" s="40" t="s">
        <v>1190</v>
      </c>
      <c r="D300" s="40" t="s">
        <v>1188</v>
      </c>
      <c r="E300" s="40" t="s">
        <v>493</v>
      </c>
      <c r="F300" s="40">
        <v>1</v>
      </c>
      <c r="G300" s="40"/>
      <c r="H300" s="40" t="s">
        <v>482</v>
      </c>
      <c r="I300" s="40"/>
      <c r="J300" s="40">
        <v>0</v>
      </c>
      <c r="K300" s="40">
        <v>0</v>
      </c>
      <c r="L300" s="40">
        <v>0</v>
      </c>
    </row>
    <row r="301" spans="1:12" x14ac:dyDescent="0.25">
      <c r="A301" s="40" t="s">
        <v>39</v>
      </c>
      <c r="B301" s="40" t="s">
        <v>1191</v>
      </c>
      <c r="C301" s="40" t="s">
        <v>1192</v>
      </c>
      <c r="D301" s="40" t="s">
        <v>1154</v>
      </c>
      <c r="E301" s="40" t="s">
        <v>493</v>
      </c>
      <c r="F301" s="40">
        <v>1</v>
      </c>
      <c r="G301" s="40"/>
      <c r="H301" s="40" t="s">
        <v>482</v>
      </c>
      <c r="I301" s="40"/>
      <c r="J301" s="40">
        <v>0</v>
      </c>
      <c r="K301" s="40">
        <v>0</v>
      </c>
      <c r="L301" s="40">
        <v>1</v>
      </c>
    </row>
    <row r="302" spans="1:12" x14ac:dyDescent="0.25">
      <c r="A302" s="40" t="s">
        <v>39</v>
      </c>
      <c r="B302" s="40" t="s">
        <v>1193</v>
      </c>
      <c r="C302" s="40" t="s">
        <v>1194</v>
      </c>
      <c r="D302" s="40" t="s">
        <v>1154</v>
      </c>
      <c r="E302" s="40" t="s">
        <v>493</v>
      </c>
      <c r="F302" s="40">
        <v>1</v>
      </c>
      <c r="G302" s="40"/>
      <c r="H302" s="40" t="s">
        <v>482</v>
      </c>
      <c r="I302" s="40"/>
      <c r="J302" s="40">
        <v>0</v>
      </c>
      <c r="K302" s="40">
        <v>0</v>
      </c>
      <c r="L302" s="40">
        <v>1</v>
      </c>
    </row>
    <row r="303" spans="1:12" x14ac:dyDescent="0.25">
      <c r="A303" s="40" t="s">
        <v>39</v>
      </c>
      <c r="B303" s="40" t="s">
        <v>1195</v>
      </c>
      <c r="C303" s="40" t="s">
        <v>1196</v>
      </c>
      <c r="D303" s="40" t="s">
        <v>1154</v>
      </c>
      <c r="E303" s="40" t="s">
        <v>493</v>
      </c>
      <c r="F303" s="40">
        <v>1</v>
      </c>
      <c r="G303" s="40"/>
      <c r="H303" s="40" t="s">
        <v>482</v>
      </c>
      <c r="I303" s="40"/>
      <c r="J303" s="40">
        <v>0</v>
      </c>
      <c r="K303" s="40">
        <v>0</v>
      </c>
      <c r="L303" s="40">
        <v>1</v>
      </c>
    </row>
    <row r="304" spans="1:12" x14ac:dyDescent="0.25">
      <c r="A304" s="40" t="s">
        <v>39</v>
      </c>
      <c r="B304" s="40" t="s">
        <v>1197</v>
      </c>
      <c r="C304" s="40" t="s">
        <v>1198</v>
      </c>
      <c r="D304" s="40" t="s">
        <v>1154</v>
      </c>
      <c r="E304" s="40" t="s">
        <v>493</v>
      </c>
      <c r="F304" s="40">
        <v>1</v>
      </c>
      <c r="G304" s="40"/>
      <c r="H304" s="40" t="s">
        <v>482</v>
      </c>
      <c r="I304" s="40"/>
      <c r="J304" s="40">
        <v>0</v>
      </c>
      <c r="K304" s="40">
        <v>0</v>
      </c>
      <c r="L304" s="40">
        <v>1</v>
      </c>
    </row>
    <row r="305" spans="1:12" x14ac:dyDescent="0.25">
      <c r="A305" s="40" t="s">
        <v>39</v>
      </c>
      <c r="B305" s="40" t="s">
        <v>1199</v>
      </c>
      <c r="C305" s="40" t="s">
        <v>1200</v>
      </c>
      <c r="D305" s="40" t="s">
        <v>1154</v>
      </c>
      <c r="E305" s="40" t="s">
        <v>493</v>
      </c>
      <c r="F305" s="40">
        <v>1</v>
      </c>
      <c r="G305" s="40"/>
      <c r="H305" s="40" t="s">
        <v>482</v>
      </c>
      <c r="I305" s="40"/>
      <c r="J305" s="40">
        <v>0</v>
      </c>
      <c r="K305" s="40">
        <v>0</v>
      </c>
      <c r="L305" s="40">
        <v>1</v>
      </c>
    </row>
    <row r="306" spans="1:12" x14ac:dyDescent="0.25">
      <c r="A306" s="40" t="s">
        <v>39</v>
      </c>
      <c r="B306" s="40" t="s">
        <v>1201</v>
      </c>
      <c r="C306" s="40" t="s">
        <v>1202</v>
      </c>
      <c r="D306" s="40" t="s">
        <v>1154</v>
      </c>
      <c r="E306" s="40" t="s">
        <v>493</v>
      </c>
      <c r="F306" s="40">
        <v>1</v>
      </c>
      <c r="G306" s="40"/>
      <c r="H306" s="40" t="s">
        <v>482</v>
      </c>
      <c r="I306" s="40"/>
      <c r="J306" s="40">
        <v>0</v>
      </c>
      <c r="K306" s="40">
        <v>0</v>
      </c>
      <c r="L306" s="40">
        <v>1</v>
      </c>
    </row>
    <row r="307" spans="1:12" x14ac:dyDescent="0.25">
      <c r="A307" s="40" t="s">
        <v>39</v>
      </c>
      <c r="B307" s="40" t="s">
        <v>1203</v>
      </c>
      <c r="C307" s="40" t="s">
        <v>1204</v>
      </c>
      <c r="D307" s="40" t="s">
        <v>1154</v>
      </c>
      <c r="E307" s="40" t="s">
        <v>493</v>
      </c>
      <c r="F307" s="40">
        <v>1</v>
      </c>
      <c r="G307" s="40"/>
      <c r="H307" s="40" t="s">
        <v>482</v>
      </c>
      <c r="I307" s="40"/>
      <c r="J307" s="40">
        <v>0</v>
      </c>
      <c r="K307" s="40">
        <v>0</v>
      </c>
      <c r="L307" s="40">
        <v>1</v>
      </c>
    </row>
    <row r="308" spans="1:12" x14ac:dyDescent="0.25">
      <c r="A308" s="40" t="s">
        <v>39</v>
      </c>
      <c r="B308" s="40" t="s">
        <v>1205</v>
      </c>
      <c r="C308" s="40" t="s">
        <v>1206</v>
      </c>
      <c r="D308" s="40" t="s">
        <v>1154</v>
      </c>
      <c r="E308" s="40" t="s">
        <v>493</v>
      </c>
      <c r="F308" s="40">
        <v>1</v>
      </c>
      <c r="G308" s="40"/>
      <c r="H308" s="40" t="s">
        <v>482</v>
      </c>
      <c r="I308" s="40"/>
      <c r="J308" s="40">
        <v>0</v>
      </c>
      <c r="K308" s="40">
        <v>0</v>
      </c>
      <c r="L308" s="40">
        <v>1</v>
      </c>
    </row>
    <row r="309" spans="1:12" x14ac:dyDescent="0.25">
      <c r="A309" s="40" t="s">
        <v>39</v>
      </c>
      <c r="B309" s="40" t="s">
        <v>1207</v>
      </c>
      <c r="C309" s="40" t="s">
        <v>1208</v>
      </c>
      <c r="D309" s="40" t="s">
        <v>1209</v>
      </c>
      <c r="E309" s="40" t="s">
        <v>1130</v>
      </c>
      <c r="F309" s="40">
        <v>1</v>
      </c>
      <c r="G309" s="40"/>
      <c r="H309" s="40" t="s">
        <v>482</v>
      </c>
      <c r="I309" s="40"/>
      <c r="J309" s="40">
        <v>0</v>
      </c>
      <c r="K309" s="40">
        <v>0</v>
      </c>
      <c r="L309" s="40">
        <v>0</v>
      </c>
    </row>
    <row r="310" spans="1:12" x14ac:dyDescent="0.25">
      <c r="A310" s="40" t="s">
        <v>39</v>
      </c>
      <c r="B310" s="40" t="s">
        <v>1210</v>
      </c>
      <c r="C310" s="40" t="s">
        <v>1211</v>
      </c>
      <c r="D310" s="40" t="s">
        <v>1209</v>
      </c>
      <c r="E310" s="40" t="s">
        <v>1130</v>
      </c>
      <c r="F310" s="40">
        <v>1</v>
      </c>
      <c r="G310" s="40"/>
      <c r="H310" s="40" t="s">
        <v>482</v>
      </c>
      <c r="I310" s="40"/>
      <c r="J310" s="40">
        <v>0</v>
      </c>
      <c r="K310" s="40">
        <v>0</v>
      </c>
      <c r="L310" s="40">
        <v>0</v>
      </c>
    </row>
    <row r="311" spans="1:12" x14ac:dyDescent="0.25">
      <c r="A311" s="40" t="s">
        <v>39</v>
      </c>
      <c r="B311" s="40" t="s">
        <v>1212</v>
      </c>
      <c r="C311" s="40" t="s">
        <v>1213</v>
      </c>
      <c r="D311" s="40" t="s">
        <v>1209</v>
      </c>
      <c r="E311" s="40" t="s">
        <v>1130</v>
      </c>
      <c r="F311" s="40">
        <v>1</v>
      </c>
      <c r="G311" s="40"/>
      <c r="H311" s="40" t="s">
        <v>482</v>
      </c>
      <c r="I311" s="40"/>
      <c r="J311" s="40">
        <v>0</v>
      </c>
      <c r="K311" s="40">
        <v>0</v>
      </c>
      <c r="L311" s="40">
        <v>0</v>
      </c>
    </row>
    <row r="312" spans="1:12" x14ac:dyDescent="0.25">
      <c r="A312" s="40" t="s">
        <v>39</v>
      </c>
      <c r="B312" s="40" t="s">
        <v>1214</v>
      </c>
      <c r="C312" s="40" t="s">
        <v>1215</v>
      </c>
      <c r="D312" s="40" t="s">
        <v>1216</v>
      </c>
      <c r="E312" s="40" t="s">
        <v>1130</v>
      </c>
      <c r="F312" s="40">
        <v>1</v>
      </c>
      <c r="G312" s="40"/>
      <c r="H312" s="40" t="s">
        <v>482</v>
      </c>
      <c r="I312" s="40"/>
      <c r="J312" s="40">
        <v>0</v>
      </c>
      <c r="K312" s="40">
        <v>0</v>
      </c>
      <c r="L312" s="40">
        <v>0</v>
      </c>
    </row>
    <row r="313" spans="1:12" x14ac:dyDescent="0.25">
      <c r="A313" s="40" t="s">
        <v>39</v>
      </c>
      <c r="B313" s="40" t="s">
        <v>1217</v>
      </c>
      <c r="C313" s="40" t="s">
        <v>1218</v>
      </c>
      <c r="D313" s="40" t="s">
        <v>1216</v>
      </c>
      <c r="E313" s="40" t="s">
        <v>1130</v>
      </c>
      <c r="F313" s="40">
        <v>1</v>
      </c>
      <c r="G313" s="40"/>
      <c r="H313" s="40" t="s">
        <v>482</v>
      </c>
      <c r="I313" s="40"/>
      <c r="J313" s="40">
        <v>0</v>
      </c>
      <c r="K313" s="40">
        <v>0</v>
      </c>
      <c r="L313" s="40">
        <v>0</v>
      </c>
    </row>
    <row r="314" spans="1:12" x14ac:dyDescent="0.25">
      <c r="A314" s="40" t="s">
        <v>39</v>
      </c>
      <c r="B314" s="40" t="s">
        <v>1219</v>
      </c>
      <c r="C314" s="40" t="s">
        <v>1220</v>
      </c>
      <c r="D314" s="40" t="s">
        <v>1216</v>
      </c>
      <c r="E314" s="40" t="s">
        <v>1130</v>
      </c>
      <c r="F314" s="40">
        <v>1</v>
      </c>
      <c r="G314" s="40"/>
      <c r="H314" s="40" t="s">
        <v>482</v>
      </c>
      <c r="I314" s="40"/>
      <c r="J314" s="40">
        <v>0</v>
      </c>
      <c r="K314" s="40">
        <v>0</v>
      </c>
      <c r="L314" s="40">
        <v>0</v>
      </c>
    </row>
    <row r="315" spans="1:12" x14ac:dyDescent="0.25">
      <c r="A315" s="40" t="s">
        <v>39</v>
      </c>
      <c r="B315" s="40" t="s">
        <v>1221</v>
      </c>
      <c r="C315" s="40" t="s">
        <v>1222</v>
      </c>
      <c r="D315" s="40" t="s">
        <v>1223</v>
      </c>
      <c r="E315" s="40" t="s">
        <v>1130</v>
      </c>
      <c r="F315" s="40">
        <v>1</v>
      </c>
      <c r="G315" s="40"/>
      <c r="H315" s="40" t="s">
        <v>482</v>
      </c>
      <c r="I315" s="40"/>
      <c r="J315" s="40">
        <v>0</v>
      </c>
      <c r="K315" s="40">
        <v>0</v>
      </c>
      <c r="L315" s="40">
        <v>0</v>
      </c>
    </row>
    <row r="316" spans="1:12" x14ac:dyDescent="0.25">
      <c r="A316" s="40" t="s">
        <v>39</v>
      </c>
      <c r="B316" s="40" t="s">
        <v>1224</v>
      </c>
      <c r="C316" s="40" t="s">
        <v>1225</v>
      </c>
      <c r="D316" s="40" t="s">
        <v>1226</v>
      </c>
      <c r="E316" s="40" t="s">
        <v>1130</v>
      </c>
      <c r="F316" s="40">
        <v>1</v>
      </c>
      <c r="G316" s="40"/>
      <c r="H316" s="40" t="s">
        <v>482</v>
      </c>
      <c r="I316" s="40"/>
      <c r="J316" s="40">
        <v>0</v>
      </c>
      <c r="K316" s="40">
        <v>0</v>
      </c>
      <c r="L316" s="40">
        <v>0</v>
      </c>
    </row>
    <row r="317" spans="1:12" x14ac:dyDescent="0.25">
      <c r="A317" s="40" t="s">
        <v>39</v>
      </c>
      <c r="B317" s="40" t="s">
        <v>1227</v>
      </c>
      <c r="C317" s="40" t="s">
        <v>1228</v>
      </c>
      <c r="D317" s="40" t="s">
        <v>493</v>
      </c>
      <c r="E317" s="40" t="s">
        <v>493</v>
      </c>
      <c r="F317" s="40">
        <v>0</v>
      </c>
      <c r="G317" s="40"/>
      <c r="H317" s="40" t="s">
        <v>482</v>
      </c>
      <c r="I317" s="40"/>
      <c r="J317" s="40">
        <v>0</v>
      </c>
      <c r="K317" s="40">
        <v>0</v>
      </c>
      <c r="L317" s="40">
        <v>0</v>
      </c>
    </row>
    <row r="318" spans="1:12" x14ac:dyDescent="0.25">
      <c r="A318" s="40" t="s">
        <v>39</v>
      </c>
      <c r="B318" s="40" t="s">
        <v>1229</v>
      </c>
      <c r="C318" s="40" t="s">
        <v>1230</v>
      </c>
      <c r="D318" s="40" t="s">
        <v>493</v>
      </c>
      <c r="E318" s="40" t="s">
        <v>493</v>
      </c>
      <c r="F318" s="40">
        <v>0</v>
      </c>
      <c r="G318" s="40"/>
      <c r="H318" s="40" t="s">
        <v>482</v>
      </c>
      <c r="I318" s="40"/>
      <c r="J318" s="40">
        <v>0</v>
      </c>
      <c r="K318" s="40">
        <v>0</v>
      </c>
      <c r="L318" s="40">
        <v>0</v>
      </c>
    </row>
    <row r="319" spans="1:12" x14ac:dyDescent="0.25">
      <c r="A319" s="40" t="s">
        <v>39</v>
      </c>
      <c r="B319" s="40" t="s">
        <v>1231</v>
      </c>
      <c r="C319" s="40" t="s">
        <v>1232</v>
      </c>
      <c r="D319" s="40" t="s">
        <v>493</v>
      </c>
      <c r="E319" s="40" t="s">
        <v>493</v>
      </c>
      <c r="F319" s="40">
        <v>0</v>
      </c>
      <c r="G319" s="40"/>
      <c r="H319" s="40" t="s">
        <v>482</v>
      </c>
      <c r="I319" s="40"/>
      <c r="J319" s="40">
        <v>0</v>
      </c>
      <c r="K319" s="40">
        <v>0</v>
      </c>
      <c r="L319" s="40">
        <v>0</v>
      </c>
    </row>
    <row r="320" spans="1:12" x14ac:dyDescent="0.25">
      <c r="A320" s="40" t="s">
        <v>39</v>
      </c>
      <c r="B320" s="40" t="s">
        <v>1233</v>
      </c>
      <c r="C320" s="40" t="s">
        <v>1234</v>
      </c>
      <c r="D320" s="40" t="s">
        <v>1235</v>
      </c>
      <c r="E320" s="40" t="s">
        <v>493</v>
      </c>
      <c r="F320" s="40">
        <v>1</v>
      </c>
      <c r="G320" s="40"/>
      <c r="H320" s="40" t="s">
        <v>482</v>
      </c>
      <c r="I320" s="40"/>
      <c r="J320" s="40">
        <v>0</v>
      </c>
      <c r="K320" s="40">
        <v>0</v>
      </c>
      <c r="L320" s="40">
        <v>0</v>
      </c>
    </row>
    <row r="321" spans="1:12" x14ac:dyDescent="0.25">
      <c r="A321" s="40" t="s">
        <v>39</v>
      </c>
      <c r="B321" s="40" t="s">
        <v>1236</v>
      </c>
      <c r="C321" s="40" t="s">
        <v>1237</v>
      </c>
      <c r="D321" s="40" t="s">
        <v>1235</v>
      </c>
      <c r="E321" s="40" t="s">
        <v>493</v>
      </c>
      <c r="F321" s="40">
        <v>1</v>
      </c>
      <c r="G321" s="40"/>
      <c r="H321" s="40" t="s">
        <v>482</v>
      </c>
      <c r="I321" s="40"/>
      <c r="J321" s="40">
        <v>0</v>
      </c>
      <c r="K321" s="40">
        <v>0</v>
      </c>
      <c r="L321" s="40">
        <v>0</v>
      </c>
    </row>
    <row r="322" spans="1:12" x14ac:dyDescent="0.25">
      <c r="A322" s="40" t="s">
        <v>39</v>
      </c>
      <c r="B322" s="40" t="s">
        <v>1238</v>
      </c>
      <c r="C322" s="40" t="s">
        <v>1239</v>
      </c>
      <c r="D322" s="40" t="s">
        <v>1240</v>
      </c>
      <c r="E322" s="40" t="s">
        <v>493</v>
      </c>
      <c r="F322" s="40">
        <v>1</v>
      </c>
      <c r="G322" s="40"/>
      <c r="H322" s="40" t="s">
        <v>482</v>
      </c>
      <c r="I322" s="40"/>
      <c r="J322" s="40">
        <v>0</v>
      </c>
      <c r="K322" s="40">
        <v>0</v>
      </c>
      <c r="L322" s="40">
        <v>0</v>
      </c>
    </row>
    <row r="323" spans="1:12" x14ac:dyDescent="0.25">
      <c r="A323" s="40" t="s">
        <v>39</v>
      </c>
      <c r="B323" s="40" t="s">
        <v>1241</v>
      </c>
      <c r="C323" s="40" t="s">
        <v>1242</v>
      </c>
      <c r="D323" s="40" t="s">
        <v>1240</v>
      </c>
      <c r="E323" s="40" t="s">
        <v>493</v>
      </c>
      <c r="F323" s="40">
        <v>1</v>
      </c>
      <c r="G323" s="40"/>
      <c r="H323" s="40" t="s">
        <v>482</v>
      </c>
      <c r="I323" s="40"/>
      <c r="J323" s="40">
        <v>0</v>
      </c>
      <c r="K323" s="40">
        <v>0</v>
      </c>
      <c r="L323" s="40">
        <v>0</v>
      </c>
    </row>
    <row r="324" spans="1:12" x14ac:dyDescent="0.25">
      <c r="A324" s="40" t="s">
        <v>39</v>
      </c>
      <c r="B324" s="40" t="s">
        <v>1243</v>
      </c>
      <c r="C324" s="40" t="s">
        <v>1244</v>
      </c>
      <c r="D324" s="40" t="s">
        <v>1245</v>
      </c>
      <c r="E324" s="40" t="s">
        <v>493</v>
      </c>
      <c r="F324" s="40">
        <v>1</v>
      </c>
      <c r="G324" s="40"/>
      <c r="H324" s="40" t="s">
        <v>482</v>
      </c>
      <c r="I324" s="40"/>
      <c r="J324" s="40">
        <v>0</v>
      </c>
      <c r="K324" s="40">
        <v>0</v>
      </c>
      <c r="L324" s="40">
        <v>0</v>
      </c>
    </row>
    <row r="325" spans="1:12" x14ac:dyDescent="0.25">
      <c r="A325" s="40" t="s">
        <v>39</v>
      </c>
      <c r="B325" s="40" t="s">
        <v>1246</v>
      </c>
      <c r="C325" s="40" t="s">
        <v>1247</v>
      </c>
      <c r="D325" s="40" t="s">
        <v>1135</v>
      </c>
      <c r="E325" s="40" t="s">
        <v>493</v>
      </c>
      <c r="F325" s="40">
        <v>1</v>
      </c>
      <c r="G325" s="40"/>
      <c r="H325" s="40" t="s">
        <v>482</v>
      </c>
      <c r="I325" s="40"/>
      <c r="J325" s="40">
        <v>0</v>
      </c>
      <c r="K325" s="40">
        <v>0</v>
      </c>
      <c r="L325" s="40">
        <v>0</v>
      </c>
    </row>
    <row r="326" spans="1:12" x14ac:dyDescent="0.25">
      <c r="A326" s="40" t="s">
        <v>39</v>
      </c>
      <c r="B326" s="40" t="s">
        <v>1248</v>
      </c>
      <c r="C326" s="40" t="s">
        <v>1249</v>
      </c>
      <c r="D326" s="40" t="s">
        <v>1250</v>
      </c>
      <c r="E326" s="40" t="s">
        <v>493</v>
      </c>
      <c r="F326" s="40">
        <v>1</v>
      </c>
      <c r="G326" s="40"/>
      <c r="H326" s="40" t="s">
        <v>482</v>
      </c>
      <c r="I326" s="40"/>
      <c r="J326" s="40">
        <v>0</v>
      </c>
      <c r="K326" s="40">
        <v>0</v>
      </c>
      <c r="L326" s="40">
        <v>0</v>
      </c>
    </row>
    <row r="327" spans="1:12" x14ac:dyDescent="0.25">
      <c r="A327" s="40" t="s">
        <v>39</v>
      </c>
      <c r="B327" s="40" t="s">
        <v>1251</v>
      </c>
      <c r="C327" s="40" t="s">
        <v>1252</v>
      </c>
      <c r="D327" s="40" t="s">
        <v>1250</v>
      </c>
      <c r="E327" s="40" t="s">
        <v>493</v>
      </c>
      <c r="F327" s="40">
        <v>1</v>
      </c>
      <c r="G327" s="40"/>
      <c r="H327" s="40" t="s">
        <v>482</v>
      </c>
      <c r="I327" s="40"/>
      <c r="J327" s="40">
        <v>0</v>
      </c>
      <c r="K327" s="40">
        <v>0</v>
      </c>
      <c r="L327" s="40">
        <v>0</v>
      </c>
    </row>
    <row r="328" spans="1:12" x14ac:dyDescent="0.25">
      <c r="A328" s="40" t="s">
        <v>39</v>
      </c>
      <c r="B328" s="40" t="s">
        <v>1253</v>
      </c>
      <c r="C328" s="40" t="s">
        <v>1254</v>
      </c>
      <c r="D328" s="40" t="s">
        <v>1255</v>
      </c>
      <c r="E328" s="40" t="s">
        <v>493</v>
      </c>
      <c r="F328" s="40">
        <v>1</v>
      </c>
      <c r="G328" s="40"/>
      <c r="H328" s="40" t="s">
        <v>482</v>
      </c>
      <c r="I328" s="40"/>
      <c r="J328" s="40">
        <v>0</v>
      </c>
      <c r="K328" s="40">
        <v>0</v>
      </c>
      <c r="L328" s="40">
        <v>0</v>
      </c>
    </row>
    <row r="329" spans="1:12" x14ac:dyDescent="0.25">
      <c r="A329" s="40" t="s">
        <v>39</v>
      </c>
      <c r="B329" s="40" t="s">
        <v>1256</v>
      </c>
      <c r="C329" s="40" t="s">
        <v>1257</v>
      </c>
      <c r="D329" s="40" t="s">
        <v>1258</v>
      </c>
      <c r="E329" s="40" t="s">
        <v>493</v>
      </c>
      <c r="F329" s="40">
        <v>1</v>
      </c>
      <c r="G329" s="40"/>
      <c r="H329" s="40" t="s">
        <v>482</v>
      </c>
      <c r="I329" s="40"/>
      <c r="J329" s="40">
        <v>0</v>
      </c>
      <c r="K329" s="40">
        <v>0</v>
      </c>
      <c r="L329" s="40">
        <v>0</v>
      </c>
    </row>
    <row r="330" spans="1:12" x14ac:dyDescent="0.25">
      <c r="A330" s="40" t="s">
        <v>39</v>
      </c>
      <c r="B330" s="40" t="s">
        <v>1259</v>
      </c>
      <c r="C330" s="40" t="s">
        <v>1260</v>
      </c>
      <c r="D330" s="40" t="s">
        <v>1258</v>
      </c>
      <c r="E330" s="40" t="s">
        <v>493</v>
      </c>
      <c r="F330" s="40">
        <v>1</v>
      </c>
      <c r="G330" s="40"/>
      <c r="H330" s="40" t="s">
        <v>482</v>
      </c>
      <c r="I330" s="40"/>
      <c r="J330" s="40">
        <v>0</v>
      </c>
      <c r="K330" s="40">
        <v>0</v>
      </c>
      <c r="L330" s="40">
        <v>0</v>
      </c>
    </row>
    <row r="331" spans="1:12" x14ac:dyDescent="0.25">
      <c r="A331" s="40" t="s">
        <v>39</v>
      </c>
      <c r="B331" s="40" t="s">
        <v>1261</v>
      </c>
      <c r="C331" s="40" t="s">
        <v>1262</v>
      </c>
      <c r="D331" s="40" t="s">
        <v>1258</v>
      </c>
      <c r="E331" s="40" t="s">
        <v>493</v>
      </c>
      <c r="F331" s="40">
        <v>1</v>
      </c>
      <c r="G331" s="40"/>
      <c r="H331" s="40" t="s">
        <v>482</v>
      </c>
      <c r="I331" s="40"/>
      <c r="J331" s="40">
        <v>0</v>
      </c>
      <c r="K331" s="40">
        <v>0</v>
      </c>
      <c r="L331" s="40">
        <v>0</v>
      </c>
    </row>
    <row r="332" spans="1:12" x14ac:dyDescent="0.25">
      <c r="A332" s="40" t="s">
        <v>39</v>
      </c>
      <c r="B332" s="40" t="s">
        <v>1263</v>
      </c>
      <c r="C332" s="40" t="s">
        <v>1264</v>
      </c>
      <c r="D332" s="40" t="s">
        <v>1258</v>
      </c>
      <c r="E332" s="40" t="s">
        <v>493</v>
      </c>
      <c r="F332" s="40">
        <v>1</v>
      </c>
      <c r="G332" s="40"/>
      <c r="H332" s="40" t="s">
        <v>482</v>
      </c>
      <c r="I332" s="40"/>
      <c r="J332" s="40">
        <v>0</v>
      </c>
      <c r="K332" s="40">
        <v>0</v>
      </c>
      <c r="L332" s="40">
        <v>0</v>
      </c>
    </row>
    <row r="333" spans="1:12" x14ac:dyDescent="0.25">
      <c r="A333" s="40" t="s">
        <v>40</v>
      </c>
      <c r="B333" s="40" t="s">
        <v>479</v>
      </c>
      <c r="C333" s="40" t="s">
        <v>480</v>
      </c>
      <c r="D333" s="40" t="s">
        <v>481</v>
      </c>
      <c r="E333" s="40" t="s">
        <v>481</v>
      </c>
      <c r="F333" s="40">
        <v>0</v>
      </c>
      <c r="G333" s="40"/>
      <c r="H333" s="40" t="s">
        <v>482</v>
      </c>
      <c r="I333" s="40"/>
      <c r="J333" s="40">
        <v>0</v>
      </c>
      <c r="K333" s="40">
        <v>0</v>
      </c>
      <c r="L333" s="40">
        <v>0</v>
      </c>
    </row>
    <row r="334" spans="1:12" x14ac:dyDescent="0.25">
      <c r="A334" s="40" t="s">
        <v>40</v>
      </c>
      <c r="B334" s="40" t="s">
        <v>483</v>
      </c>
      <c r="C334" s="40" t="s">
        <v>484</v>
      </c>
      <c r="D334" s="40" t="s">
        <v>1265</v>
      </c>
      <c r="E334" s="40" t="s">
        <v>486</v>
      </c>
      <c r="F334" s="40">
        <v>1</v>
      </c>
      <c r="G334" s="40"/>
      <c r="H334" s="40" t="s">
        <v>482</v>
      </c>
      <c r="I334" s="40"/>
      <c r="J334" s="40">
        <v>0</v>
      </c>
      <c r="K334" s="40">
        <v>0</v>
      </c>
      <c r="L334" s="40">
        <v>0</v>
      </c>
    </row>
    <row r="335" spans="1:12" x14ac:dyDescent="0.25">
      <c r="A335" s="40" t="s">
        <v>40</v>
      </c>
      <c r="B335" s="40" t="s">
        <v>487</v>
      </c>
      <c r="C335" s="40" t="s">
        <v>488</v>
      </c>
      <c r="D335" s="40" t="s">
        <v>1266</v>
      </c>
      <c r="E335" s="40" t="s">
        <v>490</v>
      </c>
      <c r="F335" s="40">
        <v>1</v>
      </c>
      <c r="G335" s="40"/>
      <c r="H335" s="40" t="s">
        <v>482</v>
      </c>
      <c r="I335" s="40"/>
      <c r="J335" s="40">
        <v>0</v>
      </c>
      <c r="K335" s="40">
        <v>0</v>
      </c>
      <c r="L335" s="40">
        <v>0</v>
      </c>
    </row>
    <row r="336" spans="1:12" x14ac:dyDescent="0.25">
      <c r="A336" s="40" t="s">
        <v>40</v>
      </c>
      <c r="B336" s="40" t="s">
        <v>491</v>
      </c>
      <c r="C336" s="40" t="s">
        <v>492</v>
      </c>
      <c r="D336" s="40" t="s">
        <v>1267</v>
      </c>
      <c r="E336" s="40" t="s">
        <v>493</v>
      </c>
      <c r="F336" s="40">
        <v>1</v>
      </c>
      <c r="G336" s="40"/>
      <c r="H336" s="40" t="s">
        <v>482</v>
      </c>
      <c r="I336" s="40"/>
      <c r="J336" s="40">
        <v>0</v>
      </c>
      <c r="K336" s="40">
        <v>0</v>
      </c>
      <c r="L336" s="40">
        <v>0</v>
      </c>
    </row>
    <row r="337" spans="1:12" x14ac:dyDescent="0.25">
      <c r="A337" s="40" t="s">
        <v>40</v>
      </c>
      <c r="B337" s="40" t="s">
        <v>494</v>
      </c>
      <c r="C337" s="40" t="s">
        <v>495</v>
      </c>
      <c r="D337" s="40" t="s">
        <v>493</v>
      </c>
      <c r="E337" s="40" t="s">
        <v>493</v>
      </c>
      <c r="F337" s="40">
        <v>0</v>
      </c>
      <c r="G337" s="40"/>
      <c r="H337" s="40" t="s">
        <v>482</v>
      </c>
      <c r="I337" s="40"/>
      <c r="J337" s="40">
        <v>0</v>
      </c>
      <c r="K337" s="40">
        <v>0</v>
      </c>
      <c r="L337" s="40">
        <v>0</v>
      </c>
    </row>
    <row r="338" spans="1:12" x14ac:dyDescent="0.25">
      <c r="A338" s="40" t="s">
        <v>40</v>
      </c>
      <c r="B338" s="40" t="s">
        <v>496</v>
      </c>
      <c r="C338" s="40" t="s">
        <v>497</v>
      </c>
      <c r="D338" s="40" t="s">
        <v>1267</v>
      </c>
      <c r="E338" s="40" t="s">
        <v>493</v>
      </c>
      <c r="F338" s="40">
        <v>1</v>
      </c>
      <c r="G338" s="40"/>
      <c r="H338" s="40" t="s">
        <v>482</v>
      </c>
      <c r="I338" s="40"/>
      <c r="J338" s="40">
        <v>0</v>
      </c>
      <c r="K338" s="40">
        <v>0</v>
      </c>
      <c r="L338" s="40">
        <v>0</v>
      </c>
    </row>
    <row r="339" spans="1:12" x14ac:dyDescent="0.25">
      <c r="A339" s="40" t="s">
        <v>40</v>
      </c>
      <c r="B339" s="40" t="s">
        <v>498</v>
      </c>
      <c r="C339" s="40" t="s">
        <v>499</v>
      </c>
      <c r="D339" s="40" t="s">
        <v>493</v>
      </c>
      <c r="E339" s="40" t="s">
        <v>493</v>
      </c>
      <c r="F339" s="40">
        <v>0</v>
      </c>
      <c r="G339" s="40"/>
      <c r="H339" s="40" t="s">
        <v>482</v>
      </c>
      <c r="I339" s="40"/>
      <c r="J339" s="40">
        <v>0</v>
      </c>
      <c r="K339" s="40">
        <v>0</v>
      </c>
      <c r="L339" s="40">
        <v>0</v>
      </c>
    </row>
    <row r="340" spans="1:12" x14ac:dyDescent="0.25">
      <c r="A340" s="40" t="s">
        <v>40</v>
      </c>
      <c r="B340" s="40" t="s">
        <v>500</v>
      </c>
      <c r="C340" s="40" t="s">
        <v>501</v>
      </c>
      <c r="D340" s="40" t="s">
        <v>493</v>
      </c>
      <c r="E340" s="40" t="s">
        <v>493</v>
      </c>
      <c r="F340" s="40">
        <v>0</v>
      </c>
      <c r="G340" s="40"/>
      <c r="H340" s="40" t="s">
        <v>482</v>
      </c>
      <c r="I340" s="40"/>
      <c r="J340" s="40">
        <v>0</v>
      </c>
      <c r="K340" s="40">
        <v>0</v>
      </c>
      <c r="L340" s="40">
        <v>0</v>
      </c>
    </row>
    <row r="341" spans="1:12" x14ac:dyDescent="0.25">
      <c r="A341" s="40" t="s">
        <v>40</v>
      </c>
      <c r="B341" s="40" t="s">
        <v>502</v>
      </c>
      <c r="C341" s="40" t="s">
        <v>503</v>
      </c>
      <c r="D341" s="40" t="s">
        <v>504</v>
      </c>
      <c r="E341" s="40" t="s">
        <v>505</v>
      </c>
      <c r="F341" s="40">
        <v>1</v>
      </c>
      <c r="G341" s="40"/>
      <c r="H341" s="40" t="s">
        <v>482</v>
      </c>
      <c r="I341" s="40"/>
      <c r="J341" s="40">
        <v>0</v>
      </c>
      <c r="K341" s="40">
        <v>0</v>
      </c>
      <c r="L341" s="40">
        <v>0</v>
      </c>
    </row>
    <row r="342" spans="1:12" x14ac:dyDescent="0.25">
      <c r="A342" s="40" t="s">
        <v>40</v>
      </c>
      <c r="B342" s="40" t="s">
        <v>506</v>
      </c>
      <c r="C342" s="40" t="s">
        <v>507</v>
      </c>
      <c r="D342" s="40" t="s">
        <v>508</v>
      </c>
      <c r="E342" s="40" t="s">
        <v>509</v>
      </c>
      <c r="F342" s="40">
        <v>1</v>
      </c>
      <c r="G342" s="40"/>
      <c r="H342" s="40" t="s">
        <v>482</v>
      </c>
      <c r="I342" s="40"/>
      <c r="J342" s="40">
        <v>0</v>
      </c>
      <c r="K342" s="40">
        <v>0</v>
      </c>
      <c r="L342" s="40">
        <v>0</v>
      </c>
    </row>
    <row r="343" spans="1:12" x14ac:dyDescent="0.25">
      <c r="A343" s="40" t="s">
        <v>40</v>
      </c>
      <c r="B343" s="40" t="s">
        <v>510</v>
      </c>
      <c r="C343" s="40" t="s">
        <v>511</v>
      </c>
      <c r="D343" s="40" t="s">
        <v>512</v>
      </c>
      <c r="E343" s="40" t="s">
        <v>513</v>
      </c>
      <c r="F343" s="40">
        <v>1</v>
      </c>
      <c r="G343" s="40"/>
      <c r="H343" s="40" t="s">
        <v>482</v>
      </c>
      <c r="I343" s="40"/>
      <c r="J343" s="40">
        <v>0</v>
      </c>
      <c r="K343" s="40">
        <v>0</v>
      </c>
      <c r="L343" s="40">
        <v>0</v>
      </c>
    </row>
    <row r="344" spans="1:12" x14ac:dyDescent="0.25">
      <c r="A344" s="40" t="s">
        <v>40</v>
      </c>
      <c r="B344" s="40" t="s">
        <v>514</v>
      </c>
      <c r="C344" s="40" t="s">
        <v>515</v>
      </c>
      <c r="D344" s="40" t="s">
        <v>1268</v>
      </c>
      <c r="E344" s="40" t="s">
        <v>517</v>
      </c>
      <c r="F344" s="40">
        <v>1</v>
      </c>
      <c r="G344" s="40"/>
      <c r="H344" s="40" t="s">
        <v>482</v>
      </c>
      <c r="I344" s="40"/>
      <c r="J344" s="40">
        <v>0</v>
      </c>
      <c r="K344" s="40">
        <v>0</v>
      </c>
      <c r="L344" s="40">
        <v>0</v>
      </c>
    </row>
    <row r="345" spans="1:12" x14ac:dyDescent="0.25">
      <c r="A345" s="40" t="s">
        <v>40</v>
      </c>
      <c r="B345" s="40" t="s">
        <v>518</v>
      </c>
      <c r="C345" s="40" t="s">
        <v>519</v>
      </c>
      <c r="D345" s="40" t="s">
        <v>520</v>
      </c>
      <c r="E345" s="40" t="s">
        <v>517</v>
      </c>
      <c r="F345" s="40">
        <v>1</v>
      </c>
      <c r="G345" s="40"/>
      <c r="H345" s="40" t="s">
        <v>482</v>
      </c>
      <c r="I345" s="40"/>
      <c r="J345" s="40">
        <v>0</v>
      </c>
      <c r="K345" s="40">
        <v>0</v>
      </c>
      <c r="L345" s="40">
        <v>0</v>
      </c>
    </row>
    <row r="346" spans="1:12" x14ac:dyDescent="0.25">
      <c r="A346" s="40" t="s">
        <v>40</v>
      </c>
      <c r="B346" s="40" t="s">
        <v>521</v>
      </c>
      <c r="C346" s="40" t="s">
        <v>522</v>
      </c>
      <c r="D346" s="40" t="s">
        <v>493</v>
      </c>
      <c r="E346" s="40" t="s">
        <v>493</v>
      </c>
      <c r="F346" s="40">
        <v>0</v>
      </c>
      <c r="G346" s="40"/>
      <c r="H346" s="40" t="s">
        <v>482</v>
      </c>
      <c r="I346" s="40"/>
      <c r="J346" s="40">
        <v>0</v>
      </c>
      <c r="K346" s="40">
        <v>0</v>
      </c>
      <c r="L346" s="40">
        <v>0</v>
      </c>
    </row>
    <row r="347" spans="1:12" x14ac:dyDescent="0.25">
      <c r="A347" s="40" t="s">
        <v>40</v>
      </c>
      <c r="B347" s="40" t="s">
        <v>523</v>
      </c>
      <c r="C347" s="40" t="s">
        <v>524</v>
      </c>
      <c r="D347" s="40" t="s">
        <v>493</v>
      </c>
      <c r="E347" s="40" t="s">
        <v>493</v>
      </c>
      <c r="F347" s="40">
        <v>0</v>
      </c>
      <c r="G347" s="40"/>
      <c r="H347" s="40" t="s">
        <v>482</v>
      </c>
      <c r="I347" s="40"/>
      <c r="J347" s="40">
        <v>0</v>
      </c>
      <c r="K347" s="40">
        <v>0</v>
      </c>
      <c r="L347" s="40">
        <v>0</v>
      </c>
    </row>
    <row r="348" spans="1:12" x14ac:dyDescent="0.25">
      <c r="A348" s="40" t="s">
        <v>40</v>
      </c>
      <c r="B348" s="40" t="s">
        <v>525</v>
      </c>
      <c r="C348" s="40" t="s">
        <v>526</v>
      </c>
      <c r="D348" s="40" t="s">
        <v>493</v>
      </c>
      <c r="E348" s="40" t="s">
        <v>493</v>
      </c>
      <c r="F348" s="40">
        <v>0</v>
      </c>
      <c r="G348" s="40"/>
      <c r="H348" s="40" t="s">
        <v>482</v>
      </c>
      <c r="I348" s="40"/>
      <c r="J348" s="40">
        <v>0</v>
      </c>
      <c r="K348" s="40">
        <v>0</v>
      </c>
      <c r="L348" s="40">
        <v>0</v>
      </c>
    </row>
    <row r="349" spans="1:12" x14ac:dyDescent="0.25">
      <c r="A349" s="40" t="s">
        <v>40</v>
      </c>
      <c r="B349" s="40" t="s">
        <v>527</v>
      </c>
      <c r="C349" s="40" t="s">
        <v>528</v>
      </c>
      <c r="D349" s="40" t="s">
        <v>1269</v>
      </c>
      <c r="E349" s="40" t="s">
        <v>493</v>
      </c>
      <c r="F349" s="40">
        <v>1</v>
      </c>
      <c r="G349" s="40"/>
      <c r="H349" s="40" t="s">
        <v>482</v>
      </c>
      <c r="I349" s="40"/>
      <c r="J349" s="40">
        <v>0</v>
      </c>
      <c r="K349" s="40">
        <v>0</v>
      </c>
      <c r="L349" s="40">
        <v>0</v>
      </c>
    </row>
    <row r="350" spans="1:12" x14ac:dyDescent="0.25">
      <c r="A350" s="40" t="s">
        <v>40</v>
      </c>
      <c r="B350" s="40" t="s">
        <v>529</v>
      </c>
      <c r="C350" s="40" t="s">
        <v>530</v>
      </c>
      <c r="D350" s="40" t="s">
        <v>493</v>
      </c>
      <c r="E350" s="40" t="s">
        <v>493</v>
      </c>
      <c r="F350" s="40">
        <v>0</v>
      </c>
      <c r="G350" s="40"/>
      <c r="H350" s="40" t="s">
        <v>482</v>
      </c>
      <c r="I350" s="40"/>
      <c r="J350" s="40">
        <v>0</v>
      </c>
      <c r="K350" s="40">
        <v>0</v>
      </c>
      <c r="L350" s="40">
        <v>0</v>
      </c>
    </row>
    <row r="351" spans="1:12" x14ac:dyDescent="0.25">
      <c r="A351" s="40" t="s">
        <v>40</v>
      </c>
      <c r="B351" s="40" t="s">
        <v>531</v>
      </c>
      <c r="C351" s="40" t="s">
        <v>532</v>
      </c>
      <c r="D351" s="40" t="s">
        <v>493</v>
      </c>
      <c r="E351" s="40" t="s">
        <v>493</v>
      </c>
      <c r="F351" s="40">
        <v>0</v>
      </c>
      <c r="G351" s="40"/>
      <c r="H351" s="40" t="s">
        <v>482</v>
      </c>
      <c r="I351" s="40"/>
      <c r="J351" s="40">
        <v>0</v>
      </c>
      <c r="K351" s="40">
        <v>0</v>
      </c>
      <c r="L351" s="40">
        <v>0</v>
      </c>
    </row>
    <row r="352" spans="1:12" x14ac:dyDescent="0.25">
      <c r="A352" s="40" t="s">
        <v>40</v>
      </c>
      <c r="B352" s="40" t="s">
        <v>533</v>
      </c>
      <c r="C352" s="40" t="s">
        <v>534</v>
      </c>
      <c r="D352" s="40" t="s">
        <v>1270</v>
      </c>
      <c r="E352" s="40" t="s">
        <v>493</v>
      </c>
      <c r="F352" s="40">
        <v>1</v>
      </c>
      <c r="G352" s="40"/>
      <c r="H352" s="40" t="s">
        <v>493</v>
      </c>
      <c r="I352" s="40"/>
      <c r="J352" s="40">
        <v>1</v>
      </c>
      <c r="K352" s="40">
        <v>1</v>
      </c>
      <c r="L352" s="40">
        <v>1</v>
      </c>
    </row>
    <row r="353" spans="1:12" x14ac:dyDescent="0.25">
      <c r="A353" s="40" t="s">
        <v>40</v>
      </c>
      <c r="B353" s="40" t="s">
        <v>535</v>
      </c>
      <c r="C353" s="40" t="s">
        <v>536</v>
      </c>
      <c r="D353" s="40" t="s">
        <v>1149</v>
      </c>
      <c r="E353" s="40" t="s">
        <v>493</v>
      </c>
      <c r="F353" s="40">
        <v>1</v>
      </c>
      <c r="G353" s="40"/>
      <c r="H353" s="40" t="s">
        <v>482</v>
      </c>
      <c r="I353" s="40"/>
      <c r="J353" s="40">
        <v>0</v>
      </c>
      <c r="K353" s="40">
        <v>0</v>
      </c>
      <c r="L353" s="40">
        <v>0</v>
      </c>
    </row>
    <row r="354" spans="1:12" x14ac:dyDescent="0.25">
      <c r="A354" s="40" t="s">
        <v>40</v>
      </c>
      <c r="B354" s="40" t="s">
        <v>537</v>
      </c>
      <c r="C354" s="40" t="s">
        <v>538</v>
      </c>
      <c r="D354" s="40" t="s">
        <v>539</v>
      </c>
      <c r="E354" s="40" t="s">
        <v>493</v>
      </c>
      <c r="F354" s="40">
        <v>1</v>
      </c>
      <c r="G354" s="40"/>
      <c r="H354" s="40" t="s">
        <v>482</v>
      </c>
      <c r="I354" s="40"/>
      <c r="J354" s="40">
        <v>0</v>
      </c>
      <c r="K354" s="40">
        <v>0</v>
      </c>
      <c r="L354" s="40">
        <v>0</v>
      </c>
    </row>
    <row r="355" spans="1:12" x14ac:dyDescent="0.25">
      <c r="A355" s="40" t="s">
        <v>40</v>
      </c>
      <c r="B355" s="40" t="s">
        <v>540</v>
      </c>
      <c r="C355" s="40" t="s">
        <v>541</v>
      </c>
      <c r="D355" s="40" t="s">
        <v>493</v>
      </c>
      <c r="E355" s="40" t="s">
        <v>493</v>
      </c>
      <c r="F355" s="40">
        <v>0</v>
      </c>
      <c r="G355" s="40"/>
      <c r="H355" s="40" t="s">
        <v>493</v>
      </c>
      <c r="I355" s="40"/>
      <c r="J355" s="40">
        <v>0</v>
      </c>
      <c r="K355" s="40">
        <v>0</v>
      </c>
      <c r="L355" s="40">
        <v>0</v>
      </c>
    </row>
    <row r="356" spans="1:12" x14ac:dyDescent="0.25">
      <c r="A356" s="40" t="s">
        <v>40</v>
      </c>
      <c r="B356" s="40" t="s">
        <v>542</v>
      </c>
      <c r="C356" s="40" t="s">
        <v>543</v>
      </c>
      <c r="D356" s="40" t="s">
        <v>493</v>
      </c>
      <c r="E356" s="40" t="s">
        <v>493</v>
      </c>
      <c r="F356" s="40">
        <v>0</v>
      </c>
      <c r="G356" s="40"/>
      <c r="H356" s="40" t="s">
        <v>493</v>
      </c>
      <c r="I356" s="40"/>
      <c r="J356" s="40">
        <v>0</v>
      </c>
      <c r="K356" s="40">
        <v>0</v>
      </c>
      <c r="L356" s="40">
        <v>0</v>
      </c>
    </row>
    <row r="357" spans="1:12" x14ac:dyDescent="0.25">
      <c r="A357" s="40" t="s">
        <v>40</v>
      </c>
      <c r="B357" s="40" t="s">
        <v>544</v>
      </c>
      <c r="C357" s="40" t="s">
        <v>545</v>
      </c>
      <c r="D357" s="40" t="s">
        <v>546</v>
      </c>
      <c r="E357" s="40" t="s">
        <v>547</v>
      </c>
      <c r="F357" s="40">
        <v>1</v>
      </c>
      <c r="G357" s="40"/>
      <c r="H357" s="40" t="s">
        <v>482</v>
      </c>
      <c r="I357" s="40"/>
      <c r="J357" s="40">
        <v>0</v>
      </c>
      <c r="K357" s="40">
        <v>0</v>
      </c>
      <c r="L357" s="40">
        <v>0</v>
      </c>
    </row>
    <row r="358" spans="1:12" x14ac:dyDescent="0.25">
      <c r="A358" s="40" t="s">
        <v>40</v>
      </c>
      <c r="B358" s="40" t="s">
        <v>548</v>
      </c>
      <c r="C358" s="40" t="s">
        <v>549</v>
      </c>
      <c r="D358" s="40" t="s">
        <v>546</v>
      </c>
      <c r="E358" s="40" t="s">
        <v>547</v>
      </c>
      <c r="F358" s="40">
        <v>1</v>
      </c>
      <c r="G358" s="40"/>
      <c r="H358" s="40" t="s">
        <v>482</v>
      </c>
      <c r="I358" s="40"/>
      <c r="J358" s="40">
        <v>0</v>
      </c>
      <c r="K358" s="40">
        <v>0</v>
      </c>
      <c r="L358" s="40">
        <v>0</v>
      </c>
    </row>
    <row r="359" spans="1:12" x14ac:dyDescent="0.25">
      <c r="A359" s="40" t="s">
        <v>40</v>
      </c>
      <c r="B359" s="40" t="s">
        <v>550</v>
      </c>
      <c r="C359" s="40" t="s">
        <v>551</v>
      </c>
      <c r="D359" s="40" t="s">
        <v>1271</v>
      </c>
      <c r="E359" s="40" t="s">
        <v>493</v>
      </c>
      <c r="F359" s="40">
        <v>1</v>
      </c>
      <c r="G359" s="40"/>
      <c r="H359" s="40" t="s">
        <v>482</v>
      </c>
      <c r="I359" s="40"/>
      <c r="J359" s="40">
        <v>0</v>
      </c>
      <c r="K359" s="40">
        <v>0</v>
      </c>
      <c r="L359" s="40">
        <v>0</v>
      </c>
    </row>
    <row r="360" spans="1:12" x14ac:dyDescent="0.25">
      <c r="A360" s="40" t="s">
        <v>40</v>
      </c>
      <c r="B360" s="40" t="s">
        <v>553</v>
      </c>
      <c r="C360" s="40" t="s">
        <v>554</v>
      </c>
      <c r="D360" s="40" t="s">
        <v>493</v>
      </c>
      <c r="E360" s="40" t="s">
        <v>493</v>
      </c>
      <c r="F360" s="40">
        <v>0</v>
      </c>
      <c r="G360" s="40"/>
      <c r="H360" s="40" t="s">
        <v>482</v>
      </c>
      <c r="I360" s="40"/>
      <c r="J360" s="40">
        <v>0</v>
      </c>
      <c r="K360" s="40">
        <v>0</v>
      </c>
      <c r="L360" s="40">
        <v>0</v>
      </c>
    </row>
    <row r="361" spans="1:12" x14ac:dyDescent="0.25">
      <c r="A361" s="40" t="s">
        <v>40</v>
      </c>
      <c r="B361" s="40" t="s">
        <v>555</v>
      </c>
      <c r="C361" s="40" t="s">
        <v>556</v>
      </c>
      <c r="D361" s="40" t="s">
        <v>557</v>
      </c>
      <c r="E361" s="40" t="s">
        <v>493</v>
      </c>
      <c r="F361" s="40">
        <v>1</v>
      </c>
      <c r="G361" s="40"/>
      <c r="H361" s="40" t="s">
        <v>482</v>
      </c>
      <c r="I361" s="40"/>
      <c r="J361" s="40">
        <v>0</v>
      </c>
      <c r="K361" s="40">
        <v>0</v>
      </c>
      <c r="L361" s="40">
        <v>0</v>
      </c>
    </row>
    <row r="362" spans="1:12" x14ac:dyDescent="0.25">
      <c r="A362" s="40" t="s">
        <v>40</v>
      </c>
      <c r="B362" s="40" t="s">
        <v>558</v>
      </c>
      <c r="C362" s="40" t="s">
        <v>559</v>
      </c>
      <c r="D362" s="40" t="s">
        <v>560</v>
      </c>
      <c r="E362" s="40" t="s">
        <v>493</v>
      </c>
      <c r="F362" s="40">
        <v>1</v>
      </c>
      <c r="G362" s="40"/>
      <c r="H362" s="40" t="s">
        <v>482</v>
      </c>
      <c r="I362" s="40"/>
      <c r="J362" s="40">
        <v>0</v>
      </c>
      <c r="K362" s="40">
        <v>0</v>
      </c>
      <c r="L362" s="40">
        <v>0</v>
      </c>
    </row>
    <row r="363" spans="1:12" x14ac:dyDescent="0.25">
      <c r="A363" s="40" t="s">
        <v>40</v>
      </c>
      <c r="B363" s="40" t="s">
        <v>561</v>
      </c>
      <c r="C363" s="40" t="s">
        <v>562</v>
      </c>
      <c r="D363" s="40" t="s">
        <v>563</v>
      </c>
      <c r="E363" s="40" t="s">
        <v>564</v>
      </c>
      <c r="F363" s="40">
        <v>1</v>
      </c>
      <c r="G363" s="40"/>
      <c r="H363" s="40" t="s">
        <v>482</v>
      </c>
      <c r="I363" s="40"/>
      <c r="J363" s="40">
        <v>0</v>
      </c>
      <c r="K363" s="40">
        <v>0</v>
      </c>
      <c r="L363" s="40">
        <v>0</v>
      </c>
    </row>
    <row r="364" spans="1:12" x14ac:dyDescent="0.25">
      <c r="A364" s="40" t="s">
        <v>40</v>
      </c>
      <c r="B364" s="40" t="s">
        <v>565</v>
      </c>
      <c r="C364" s="40" t="s">
        <v>566</v>
      </c>
      <c r="D364" s="40" t="s">
        <v>493</v>
      </c>
      <c r="E364" s="40" t="s">
        <v>493</v>
      </c>
      <c r="F364" s="40">
        <v>0</v>
      </c>
      <c r="G364" s="40"/>
      <c r="H364" s="40" t="s">
        <v>482</v>
      </c>
      <c r="I364" s="40"/>
      <c r="J364" s="40">
        <v>0</v>
      </c>
      <c r="K364" s="40">
        <v>0</v>
      </c>
      <c r="L364" s="40">
        <v>0</v>
      </c>
    </row>
    <row r="365" spans="1:12" x14ac:dyDescent="0.25">
      <c r="A365" s="40" t="s">
        <v>40</v>
      </c>
      <c r="B365" s="40" t="s">
        <v>567</v>
      </c>
      <c r="C365" s="40" t="s">
        <v>568</v>
      </c>
      <c r="D365" s="40" t="s">
        <v>569</v>
      </c>
      <c r="E365" s="40" t="s">
        <v>569</v>
      </c>
      <c r="F365" s="40">
        <v>0</v>
      </c>
      <c r="G365" s="40"/>
      <c r="H365" s="40" t="s">
        <v>482</v>
      </c>
      <c r="I365" s="40"/>
      <c r="J365" s="40">
        <v>0</v>
      </c>
      <c r="K365" s="40">
        <v>0</v>
      </c>
      <c r="L365" s="40">
        <v>0</v>
      </c>
    </row>
    <row r="366" spans="1:12" x14ac:dyDescent="0.25">
      <c r="A366" s="40" t="s">
        <v>40</v>
      </c>
      <c r="B366" s="40" t="s">
        <v>570</v>
      </c>
      <c r="C366" s="40" t="s">
        <v>571</v>
      </c>
      <c r="D366" s="40" t="s">
        <v>572</v>
      </c>
      <c r="E366" s="40" t="s">
        <v>573</v>
      </c>
      <c r="F366" s="40">
        <v>1</v>
      </c>
      <c r="G366" s="40"/>
      <c r="H366" s="40" t="s">
        <v>482</v>
      </c>
      <c r="I366" s="40"/>
      <c r="J366" s="40">
        <v>0</v>
      </c>
      <c r="K366" s="40">
        <v>0</v>
      </c>
      <c r="L366" s="40">
        <v>0</v>
      </c>
    </row>
    <row r="367" spans="1:12" x14ac:dyDescent="0.25">
      <c r="A367" s="40" t="s">
        <v>40</v>
      </c>
      <c r="B367" s="40" t="s">
        <v>574</v>
      </c>
      <c r="C367" s="40" t="s">
        <v>575</v>
      </c>
      <c r="D367" s="40" t="s">
        <v>576</v>
      </c>
      <c r="E367" s="40" t="s">
        <v>576</v>
      </c>
      <c r="F367" s="40">
        <v>0</v>
      </c>
      <c r="G367" s="40"/>
      <c r="H367" s="40" t="s">
        <v>482</v>
      </c>
      <c r="I367" s="40"/>
      <c r="J367" s="40">
        <v>0</v>
      </c>
      <c r="K367" s="40">
        <v>0</v>
      </c>
      <c r="L367" s="40">
        <v>0</v>
      </c>
    </row>
    <row r="368" spans="1:12" x14ac:dyDescent="0.25">
      <c r="A368" s="40" t="s">
        <v>40</v>
      </c>
      <c r="B368" s="40" t="s">
        <v>577</v>
      </c>
      <c r="C368" s="40" t="s">
        <v>578</v>
      </c>
      <c r="D368" s="40" t="s">
        <v>579</v>
      </c>
      <c r="E368" s="40" t="s">
        <v>493</v>
      </c>
      <c r="F368" s="40">
        <v>1</v>
      </c>
      <c r="G368" s="40"/>
      <c r="H368" s="40" t="s">
        <v>482</v>
      </c>
      <c r="I368" s="40"/>
      <c r="J368" s="40">
        <v>1</v>
      </c>
      <c r="K368" s="40">
        <v>1</v>
      </c>
      <c r="L368" s="40">
        <v>0</v>
      </c>
    </row>
    <row r="369" spans="1:12" x14ac:dyDescent="0.25">
      <c r="A369" s="40" t="s">
        <v>40</v>
      </c>
      <c r="B369" s="40" t="s">
        <v>580</v>
      </c>
      <c r="C369" s="40" t="s">
        <v>581</v>
      </c>
      <c r="D369" s="40" t="s">
        <v>493</v>
      </c>
      <c r="E369" s="40" t="s">
        <v>493</v>
      </c>
      <c r="F369" s="40">
        <v>0</v>
      </c>
      <c r="G369" s="40"/>
      <c r="H369" s="40" t="s">
        <v>482</v>
      </c>
      <c r="I369" s="40"/>
      <c r="J369" s="40">
        <v>0</v>
      </c>
      <c r="K369" s="40">
        <v>0</v>
      </c>
      <c r="L369" s="40">
        <v>0</v>
      </c>
    </row>
    <row r="370" spans="1:12" x14ac:dyDescent="0.25">
      <c r="A370" s="40" t="s">
        <v>40</v>
      </c>
      <c r="B370" s="40" t="s">
        <v>582</v>
      </c>
      <c r="C370" s="40" t="s">
        <v>583</v>
      </c>
      <c r="D370" s="40" t="s">
        <v>584</v>
      </c>
      <c r="E370" s="40" t="s">
        <v>585</v>
      </c>
      <c r="F370" s="40">
        <v>1</v>
      </c>
      <c r="G370" s="40"/>
      <c r="H370" s="40" t="s">
        <v>482</v>
      </c>
      <c r="I370" s="40"/>
      <c r="J370" s="40">
        <v>0</v>
      </c>
      <c r="K370" s="40">
        <v>0</v>
      </c>
      <c r="L370" s="40">
        <v>0</v>
      </c>
    </row>
    <row r="371" spans="1:12" x14ac:dyDescent="0.25">
      <c r="A371" s="40" t="s">
        <v>40</v>
      </c>
      <c r="B371" s="40" t="s">
        <v>586</v>
      </c>
      <c r="C371" s="40" t="s">
        <v>587</v>
      </c>
      <c r="D371" s="40" t="s">
        <v>1143</v>
      </c>
      <c r="E371" s="40" t="s">
        <v>493</v>
      </c>
      <c r="F371" s="40">
        <v>1</v>
      </c>
      <c r="G371" s="40"/>
      <c r="H371" s="40" t="s">
        <v>482</v>
      </c>
      <c r="I371" s="40"/>
      <c r="J371" s="40">
        <v>0</v>
      </c>
      <c r="K371" s="40">
        <v>0</v>
      </c>
      <c r="L371" s="40">
        <v>0</v>
      </c>
    </row>
    <row r="372" spans="1:12" x14ac:dyDescent="0.25">
      <c r="A372" s="40" t="s">
        <v>40</v>
      </c>
      <c r="B372" s="40" t="s">
        <v>588</v>
      </c>
      <c r="C372" s="40" t="s">
        <v>589</v>
      </c>
      <c r="D372" s="40" t="s">
        <v>493</v>
      </c>
      <c r="E372" s="40" t="s">
        <v>493</v>
      </c>
      <c r="F372" s="40">
        <v>0</v>
      </c>
      <c r="G372" s="40"/>
      <c r="H372" s="40" t="s">
        <v>482</v>
      </c>
      <c r="I372" s="40"/>
      <c r="J372" s="40">
        <v>0</v>
      </c>
      <c r="K372" s="40">
        <v>0</v>
      </c>
      <c r="L372" s="40">
        <v>0</v>
      </c>
    </row>
    <row r="373" spans="1:12" x14ac:dyDescent="0.25">
      <c r="A373" s="40" t="s">
        <v>40</v>
      </c>
      <c r="B373" s="40" t="s">
        <v>590</v>
      </c>
      <c r="C373" s="40" t="s">
        <v>591</v>
      </c>
      <c r="D373" s="40" t="s">
        <v>592</v>
      </c>
      <c r="E373" s="40" t="s">
        <v>493</v>
      </c>
      <c r="F373" s="40">
        <v>1</v>
      </c>
      <c r="G373" s="40"/>
      <c r="H373" s="40" t="s">
        <v>482</v>
      </c>
      <c r="I373" s="40"/>
      <c r="J373" s="40">
        <v>1</v>
      </c>
      <c r="K373" s="40">
        <v>1</v>
      </c>
      <c r="L373" s="40">
        <v>0</v>
      </c>
    </row>
    <row r="374" spans="1:12" x14ac:dyDescent="0.25">
      <c r="A374" s="40" t="s">
        <v>40</v>
      </c>
      <c r="B374" s="40" t="s">
        <v>593</v>
      </c>
      <c r="C374" s="40" t="s">
        <v>594</v>
      </c>
      <c r="D374" s="40" t="s">
        <v>569</v>
      </c>
      <c r="E374" s="40" t="s">
        <v>569</v>
      </c>
      <c r="F374" s="40">
        <v>0</v>
      </c>
      <c r="G374" s="40"/>
      <c r="H374" s="40" t="s">
        <v>482</v>
      </c>
      <c r="I374" s="40"/>
      <c r="J374" s="40">
        <v>0</v>
      </c>
      <c r="K374" s="40">
        <v>0</v>
      </c>
      <c r="L374" s="40">
        <v>0</v>
      </c>
    </row>
    <row r="375" spans="1:12" x14ac:dyDescent="0.25">
      <c r="A375" s="40" t="s">
        <v>40</v>
      </c>
      <c r="B375" s="40" t="s">
        <v>595</v>
      </c>
      <c r="C375" s="40" t="s">
        <v>596</v>
      </c>
      <c r="D375" s="40" t="s">
        <v>573</v>
      </c>
      <c r="E375" s="40" t="s">
        <v>573</v>
      </c>
      <c r="F375" s="40">
        <v>0</v>
      </c>
      <c r="G375" s="40"/>
      <c r="H375" s="40" t="s">
        <v>597</v>
      </c>
      <c r="I375" s="40"/>
      <c r="J375" s="40">
        <v>0</v>
      </c>
      <c r="K375" s="40">
        <v>0</v>
      </c>
      <c r="L375" s="40">
        <v>1</v>
      </c>
    </row>
    <row r="376" spans="1:12" x14ac:dyDescent="0.25">
      <c r="A376" s="40" t="s">
        <v>40</v>
      </c>
      <c r="B376" s="40" t="s">
        <v>598</v>
      </c>
      <c r="C376" s="40" t="s">
        <v>599</v>
      </c>
      <c r="D376" s="40" t="s">
        <v>493</v>
      </c>
      <c r="E376" s="40" t="s">
        <v>493</v>
      </c>
      <c r="F376" s="40">
        <v>0</v>
      </c>
      <c r="G376" s="40"/>
      <c r="H376" s="40" t="s">
        <v>600</v>
      </c>
      <c r="I376" s="40"/>
      <c r="J376" s="40">
        <v>0</v>
      </c>
      <c r="K376" s="40">
        <v>0</v>
      </c>
      <c r="L376" s="40">
        <v>1</v>
      </c>
    </row>
    <row r="377" spans="1:12" x14ac:dyDescent="0.25">
      <c r="A377" s="40" t="s">
        <v>40</v>
      </c>
      <c r="B377" s="40" t="s">
        <v>601</v>
      </c>
      <c r="C377" s="40" t="s">
        <v>602</v>
      </c>
      <c r="D377" s="40" t="s">
        <v>493</v>
      </c>
      <c r="E377" s="40" t="s">
        <v>493</v>
      </c>
      <c r="F377" s="40">
        <v>0</v>
      </c>
      <c r="G377" s="40"/>
      <c r="H377" s="40" t="s">
        <v>482</v>
      </c>
      <c r="I377" s="40"/>
      <c r="J377" s="40">
        <v>0</v>
      </c>
      <c r="K377" s="40">
        <v>0</v>
      </c>
      <c r="L377" s="40">
        <v>0</v>
      </c>
    </row>
    <row r="378" spans="1:12" x14ac:dyDescent="0.25">
      <c r="A378" s="40" t="s">
        <v>40</v>
      </c>
      <c r="B378" s="40" t="s">
        <v>603</v>
      </c>
      <c r="C378" s="40" t="s">
        <v>604</v>
      </c>
      <c r="D378" s="40" t="s">
        <v>605</v>
      </c>
      <c r="E378" s="40" t="s">
        <v>605</v>
      </c>
      <c r="F378" s="40">
        <v>0</v>
      </c>
      <c r="G378" s="40"/>
      <c r="H378" s="40" t="s">
        <v>482</v>
      </c>
      <c r="I378" s="40"/>
      <c r="J378" s="40">
        <v>0</v>
      </c>
      <c r="K378" s="40">
        <v>0</v>
      </c>
      <c r="L378" s="40">
        <v>0</v>
      </c>
    </row>
    <row r="379" spans="1:12" x14ac:dyDescent="0.25">
      <c r="A379" s="40" t="s">
        <v>40</v>
      </c>
      <c r="B379" s="40" t="s">
        <v>606</v>
      </c>
      <c r="C379" s="40" t="s">
        <v>607</v>
      </c>
      <c r="D379" s="40" t="s">
        <v>608</v>
      </c>
      <c r="E379" s="40" t="s">
        <v>609</v>
      </c>
      <c r="F379" s="40">
        <v>1</v>
      </c>
      <c r="G379" s="40"/>
      <c r="H379" s="40" t="s">
        <v>482</v>
      </c>
      <c r="I379" s="40"/>
      <c r="J379" s="40">
        <v>0</v>
      </c>
      <c r="K379" s="40">
        <v>0</v>
      </c>
      <c r="L379" s="40">
        <v>0</v>
      </c>
    </row>
    <row r="380" spans="1:12" x14ac:dyDescent="0.25">
      <c r="A380" s="40" t="s">
        <v>40</v>
      </c>
      <c r="B380" s="40" t="s">
        <v>610</v>
      </c>
      <c r="C380" s="40" t="s">
        <v>611</v>
      </c>
      <c r="D380" s="40" t="s">
        <v>493</v>
      </c>
      <c r="E380" s="40" t="s">
        <v>493</v>
      </c>
      <c r="F380" s="40">
        <v>0</v>
      </c>
      <c r="G380" s="40"/>
      <c r="H380" s="40" t="s">
        <v>482</v>
      </c>
      <c r="I380" s="40"/>
      <c r="J380" s="40">
        <v>0</v>
      </c>
      <c r="K380" s="40">
        <v>0</v>
      </c>
      <c r="L380" s="40">
        <v>0</v>
      </c>
    </row>
    <row r="381" spans="1:12" x14ac:dyDescent="0.25">
      <c r="A381" s="40" t="s">
        <v>40</v>
      </c>
      <c r="B381" s="40" t="s">
        <v>612</v>
      </c>
      <c r="C381" s="40" t="s">
        <v>613</v>
      </c>
      <c r="D381" s="40" t="s">
        <v>569</v>
      </c>
      <c r="E381" s="40" t="s">
        <v>569</v>
      </c>
      <c r="F381" s="40">
        <v>0</v>
      </c>
      <c r="G381" s="40"/>
      <c r="H381" s="40" t="s">
        <v>482</v>
      </c>
      <c r="I381" s="40"/>
      <c r="J381" s="40">
        <v>0</v>
      </c>
      <c r="K381" s="40">
        <v>0</v>
      </c>
      <c r="L381" s="40">
        <v>0</v>
      </c>
    </row>
    <row r="382" spans="1:12" x14ac:dyDescent="0.25">
      <c r="A382" s="40" t="s">
        <v>40</v>
      </c>
      <c r="B382" s="40" t="s">
        <v>614</v>
      </c>
      <c r="C382" s="40" t="s">
        <v>615</v>
      </c>
      <c r="D382" s="40" t="s">
        <v>572</v>
      </c>
      <c r="E382" s="40" t="s">
        <v>573</v>
      </c>
      <c r="F382" s="40">
        <v>1</v>
      </c>
      <c r="G382" s="40"/>
      <c r="H382" s="40" t="s">
        <v>482</v>
      </c>
      <c r="I382" s="40"/>
      <c r="J382" s="40">
        <v>0</v>
      </c>
      <c r="K382" s="40">
        <v>0</v>
      </c>
      <c r="L382" s="40">
        <v>0</v>
      </c>
    </row>
    <row r="383" spans="1:12" x14ac:dyDescent="0.25">
      <c r="A383" s="40" t="s">
        <v>40</v>
      </c>
      <c r="B383" s="40" t="s">
        <v>616</v>
      </c>
      <c r="C383" s="40" t="s">
        <v>617</v>
      </c>
      <c r="D383" s="40" t="s">
        <v>618</v>
      </c>
      <c r="E383" s="40" t="s">
        <v>619</v>
      </c>
      <c r="F383" s="40">
        <v>1</v>
      </c>
      <c r="G383" s="40"/>
      <c r="H383" s="40" t="s">
        <v>482</v>
      </c>
      <c r="I383" s="40"/>
      <c r="J383" s="40">
        <v>0</v>
      </c>
      <c r="K383" s="40">
        <v>0</v>
      </c>
      <c r="L383" s="40">
        <v>0</v>
      </c>
    </row>
    <row r="384" spans="1:12" x14ac:dyDescent="0.25">
      <c r="A384" s="40" t="s">
        <v>40</v>
      </c>
      <c r="B384" s="40" t="s">
        <v>620</v>
      </c>
      <c r="C384" s="40" t="s">
        <v>621</v>
      </c>
      <c r="D384" s="40" t="s">
        <v>622</v>
      </c>
      <c r="E384" s="40" t="s">
        <v>622</v>
      </c>
      <c r="F384" s="40">
        <v>0</v>
      </c>
      <c r="G384" s="40"/>
      <c r="H384" s="40" t="s">
        <v>482</v>
      </c>
      <c r="I384" s="40"/>
      <c r="J384" s="40">
        <v>0</v>
      </c>
      <c r="K384" s="40">
        <v>0</v>
      </c>
      <c r="L384" s="40">
        <v>0</v>
      </c>
    </row>
    <row r="385" spans="1:12" x14ac:dyDescent="0.25">
      <c r="A385" s="40" t="s">
        <v>40</v>
      </c>
      <c r="B385" s="40" t="s">
        <v>623</v>
      </c>
      <c r="C385" s="40" t="s">
        <v>624</v>
      </c>
      <c r="D385" s="40" t="s">
        <v>493</v>
      </c>
      <c r="E385" s="40" t="s">
        <v>493</v>
      </c>
      <c r="F385" s="40">
        <v>0</v>
      </c>
      <c r="G385" s="40"/>
      <c r="H385" s="40" t="s">
        <v>482</v>
      </c>
      <c r="I385" s="40"/>
      <c r="J385" s="40">
        <v>0</v>
      </c>
      <c r="K385" s="40">
        <v>0</v>
      </c>
      <c r="L385" s="40">
        <v>0</v>
      </c>
    </row>
    <row r="386" spans="1:12" x14ac:dyDescent="0.25">
      <c r="A386" s="40" t="s">
        <v>40</v>
      </c>
      <c r="B386" s="40" t="s">
        <v>625</v>
      </c>
      <c r="C386" s="40" t="s">
        <v>626</v>
      </c>
      <c r="D386" s="40" t="s">
        <v>627</v>
      </c>
      <c r="E386" s="40" t="s">
        <v>628</v>
      </c>
      <c r="F386" s="40">
        <v>1</v>
      </c>
      <c r="G386" s="40"/>
      <c r="H386" s="40" t="s">
        <v>629</v>
      </c>
      <c r="I386" s="40"/>
      <c r="J386" s="40">
        <v>0</v>
      </c>
      <c r="K386" s="40">
        <v>0</v>
      </c>
      <c r="L386" s="40">
        <v>1</v>
      </c>
    </row>
    <row r="387" spans="1:12" x14ac:dyDescent="0.25">
      <c r="A387" s="40" t="s">
        <v>40</v>
      </c>
      <c r="B387" s="40" t="s">
        <v>630</v>
      </c>
      <c r="C387" s="40" t="s">
        <v>631</v>
      </c>
      <c r="D387" s="40" t="s">
        <v>627</v>
      </c>
      <c r="E387" s="40" t="s">
        <v>628</v>
      </c>
      <c r="F387" s="40">
        <v>1</v>
      </c>
      <c r="G387" s="40"/>
      <c r="H387" s="40" t="s">
        <v>629</v>
      </c>
      <c r="I387" s="40"/>
      <c r="J387" s="40">
        <v>0</v>
      </c>
      <c r="K387" s="40">
        <v>0</v>
      </c>
      <c r="L387" s="40">
        <v>1</v>
      </c>
    </row>
    <row r="388" spans="1:12" x14ac:dyDescent="0.25">
      <c r="A388" s="40" t="s">
        <v>40</v>
      </c>
      <c r="B388" s="40" t="s">
        <v>632</v>
      </c>
      <c r="C388" s="40" t="s">
        <v>633</v>
      </c>
      <c r="D388" s="40" t="s">
        <v>627</v>
      </c>
      <c r="E388" s="40" t="s">
        <v>628</v>
      </c>
      <c r="F388" s="40">
        <v>1</v>
      </c>
      <c r="G388" s="40"/>
      <c r="H388" s="40" t="s">
        <v>629</v>
      </c>
      <c r="I388" s="40"/>
      <c r="J388" s="40">
        <v>0</v>
      </c>
      <c r="K388" s="40">
        <v>0</v>
      </c>
      <c r="L388" s="40">
        <v>1</v>
      </c>
    </row>
    <row r="389" spans="1:12" x14ac:dyDescent="0.25">
      <c r="A389" s="40" t="s">
        <v>40</v>
      </c>
      <c r="B389" s="40" t="s">
        <v>634</v>
      </c>
      <c r="C389" s="40" t="s">
        <v>635</v>
      </c>
      <c r="D389" s="40" t="s">
        <v>627</v>
      </c>
      <c r="E389" s="40" t="s">
        <v>628</v>
      </c>
      <c r="F389" s="40">
        <v>1</v>
      </c>
      <c r="G389" s="40"/>
      <c r="H389" s="40" t="s">
        <v>629</v>
      </c>
      <c r="I389" s="40"/>
      <c r="J389" s="40">
        <v>0</v>
      </c>
      <c r="K389" s="40">
        <v>0</v>
      </c>
      <c r="L389" s="40">
        <v>1</v>
      </c>
    </row>
    <row r="390" spans="1:12" x14ac:dyDescent="0.25">
      <c r="A390" s="40" t="s">
        <v>40</v>
      </c>
      <c r="B390" s="40" t="s">
        <v>636</v>
      </c>
      <c r="C390" s="40" t="s">
        <v>637</v>
      </c>
      <c r="D390" s="40" t="s">
        <v>627</v>
      </c>
      <c r="E390" s="40" t="s">
        <v>628</v>
      </c>
      <c r="F390" s="40">
        <v>1</v>
      </c>
      <c r="G390" s="40"/>
      <c r="H390" s="40" t="s">
        <v>629</v>
      </c>
      <c r="I390" s="40"/>
      <c r="J390" s="40">
        <v>0</v>
      </c>
      <c r="K390" s="40">
        <v>0</v>
      </c>
      <c r="L390" s="40">
        <v>1</v>
      </c>
    </row>
    <row r="391" spans="1:12" x14ac:dyDescent="0.25">
      <c r="A391" s="40" t="s">
        <v>40</v>
      </c>
      <c r="B391" s="40" t="s">
        <v>638</v>
      </c>
      <c r="C391" s="40" t="s">
        <v>639</v>
      </c>
      <c r="D391" s="40" t="s">
        <v>627</v>
      </c>
      <c r="E391" s="40" t="s">
        <v>628</v>
      </c>
      <c r="F391" s="40">
        <v>1</v>
      </c>
      <c r="G391" s="40"/>
      <c r="H391" s="40" t="s">
        <v>629</v>
      </c>
      <c r="I391" s="40"/>
      <c r="J391" s="40">
        <v>0</v>
      </c>
      <c r="K391" s="40">
        <v>0</v>
      </c>
      <c r="L391" s="40">
        <v>1</v>
      </c>
    </row>
    <row r="392" spans="1:12" x14ac:dyDescent="0.25">
      <c r="A392" s="40" t="s">
        <v>40</v>
      </c>
      <c r="B392" s="40" t="s">
        <v>640</v>
      </c>
      <c r="C392" s="40" t="s">
        <v>641</v>
      </c>
      <c r="D392" s="40" t="s">
        <v>627</v>
      </c>
      <c r="E392" s="40" t="s">
        <v>628</v>
      </c>
      <c r="F392" s="40">
        <v>1</v>
      </c>
      <c r="G392" s="40"/>
      <c r="H392" s="40" t="s">
        <v>629</v>
      </c>
      <c r="I392" s="40"/>
      <c r="J392" s="40">
        <v>0</v>
      </c>
      <c r="K392" s="40">
        <v>0</v>
      </c>
      <c r="L392" s="40">
        <v>1</v>
      </c>
    </row>
    <row r="393" spans="1:12" x14ac:dyDescent="0.25">
      <c r="A393" s="40" t="s">
        <v>40</v>
      </c>
      <c r="B393" s="40" t="s">
        <v>642</v>
      </c>
      <c r="C393" s="40" t="s">
        <v>643</v>
      </c>
      <c r="D393" s="40" t="s">
        <v>627</v>
      </c>
      <c r="E393" s="40" t="s">
        <v>628</v>
      </c>
      <c r="F393" s="40">
        <v>1</v>
      </c>
      <c r="G393" s="40"/>
      <c r="H393" s="40" t="s">
        <v>629</v>
      </c>
      <c r="I393" s="40"/>
      <c r="J393" s="40">
        <v>0</v>
      </c>
      <c r="K393" s="40">
        <v>0</v>
      </c>
      <c r="L393" s="40">
        <v>1</v>
      </c>
    </row>
    <row r="394" spans="1:12" x14ac:dyDescent="0.25">
      <c r="A394" s="40" t="s">
        <v>40</v>
      </c>
      <c r="B394" s="40" t="s">
        <v>644</v>
      </c>
      <c r="C394" s="40" t="s">
        <v>645</v>
      </c>
      <c r="D394" s="40" t="s">
        <v>627</v>
      </c>
      <c r="E394" s="40" t="s">
        <v>628</v>
      </c>
      <c r="F394" s="40">
        <v>1</v>
      </c>
      <c r="G394" s="40"/>
      <c r="H394" s="40" t="s">
        <v>629</v>
      </c>
      <c r="I394" s="40"/>
      <c r="J394" s="40">
        <v>0</v>
      </c>
      <c r="K394" s="40">
        <v>0</v>
      </c>
      <c r="L394" s="40">
        <v>1</v>
      </c>
    </row>
    <row r="395" spans="1:12" x14ac:dyDescent="0.25">
      <c r="A395" s="40" t="s">
        <v>40</v>
      </c>
      <c r="B395" s="40" t="s">
        <v>646</v>
      </c>
      <c r="C395" s="40" t="s">
        <v>647</v>
      </c>
      <c r="D395" s="40" t="s">
        <v>627</v>
      </c>
      <c r="E395" s="40" t="s">
        <v>628</v>
      </c>
      <c r="F395" s="40">
        <v>1</v>
      </c>
      <c r="G395" s="40"/>
      <c r="H395" s="40" t="s">
        <v>629</v>
      </c>
      <c r="I395" s="40"/>
      <c r="J395" s="40">
        <v>0</v>
      </c>
      <c r="K395" s="40">
        <v>0</v>
      </c>
      <c r="L395" s="40">
        <v>1</v>
      </c>
    </row>
    <row r="396" spans="1:12" x14ac:dyDescent="0.25">
      <c r="A396" s="40" t="s">
        <v>40</v>
      </c>
      <c r="B396" s="40" t="s">
        <v>648</v>
      </c>
      <c r="C396" s="40" t="s">
        <v>649</v>
      </c>
      <c r="D396" s="40" t="s">
        <v>627</v>
      </c>
      <c r="E396" s="40" t="s">
        <v>628</v>
      </c>
      <c r="F396" s="40">
        <v>1</v>
      </c>
      <c r="G396" s="40"/>
      <c r="H396" s="40" t="s">
        <v>629</v>
      </c>
      <c r="I396" s="40"/>
      <c r="J396" s="40">
        <v>0</v>
      </c>
      <c r="K396" s="40">
        <v>0</v>
      </c>
      <c r="L396" s="40">
        <v>1</v>
      </c>
    </row>
    <row r="397" spans="1:12" x14ac:dyDescent="0.25">
      <c r="A397" s="40" t="s">
        <v>40</v>
      </c>
      <c r="B397" s="40" t="s">
        <v>650</v>
      </c>
      <c r="C397" s="40" t="s">
        <v>651</v>
      </c>
      <c r="D397" s="40" t="s">
        <v>560</v>
      </c>
      <c r="E397" s="40" t="s">
        <v>560</v>
      </c>
      <c r="F397" s="40">
        <v>0</v>
      </c>
      <c r="G397" s="40"/>
      <c r="H397" s="40" t="s">
        <v>652</v>
      </c>
      <c r="I397" s="40"/>
      <c r="J397" s="40">
        <v>0</v>
      </c>
      <c r="K397" s="40">
        <v>0</v>
      </c>
      <c r="L397" s="40">
        <v>1</v>
      </c>
    </row>
    <row r="398" spans="1:12" x14ac:dyDescent="0.25">
      <c r="A398" s="40" t="s">
        <v>40</v>
      </c>
      <c r="B398" s="40" t="s">
        <v>653</v>
      </c>
      <c r="C398" s="40" t="s">
        <v>654</v>
      </c>
      <c r="D398" s="40" t="s">
        <v>560</v>
      </c>
      <c r="E398" s="40" t="s">
        <v>560</v>
      </c>
      <c r="F398" s="40">
        <v>0</v>
      </c>
      <c r="G398" s="40"/>
      <c r="H398" s="40" t="s">
        <v>652</v>
      </c>
      <c r="I398" s="40"/>
      <c r="J398" s="40">
        <v>0</v>
      </c>
      <c r="K398" s="40">
        <v>0</v>
      </c>
      <c r="L398" s="40">
        <v>1</v>
      </c>
    </row>
    <row r="399" spans="1:12" x14ac:dyDescent="0.25">
      <c r="A399" s="40" t="s">
        <v>40</v>
      </c>
      <c r="B399" s="40" t="s">
        <v>655</v>
      </c>
      <c r="C399" s="40" t="s">
        <v>656</v>
      </c>
      <c r="D399" s="40" t="s">
        <v>560</v>
      </c>
      <c r="E399" s="40" t="s">
        <v>560</v>
      </c>
      <c r="F399" s="40">
        <v>0</v>
      </c>
      <c r="G399" s="40"/>
      <c r="H399" s="40" t="s">
        <v>652</v>
      </c>
      <c r="I399" s="40"/>
      <c r="J399" s="40">
        <v>0</v>
      </c>
      <c r="K399" s="40">
        <v>0</v>
      </c>
      <c r="L399" s="40">
        <v>1</v>
      </c>
    </row>
    <row r="400" spans="1:12" x14ac:dyDescent="0.25">
      <c r="A400" s="40" t="s">
        <v>40</v>
      </c>
      <c r="B400" s="40" t="s">
        <v>657</v>
      </c>
      <c r="C400" s="40" t="s">
        <v>658</v>
      </c>
      <c r="D400" s="40" t="s">
        <v>560</v>
      </c>
      <c r="E400" s="40" t="s">
        <v>560</v>
      </c>
      <c r="F400" s="40">
        <v>0</v>
      </c>
      <c r="G400" s="40"/>
      <c r="H400" s="40" t="s">
        <v>652</v>
      </c>
      <c r="I400" s="40"/>
      <c r="J400" s="40">
        <v>0</v>
      </c>
      <c r="K400" s="40">
        <v>0</v>
      </c>
      <c r="L400" s="40">
        <v>1</v>
      </c>
    </row>
    <row r="401" spans="1:12" x14ac:dyDescent="0.25">
      <c r="A401" s="40" t="s">
        <v>40</v>
      </c>
      <c r="B401" s="40" t="s">
        <v>659</v>
      </c>
      <c r="C401" s="40" t="s">
        <v>660</v>
      </c>
      <c r="D401" s="40" t="s">
        <v>560</v>
      </c>
      <c r="E401" s="40" t="s">
        <v>560</v>
      </c>
      <c r="F401" s="40">
        <v>0</v>
      </c>
      <c r="G401" s="40"/>
      <c r="H401" s="40" t="s">
        <v>652</v>
      </c>
      <c r="I401" s="40"/>
      <c r="J401" s="40">
        <v>0</v>
      </c>
      <c r="K401" s="40">
        <v>0</v>
      </c>
      <c r="L401" s="40">
        <v>1</v>
      </c>
    </row>
    <row r="402" spans="1:12" x14ac:dyDescent="0.25">
      <c r="A402" s="40" t="s">
        <v>40</v>
      </c>
      <c r="B402" s="40" t="s">
        <v>661</v>
      </c>
      <c r="C402" s="40" t="s">
        <v>662</v>
      </c>
      <c r="D402" s="40" t="s">
        <v>560</v>
      </c>
      <c r="E402" s="40" t="s">
        <v>560</v>
      </c>
      <c r="F402" s="40">
        <v>0</v>
      </c>
      <c r="G402" s="40"/>
      <c r="H402" s="40" t="s">
        <v>652</v>
      </c>
      <c r="I402" s="40"/>
      <c r="J402" s="40">
        <v>0</v>
      </c>
      <c r="K402" s="40">
        <v>0</v>
      </c>
      <c r="L402" s="40">
        <v>1</v>
      </c>
    </row>
    <row r="403" spans="1:12" x14ac:dyDescent="0.25">
      <c r="A403" s="40" t="s">
        <v>40</v>
      </c>
      <c r="B403" s="40" t="s">
        <v>663</v>
      </c>
      <c r="C403" s="40" t="s">
        <v>664</v>
      </c>
      <c r="D403" s="40" t="s">
        <v>560</v>
      </c>
      <c r="E403" s="40" t="s">
        <v>560</v>
      </c>
      <c r="F403" s="40">
        <v>0</v>
      </c>
      <c r="G403" s="40"/>
      <c r="H403" s="40" t="s">
        <v>652</v>
      </c>
      <c r="I403" s="40"/>
      <c r="J403" s="40">
        <v>0</v>
      </c>
      <c r="K403" s="40">
        <v>0</v>
      </c>
      <c r="L403" s="40">
        <v>1</v>
      </c>
    </row>
    <row r="404" spans="1:12" x14ac:dyDescent="0.25">
      <c r="A404" s="40" t="s">
        <v>40</v>
      </c>
      <c r="B404" s="40" t="s">
        <v>665</v>
      </c>
      <c r="C404" s="40" t="s">
        <v>666</v>
      </c>
      <c r="D404" s="40" t="s">
        <v>560</v>
      </c>
      <c r="E404" s="40" t="s">
        <v>560</v>
      </c>
      <c r="F404" s="40">
        <v>0</v>
      </c>
      <c r="G404" s="40"/>
      <c r="H404" s="40" t="s">
        <v>652</v>
      </c>
      <c r="I404" s="40"/>
      <c r="J404" s="40">
        <v>0</v>
      </c>
      <c r="K404" s="40">
        <v>0</v>
      </c>
      <c r="L404" s="40">
        <v>1</v>
      </c>
    </row>
    <row r="405" spans="1:12" x14ac:dyDescent="0.25">
      <c r="A405" s="40" t="s">
        <v>40</v>
      </c>
      <c r="B405" s="40" t="s">
        <v>667</v>
      </c>
      <c r="C405" s="40" t="s">
        <v>668</v>
      </c>
      <c r="D405" s="40" t="s">
        <v>560</v>
      </c>
      <c r="E405" s="40" t="s">
        <v>560</v>
      </c>
      <c r="F405" s="40">
        <v>0</v>
      </c>
      <c r="G405" s="40"/>
      <c r="H405" s="40" t="s">
        <v>652</v>
      </c>
      <c r="I405" s="40"/>
      <c r="J405" s="40">
        <v>0</v>
      </c>
      <c r="K405" s="40">
        <v>0</v>
      </c>
      <c r="L405" s="40">
        <v>1</v>
      </c>
    </row>
    <row r="406" spans="1:12" x14ac:dyDescent="0.25">
      <c r="A406" s="40" t="s">
        <v>40</v>
      </c>
      <c r="B406" s="40" t="s">
        <v>669</v>
      </c>
      <c r="C406" s="40" t="s">
        <v>670</v>
      </c>
      <c r="D406" s="40" t="s">
        <v>560</v>
      </c>
      <c r="E406" s="40" t="s">
        <v>560</v>
      </c>
      <c r="F406" s="40">
        <v>0</v>
      </c>
      <c r="G406" s="40"/>
      <c r="H406" s="40" t="s">
        <v>652</v>
      </c>
      <c r="I406" s="40"/>
      <c r="J406" s="40">
        <v>0</v>
      </c>
      <c r="K406" s="40">
        <v>0</v>
      </c>
      <c r="L406" s="40">
        <v>1</v>
      </c>
    </row>
    <row r="407" spans="1:12" x14ac:dyDescent="0.25">
      <c r="A407" s="40" t="s">
        <v>40</v>
      </c>
      <c r="B407" s="40" t="s">
        <v>671</v>
      </c>
      <c r="C407" s="40" t="s">
        <v>672</v>
      </c>
      <c r="D407" s="40" t="s">
        <v>560</v>
      </c>
      <c r="E407" s="40" t="s">
        <v>560</v>
      </c>
      <c r="F407" s="40">
        <v>0</v>
      </c>
      <c r="G407" s="40"/>
      <c r="H407" s="40" t="s">
        <v>652</v>
      </c>
      <c r="I407" s="40"/>
      <c r="J407" s="40">
        <v>0</v>
      </c>
      <c r="K407" s="40">
        <v>0</v>
      </c>
      <c r="L407" s="40">
        <v>1</v>
      </c>
    </row>
    <row r="408" spans="1:12" x14ac:dyDescent="0.25">
      <c r="A408" s="40" t="s">
        <v>40</v>
      </c>
      <c r="B408" s="40" t="s">
        <v>673</v>
      </c>
      <c r="C408" s="40" t="s">
        <v>674</v>
      </c>
      <c r="D408" s="40" t="s">
        <v>675</v>
      </c>
      <c r="E408" s="40" t="s">
        <v>493</v>
      </c>
      <c r="F408" s="40">
        <v>1</v>
      </c>
      <c r="G408" s="40"/>
      <c r="H408" s="40" t="s">
        <v>482</v>
      </c>
      <c r="I408" s="40"/>
      <c r="J408" s="40">
        <v>0</v>
      </c>
      <c r="K408" s="40">
        <v>0</v>
      </c>
      <c r="L408" s="40">
        <v>0</v>
      </c>
    </row>
    <row r="409" spans="1:12" x14ac:dyDescent="0.25">
      <c r="A409" s="40" t="s">
        <v>40</v>
      </c>
      <c r="B409" s="40" t="s">
        <v>676</v>
      </c>
      <c r="C409" s="40" t="s">
        <v>677</v>
      </c>
      <c r="D409" s="40" t="s">
        <v>1272</v>
      </c>
      <c r="E409" s="40" t="s">
        <v>493</v>
      </c>
      <c r="F409" s="40">
        <v>1</v>
      </c>
      <c r="G409" s="40"/>
      <c r="H409" s="40" t="s">
        <v>482</v>
      </c>
      <c r="I409" s="40"/>
      <c r="J409" s="40">
        <v>0</v>
      </c>
      <c r="K409" s="40">
        <v>0</v>
      </c>
      <c r="L409" s="40">
        <v>0</v>
      </c>
    </row>
    <row r="410" spans="1:12" x14ac:dyDescent="0.25">
      <c r="A410" s="40" t="s">
        <v>40</v>
      </c>
      <c r="B410" s="40" t="s">
        <v>678</v>
      </c>
      <c r="C410" s="40" t="s">
        <v>679</v>
      </c>
      <c r="D410" s="40" t="s">
        <v>493</v>
      </c>
      <c r="E410" s="40" t="s">
        <v>493</v>
      </c>
      <c r="F410" s="40">
        <v>0</v>
      </c>
      <c r="G410" s="40"/>
      <c r="H410" s="40" t="s">
        <v>482</v>
      </c>
      <c r="I410" s="40"/>
      <c r="J410" s="40">
        <v>0</v>
      </c>
      <c r="K410" s="40">
        <v>0</v>
      </c>
      <c r="L410" s="40">
        <v>0</v>
      </c>
    </row>
    <row r="411" spans="1:12" x14ac:dyDescent="0.25">
      <c r="A411" s="40" t="s">
        <v>40</v>
      </c>
      <c r="B411" s="40" t="s">
        <v>681</v>
      </c>
      <c r="C411" s="40" t="s">
        <v>682</v>
      </c>
      <c r="D411" s="40" t="s">
        <v>1273</v>
      </c>
      <c r="E411" s="40" t="s">
        <v>493</v>
      </c>
      <c r="F411" s="40">
        <v>1</v>
      </c>
      <c r="G411" s="40"/>
      <c r="H411" s="40" t="s">
        <v>482</v>
      </c>
      <c r="I411" s="40"/>
      <c r="J411" s="40">
        <v>0</v>
      </c>
      <c r="K411" s="40">
        <v>0</v>
      </c>
      <c r="L411" s="40">
        <v>0</v>
      </c>
    </row>
    <row r="412" spans="1:12" x14ac:dyDescent="0.25">
      <c r="A412" s="40" t="s">
        <v>40</v>
      </c>
      <c r="B412" s="40" t="s">
        <v>684</v>
      </c>
      <c r="C412" s="40" t="s">
        <v>685</v>
      </c>
      <c r="D412" s="40" t="s">
        <v>493</v>
      </c>
      <c r="E412" s="40" t="s">
        <v>493</v>
      </c>
      <c r="F412" s="40">
        <v>0</v>
      </c>
      <c r="G412" s="40"/>
      <c r="H412" s="40" t="s">
        <v>482</v>
      </c>
      <c r="I412" s="40"/>
      <c r="J412" s="40">
        <v>0</v>
      </c>
      <c r="K412" s="40">
        <v>0</v>
      </c>
      <c r="L412" s="40">
        <v>0</v>
      </c>
    </row>
    <row r="413" spans="1:12" x14ac:dyDescent="0.25">
      <c r="A413" s="40" t="s">
        <v>40</v>
      </c>
      <c r="B413" s="40" t="s">
        <v>686</v>
      </c>
      <c r="C413" s="40" t="s">
        <v>687</v>
      </c>
      <c r="D413" s="40" t="s">
        <v>688</v>
      </c>
      <c r="E413" s="40" t="s">
        <v>688</v>
      </c>
      <c r="F413" s="40">
        <v>0</v>
      </c>
      <c r="G413" s="40"/>
      <c r="H413" s="40" t="s">
        <v>482</v>
      </c>
      <c r="I413" s="40"/>
      <c r="J413" s="40">
        <v>0</v>
      </c>
      <c r="K413" s="40">
        <v>0</v>
      </c>
      <c r="L413" s="40">
        <v>0</v>
      </c>
    </row>
    <row r="414" spans="1:12" x14ac:dyDescent="0.25">
      <c r="A414" s="40" t="s">
        <v>40</v>
      </c>
      <c r="B414" s="40" t="s">
        <v>689</v>
      </c>
      <c r="C414" s="40" t="s">
        <v>690</v>
      </c>
      <c r="D414" s="40" t="s">
        <v>691</v>
      </c>
      <c r="E414" s="40" t="s">
        <v>691</v>
      </c>
      <c r="F414" s="40">
        <v>0</v>
      </c>
      <c r="G414" s="40"/>
      <c r="H414" s="40" t="s">
        <v>482</v>
      </c>
      <c r="I414" s="40"/>
      <c r="J414" s="40">
        <v>0</v>
      </c>
      <c r="K414" s="40">
        <v>0</v>
      </c>
      <c r="L414" s="40">
        <v>0</v>
      </c>
    </row>
    <row r="415" spans="1:12" x14ac:dyDescent="0.25">
      <c r="A415" s="40" t="s">
        <v>40</v>
      </c>
      <c r="B415" s="40" t="s">
        <v>692</v>
      </c>
      <c r="C415" s="40" t="s">
        <v>693</v>
      </c>
      <c r="D415" s="40" t="s">
        <v>694</v>
      </c>
      <c r="E415" s="40" t="s">
        <v>694</v>
      </c>
      <c r="F415" s="40">
        <v>0</v>
      </c>
      <c r="G415" s="40"/>
      <c r="H415" s="40" t="s">
        <v>482</v>
      </c>
      <c r="I415" s="40"/>
      <c r="J415" s="40">
        <v>0</v>
      </c>
      <c r="K415" s="40">
        <v>0</v>
      </c>
      <c r="L415" s="40">
        <v>0</v>
      </c>
    </row>
    <row r="416" spans="1:12" x14ac:dyDescent="0.25">
      <c r="A416" s="40" t="s">
        <v>40</v>
      </c>
      <c r="B416" s="40" t="s">
        <v>695</v>
      </c>
      <c r="C416" s="40" t="s">
        <v>696</v>
      </c>
      <c r="D416" s="40" t="s">
        <v>493</v>
      </c>
      <c r="E416" s="40" t="s">
        <v>493</v>
      </c>
      <c r="F416" s="40">
        <v>0</v>
      </c>
      <c r="G416" s="40"/>
      <c r="H416" s="40" t="s">
        <v>482</v>
      </c>
      <c r="I416" s="40"/>
      <c r="J416" s="40">
        <v>0</v>
      </c>
      <c r="K416" s="40">
        <v>0</v>
      </c>
      <c r="L416" s="40">
        <v>0</v>
      </c>
    </row>
    <row r="417" spans="1:12" x14ac:dyDescent="0.25">
      <c r="A417" s="40" t="s">
        <v>40</v>
      </c>
      <c r="B417" s="40" t="s">
        <v>697</v>
      </c>
      <c r="C417" s="40" t="s">
        <v>698</v>
      </c>
      <c r="D417" s="40" t="s">
        <v>699</v>
      </c>
      <c r="E417" s="40" t="s">
        <v>699</v>
      </c>
      <c r="F417" s="40">
        <v>0</v>
      </c>
      <c r="G417" s="40"/>
      <c r="H417" s="40" t="s">
        <v>482</v>
      </c>
      <c r="I417" s="40"/>
      <c r="J417" s="40">
        <v>0</v>
      </c>
      <c r="K417" s="40">
        <v>0</v>
      </c>
      <c r="L417" s="40">
        <v>0</v>
      </c>
    </row>
    <row r="418" spans="1:12" x14ac:dyDescent="0.25">
      <c r="A418" s="40" t="s">
        <v>40</v>
      </c>
      <c r="B418" s="40" t="s">
        <v>700</v>
      </c>
      <c r="C418" s="40" t="s">
        <v>701</v>
      </c>
      <c r="D418" s="40" t="s">
        <v>702</v>
      </c>
      <c r="E418" s="40" t="s">
        <v>703</v>
      </c>
      <c r="F418" s="40">
        <v>1</v>
      </c>
      <c r="G418" s="40"/>
      <c r="H418" s="40" t="s">
        <v>482</v>
      </c>
      <c r="I418" s="40"/>
      <c r="J418" s="40">
        <v>0</v>
      </c>
      <c r="K418" s="40">
        <v>0</v>
      </c>
      <c r="L418" s="40">
        <v>0</v>
      </c>
    </row>
    <row r="419" spans="1:12" x14ac:dyDescent="0.25">
      <c r="A419" s="40" t="s">
        <v>40</v>
      </c>
      <c r="B419" s="40" t="s">
        <v>704</v>
      </c>
      <c r="C419" s="40" t="s">
        <v>705</v>
      </c>
      <c r="D419" s="40" t="s">
        <v>706</v>
      </c>
      <c r="E419" s="40" t="s">
        <v>707</v>
      </c>
      <c r="F419" s="40">
        <v>1</v>
      </c>
      <c r="G419" s="40"/>
      <c r="H419" s="40" t="s">
        <v>482</v>
      </c>
      <c r="I419" s="40"/>
      <c r="J419" s="40">
        <v>0</v>
      </c>
      <c r="K419" s="40">
        <v>0</v>
      </c>
      <c r="L419" s="40">
        <v>0</v>
      </c>
    </row>
    <row r="420" spans="1:12" x14ac:dyDescent="0.25">
      <c r="A420" s="40" t="s">
        <v>40</v>
      </c>
      <c r="B420" s="40" t="s">
        <v>708</v>
      </c>
      <c r="C420" s="40" t="s">
        <v>709</v>
      </c>
      <c r="D420" s="40" t="s">
        <v>710</v>
      </c>
      <c r="E420" s="40" t="s">
        <v>710</v>
      </c>
      <c r="F420" s="40">
        <v>0</v>
      </c>
      <c r="G420" s="40"/>
      <c r="H420" s="40" t="s">
        <v>482</v>
      </c>
      <c r="I420" s="40"/>
      <c r="J420" s="40">
        <v>0</v>
      </c>
      <c r="K420" s="40">
        <v>0</v>
      </c>
      <c r="L420" s="40">
        <v>0</v>
      </c>
    </row>
    <row r="421" spans="1:12" x14ac:dyDescent="0.25">
      <c r="A421" s="40" t="s">
        <v>40</v>
      </c>
      <c r="B421" s="40" t="s">
        <v>711</v>
      </c>
      <c r="C421" s="40" t="s">
        <v>712</v>
      </c>
      <c r="D421" s="40" t="s">
        <v>713</v>
      </c>
      <c r="E421" s="40" t="s">
        <v>714</v>
      </c>
      <c r="F421" s="40">
        <v>1</v>
      </c>
      <c r="G421" s="40"/>
      <c r="H421" s="40" t="s">
        <v>482</v>
      </c>
      <c r="I421" s="40"/>
      <c r="J421" s="40">
        <v>0</v>
      </c>
      <c r="K421" s="40">
        <v>0</v>
      </c>
      <c r="L421" s="40">
        <v>0</v>
      </c>
    </row>
    <row r="422" spans="1:12" x14ac:dyDescent="0.25">
      <c r="A422" s="40" t="s">
        <v>40</v>
      </c>
      <c r="B422" s="40" t="s">
        <v>715</v>
      </c>
      <c r="C422" s="40" t="s">
        <v>716</v>
      </c>
      <c r="D422" s="40" t="s">
        <v>717</v>
      </c>
      <c r="E422" s="40" t="s">
        <v>717</v>
      </c>
      <c r="F422" s="40">
        <v>0</v>
      </c>
      <c r="G422" s="40"/>
      <c r="H422" s="40" t="s">
        <v>482</v>
      </c>
      <c r="I422" s="40"/>
      <c r="J422" s="40">
        <v>0</v>
      </c>
      <c r="K422" s="40">
        <v>0</v>
      </c>
      <c r="L422" s="40">
        <v>0</v>
      </c>
    </row>
    <row r="423" spans="1:12" x14ac:dyDescent="0.25">
      <c r="A423" s="40" t="s">
        <v>40</v>
      </c>
      <c r="B423" s="40" t="s">
        <v>718</v>
      </c>
      <c r="C423" s="40" t="s">
        <v>719</v>
      </c>
      <c r="D423" s="40" t="s">
        <v>493</v>
      </c>
      <c r="E423" s="40" t="s">
        <v>493</v>
      </c>
      <c r="F423" s="40">
        <v>0</v>
      </c>
      <c r="G423" s="40"/>
      <c r="H423" s="40" t="s">
        <v>482</v>
      </c>
      <c r="I423" s="40"/>
      <c r="J423" s="40">
        <v>0</v>
      </c>
      <c r="K423" s="40">
        <v>0</v>
      </c>
      <c r="L423" s="40">
        <v>0</v>
      </c>
    </row>
    <row r="424" spans="1:12" x14ac:dyDescent="0.25">
      <c r="A424" s="40" t="s">
        <v>40</v>
      </c>
      <c r="B424" s="40" t="s">
        <v>720</v>
      </c>
      <c r="C424" s="40" t="s">
        <v>721</v>
      </c>
      <c r="D424" s="40" t="s">
        <v>493</v>
      </c>
      <c r="E424" s="40" t="s">
        <v>493</v>
      </c>
      <c r="F424" s="40">
        <v>0</v>
      </c>
      <c r="G424" s="40"/>
      <c r="H424" s="40" t="s">
        <v>482</v>
      </c>
      <c r="I424" s="40"/>
      <c r="J424" s="40">
        <v>0</v>
      </c>
      <c r="K424" s="40">
        <v>0</v>
      </c>
      <c r="L424" s="40">
        <v>0</v>
      </c>
    </row>
    <row r="425" spans="1:12" x14ac:dyDescent="0.25">
      <c r="A425" s="40" t="s">
        <v>40</v>
      </c>
      <c r="B425" s="40" t="s">
        <v>722</v>
      </c>
      <c r="C425" s="40" t="s">
        <v>723</v>
      </c>
      <c r="D425" s="40" t="s">
        <v>493</v>
      </c>
      <c r="E425" s="40" t="s">
        <v>493</v>
      </c>
      <c r="F425" s="40">
        <v>0</v>
      </c>
      <c r="G425" s="40"/>
      <c r="H425" s="40" t="s">
        <v>482</v>
      </c>
      <c r="I425" s="40"/>
      <c r="J425" s="40">
        <v>0</v>
      </c>
      <c r="K425" s="40">
        <v>0</v>
      </c>
      <c r="L425" s="40">
        <v>0</v>
      </c>
    </row>
    <row r="426" spans="1:12" x14ac:dyDescent="0.25">
      <c r="A426" s="40" t="s">
        <v>40</v>
      </c>
      <c r="B426" s="40" t="s">
        <v>724</v>
      </c>
      <c r="C426" s="40" t="s">
        <v>725</v>
      </c>
      <c r="D426" s="40" t="s">
        <v>493</v>
      </c>
      <c r="E426" s="40" t="s">
        <v>493</v>
      </c>
      <c r="F426" s="40">
        <v>0</v>
      </c>
      <c r="G426" s="40"/>
      <c r="H426" s="40" t="s">
        <v>482</v>
      </c>
      <c r="I426" s="40"/>
      <c r="J426" s="40">
        <v>0</v>
      </c>
      <c r="K426" s="40">
        <v>0</v>
      </c>
      <c r="L426" s="40">
        <v>0</v>
      </c>
    </row>
    <row r="427" spans="1:12" x14ac:dyDescent="0.25">
      <c r="A427" s="40" t="s">
        <v>40</v>
      </c>
      <c r="B427" s="40" t="s">
        <v>726</v>
      </c>
      <c r="C427" s="40" t="s">
        <v>727</v>
      </c>
      <c r="D427" s="40" t="s">
        <v>728</v>
      </c>
      <c r="E427" s="40" t="s">
        <v>493</v>
      </c>
      <c r="F427" s="40">
        <v>1</v>
      </c>
      <c r="G427" s="40"/>
      <c r="H427" s="40" t="s">
        <v>482</v>
      </c>
      <c r="I427" s="40"/>
      <c r="J427" s="40">
        <v>0</v>
      </c>
      <c r="K427" s="40">
        <v>0</v>
      </c>
      <c r="L427" s="40">
        <v>0</v>
      </c>
    </row>
    <row r="428" spans="1:12" x14ac:dyDescent="0.25">
      <c r="A428" s="40" t="s">
        <v>40</v>
      </c>
      <c r="B428" s="40" t="s">
        <v>729</v>
      </c>
      <c r="C428" s="40" t="s">
        <v>730</v>
      </c>
      <c r="D428" s="40" t="s">
        <v>731</v>
      </c>
      <c r="E428" s="40" t="s">
        <v>732</v>
      </c>
      <c r="F428" s="40">
        <v>1</v>
      </c>
      <c r="G428" s="40"/>
      <c r="H428" s="40" t="s">
        <v>482</v>
      </c>
      <c r="I428" s="40"/>
      <c r="J428" s="40">
        <v>0</v>
      </c>
      <c r="K428" s="40">
        <v>0</v>
      </c>
      <c r="L428" s="40">
        <v>0</v>
      </c>
    </row>
    <row r="429" spans="1:12" x14ac:dyDescent="0.25">
      <c r="A429" s="40" t="s">
        <v>40</v>
      </c>
      <c r="B429" s="40" t="s">
        <v>733</v>
      </c>
      <c r="C429" s="40" t="s">
        <v>734</v>
      </c>
      <c r="D429" s="40" t="s">
        <v>735</v>
      </c>
      <c r="E429" s="40" t="s">
        <v>493</v>
      </c>
      <c r="F429" s="40">
        <v>1</v>
      </c>
      <c r="G429" s="40"/>
      <c r="H429" s="40" t="s">
        <v>482</v>
      </c>
      <c r="I429" s="40"/>
      <c r="J429" s="40">
        <v>0</v>
      </c>
      <c r="K429" s="40">
        <v>0</v>
      </c>
      <c r="L429" s="40">
        <v>0</v>
      </c>
    </row>
    <row r="430" spans="1:12" x14ac:dyDescent="0.25">
      <c r="A430" s="40" t="s">
        <v>40</v>
      </c>
      <c r="B430" s="40" t="s">
        <v>736</v>
      </c>
      <c r="C430" s="40" t="s">
        <v>737</v>
      </c>
      <c r="D430" s="40" t="s">
        <v>738</v>
      </c>
      <c r="E430" s="40" t="s">
        <v>738</v>
      </c>
      <c r="F430" s="40">
        <v>0</v>
      </c>
      <c r="G430" s="40"/>
      <c r="H430" s="40" t="s">
        <v>482</v>
      </c>
      <c r="I430" s="40"/>
      <c r="J430" s="40">
        <v>0</v>
      </c>
      <c r="K430" s="40">
        <v>0</v>
      </c>
      <c r="L430" s="40">
        <v>0</v>
      </c>
    </row>
    <row r="431" spans="1:12" x14ac:dyDescent="0.25">
      <c r="A431" s="40" t="s">
        <v>40</v>
      </c>
      <c r="B431" s="40" t="s">
        <v>739</v>
      </c>
      <c r="C431" s="40" t="s">
        <v>740</v>
      </c>
      <c r="D431" s="40" t="s">
        <v>738</v>
      </c>
      <c r="E431" s="40" t="s">
        <v>738</v>
      </c>
      <c r="F431" s="40">
        <v>0</v>
      </c>
      <c r="G431" s="40"/>
      <c r="H431" s="40" t="s">
        <v>482</v>
      </c>
      <c r="I431" s="40"/>
      <c r="J431" s="40">
        <v>0</v>
      </c>
      <c r="K431" s="40">
        <v>0</v>
      </c>
      <c r="L431" s="40">
        <v>0</v>
      </c>
    </row>
    <row r="432" spans="1:12" x14ac:dyDescent="0.25">
      <c r="A432" s="40" t="s">
        <v>40</v>
      </c>
      <c r="B432" s="40" t="s">
        <v>741</v>
      </c>
      <c r="C432" s="40" t="s">
        <v>742</v>
      </c>
      <c r="D432" s="40" t="s">
        <v>743</v>
      </c>
      <c r="E432" s="40" t="s">
        <v>743</v>
      </c>
      <c r="F432" s="40">
        <v>0</v>
      </c>
      <c r="G432" s="40"/>
      <c r="H432" s="40" t="s">
        <v>482</v>
      </c>
      <c r="I432" s="40"/>
      <c r="J432" s="40">
        <v>0</v>
      </c>
      <c r="K432" s="40">
        <v>0</v>
      </c>
      <c r="L432" s="40">
        <v>0</v>
      </c>
    </row>
    <row r="433" spans="1:12" x14ac:dyDescent="0.25">
      <c r="A433" s="40" t="s">
        <v>40</v>
      </c>
      <c r="B433" s="40" t="s">
        <v>744</v>
      </c>
      <c r="C433" s="40" t="s">
        <v>745</v>
      </c>
      <c r="D433" s="40" t="s">
        <v>738</v>
      </c>
      <c r="E433" s="40" t="s">
        <v>738</v>
      </c>
      <c r="F433" s="40">
        <v>0</v>
      </c>
      <c r="G433" s="40"/>
      <c r="H433" s="40" t="s">
        <v>482</v>
      </c>
      <c r="I433" s="40"/>
      <c r="J433" s="40">
        <v>0</v>
      </c>
      <c r="K433" s="40">
        <v>0</v>
      </c>
      <c r="L433" s="40">
        <v>0</v>
      </c>
    </row>
    <row r="434" spans="1:12" x14ac:dyDescent="0.25">
      <c r="A434" s="40" t="s">
        <v>40</v>
      </c>
      <c r="B434" s="40" t="s">
        <v>746</v>
      </c>
      <c r="C434" s="40" t="s">
        <v>747</v>
      </c>
      <c r="D434" s="40" t="s">
        <v>743</v>
      </c>
      <c r="E434" s="40" t="s">
        <v>743</v>
      </c>
      <c r="F434" s="40">
        <v>0</v>
      </c>
      <c r="G434" s="40"/>
      <c r="H434" s="40" t="s">
        <v>482</v>
      </c>
      <c r="I434" s="40"/>
      <c r="J434" s="40">
        <v>0</v>
      </c>
      <c r="K434" s="40">
        <v>0</v>
      </c>
      <c r="L434" s="40">
        <v>0</v>
      </c>
    </row>
    <row r="435" spans="1:12" x14ac:dyDescent="0.25">
      <c r="A435" s="40" t="s">
        <v>40</v>
      </c>
      <c r="B435" s="40" t="s">
        <v>748</v>
      </c>
      <c r="C435" s="40" t="s">
        <v>749</v>
      </c>
      <c r="D435" s="40" t="s">
        <v>743</v>
      </c>
      <c r="E435" s="40" t="s">
        <v>743</v>
      </c>
      <c r="F435" s="40">
        <v>0</v>
      </c>
      <c r="G435" s="40"/>
      <c r="H435" s="40" t="s">
        <v>482</v>
      </c>
      <c r="I435" s="40"/>
      <c r="J435" s="40">
        <v>0</v>
      </c>
      <c r="K435" s="40">
        <v>0</v>
      </c>
      <c r="L435" s="40">
        <v>0</v>
      </c>
    </row>
    <row r="436" spans="1:12" x14ac:dyDescent="0.25">
      <c r="A436" s="40" t="s">
        <v>40</v>
      </c>
      <c r="B436" s="40" t="s">
        <v>750</v>
      </c>
      <c r="C436" s="40" t="s">
        <v>751</v>
      </c>
      <c r="D436" s="40" t="s">
        <v>743</v>
      </c>
      <c r="E436" s="40" t="s">
        <v>743</v>
      </c>
      <c r="F436" s="40">
        <v>0</v>
      </c>
      <c r="G436" s="40"/>
      <c r="H436" s="40" t="s">
        <v>482</v>
      </c>
      <c r="I436" s="40"/>
      <c r="J436" s="40">
        <v>0</v>
      </c>
      <c r="K436" s="40">
        <v>0</v>
      </c>
      <c r="L436" s="40">
        <v>0</v>
      </c>
    </row>
    <row r="437" spans="1:12" x14ac:dyDescent="0.25">
      <c r="A437" s="40" t="s">
        <v>40</v>
      </c>
      <c r="B437" s="40" t="s">
        <v>752</v>
      </c>
      <c r="C437" s="40" t="s">
        <v>753</v>
      </c>
      <c r="D437" s="40" t="s">
        <v>754</v>
      </c>
      <c r="E437" s="40" t="s">
        <v>754</v>
      </c>
      <c r="F437" s="40">
        <v>0</v>
      </c>
      <c r="G437" s="40"/>
      <c r="H437" s="40" t="s">
        <v>482</v>
      </c>
      <c r="I437" s="40"/>
      <c r="J437" s="40">
        <v>0</v>
      </c>
      <c r="K437" s="40">
        <v>0</v>
      </c>
      <c r="L437" s="40">
        <v>0</v>
      </c>
    </row>
    <row r="438" spans="1:12" x14ac:dyDescent="0.25">
      <c r="A438" s="40" t="s">
        <v>40</v>
      </c>
      <c r="B438" s="40" t="s">
        <v>755</v>
      </c>
      <c r="C438" s="40" t="s">
        <v>756</v>
      </c>
      <c r="D438" s="40" t="s">
        <v>757</v>
      </c>
      <c r="E438" s="40" t="s">
        <v>757</v>
      </c>
      <c r="F438" s="40">
        <v>0</v>
      </c>
      <c r="G438" s="40"/>
      <c r="H438" s="40" t="s">
        <v>482</v>
      </c>
      <c r="I438" s="40"/>
      <c r="J438" s="40">
        <v>0</v>
      </c>
      <c r="K438" s="40">
        <v>0</v>
      </c>
      <c r="L438" s="40">
        <v>0</v>
      </c>
    </row>
    <row r="439" spans="1:12" x14ac:dyDescent="0.25">
      <c r="A439" s="40" t="s">
        <v>40</v>
      </c>
      <c r="B439" s="40" t="s">
        <v>758</v>
      </c>
      <c r="C439" s="40" t="s">
        <v>759</v>
      </c>
      <c r="D439" s="40" t="s">
        <v>738</v>
      </c>
      <c r="E439" s="40" t="s">
        <v>738</v>
      </c>
      <c r="F439" s="40">
        <v>0</v>
      </c>
      <c r="G439" s="40"/>
      <c r="H439" s="40" t="s">
        <v>482</v>
      </c>
      <c r="I439" s="40"/>
      <c r="J439" s="40">
        <v>0</v>
      </c>
      <c r="K439" s="40">
        <v>0</v>
      </c>
      <c r="L439" s="40">
        <v>0</v>
      </c>
    </row>
    <row r="440" spans="1:12" x14ac:dyDescent="0.25">
      <c r="A440" s="40" t="s">
        <v>40</v>
      </c>
      <c r="B440" s="40" t="s">
        <v>760</v>
      </c>
      <c r="C440" s="40" t="s">
        <v>761</v>
      </c>
      <c r="D440" s="40" t="s">
        <v>762</v>
      </c>
      <c r="E440" s="40" t="s">
        <v>762</v>
      </c>
      <c r="F440" s="40">
        <v>0</v>
      </c>
      <c r="G440" s="40"/>
      <c r="H440" s="40" t="s">
        <v>482</v>
      </c>
      <c r="I440" s="40"/>
      <c r="J440" s="40">
        <v>0</v>
      </c>
      <c r="K440" s="40">
        <v>0</v>
      </c>
      <c r="L440" s="40">
        <v>0</v>
      </c>
    </row>
    <row r="441" spans="1:12" x14ac:dyDescent="0.25">
      <c r="A441" s="40" t="s">
        <v>40</v>
      </c>
      <c r="B441" s="40" t="s">
        <v>763</v>
      </c>
      <c r="C441" s="40" t="s">
        <v>764</v>
      </c>
      <c r="D441" s="40" t="s">
        <v>738</v>
      </c>
      <c r="E441" s="40" t="s">
        <v>738</v>
      </c>
      <c r="F441" s="40">
        <v>0</v>
      </c>
      <c r="G441" s="40"/>
      <c r="H441" s="40" t="s">
        <v>482</v>
      </c>
      <c r="I441" s="40"/>
      <c r="J441" s="40">
        <v>0</v>
      </c>
      <c r="K441" s="40">
        <v>0</v>
      </c>
      <c r="L441" s="40">
        <v>0</v>
      </c>
    </row>
    <row r="442" spans="1:12" x14ac:dyDescent="0.25">
      <c r="A442" s="40" t="s">
        <v>40</v>
      </c>
      <c r="B442" s="40" t="s">
        <v>765</v>
      </c>
      <c r="C442" s="40" t="s">
        <v>766</v>
      </c>
      <c r="D442" s="40" t="s">
        <v>767</v>
      </c>
      <c r="E442" s="40" t="s">
        <v>767</v>
      </c>
      <c r="F442" s="40">
        <v>0</v>
      </c>
      <c r="G442" s="40"/>
      <c r="H442" s="40" t="s">
        <v>482</v>
      </c>
      <c r="I442" s="40"/>
      <c r="J442" s="40">
        <v>0</v>
      </c>
      <c r="K442" s="40">
        <v>0</v>
      </c>
      <c r="L442" s="40">
        <v>0</v>
      </c>
    </row>
    <row r="443" spans="1:12" x14ac:dyDescent="0.25">
      <c r="A443" s="40" t="s">
        <v>40</v>
      </c>
      <c r="B443" s="40" t="s">
        <v>768</v>
      </c>
      <c r="C443" s="40" t="s">
        <v>769</v>
      </c>
      <c r="D443" s="40" t="s">
        <v>770</v>
      </c>
      <c r="E443" s="40" t="s">
        <v>770</v>
      </c>
      <c r="F443" s="40">
        <v>0</v>
      </c>
      <c r="G443" s="40"/>
      <c r="H443" s="40" t="s">
        <v>482</v>
      </c>
      <c r="I443" s="40"/>
      <c r="J443" s="40">
        <v>0</v>
      </c>
      <c r="K443" s="40">
        <v>0</v>
      </c>
      <c r="L443" s="40">
        <v>0</v>
      </c>
    </row>
    <row r="444" spans="1:12" x14ac:dyDescent="0.25">
      <c r="A444" s="40" t="s">
        <v>40</v>
      </c>
      <c r="B444" s="40" t="s">
        <v>771</v>
      </c>
      <c r="C444" s="40" t="s">
        <v>772</v>
      </c>
      <c r="D444" s="40" t="s">
        <v>770</v>
      </c>
      <c r="E444" s="40" t="s">
        <v>770</v>
      </c>
      <c r="F444" s="40">
        <v>0</v>
      </c>
      <c r="G444" s="40"/>
      <c r="H444" s="40" t="s">
        <v>482</v>
      </c>
      <c r="I444" s="40"/>
      <c r="J444" s="40">
        <v>0</v>
      </c>
      <c r="K444" s="40">
        <v>0</v>
      </c>
      <c r="L444" s="40">
        <v>0</v>
      </c>
    </row>
    <row r="445" spans="1:12" x14ac:dyDescent="0.25">
      <c r="A445" s="40" t="s">
        <v>40</v>
      </c>
      <c r="B445" s="40" t="s">
        <v>773</v>
      </c>
      <c r="C445" s="40" t="s">
        <v>774</v>
      </c>
      <c r="D445" s="40" t="s">
        <v>743</v>
      </c>
      <c r="E445" s="40" t="s">
        <v>743</v>
      </c>
      <c r="F445" s="40">
        <v>0</v>
      </c>
      <c r="G445" s="40"/>
      <c r="H445" s="40" t="s">
        <v>482</v>
      </c>
      <c r="I445" s="40"/>
      <c r="J445" s="40">
        <v>0</v>
      </c>
      <c r="K445" s="40">
        <v>0</v>
      </c>
      <c r="L445" s="40">
        <v>0</v>
      </c>
    </row>
    <row r="446" spans="1:12" x14ac:dyDescent="0.25">
      <c r="A446" s="40" t="s">
        <v>40</v>
      </c>
      <c r="B446" s="40" t="s">
        <v>775</v>
      </c>
      <c r="C446" s="40" t="s">
        <v>776</v>
      </c>
      <c r="D446" s="40" t="s">
        <v>738</v>
      </c>
      <c r="E446" s="40" t="s">
        <v>738</v>
      </c>
      <c r="F446" s="40">
        <v>0</v>
      </c>
      <c r="G446" s="40"/>
      <c r="H446" s="40" t="s">
        <v>482</v>
      </c>
      <c r="I446" s="40"/>
      <c r="J446" s="40">
        <v>0</v>
      </c>
      <c r="K446" s="40">
        <v>0</v>
      </c>
      <c r="L446" s="40">
        <v>0</v>
      </c>
    </row>
    <row r="447" spans="1:12" x14ac:dyDescent="0.25">
      <c r="A447" s="40" t="s">
        <v>40</v>
      </c>
      <c r="B447" s="40" t="s">
        <v>777</v>
      </c>
      <c r="C447" s="40" t="s">
        <v>778</v>
      </c>
      <c r="D447" s="40" t="s">
        <v>779</v>
      </c>
      <c r="E447" s="40" t="s">
        <v>779</v>
      </c>
      <c r="F447" s="40">
        <v>0</v>
      </c>
      <c r="G447" s="40"/>
      <c r="H447" s="40" t="s">
        <v>482</v>
      </c>
      <c r="I447" s="40"/>
      <c r="J447" s="40">
        <v>0</v>
      </c>
      <c r="K447" s="40">
        <v>0</v>
      </c>
      <c r="L447" s="40">
        <v>0</v>
      </c>
    </row>
    <row r="448" spans="1:12" x14ac:dyDescent="0.25">
      <c r="A448" s="40" t="s">
        <v>40</v>
      </c>
      <c r="B448" s="40" t="s">
        <v>780</v>
      </c>
      <c r="C448" s="40" t="s">
        <v>781</v>
      </c>
      <c r="D448" s="40" t="s">
        <v>782</v>
      </c>
      <c r="E448" s="40" t="s">
        <v>782</v>
      </c>
      <c r="F448" s="40">
        <v>0</v>
      </c>
      <c r="G448" s="40"/>
      <c r="H448" s="40" t="s">
        <v>482</v>
      </c>
      <c r="I448" s="40"/>
      <c r="J448" s="40">
        <v>0</v>
      </c>
      <c r="K448" s="40">
        <v>0</v>
      </c>
      <c r="L448" s="40">
        <v>0</v>
      </c>
    </row>
    <row r="449" spans="1:12" x14ac:dyDescent="0.25">
      <c r="A449" s="40" t="s">
        <v>40</v>
      </c>
      <c r="B449" s="40" t="s">
        <v>783</v>
      </c>
      <c r="C449" s="40" t="s">
        <v>784</v>
      </c>
      <c r="D449" s="40" t="s">
        <v>1274</v>
      </c>
      <c r="E449" s="40" t="s">
        <v>493</v>
      </c>
      <c r="F449" s="40">
        <v>1</v>
      </c>
      <c r="G449" s="40"/>
      <c r="H449" s="40" t="s">
        <v>482</v>
      </c>
      <c r="I449" s="40"/>
      <c r="J449" s="40">
        <v>0</v>
      </c>
      <c r="K449" s="40">
        <v>0</v>
      </c>
      <c r="L449" s="40">
        <v>0</v>
      </c>
    </row>
    <row r="450" spans="1:12" x14ac:dyDescent="0.25">
      <c r="A450" s="40" t="s">
        <v>40</v>
      </c>
      <c r="B450" s="40" t="s">
        <v>786</v>
      </c>
      <c r="C450" s="40" t="s">
        <v>787</v>
      </c>
      <c r="D450" s="40" t="s">
        <v>1275</v>
      </c>
      <c r="E450" s="40" t="s">
        <v>493</v>
      </c>
      <c r="F450" s="40">
        <v>1</v>
      </c>
      <c r="G450" s="40"/>
      <c r="H450" s="40" t="s">
        <v>482</v>
      </c>
      <c r="I450" s="40"/>
      <c r="J450" s="40">
        <v>0</v>
      </c>
      <c r="K450" s="40">
        <v>0</v>
      </c>
      <c r="L450" s="40">
        <v>0</v>
      </c>
    </row>
    <row r="451" spans="1:12" x14ac:dyDescent="0.25">
      <c r="A451" s="40" t="s">
        <v>40</v>
      </c>
      <c r="B451" s="40" t="s">
        <v>789</v>
      </c>
      <c r="C451" s="40" t="s">
        <v>790</v>
      </c>
      <c r="D451" s="40" t="s">
        <v>1276</v>
      </c>
      <c r="E451" s="40" t="s">
        <v>493</v>
      </c>
      <c r="F451" s="40">
        <v>1</v>
      </c>
      <c r="G451" s="40"/>
      <c r="H451" s="40" t="s">
        <v>482</v>
      </c>
      <c r="I451" s="40"/>
      <c r="J451" s="40">
        <v>0</v>
      </c>
      <c r="K451" s="40">
        <v>0</v>
      </c>
      <c r="L451" s="40">
        <v>0</v>
      </c>
    </row>
    <row r="452" spans="1:12" x14ac:dyDescent="0.25">
      <c r="A452" s="40" t="s">
        <v>40</v>
      </c>
      <c r="B452" s="40" t="s">
        <v>792</v>
      </c>
      <c r="C452" s="40" t="s">
        <v>793</v>
      </c>
      <c r="D452" s="40" t="s">
        <v>1276</v>
      </c>
      <c r="E452" s="40" t="s">
        <v>493</v>
      </c>
      <c r="F452" s="40">
        <v>1</v>
      </c>
      <c r="G452" s="40"/>
      <c r="H452" s="40" t="s">
        <v>482</v>
      </c>
      <c r="I452" s="40"/>
      <c r="J452" s="40">
        <v>0</v>
      </c>
      <c r="K452" s="40">
        <v>0</v>
      </c>
      <c r="L452" s="40">
        <v>0</v>
      </c>
    </row>
    <row r="453" spans="1:12" x14ac:dyDescent="0.25">
      <c r="A453" s="40" t="s">
        <v>40</v>
      </c>
      <c r="B453" s="40" t="s">
        <v>794</v>
      </c>
      <c r="C453" s="40" t="s">
        <v>795</v>
      </c>
      <c r="D453" s="40" t="s">
        <v>1277</v>
      </c>
      <c r="E453" s="40" t="s">
        <v>493</v>
      </c>
      <c r="F453" s="40">
        <v>1</v>
      </c>
      <c r="G453" s="40"/>
      <c r="H453" s="40" t="s">
        <v>482</v>
      </c>
      <c r="I453" s="40"/>
      <c r="J453" s="40">
        <v>0</v>
      </c>
      <c r="K453" s="40">
        <v>0</v>
      </c>
      <c r="L453" s="40">
        <v>0</v>
      </c>
    </row>
    <row r="454" spans="1:12" x14ac:dyDescent="0.25">
      <c r="A454" s="40" t="s">
        <v>40</v>
      </c>
      <c r="B454" s="40" t="s">
        <v>797</v>
      </c>
      <c r="C454" s="40" t="s">
        <v>798</v>
      </c>
      <c r="D454" s="40" t="s">
        <v>1277</v>
      </c>
      <c r="E454" s="40" t="s">
        <v>493</v>
      </c>
      <c r="F454" s="40">
        <v>1</v>
      </c>
      <c r="G454" s="40"/>
      <c r="H454" s="40" t="s">
        <v>482</v>
      </c>
      <c r="I454" s="40"/>
      <c r="J454" s="40">
        <v>0</v>
      </c>
      <c r="K454" s="40">
        <v>0</v>
      </c>
      <c r="L454" s="40">
        <v>0</v>
      </c>
    </row>
    <row r="455" spans="1:12" x14ac:dyDescent="0.25">
      <c r="A455" s="40" t="s">
        <v>40</v>
      </c>
      <c r="B455" s="40" t="s">
        <v>799</v>
      </c>
      <c r="C455" s="40" t="s">
        <v>800</v>
      </c>
      <c r="D455" s="40" t="s">
        <v>1277</v>
      </c>
      <c r="E455" s="40" t="s">
        <v>493</v>
      </c>
      <c r="F455" s="40">
        <v>1</v>
      </c>
      <c r="G455" s="40"/>
      <c r="H455" s="40" t="s">
        <v>482</v>
      </c>
      <c r="I455" s="40"/>
      <c r="J455" s="40">
        <v>0</v>
      </c>
      <c r="K455" s="40">
        <v>0</v>
      </c>
      <c r="L455" s="40">
        <v>0</v>
      </c>
    </row>
    <row r="456" spans="1:12" x14ac:dyDescent="0.25">
      <c r="A456" s="40" t="s">
        <v>40</v>
      </c>
      <c r="B456" s="40" t="s">
        <v>802</v>
      </c>
      <c r="C456" s="40" t="s">
        <v>803</v>
      </c>
      <c r="D456" s="40" t="s">
        <v>1277</v>
      </c>
      <c r="E456" s="40" t="s">
        <v>493</v>
      </c>
      <c r="F456" s="40">
        <v>1</v>
      </c>
      <c r="G456" s="40"/>
      <c r="H456" s="40" t="s">
        <v>482</v>
      </c>
      <c r="I456" s="40"/>
      <c r="J456" s="40">
        <v>0</v>
      </c>
      <c r="K456" s="40">
        <v>0</v>
      </c>
      <c r="L456" s="40">
        <v>0</v>
      </c>
    </row>
    <row r="457" spans="1:12" x14ac:dyDescent="0.25">
      <c r="A457" s="40" t="s">
        <v>40</v>
      </c>
      <c r="B457" s="40" t="s">
        <v>804</v>
      </c>
      <c r="C457" s="40" t="s">
        <v>805</v>
      </c>
      <c r="D457" s="40" t="s">
        <v>806</v>
      </c>
      <c r="E457" s="40" t="s">
        <v>493</v>
      </c>
      <c r="F457" s="40">
        <v>1</v>
      </c>
      <c r="G457" s="40"/>
      <c r="H457" s="40" t="s">
        <v>482</v>
      </c>
      <c r="I457" s="40"/>
      <c r="J457" s="40">
        <v>0</v>
      </c>
      <c r="K457" s="40">
        <v>0</v>
      </c>
      <c r="L457" s="40">
        <v>0</v>
      </c>
    </row>
    <row r="458" spans="1:12" x14ac:dyDescent="0.25">
      <c r="A458" s="40" t="s">
        <v>40</v>
      </c>
      <c r="B458" s="40" t="s">
        <v>807</v>
      </c>
      <c r="C458" s="40" t="s">
        <v>808</v>
      </c>
      <c r="D458" s="40" t="s">
        <v>809</v>
      </c>
      <c r="E458" s="40" t="s">
        <v>493</v>
      </c>
      <c r="F458" s="40">
        <v>1</v>
      </c>
      <c r="G458" s="40"/>
      <c r="H458" s="40" t="s">
        <v>482</v>
      </c>
      <c r="I458" s="40"/>
      <c r="J458" s="40">
        <v>0</v>
      </c>
      <c r="K458" s="40">
        <v>0</v>
      </c>
      <c r="L458" s="40">
        <v>0</v>
      </c>
    </row>
    <row r="459" spans="1:12" x14ac:dyDescent="0.25">
      <c r="A459" s="40" t="s">
        <v>40</v>
      </c>
      <c r="B459" s="40" t="s">
        <v>810</v>
      </c>
      <c r="C459" s="40" t="s">
        <v>811</v>
      </c>
      <c r="D459" s="40" t="s">
        <v>812</v>
      </c>
      <c r="E459" s="40" t="s">
        <v>493</v>
      </c>
      <c r="F459" s="40">
        <v>1</v>
      </c>
      <c r="G459" s="40"/>
      <c r="H459" s="40" t="s">
        <v>482</v>
      </c>
      <c r="I459" s="40"/>
      <c r="J459" s="40">
        <v>0</v>
      </c>
      <c r="K459" s="40">
        <v>0</v>
      </c>
      <c r="L459" s="40">
        <v>0</v>
      </c>
    </row>
    <row r="460" spans="1:12" x14ac:dyDescent="0.25">
      <c r="A460" s="40" t="s">
        <v>40</v>
      </c>
      <c r="B460" s="40" t="s">
        <v>813</v>
      </c>
      <c r="C460" s="40" t="s">
        <v>814</v>
      </c>
      <c r="D460" s="40" t="s">
        <v>815</v>
      </c>
      <c r="E460" s="40" t="s">
        <v>493</v>
      </c>
      <c r="F460" s="40">
        <v>1</v>
      </c>
      <c r="G460" s="40"/>
      <c r="H460" s="40" t="s">
        <v>482</v>
      </c>
      <c r="I460" s="40"/>
      <c r="J460" s="40">
        <v>0</v>
      </c>
      <c r="K460" s="40">
        <v>0</v>
      </c>
      <c r="L460" s="40">
        <v>0</v>
      </c>
    </row>
    <row r="461" spans="1:12" x14ac:dyDescent="0.25">
      <c r="A461" s="40" t="s">
        <v>40</v>
      </c>
      <c r="B461" s="40" t="s">
        <v>816</v>
      </c>
      <c r="C461" s="40" t="s">
        <v>817</v>
      </c>
      <c r="D461" s="40" t="s">
        <v>818</v>
      </c>
      <c r="E461" s="40" t="s">
        <v>819</v>
      </c>
      <c r="F461" s="40">
        <v>1</v>
      </c>
      <c r="G461" s="40"/>
      <c r="H461" s="40" t="s">
        <v>482</v>
      </c>
      <c r="I461" s="40"/>
      <c r="J461" s="40">
        <v>0</v>
      </c>
      <c r="K461" s="40">
        <v>0</v>
      </c>
      <c r="L461" s="40">
        <v>0</v>
      </c>
    </row>
    <row r="462" spans="1:12" x14ac:dyDescent="0.25">
      <c r="A462" s="40" t="s">
        <v>40</v>
      </c>
      <c r="B462" s="40" t="s">
        <v>820</v>
      </c>
      <c r="C462" s="40" t="s">
        <v>821</v>
      </c>
      <c r="D462" s="40" t="s">
        <v>493</v>
      </c>
      <c r="E462" s="40" t="s">
        <v>493</v>
      </c>
      <c r="F462" s="40">
        <v>0</v>
      </c>
      <c r="G462" s="40"/>
      <c r="H462" s="40" t="s">
        <v>482</v>
      </c>
      <c r="I462" s="40"/>
      <c r="J462" s="40">
        <v>0</v>
      </c>
      <c r="K462" s="40">
        <v>0</v>
      </c>
      <c r="L462" s="40">
        <v>0</v>
      </c>
    </row>
    <row r="463" spans="1:12" x14ac:dyDescent="0.25">
      <c r="A463" s="40" t="s">
        <v>40</v>
      </c>
      <c r="B463" s="40" t="s">
        <v>822</v>
      </c>
      <c r="C463" s="40" t="s">
        <v>823</v>
      </c>
      <c r="D463" s="40" t="s">
        <v>493</v>
      </c>
      <c r="E463" s="40" t="s">
        <v>493</v>
      </c>
      <c r="F463" s="40">
        <v>0</v>
      </c>
      <c r="G463" s="40"/>
      <c r="H463" s="40" t="s">
        <v>482</v>
      </c>
      <c r="I463" s="40"/>
      <c r="J463" s="40">
        <v>0</v>
      </c>
      <c r="K463" s="40">
        <v>0</v>
      </c>
      <c r="L463" s="40">
        <v>0</v>
      </c>
    </row>
    <row r="464" spans="1:12" x14ac:dyDescent="0.25">
      <c r="A464" s="40" t="s">
        <v>40</v>
      </c>
      <c r="B464" s="40" t="s">
        <v>824</v>
      </c>
      <c r="C464" s="40" t="s">
        <v>825</v>
      </c>
      <c r="D464" s="40" t="s">
        <v>493</v>
      </c>
      <c r="E464" s="40" t="s">
        <v>493</v>
      </c>
      <c r="F464" s="40">
        <v>0</v>
      </c>
      <c r="G464" s="40"/>
      <c r="H464" s="40" t="s">
        <v>482</v>
      </c>
      <c r="I464" s="40"/>
      <c r="J464" s="40">
        <v>0</v>
      </c>
      <c r="K464" s="40">
        <v>0</v>
      </c>
      <c r="L464" s="40">
        <v>0</v>
      </c>
    </row>
    <row r="465" spans="1:12" x14ac:dyDescent="0.25">
      <c r="A465" s="40" t="s">
        <v>40</v>
      </c>
      <c r="B465" s="40" t="s">
        <v>826</v>
      </c>
      <c r="C465" s="40" t="s">
        <v>827</v>
      </c>
      <c r="D465" s="40" t="s">
        <v>493</v>
      </c>
      <c r="E465" s="40" t="s">
        <v>493</v>
      </c>
      <c r="F465" s="40">
        <v>0</v>
      </c>
      <c r="G465" s="40"/>
      <c r="H465" s="40" t="s">
        <v>482</v>
      </c>
      <c r="I465" s="40"/>
      <c r="J465" s="40">
        <v>0</v>
      </c>
      <c r="K465" s="40">
        <v>0</v>
      </c>
      <c r="L465" s="40">
        <v>0</v>
      </c>
    </row>
    <row r="466" spans="1:12" x14ac:dyDescent="0.25">
      <c r="A466" s="40" t="s">
        <v>40</v>
      </c>
      <c r="B466" s="40" t="s">
        <v>828</v>
      </c>
      <c r="C466" s="40" t="s">
        <v>829</v>
      </c>
      <c r="D466" s="40" t="s">
        <v>493</v>
      </c>
      <c r="E466" s="40" t="s">
        <v>493</v>
      </c>
      <c r="F466" s="40">
        <v>0</v>
      </c>
      <c r="G466" s="40"/>
      <c r="H466" s="40" t="s">
        <v>482</v>
      </c>
      <c r="I466" s="40"/>
      <c r="J466" s="40">
        <v>0</v>
      </c>
      <c r="K466" s="40">
        <v>0</v>
      </c>
      <c r="L466" s="40">
        <v>0</v>
      </c>
    </row>
    <row r="467" spans="1:12" x14ac:dyDescent="0.25">
      <c r="A467" s="40" t="s">
        <v>40</v>
      </c>
      <c r="B467" s="40" t="s">
        <v>830</v>
      </c>
      <c r="C467" s="40" t="s">
        <v>831</v>
      </c>
      <c r="D467" s="40" t="s">
        <v>493</v>
      </c>
      <c r="E467" s="40" t="s">
        <v>493</v>
      </c>
      <c r="F467" s="40">
        <v>0</v>
      </c>
      <c r="G467" s="40"/>
      <c r="H467" s="40" t="s">
        <v>482</v>
      </c>
      <c r="I467" s="40"/>
      <c r="J467" s="40">
        <v>0</v>
      </c>
      <c r="K467" s="40">
        <v>0</v>
      </c>
      <c r="L467" s="40">
        <v>0</v>
      </c>
    </row>
    <row r="468" spans="1:12" x14ac:dyDescent="0.25">
      <c r="A468" s="40" t="s">
        <v>40</v>
      </c>
      <c r="B468" s="40" t="s">
        <v>832</v>
      </c>
      <c r="C468" s="40" t="s">
        <v>833</v>
      </c>
      <c r="D468" s="40" t="s">
        <v>493</v>
      </c>
      <c r="E468" s="40" t="s">
        <v>493</v>
      </c>
      <c r="F468" s="40">
        <v>0</v>
      </c>
      <c r="G468" s="40"/>
      <c r="H468" s="40" t="s">
        <v>482</v>
      </c>
      <c r="I468" s="40"/>
      <c r="J468" s="40">
        <v>0</v>
      </c>
      <c r="K468" s="40">
        <v>0</v>
      </c>
      <c r="L468" s="40">
        <v>0</v>
      </c>
    </row>
    <row r="469" spans="1:12" x14ac:dyDescent="0.25">
      <c r="A469" s="40" t="s">
        <v>40</v>
      </c>
      <c r="B469" s="40" t="s">
        <v>834</v>
      </c>
      <c r="C469" s="40" t="s">
        <v>835</v>
      </c>
      <c r="D469" s="40" t="s">
        <v>493</v>
      </c>
      <c r="E469" s="40" t="s">
        <v>493</v>
      </c>
      <c r="F469" s="40">
        <v>0</v>
      </c>
      <c r="G469" s="40"/>
      <c r="H469" s="40" t="s">
        <v>482</v>
      </c>
      <c r="I469" s="40"/>
      <c r="J469" s="40">
        <v>0</v>
      </c>
      <c r="K469" s="40">
        <v>0</v>
      </c>
      <c r="L469" s="40">
        <v>0</v>
      </c>
    </row>
    <row r="470" spans="1:12" x14ac:dyDescent="0.25">
      <c r="A470" s="40" t="s">
        <v>40</v>
      </c>
      <c r="B470" s="40" t="s">
        <v>836</v>
      </c>
      <c r="C470" s="40" t="s">
        <v>837</v>
      </c>
      <c r="D470" s="40" t="s">
        <v>493</v>
      </c>
      <c r="E470" s="40" t="s">
        <v>493</v>
      </c>
      <c r="F470" s="40">
        <v>0</v>
      </c>
      <c r="G470" s="40"/>
      <c r="H470" s="40" t="s">
        <v>482</v>
      </c>
      <c r="I470" s="40"/>
      <c r="J470" s="40">
        <v>0</v>
      </c>
      <c r="K470" s="40">
        <v>0</v>
      </c>
      <c r="L470" s="40">
        <v>0</v>
      </c>
    </row>
    <row r="471" spans="1:12" x14ac:dyDescent="0.25">
      <c r="A471" s="40" t="s">
        <v>40</v>
      </c>
      <c r="B471" s="40" t="s">
        <v>838</v>
      </c>
      <c r="C471" s="40" t="s">
        <v>839</v>
      </c>
      <c r="D471" s="40" t="s">
        <v>493</v>
      </c>
      <c r="E471" s="40" t="s">
        <v>493</v>
      </c>
      <c r="F471" s="40">
        <v>0</v>
      </c>
      <c r="G471" s="40"/>
      <c r="H471" s="40" t="s">
        <v>482</v>
      </c>
      <c r="I471" s="40"/>
      <c r="J471" s="40">
        <v>0</v>
      </c>
      <c r="K471" s="40">
        <v>0</v>
      </c>
      <c r="L471" s="40">
        <v>0</v>
      </c>
    </row>
    <row r="472" spans="1:12" x14ac:dyDescent="0.25">
      <c r="A472" s="40" t="s">
        <v>40</v>
      </c>
      <c r="B472" s="40" t="s">
        <v>840</v>
      </c>
      <c r="C472" s="40" t="s">
        <v>841</v>
      </c>
      <c r="D472" s="40" t="s">
        <v>493</v>
      </c>
      <c r="E472" s="40" t="s">
        <v>493</v>
      </c>
      <c r="F472" s="40">
        <v>0</v>
      </c>
      <c r="G472" s="40"/>
      <c r="H472" s="40" t="s">
        <v>482</v>
      </c>
      <c r="I472" s="40"/>
      <c r="J472" s="40">
        <v>0</v>
      </c>
      <c r="K472" s="40">
        <v>0</v>
      </c>
      <c r="L472" s="40">
        <v>0</v>
      </c>
    </row>
    <row r="473" spans="1:12" x14ac:dyDescent="0.25">
      <c r="A473" s="40" t="s">
        <v>40</v>
      </c>
      <c r="B473" s="40" t="s">
        <v>842</v>
      </c>
      <c r="C473" s="40" t="s">
        <v>843</v>
      </c>
      <c r="D473" s="40" t="s">
        <v>493</v>
      </c>
      <c r="E473" s="40" t="s">
        <v>493</v>
      </c>
      <c r="F473" s="40">
        <v>0</v>
      </c>
      <c r="G473" s="40"/>
      <c r="H473" s="40" t="s">
        <v>482</v>
      </c>
      <c r="I473" s="40"/>
      <c r="J473" s="40">
        <v>0</v>
      </c>
      <c r="K473" s="40">
        <v>0</v>
      </c>
      <c r="L473" s="40">
        <v>0</v>
      </c>
    </row>
    <row r="474" spans="1:12" x14ac:dyDescent="0.25">
      <c r="A474" s="40" t="s">
        <v>40</v>
      </c>
      <c r="B474" s="40" t="s">
        <v>844</v>
      </c>
      <c r="C474" s="40" t="s">
        <v>845</v>
      </c>
      <c r="D474" s="40" t="s">
        <v>493</v>
      </c>
      <c r="E474" s="40" t="s">
        <v>493</v>
      </c>
      <c r="F474" s="40">
        <v>0</v>
      </c>
      <c r="G474" s="40"/>
      <c r="H474" s="40" t="s">
        <v>482</v>
      </c>
      <c r="I474" s="40"/>
      <c r="J474" s="40">
        <v>0</v>
      </c>
      <c r="K474" s="40">
        <v>0</v>
      </c>
      <c r="L474" s="40">
        <v>0</v>
      </c>
    </row>
    <row r="475" spans="1:12" x14ac:dyDescent="0.25">
      <c r="A475" s="40" t="s">
        <v>40</v>
      </c>
      <c r="B475" s="40" t="s">
        <v>846</v>
      </c>
      <c r="C475" s="40" t="s">
        <v>847</v>
      </c>
      <c r="D475" s="40" t="s">
        <v>493</v>
      </c>
      <c r="E475" s="40" t="s">
        <v>493</v>
      </c>
      <c r="F475" s="40">
        <v>0</v>
      </c>
      <c r="G475" s="40"/>
      <c r="H475" s="40" t="s">
        <v>482</v>
      </c>
      <c r="I475" s="40"/>
      <c r="J475" s="40">
        <v>0</v>
      </c>
      <c r="K475" s="40">
        <v>0</v>
      </c>
      <c r="L475" s="40">
        <v>0</v>
      </c>
    </row>
    <row r="476" spans="1:12" x14ac:dyDescent="0.25">
      <c r="A476" s="40" t="s">
        <v>40</v>
      </c>
      <c r="B476" s="40" t="s">
        <v>848</v>
      </c>
      <c r="C476" s="40" t="s">
        <v>849</v>
      </c>
      <c r="D476" s="40" t="s">
        <v>493</v>
      </c>
      <c r="E476" s="40" t="s">
        <v>493</v>
      </c>
      <c r="F476" s="40">
        <v>0</v>
      </c>
      <c r="G476" s="40"/>
      <c r="H476" s="40" t="s">
        <v>482</v>
      </c>
      <c r="I476" s="40"/>
      <c r="J476" s="40">
        <v>0</v>
      </c>
      <c r="K476" s="40">
        <v>0</v>
      </c>
      <c r="L476" s="40">
        <v>0</v>
      </c>
    </row>
    <row r="477" spans="1:12" x14ac:dyDescent="0.25">
      <c r="A477" s="40" t="s">
        <v>40</v>
      </c>
      <c r="B477" s="40" t="s">
        <v>850</v>
      </c>
      <c r="C477" s="40" t="s">
        <v>851</v>
      </c>
      <c r="D477" s="40" t="s">
        <v>493</v>
      </c>
      <c r="E477" s="40" t="s">
        <v>493</v>
      </c>
      <c r="F477" s="40">
        <v>0</v>
      </c>
      <c r="G477" s="40"/>
      <c r="H477" s="40" t="s">
        <v>482</v>
      </c>
      <c r="I477" s="40"/>
      <c r="J477" s="40">
        <v>0</v>
      </c>
      <c r="K477" s="40">
        <v>0</v>
      </c>
      <c r="L477" s="40">
        <v>0</v>
      </c>
    </row>
    <row r="478" spans="1:12" x14ac:dyDescent="0.25">
      <c r="A478" s="40" t="s">
        <v>40</v>
      </c>
      <c r="B478" s="40" t="s">
        <v>852</v>
      </c>
      <c r="C478" s="40" t="s">
        <v>853</v>
      </c>
      <c r="D478" s="40" t="s">
        <v>493</v>
      </c>
      <c r="E478" s="40" t="s">
        <v>493</v>
      </c>
      <c r="F478" s="40">
        <v>0</v>
      </c>
      <c r="G478" s="40"/>
      <c r="H478" s="40" t="s">
        <v>482</v>
      </c>
      <c r="I478" s="40"/>
      <c r="J478" s="40">
        <v>0</v>
      </c>
      <c r="K478" s="40">
        <v>0</v>
      </c>
      <c r="L478" s="40">
        <v>0</v>
      </c>
    </row>
    <row r="479" spans="1:12" x14ac:dyDescent="0.25">
      <c r="A479" s="40" t="s">
        <v>40</v>
      </c>
      <c r="B479" s="40" t="s">
        <v>854</v>
      </c>
      <c r="C479" s="40" t="s">
        <v>855</v>
      </c>
      <c r="D479" s="40" t="s">
        <v>493</v>
      </c>
      <c r="E479" s="40" t="s">
        <v>493</v>
      </c>
      <c r="F479" s="40">
        <v>0</v>
      </c>
      <c r="G479" s="40"/>
      <c r="H479" s="40" t="s">
        <v>482</v>
      </c>
      <c r="I479" s="40"/>
      <c r="J479" s="40">
        <v>0</v>
      </c>
      <c r="K479" s="40">
        <v>0</v>
      </c>
      <c r="L479" s="40">
        <v>0</v>
      </c>
    </row>
    <row r="480" spans="1:12" x14ac:dyDescent="0.25">
      <c r="A480" s="40" t="s">
        <v>40</v>
      </c>
      <c r="B480" s="40" t="s">
        <v>856</v>
      </c>
      <c r="C480" s="40" t="s">
        <v>857</v>
      </c>
      <c r="D480" s="40" t="s">
        <v>493</v>
      </c>
      <c r="E480" s="40" t="s">
        <v>493</v>
      </c>
      <c r="F480" s="40">
        <v>0</v>
      </c>
      <c r="G480" s="40"/>
      <c r="H480" s="40" t="s">
        <v>482</v>
      </c>
      <c r="I480" s="40"/>
      <c r="J480" s="40">
        <v>0</v>
      </c>
      <c r="K480" s="40">
        <v>0</v>
      </c>
      <c r="L480" s="40">
        <v>0</v>
      </c>
    </row>
    <row r="481" spans="1:12" x14ac:dyDescent="0.25">
      <c r="A481" s="40" t="s">
        <v>40</v>
      </c>
      <c r="B481" s="40" t="s">
        <v>858</v>
      </c>
      <c r="C481" s="40" t="s">
        <v>859</v>
      </c>
      <c r="D481" s="40" t="s">
        <v>493</v>
      </c>
      <c r="E481" s="40" t="s">
        <v>493</v>
      </c>
      <c r="F481" s="40">
        <v>0</v>
      </c>
      <c r="G481" s="40"/>
      <c r="H481" s="40" t="s">
        <v>482</v>
      </c>
      <c r="I481" s="40"/>
      <c r="J481" s="40">
        <v>0</v>
      </c>
      <c r="K481" s="40">
        <v>0</v>
      </c>
      <c r="L481" s="40">
        <v>0</v>
      </c>
    </row>
    <row r="482" spans="1:12" x14ac:dyDescent="0.25">
      <c r="A482" s="40" t="s">
        <v>40</v>
      </c>
      <c r="B482" s="40" t="s">
        <v>860</v>
      </c>
      <c r="C482" s="40" t="s">
        <v>861</v>
      </c>
      <c r="D482" s="40" t="s">
        <v>493</v>
      </c>
      <c r="E482" s="40" t="s">
        <v>493</v>
      </c>
      <c r="F482" s="40">
        <v>0</v>
      </c>
      <c r="G482" s="40"/>
      <c r="H482" s="40" t="s">
        <v>482</v>
      </c>
      <c r="I482" s="40"/>
      <c r="J482" s="40">
        <v>0</v>
      </c>
      <c r="K482" s="40">
        <v>0</v>
      </c>
      <c r="L482" s="40">
        <v>0</v>
      </c>
    </row>
    <row r="483" spans="1:12" x14ac:dyDescent="0.25">
      <c r="A483" s="40" t="s">
        <v>40</v>
      </c>
      <c r="B483" s="40" t="s">
        <v>862</v>
      </c>
      <c r="C483" s="40" t="s">
        <v>863</v>
      </c>
      <c r="D483" s="40" t="s">
        <v>493</v>
      </c>
      <c r="E483" s="40" t="s">
        <v>493</v>
      </c>
      <c r="F483" s="40">
        <v>0</v>
      </c>
      <c r="G483" s="40"/>
      <c r="H483" s="40" t="s">
        <v>482</v>
      </c>
      <c r="I483" s="40"/>
      <c r="J483" s="40">
        <v>0</v>
      </c>
      <c r="K483" s="40">
        <v>0</v>
      </c>
      <c r="L483" s="40">
        <v>0</v>
      </c>
    </row>
    <row r="484" spans="1:12" x14ac:dyDescent="0.25">
      <c r="A484" s="40" t="s">
        <v>40</v>
      </c>
      <c r="B484" s="40" t="s">
        <v>864</v>
      </c>
      <c r="C484" s="40" t="s">
        <v>865</v>
      </c>
      <c r="D484" s="40" t="s">
        <v>866</v>
      </c>
      <c r="E484" s="40" t="s">
        <v>866</v>
      </c>
      <c r="F484" s="40">
        <v>0</v>
      </c>
      <c r="G484" s="40"/>
      <c r="H484" s="40" t="s">
        <v>482</v>
      </c>
      <c r="I484" s="40"/>
      <c r="J484" s="40">
        <v>0</v>
      </c>
      <c r="K484" s="40">
        <v>0</v>
      </c>
      <c r="L484" s="40">
        <v>0</v>
      </c>
    </row>
    <row r="485" spans="1:12" x14ac:dyDescent="0.25">
      <c r="A485" s="40" t="s">
        <v>40</v>
      </c>
      <c r="B485" s="40" t="s">
        <v>867</v>
      </c>
      <c r="C485" s="40" t="s">
        <v>868</v>
      </c>
      <c r="D485" s="40" t="s">
        <v>493</v>
      </c>
      <c r="E485" s="40" t="s">
        <v>493</v>
      </c>
      <c r="F485" s="40">
        <v>0</v>
      </c>
      <c r="G485" s="40"/>
      <c r="H485" s="40" t="s">
        <v>482</v>
      </c>
      <c r="I485" s="40"/>
      <c r="J485" s="40">
        <v>0</v>
      </c>
      <c r="K485" s="40">
        <v>0</v>
      </c>
      <c r="L485" s="40">
        <v>0</v>
      </c>
    </row>
    <row r="486" spans="1:12" x14ac:dyDescent="0.25">
      <c r="A486" s="40" t="s">
        <v>40</v>
      </c>
      <c r="B486" s="40" t="s">
        <v>869</v>
      </c>
      <c r="C486" s="40" t="s">
        <v>870</v>
      </c>
      <c r="D486" s="40" t="s">
        <v>493</v>
      </c>
      <c r="E486" s="40" t="s">
        <v>493</v>
      </c>
      <c r="F486" s="40">
        <v>0</v>
      </c>
      <c r="G486" s="40"/>
      <c r="H486" s="40" t="s">
        <v>482</v>
      </c>
      <c r="I486" s="40"/>
      <c r="J486" s="40">
        <v>0</v>
      </c>
      <c r="K486" s="40">
        <v>0</v>
      </c>
      <c r="L486" s="40">
        <v>0</v>
      </c>
    </row>
    <row r="487" spans="1:12" x14ac:dyDescent="0.25">
      <c r="A487" s="40" t="s">
        <v>40</v>
      </c>
      <c r="B487" s="40" t="s">
        <v>871</v>
      </c>
      <c r="C487" s="40" t="s">
        <v>872</v>
      </c>
      <c r="D487" s="40" t="s">
        <v>493</v>
      </c>
      <c r="E487" s="40" t="s">
        <v>493</v>
      </c>
      <c r="F487" s="40">
        <v>0</v>
      </c>
      <c r="G487" s="40"/>
      <c r="H487" s="40" t="s">
        <v>482</v>
      </c>
      <c r="I487" s="40"/>
      <c r="J487" s="40">
        <v>0</v>
      </c>
      <c r="K487" s="40">
        <v>0</v>
      </c>
      <c r="L487" s="40">
        <v>0</v>
      </c>
    </row>
    <row r="488" spans="1:12" x14ac:dyDescent="0.25">
      <c r="A488" s="40" t="s">
        <v>40</v>
      </c>
      <c r="B488" s="40" t="s">
        <v>873</v>
      </c>
      <c r="C488" s="40" t="s">
        <v>874</v>
      </c>
      <c r="D488" s="40" t="s">
        <v>493</v>
      </c>
      <c r="E488" s="40" t="s">
        <v>493</v>
      </c>
      <c r="F488" s="40">
        <v>0</v>
      </c>
      <c r="G488" s="40"/>
      <c r="H488" s="40" t="s">
        <v>482</v>
      </c>
      <c r="I488" s="40"/>
      <c r="J488" s="40">
        <v>0</v>
      </c>
      <c r="K488" s="40">
        <v>0</v>
      </c>
      <c r="L488" s="40">
        <v>0</v>
      </c>
    </row>
    <row r="489" spans="1:12" x14ac:dyDescent="0.25">
      <c r="A489" s="40" t="s">
        <v>40</v>
      </c>
      <c r="B489" s="40" t="s">
        <v>875</v>
      </c>
      <c r="C489" s="40" t="s">
        <v>876</v>
      </c>
      <c r="D489" s="40" t="s">
        <v>493</v>
      </c>
      <c r="E489" s="40" t="s">
        <v>493</v>
      </c>
      <c r="F489" s="40">
        <v>0</v>
      </c>
      <c r="G489" s="40"/>
      <c r="H489" s="40" t="s">
        <v>482</v>
      </c>
      <c r="I489" s="40"/>
      <c r="J489" s="40">
        <v>0</v>
      </c>
      <c r="K489" s="40">
        <v>0</v>
      </c>
      <c r="L489" s="40">
        <v>0</v>
      </c>
    </row>
    <row r="490" spans="1:12" x14ac:dyDescent="0.25">
      <c r="A490" s="40" t="s">
        <v>40</v>
      </c>
      <c r="B490" s="40" t="s">
        <v>877</v>
      </c>
      <c r="C490" s="40" t="s">
        <v>878</v>
      </c>
      <c r="D490" s="40" t="s">
        <v>493</v>
      </c>
      <c r="E490" s="40" t="s">
        <v>493</v>
      </c>
      <c r="F490" s="40">
        <v>0</v>
      </c>
      <c r="G490" s="40"/>
      <c r="H490" s="40" t="s">
        <v>482</v>
      </c>
      <c r="I490" s="40"/>
      <c r="J490" s="40">
        <v>0</v>
      </c>
      <c r="K490" s="40">
        <v>0</v>
      </c>
      <c r="L490" s="40">
        <v>0</v>
      </c>
    </row>
    <row r="491" spans="1:12" x14ac:dyDescent="0.25">
      <c r="A491" s="40" t="s">
        <v>40</v>
      </c>
      <c r="B491" s="40" t="s">
        <v>879</v>
      </c>
      <c r="C491" s="40" t="s">
        <v>880</v>
      </c>
      <c r="D491" s="40" t="s">
        <v>493</v>
      </c>
      <c r="E491" s="40" t="s">
        <v>493</v>
      </c>
      <c r="F491" s="40">
        <v>0</v>
      </c>
      <c r="G491" s="40"/>
      <c r="H491" s="40" t="s">
        <v>482</v>
      </c>
      <c r="I491" s="40"/>
      <c r="J491" s="40">
        <v>0</v>
      </c>
      <c r="K491" s="40">
        <v>0</v>
      </c>
      <c r="L491" s="40">
        <v>0</v>
      </c>
    </row>
    <row r="492" spans="1:12" x14ac:dyDescent="0.25">
      <c r="A492" s="40" t="s">
        <v>40</v>
      </c>
      <c r="B492" s="40" t="s">
        <v>881</v>
      </c>
      <c r="C492" s="40" t="s">
        <v>882</v>
      </c>
      <c r="D492" s="40" t="s">
        <v>493</v>
      </c>
      <c r="E492" s="40" t="s">
        <v>493</v>
      </c>
      <c r="F492" s="40">
        <v>0</v>
      </c>
      <c r="G492" s="40"/>
      <c r="H492" s="40" t="s">
        <v>883</v>
      </c>
      <c r="I492" s="40"/>
      <c r="J492" s="40">
        <v>0</v>
      </c>
      <c r="K492" s="40">
        <v>0</v>
      </c>
      <c r="L492" s="40">
        <v>1</v>
      </c>
    </row>
    <row r="493" spans="1:12" x14ac:dyDescent="0.25">
      <c r="A493" s="40" t="s">
        <v>40</v>
      </c>
      <c r="B493" s="40" t="s">
        <v>884</v>
      </c>
      <c r="C493" s="40" t="s">
        <v>885</v>
      </c>
      <c r="D493" s="40" t="s">
        <v>493</v>
      </c>
      <c r="E493" s="40" t="s">
        <v>493</v>
      </c>
      <c r="F493" s="40">
        <v>0</v>
      </c>
      <c r="G493" s="40"/>
      <c r="H493" s="40" t="s">
        <v>883</v>
      </c>
      <c r="I493" s="40"/>
      <c r="J493" s="40">
        <v>0</v>
      </c>
      <c r="K493" s="40">
        <v>0</v>
      </c>
      <c r="L493" s="40">
        <v>1</v>
      </c>
    </row>
    <row r="494" spans="1:12" x14ac:dyDescent="0.25">
      <c r="A494" s="40" t="s">
        <v>40</v>
      </c>
      <c r="B494" s="40" t="s">
        <v>886</v>
      </c>
      <c r="C494" s="40" t="s">
        <v>887</v>
      </c>
      <c r="D494" s="40" t="s">
        <v>493</v>
      </c>
      <c r="E494" s="40" t="s">
        <v>493</v>
      </c>
      <c r="F494" s="40">
        <v>0</v>
      </c>
      <c r="G494" s="40"/>
      <c r="H494" s="40" t="s">
        <v>883</v>
      </c>
      <c r="I494" s="40"/>
      <c r="J494" s="40">
        <v>0</v>
      </c>
      <c r="K494" s="40">
        <v>0</v>
      </c>
      <c r="L494" s="40">
        <v>1</v>
      </c>
    </row>
    <row r="495" spans="1:12" x14ac:dyDescent="0.25">
      <c r="A495" s="40" t="s">
        <v>40</v>
      </c>
      <c r="B495" s="40" t="s">
        <v>888</v>
      </c>
      <c r="C495" s="40" t="s">
        <v>889</v>
      </c>
      <c r="D495" s="40" t="s">
        <v>493</v>
      </c>
      <c r="E495" s="40" t="s">
        <v>493</v>
      </c>
      <c r="F495" s="40">
        <v>0</v>
      </c>
      <c r="G495" s="40"/>
      <c r="H495" s="40" t="s">
        <v>883</v>
      </c>
      <c r="I495" s="40"/>
      <c r="J495" s="40">
        <v>0</v>
      </c>
      <c r="K495" s="40">
        <v>0</v>
      </c>
      <c r="L495" s="40">
        <v>1</v>
      </c>
    </row>
    <row r="496" spans="1:12" x14ac:dyDescent="0.25">
      <c r="A496" s="40" t="s">
        <v>40</v>
      </c>
      <c r="B496" s="40" t="s">
        <v>890</v>
      </c>
      <c r="C496" s="40" t="s">
        <v>891</v>
      </c>
      <c r="D496" s="40" t="s">
        <v>493</v>
      </c>
      <c r="E496" s="40" t="s">
        <v>493</v>
      </c>
      <c r="F496" s="40">
        <v>0</v>
      </c>
      <c r="G496" s="40"/>
      <c r="H496" s="40" t="s">
        <v>883</v>
      </c>
      <c r="I496" s="40"/>
      <c r="J496" s="40">
        <v>0</v>
      </c>
      <c r="K496" s="40">
        <v>0</v>
      </c>
      <c r="L496" s="40">
        <v>1</v>
      </c>
    </row>
    <row r="497" spans="1:12" x14ac:dyDescent="0.25">
      <c r="A497" s="40" t="s">
        <v>40</v>
      </c>
      <c r="B497" s="40" t="s">
        <v>892</v>
      </c>
      <c r="C497" s="40" t="s">
        <v>893</v>
      </c>
      <c r="D497" s="40" t="s">
        <v>493</v>
      </c>
      <c r="E497" s="40" t="s">
        <v>493</v>
      </c>
      <c r="F497" s="40">
        <v>0</v>
      </c>
      <c r="G497" s="40"/>
      <c r="H497" s="40" t="s">
        <v>883</v>
      </c>
      <c r="I497" s="40"/>
      <c r="J497" s="40">
        <v>0</v>
      </c>
      <c r="K497" s="40">
        <v>0</v>
      </c>
      <c r="L497" s="40">
        <v>1</v>
      </c>
    </row>
    <row r="498" spans="1:12" x14ac:dyDescent="0.25">
      <c r="A498" s="40" t="s">
        <v>40</v>
      </c>
      <c r="B498" s="40" t="s">
        <v>894</v>
      </c>
      <c r="C498" s="40" t="s">
        <v>895</v>
      </c>
      <c r="D498" s="40" t="s">
        <v>493</v>
      </c>
      <c r="E498" s="40" t="s">
        <v>896</v>
      </c>
      <c r="F498" s="40">
        <v>1</v>
      </c>
      <c r="G498" s="40"/>
      <c r="H498" s="40" t="s">
        <v>883</v>
      </c>
      <c r="I498" s="40"/>
      <c r="J498" s="40">
        <v>0</v>
      </c>
      <c r="K498" s="40">
        <v>0</v>
      </c>
      <c r="L498" s="40">
        <v>1</v>
      </c>
    </row>
    <row r="499" spans="1:12" x14ac:dyDescent="0.25">
      <c r="A499" s="40" t="s">
        <v>40</v>
      </c>
      <c r="B499" s="40" t="s">
        <v>897</v>
      </c>
      <c r="C499" s="40" t="s">
        <v>898</v>
      </c>
      <c r="D499" s="40" t="s">
        <v>493</v>
      </c>
      <c r="E499" s="40" t="s">
        <v>899</v>
      </c>
      <c r="F499" s="40">
        <v>1</v>
      </c>
      <c r="G499" s="40"/>
      <c r="H499" s="40" t="s">
        <v>883</v>
      </c>
      <c r="I499" s="40"/>
      <c r="J499" s="40">
        <v>0</v>
      </c>
      <c r="K499" s="40">
        <v>0</v>
      </c>
      <c r="L499" s="40">
        <v>1</v>
      </c>
    </row>
    <row r="500" spans="1:12" x14ac:dyDescent="0.25">
      <c r="A500" s="40" t="s">
        <v>40</v>
      </c>
      <c r="B500" s="40" t="s">
        <v>900</v>
      </c>
      <c r="C500" s="40" t="s">
        <v>901</v>
      </c>
      <c r="D500" s="40" t="s">
        <v>493</v>
      </c>
      <c r="E500" s="40" t="s">
        <v>493</v>
      </c>
      <c r="F500" s="40">
        <v>0</v>
      </c>
      <c r="G500" s="40"/>
      <c r="H500" s="40" t="s">
        <v>493</v>
      </c>
      <c r="I500" s="40"/>
      <c r="J500" s="40">
        <v>0</v>
      </c>
      <c r="K500" s="40">
        <v>0</v>
      </c>
      <c r="L500" s="40">
        <v>1</v>
      </c>
    </row>
    <row r="501" spans="1:12" x14ac:dyDescent="0.25">
      <c r="A501" s="40" t="s">
        <v>40</v>
      </c>
      <c r="B501" s="40" t="s">
        <v>903</v>
      </c>
      <c r="C501" s="40" t="s">
        <v>904</v>
      </c>
      <c r="D501" s="40" t="s">
        <v>493</v>
      </c>
      <c r="E501" s="40" t="s">
        <v>493</v>
      </c>
      <c r="F501" s="40">
        <v>0</v>
      </c>
      <c r="G501" s="40"/>
      <c r="H501" s="40" t="s">
        <v>493</v>
      </c>
      <c r="I501" s="40"/>
      <c r="J501" s="40">
        <v>0</v>
      </c>
      <c r="K501" s="40">
        <v>0</v>
      </c>
      <c r="L501" s="40">
        <v>1</v>
      </c>
    </row>
    <row r="502" spans="1:12" x14ac:dyDescent="0.25">
      <c r="A502" s="40" t="s">
        <v>40</v>
      </c>
      <c r="B502" s="40" t="s">
        <v>905</v>
      </c>
      <c r="C502" s="40" t="s">
        <v>906</v>
      </c>
      <c r="D502" s="40" t="s">
        <v>493</v>
      </c>
      <c r="E502" s="40" t="s">
        <v>493</v>
      </c>
      <c r="F502" s="40">
        <v>0</v>
      </c>
      <c r="G502" s="40"/>
      <c r="H502" s="40" t="s">
        <v>493</v>
      </c>
      <c r="I502" s="40"/>
      <c r="J502" s="40">
        <v>0</v>
      </c>
      <c r="K502" s="40">
        <v>0</v>
      </c>
      <c r="L502" s="40">
        <v>1</v>
      </c>
    </row>
    <row r="503" spans="1:12" x14ac:dyDescent="0.25">
      <c r="A503" s="40" t="s">
        <v>40</v>
      </c>
      <c r="B503" s="40" t="s">
        <v>907</v>
      </c>
      <c r="C503" s="40" t="s">
        <v>908</v>
      </c>
      <c r="D503" s="40" t="s">
        <v>493</v>
      </c>
      <c r="E503" s="40" t="s">
        <v>493</v>
      </c>
      <c r="F503" s="40">
        <v>0</v>
      </c>
      <c r="G503" s="40"/>
      <c r="H503" s="40" t="s">
        <v>493</v>
      </c>
      <c r="I503" s="40"/>
      <c r="J503" s="40">
        <v>0</v>
      </c>
      <c r="K503" s="40">
        <v>0</v>
      </c>
      <c r="L503" s="40">
        <v>1</v>
      </c>
    </row>
    <row r="504" spans="1:12" x14ac:dyDescent="0.25">
      <c r="A504" s="40" t="s">
        <v>40</v>
      </c>
      <c r="B504" s="40" t="s">
        <v>909</v>
      </c>
      <c r="C504" s="40" t="s">
        <v>910</v>
      </c>
      <c r="D504" s="40" t="s">
        <v>493</v>
      </c>
      <c r="E504" s="40" t="s">
        <v>493</v>
      </c>
      <c r="F504" s="40">
        <v>0</v>
      </c>
      <c r="G504" s="40"/>
      <c r="H504" s="40" t="s">
        <v>493</v>
      </c>
      <c r="I504" s="40"/>
      <c r="J504" s="40">
        <v>0</v>
      </c>
      <c r="K504" s="40">
        <v>0</v>
      </c>
      <c r="L504" s="40">
        <v>1</v>
      </c>
    </row>
    <row r="505" spans="1:12" x14ac:dyDescent="0.25">
      <c r="A505" s="40" t="s">
        <v>40</v>
      </c>
      <c r="B505" s="40" t="s">
        <v>912</v>
      </c>
      <c r="C505" s="40" t="s">
        <v>913</v>
      </c>
      <c r="D505" s="40" t="s">
        <v>493</v>
      </c>
      <c r="E505" s="40" t="s">
        <v>493</v>
      </c>
      <c r="F505" s="40">
        <v>0</v>
      </c>
      <c r="G505" s="40"/>
      <c r="H505" s="40" t="s">
        <v>493</v>
      </c>
      <c r="I505" s="40"/>
      <c r="J505" s="40">
        <v>0</v>
      </c>
      <c r="K505" s="40">
        <v>0</v>
      </c>
      <c r="L505" s="40">
        <v>1</v>
      </c>
    </row>
    <row r="506" spans="1:12" x14ac:dyDescent="0.25">
      <c r="A506" s="40" t="s">
        <v>40</v>
      </c>
      <c r="B506" s="40" t="s">
        <v>915</v>
      </c>
      <c r="C506" s="40" t="s">
        <v>916</v>
      </c>
      <c r="D506" s="40" t="s">
        <v>493</v>
      </c>
      <c r="E506" s="40" t="s">
        <v>493</v>
      </c>
      <c r="F506" s="40">
        <v>0</v>
      </c>
      <c r="G506" s="40"/>
      <c r="H506" s="40" t="s">
        <v>493</v>
      </c>
      <c r="I506" s="40"/>
      <c r="J506" s="40">
        <v>0</v>
      </c>
      <c r="K506" s="40">
        <v>0</v>
      </c>
      <c r="L506" s="40">
        <v>1</v>
      </c>
    </row>
    <row r="507" spans="1:12" x14ac:dyDescent="0.25">
      <c r="A507" s="40" t="s">
        <v>40</v>
      </c>
      <c r="B507" s="40" t="s">
        <v>918</v>
      </c>
      <c r="C507" s="40" t="s">
        <v>919</v>
      </c>
      <c r="D507" s="40" t="s">
        <v>493</v>
      </c>
      <c r="E507" s="40" t="s">
        <v>493</v>
      </c>
      <c r="F507" s="40">
        <v>0</v>
      </c>
      <c r="G507" s="40"/>
      <c r="H507" s="40" t="s">
        <v>493</v>
      </c>
      <c r="I507" s="40"/>
      <c r="J507" s="40">
        <v>0</v>
      </c>
      <c r="K507" s="40">
        <v>0</v>
      </c>
      <c r="L507" s="40">
        <v>1</v>
      </c>
    </row>
    <row r="508" spans="1:12" x14ac:dyDescent="0.25">
      <c r="A508" s="40" t="s">
        <v>40</v>
      </c>
      <c r="B508" s="40" t="s">
        <v>921</v>
      </c>
      <c r="C508" s="40" t="s">
        <v>922</v>
      </c>
      <c r="D508" s="40" t="s">
        <v>493</v>
      </c>
      <c r="E508" s="40" t="s">
        <v>493</v>
      </c>
      <c r="F508" s="40">
        <v>0</v>
      </c>
      <c r="G508" s="40"/>
      <c r="H508" s="40" t="s">
        <v>493</v>
      </c>
      <c r="I508" s="40"/>
      <c r="J508" s="40">
        <v>0</v>
      </c>
      <c r="K508" s="40">
        <v>0</v>
      </c>
      <c r="L508" s="40">
        <v>1</v>
      </c>
    </row>
    <row r="509" spans="1:12" x14ac:dyDescent="0.25">
      <c r="A509" s="40" t="s">
        <v>40</v>
      </c>
      <c r="B509" s="40" t="s">
        <v>924</v>
      </c>
      <c r="C509" s="40" t="s">
        <v>925</v>
      </c>
      <c r="D509" s="40" t="s">
        <v>493</v>
      </c>
      <c r="E509" s="40" t="s">
        <v>493</v>
      </c>
      <c r="F509" s="40">
        <v>0</v>
      </c>
      <c r="G509" s="40"/>
      <c r="H509" s="40" t="s">
        <v>493</v>
      </c>
      <c r="I509" s="40"/>
      <c r="J509" s="40">
        <v>0</v>
      </c>
      <c r="K509" s="40">
        <v>0</v>
      </c>
      <c r="L509" s="40">
        <v>1</v>
      </c>
    </row>
    <row r="510" spans="1:12" x14ac:dyDescent="0.25">
      <c r="A510" s="40" t="s">
        <v>40</v>
      </c>
      <c r="B510" s="40" t="s">
        <v>927</v>
      </c>
      <c r="C510" s="40" t="s">
        <v>928</v>
      </c>
      <c r="D510" s="40" t="s">
        <v>493</v>
      </c>
      <c r="E510" s="40" t="s">
        <v>493</v>
      </c>
      <c r="F510" s="40">
        <v>0</v>
      </c>
      <c r="G510" s="40"/>
      <c r="H510" s="40" t="s">
        <v>493</v>
      </c>
      <c r="I510" s="40"/>
      <c r="J510" s="40">
        <v>0</v>
      </c>
      <c r="K510" s="40">
        <v>0</v>
      </c>
      <c r="L510" s="40">
        <v>1</v>
      </c>
    </row>
    <row r="511" spans="1:12" x14ac:dyDescent="0.25">
      <c r="A511" s="40" t="s">
        <v>40</v>
      </c>
      <c r="B511" s="40" t="s">
        <v>930</v>
      </c>
      <c r="C511" s="40" t="s">
        <v>931</v>
      </c>
      <c r="D511" s="40" t="s">
        <v>493</v>
      </c>
      <c r="E511" s="40" t="s">
        <v>493</v>
      </c>
      <c r="F511" s="40">
        <v>0</v>
      </c>
      <c r="G511" s="40"/>
      <c r="H511" s="40" t="s">
        <v>493</v>
      </c>
      <c r="I511" s="40"/>
      <c r="J511" s="40">
        <v>0</v>
      </c>
      <c r="K511" s="40">
        <v>0</v>
      </c>
      <c r="L511" s="40">
        <v>1</v>
      </c>
    </row>
    <row r="512" spans="1:12" x14ac:dyDescent="0.25">
      <c r="A512" s="40" t="s">
        <v>40</v>
      </c>
      <c r="B512" s="40" t="s">
        <v>933</v>
      </c>
      <c r="C512" s="40" t="s">
        <v>934</v>
      </c>
      <c r="D512" s="40" t="s">
        <v>493</v>
      </c>
      <c r="E512" s="40" t="s">
        <v>493</v>
      </c>
      <c r="F512" s="40">
        <v>0</v>
      </c>
      <c r="G512" s="40"/>
      <c r="H512" s="40" t="s">
        <v>493</v>
      </c>
      <c r="I512" s="40"/>
      <c r="J512" s="40">
        <v>0</v>
      </c>
      <c r="K512" s="40">
        <v>0</v>
      </c>
      <c r="L512" s="40">
        <v>1</v>
      </c>
    </row>
    <row r="513" spans="1:12" x14ac:dyDescent="0.25">
      <c r="A513" s="40" t="s">
        <v>40</v>
      </c>
      <c r="B513" s="40" t="s">
        <v>936</v>
      </c>
      <c r="C513" s="40" t="s">
        <v>937</v>
      </c>
      <c r="D513" s="40" t="s">
        <v>493</v>
      </c>
      <c r="E513" s="40" t="s">
        <v>493</v>
      </c>
      <c r="F513" s="40">
        <v>0</v>
      </c>
      <c r="G513" s="40"/>
      <c r="H513" s="40" t="s">
        <v>493</v>
      </c>
      <c r="I513" s="40"/>
      <c r="J513" s="40">
        <v>0</v>
      </c>
      <c r="K513" s="40">
        <v>0</v>
      </c>
      <c r="L513" s="40">
        <v>1</v>
      </c>
    </row>
    <row r="514" spans="1:12" x14ac:dyDescent="0.25">
      <c r="A514" s="40" t="s">
        <v>40</v>
      </c>
      <c r="B514" s="40" t="s">
        <v>939</v>
      </c>
      <c r="C514" s="40" t="s">
        <v>940</v>
      </c>
      <c r="D514" s="40" t="s">
        <v>493</v>
      </c>
      <c r="E514" s="40" t="s">
        <v>493</v>
      </c>
      <c r="F514" s="40">
        <v>0</v>
      </c>
      <c r="G514" s="40"/>
      <c r="H514" s="40" t="s">
        <v>493</v>
      </c>
      <c r="I514" s="40"/>
      <c r="J514" s="40">
        <v>0</v>
      </c>
      <c r="K514" s="40">
        <v>0</v>
      </c>
      <c r="L514" s="40">
        <v>1</v>
      </c>
    </row>
    <row r="515" spans="1:12" x14ac:dyDescent="0.25">
      <c r="A515" s="40" t="s">
        <v>40</v>
      </c>
      <c r="B515" s="40" t="s">
        <v>942</v>
      </c>
      <c r="C515" s="40" t="s">
        <v>943</v>
      </c>
      <c r="D515" s="40" t="s">
        <v>493</v>
      </c>
      <c r="E515" s="40" t="s">
        <v>493</v>
      </c>
      <c r="F515" s="40">
        <v>0</v>
      </c>
      <c r="G515" s="40"/>
      <c r="H515" s="40" t="s">
        <v>493</v>
      </c>
      <c r="I515" s="40"/>
      <c r="J515" s="40">
        <v>0</v>
      </c>
      <c r="K515" s="40">
        <v>0</v>
      </c>
      <c r="L515" s="40">
        <v>1</v>
      </c>
    </row>
    <row r="516" spans="1:12" x14ac:dyDescent="0.25">
      <c r="A516" s="40" t="s">
        <v>40</v>
      </c>
      <c r="B516" s="40" t="s">
        <v>945</v>
      </c>
      <c r="C516" s="40" t="s">
        <v>946</v>
      </c>
      <c r="D516" s="40" t="s">
        <v>493</v>
      </c>
      <c r="E516" s="40" t="s">
        <v>493</v>
      </c>
      <c r="F516" s="40">
        <v>0</v>
      </c>
      <c r="G516" s="40"/>
      <c r="H516" s="40" t="s">
        <v>493</v>
      </c>
      <c r="I516" s="40"/>
      <c r="J516" s="40">
        <v>0</v>
      </c>
      <c r="K516" s="40">
        <v>0</v>
      </c>
      <c r="L516" s="40">
        <v>0</v>
      </c>
    </row>
    <row r="517" spans="1:12" x14ac:dyDescent="0.25">
      <c r="A517" s="40" t="s">
        <v>40</v>
      </c>
      <c r="B517" s="40" t="s">
        <v>948</v>
      </c>
      <c r="C517" s="40" t="s">
        <v>949</v>
      </c>
      <c r="D517" s="40" t="s">
        <v>493</v>
      </c>
      <c r="E517" s="40" t="s">
        <v>493</v>
      </c>
      <c r="F517" s="40">
        <v>0</v>
      </c>
      <c r="G517" s="40"/>
      <c r="H517" s="40" t="s">
        <v>493</v>
      </c>
      <c r="I517" s="40"/>
      <c r="J517" s="40">
        <v>0</v>
      </c>
      <c r="K517" s="40">
        <v>0</v>
      </c>
      <c r="L517" s="40">
        <v>0</v>
      </c>
    </row>
    <row r="518" spans="1:12" x14ac:dyDescent="0.25">
      <c r="A518" s="40" t="s">
        <v>40</v>
      </c>
      <c r="B518" s="40" t="s">
        <v>951</v>
      </c>
      <c r="C518" s="40" t="s">
        <v>952</v>
      </c>
      <c r="D518" s="40" t="s">
        <v>493</v>
      </c>
      <c r="E518" s="40" t="s">
        <v>493</v>
      </c>
      <c r="F518" s="40">
        <v>0</v>
      </c>
      <c r="G518" s="40"/>
      <c r="H518" s="40" t="s">
        <v>493</v>
      </c>
      <c r="I518" s="40"/>
      <c r="J518" s="40">
        <v>0</v>
      </c>
      <c r="K518" s="40">
        <v>0</v>
      </c>
      <c r="L518" s="40">
        <v>0</v>
      </c>
    </row>
    <row r="519" spans="1:12" x14ac:dyDescent="0.25">
      <c r="A519" s="40" t="s">
        <v>40</v>
      </c>
      <c r="B519" s="40" t="s">
        <v>954</v>
      </c>
      <c r="C519" s="40" t="s">
        <v>955</v>
      </c>
      <c r="D519" s="40" t="s">
        <v>493</v>
      </c>
      <c r="E519" s="40" t="s">
        <v>493</v>
      </c>
      <c r="F519" s="40">
        <v>0</v>
      </c>
      <c r="G519" s="40"/>
      <c r="H519" s="40" t="s">
        <v>493</v>
      </c>
      <c r="I519" s="40"/>
      <c r="J519" s="40">
        <v>0</v>
      </c>
      <c r="K519" s="40">
        <v>0</v>
      </c>
      <c r="L519" s="40">
        <v>0</v>
      </c>
    </row>
    <row r="520" spans="1:12" x14ac:dyDescent="0.25">
      <c r="A520" s="40" t="s">
        <v>40</v>
      </c>
      <c r="B520" s="40" t="s">
        <v>957</v>
      </c>
      <c r="C520" s="40" t="s">
        <v>958</v>
      </c>
      <c r="D520" s="40" t="s">
        <v>493</v>
      </c>
      <c r="E520" s="40" t="s">
        <v>493</v>
      </c>
      <c r="F520" s="40">
        <v>0</v>
      </c>
      <c r="G520" s="40"/>
      <c r="H520" s="40" t="s">
        <v>493</v>
      </c>
      <c r="I520" s="40"/>
      <c r="J520" s="40">
        <v>0</v>
      </c>
      <c r="K520" s="40">
        <v>0</v>
      </c>
      <c r="L520" s="40">
        <v>0</v>
      </c>
    </row>
    <row r="521" spans="1:12" x14ac:dyDescent="0.25">
      <c r="A521" s="40" t="s">
        <v>40</v>
      </c>
      <c r="B521" s="40" t="s">
        <v>960</v>
      </c>
      <c r="C521" s="40" t="s">
        <v>961</v>
      </c>
      <c r="D521" s="40" t="s">
        <v>493</v>
      </c>
      <c r="E521" s="40" t="s">
        <v>493</v>
      </c>
      <c r="F521" s="40">
        <v>0</v>
      </c>
      <c r="G521" s="40"/>
      <c r="H521" s="40" t="s">
        <v>493</v>
      </c>
      <c r="I521" s="40"/>
      <c r="J521" s="40">
        <v>0</v>
      </c>
      <c r="K521" s="40">
        <v>0</v>
      </c>
      <c r="L521" s="40">
        <v>0</v>
      </c>
    </row>
    <row r="522" spans="1:12" x14ac:dyDescent="0.25">
      <c r="A522" s="40" t="s">
        <v>40</v>
      </c>
      <c r="B522" s="40" t="s">
        <v>962</v>
      </c>
      <c r="C522" s="40" t="s">
        <v>963</v>
      </c>
      <c r="D522" s="40" t="s">
        <v>493</v>
      </c>
      <c r="E522" s="40" t="s">
        <v>493</v>
      </c>
      <c r="F522" s="40">
        <v>0</v>
      </c>
      <c r="G522" s="40"/>
      <c r="H522" s="40" t="s">
        <v>493</v>
      </c>
      <c r="I522" s="40"/>
      <c r="J522" s="40">
        <v>0</v>
      </c>
      <c r="K522" s="40">
        <v>0</v>
      </c>
      <c r="L522" s="40">
        <v>0</v>
      </c>
    </row>
    <row r="523" spans="1:12" x14ac:dyDescent="0.25">
      <c r="A523" s="40" t="s">
        <v>40</v>
      </c>
      <c r="B523" s="40" t="s">
        <v>965</v>
      </c>
      <c r="C523" s="40" t="s">
        <v>966</v>
      </c>
      <c r="D523" s="40" t="s">
        <v>493</v>
      </c>
      <c r="E523" s="40" t="s">
        <v>493</v>
      </c>
      <c r="F523" s="40">
        <v>0</v>
      </c>
      <c r="G523" s="40"/>
      <c r="H523" s="40" t="s">
        <v>493</v>
      </c>
      <c r="I523" s="40"/>
      <c r="J523" s="40">
        <v>0</v>
      </c>
      <c r="K523" s="40">
        <v>0</v>
      </c>
      <c r="L523" s="40">
        <v>0</v>
      </c>
    </row>
    <row r="524" spans="1:12" x14ac:dyDescent="0.25">
      <c r="A524" s="40" t="s">
        <v>40</v>
      </c>
      <c r="B524" s="40" t="s">
        <v>968</v>
      </c>
      <c r="C524" s="40" t="s">
        <v>969</v>
      </c>
      <c r="D524" s="40" t="s">
        <v>691</v>
      </c>
      <c r="E524" s="40" t="s">
        <v>691</v>
      </c>
      <c r="F524" s="40">
        <v>0</v>
      </c>
      <c r="G524" s="40"/>
      <c r="H524" s="40" t="s">
        <v>883</v>
      </c>
      <c r="I524" s="40"/>
      <c r="J524" s="40">
        <v>0</v>
      </c>
      <c r="K524" s="40">
        <v>0</v>
      </c>
      <c r="L524" s="40">
        <v>1</v>
      </c>
    </row>
    <row r="525" spans="1:12" x14ac:dyDescent="0.25">
      <c r="A525" s="40" t="s">
        <v>40</v>
      </c>
      <c r="B525" s="40" t="s">
        <v>970</v>
      </c>
      <c r="C525" s="40" t="s">
        <v>971</v>
      </c>
      <c r="D525" s="40" t="s">
        <v>691</v>
      </c>
      <c r="E525" s="40" t="s">
        <v>691</v>
      </c>
      <c r="F525" s="40">
        <v>0</v>
      </c>
      <c r="G525" s="40"/>
      <c r="H525" s="40" t="s">
        <v>883</v>
      </c>
      <c r="I525" s="40"/>
      <c r="J525" s="40">
        <v>0</v>
      </c>
      <c r="K525" s="40">
        <v>0</v>
      </c>
      <c r="L525" s="40">
        <v>1</v>
      </c>
    </row>
    <row r="526" spans="1:12" x14ac:dyDescent="0.25">
      <c r="A526" s="40" t="s">
        <v>40</v>
      </c>
      <c r="B526" s="40" t="s">
        <v>973</v>
      </c>
      <c r="C526" s="40" t="s">
        <v>974</v>
      </c>
      <c r="D526" s="40" t="s">
        <v>691</v>
      </c>
      <c r="E526" s="40" t="s">
        <v>691</v>
      </c>
      <c r="F526" s="40">
        <v>0</v>
      </c>
      <c r="G526" s="40"/>
      <c r="H526" s="40" t="s">
        <v>883</v>
      </c>
      <c r="I526" s="40"/>
      <c r="J526" s="40">
        <v>0</v>
      </c>
      <c r="K526" s="40">
        <v>0</v>
      </c>
      <c r="L526" s="40">
        <v>1</v>
      </c>
    </row>
    <row r="527" spans="1:12" x14ac:dyDescent="0.25">
      <c r="A527" s="40" t="s">
        <v>40</v>
      </c>
      <c r="B527" s="40" t="s">
        <v>975</v>
      </c>
      <c r="C527" s="40" t="s">
        <v>976</v>
      </c>
      <c r="D527" s="40" t="s">
        <v>691</v>
      </c>
      <c r="E527" s="40" t="s">
        <v>691</v>
      </c>
      <c r="F527" s="40">
        <v>0</v>
      </c>
      <c r="G527" s="40"/>
      <c r="H527" s="40" t="s">
        <v>883</v>
      </c>
      <c r="I527" s="40"/>
      <c r="J527" s="40">
        <v>0</v>
      </c>
      <c r="K527" s="40">
        <v>0</v>
      </c>
      <c r="L527" s="40">
        <v>1</v>
      </c>
    </row>
    <row r="528" spans="1:12" x14ac:dyDescent="0.25">
      <c r="A528" s="40" t="s">
        <v>40</v>
      </c>
      <c r="B528" s="40" t="s">
        <v>977</v>
      </c>
      <c r="C528" s="40" t="s">
        <v>978</v>
      </c>
      <c r="D528" s="40" t="s">
        <v>691</v>
      </c>
      <c r="E528" s="40" t="s">
        <v>691</v>
      </c>
      <c r="F528" s="40">
        <v>0</v>
      </c>
      <c r="G528" s="40"/>
      <c r="H528" s="40" t="s">
        <v>883</v>
      </c>
      <c r="I528" s="40"/>
      <c r="J528" s="40">
        <v>0</v>
      </c>
      <c r="K528" s="40">
        <v>0</v>
      </c>
      <c r="L528" s="40">
        <v>1</v>
      </c>
    </row>
    <row r="529" spans="1:12" x14ac:dyDescent="0.25">
      <c r="A529" s="40" t="s">
        <v>40</v>
      </c>
      <c r="B529" s="40" t="s">
        <v>979</v>
      </c>
      <c r="C529" s="40" t="s">
        <v>980</v>
      </c>
      <c r="D529" s="40" t="s">
        <v>691</v>
      </c>
      <c r="E529" s="40" t="s">
        <v>691</v>
      </c>
      <c r="F529" s="40">
        <v>0</v>
      </c>
      <c r="G529" s="40"/>
      <c r="H529" s="40" t="s">
        <v>883</v>
      </c>
      <c r="I529" s="40"/>
      <c r="J529" s="40">
        <v>0</v>
      </c>
      <c r="K529" s="40">
        <v>0</v>
      </c>
      <c r="L529" s="40">
        <v>1</v>
      </c>
    </row>
    <row r="530" spans="1:12" x14ac:dyDescent="0.25">
      <c r="A530" s="40" t="s">
        <v>40</v>
      </c>
      <c r="B530" s="40" t="s">
        <v>981</v>
      </c>
      <c r="C530" s="40" t="s">
        <v>982</v>
      </c>
      <c r="D530" s="40" t="s">
        <v>691</v>
      </c>
      <c r="E530" s="40" t="s">
        <v>691</v>
      </c>
      <c r="F530" s="40">
        <v>0</v>
      </c>
      <c r="G530" s="40"/>
      <c r="H530" s="40" t="s">
        <v>883</v>
      </c>
      <c r="I530" s="40"/>
      <c r="J530" s="40">
        <v>0</v>
      </c>
      <c r="K530" s="40">
        <v>0</v>
      </c>
      <c r="L530" s="40">
        <v>1</v>
      </c>
    </row>
    <row r="531" spans="1:12" x14ac:dyDescent="0.25">
      <c r="A531" s="40" t="s">
        <v>40</v>
      </c>
      <c r="B531" s="40" t="s">
        <v>983</v>
      </c>
      <c r="C531" s="40" t="s">
        <v>984</v>
      </c>
      <c r="D531" s="40" t="s">
        <v>691</v>
      </c>
      <c r="E531" s="40" t="s">
        <v>691</v>
      </c>
      <c r="F531" s="40">
        <v>0</v>
      </c>
      <c r="G531" s="40"/>
      <c r="H531" s="40" t="s">
        <v>883</v>
      </c>
      <c r="I531" s="40"/>
      <c r="J531" s="40">
        <v>0</v>
      </c>
      <c r="K531" s="40">
        <v>0</v>
      </c>
      <c r="L531" s="40">
        <v>1</v>
      </c>
    </row>
    <row r="532" spans="1:12" x14ac:dyDescent="0.25">
      <c r="A532" s="40" t="s">
        <v>40</v>
      </c>
      <c r="B532" s="40" t="s">
        <v>985</v>
      </c>
      <c r="C532" s="40" t="s">
        <v>986</v>
      </c>
      <c r="D532" s="40" t="s">
        <v>493</v>
      </c>
      <c r="E532" s="40" t="s">
        <v>694</v>
      </c>
      <c r="F532" s="40">
        <v>1</v>
      </c>
      <c r="G532" s="40"/>
      <c r="H532" s="40" t="s">
        <v>482</v>
      </c>
      <c r="I532" s="40"/>
      <c r="J532" s="40">
        <v>0</v>
      </c>
      <c r="K532" s="40">
        <v>0</v>
      </c>
      <c r="L532" s="40">
        <v>0</v>
      </c>
    </row>
    <row r="533" spans="1:12" x14ac:dyDescent="0.25">
      <c r="A533" s="40" t="s">
        <v>40</v>
      </c>
      <c r="B533" s="40" t="s">
        <v>987</v>
      </c>
      <c r="C533" s="40" t="s">
        <v>988</v>
      </c>
      <c r="D533" s="40" t="s">
        <v>493</v>
      </c>
      <c r="E533" s="40" t="s">
        <v>694</v>
      </c>
      <c r="F533" s="40">
        <v>1</v>
      </c>
      <c r="G533" s="40"/>
      <c r="H533" s="40" t="s">
        <v>482</v>
      </c>
      <c r="I533" s="40"/>
      <c r="J533" s="40">
        <v>0</v>
      </c>
      <c r="K533" s="40">
        <v>0</v>
      </c>
      <c r="L533" s="40">
        <v>0</v>
      </c>
    </row>
    <row r="534" spans="1:12" x14ac:dyDescent="0.25">
      <c r="A534" s="40" t="s">
        <v>40</v>
      </c>
      <c r="B534" s="40" t="s">
        <v>989</v>
      </c>
      <c r="C534" s="40" t="s">
        <v>990</v>
      </c>
      <c r="D534" s="40" t="s">
        <v>493</v>
      </c>
      <c r="E534" s="40" t="s">
        <v>694</v>
      </c>
      <c r="F534" s="40">
        <v>1</v>
      </c>
      <c r="G534" s="40"/>
      <c r="H534" s="40" t="s">
        <v>493</v>
      </c>
      <c r="I534" s="40"/>
      <c r="J534" s="40">
        <v>0</v>
      </c>
      <c r="K534" s="40">
        <v>0</v>
      </c>
      <c r="L534" s="40">
        <v>0</v>
      </c>
    </row>
    <row r="535" spans="1:12" x14ac:dyDescent="0.25">
      <c r="A535" s="40" t="s">
        <v>40</v>
      </c>
      <c r="B535" s="40" t="s">
        <v>991</v>
      </c>
      <c r="C535" s="40" t="s">
        <v>992</v>
      </c>
      <c r="D535" s="40" t="s">
        <v>493</v>
      </c>
      <c r="E535" s="40" t="s">
        <v>694</v>
      </c>
      <c r="F535" s="40">
        <v>1</v>
      </c>
      <c r="G535" s="40"/>
      <c r="H535" s="40" t="s">
        <v>482</v>
      </c>
      <c r="I535" s="40"/>
      <c r="J535" s="40">
        <v>0</v>
      </c>
      <c r="K535" s="40">
        <v>0</v>
      </c>
      <c r="L535" s="40">
        <v>0</v>
      </c>
    </row>
    <row r="536" spans="1:12" x14ac:dyDescent="0.25">
      <c r="A536" s="40" t="s">
        <v>40</v>
      </c>
      <c r="B536" s="40" t="s">
        <v>993</v>
      </c>
      <c r="C536" s="40" t="s">
        <v>994</v>
      </c>
      <c r="D536" s="40" t="s">
        <v>493</v>
      </c>
      <c r="E536" s="40" t="s">
        <v>694</v>
      </c>
      <c r="F536" s="40">
        <v>1</v>
      </c>
      <c r="G536" s="40"/>
      <c r="H536" s="40" t="s">
        <v>482</v>
      </c>
      <c r="I536" s="40"/>
      <c r="J536" s="40">
        <v>0</v>
      </c>
      <c r="K536" s="40">
        <v>0</v>
      </c>
      <c r="L536" s="40">
        <v>0</v>
      </c>
    </row>
    <row r="537" spans="1:12" x14ac:dyDescent="0.25">
      <c r="A537" s="40" t="s">
        <v>40</v>
      </c>
      <c r="B537" s="40" t="s">
        <v>996</v>
      </c>
      <c r="C537" s="40" t="s">
        <v>997</v>
      </c>
      <c r="D537" s="40" t="s">
        <v>493</v>
      </c>
      <c r="E537" s="40" t="s">
        <v>694</v>
      </c>
      <c r="F537" s="40">
        <v>1</v>
      </c>
      <c r="G537" s="40"/>
      <c r="H537" s="40" t="s">
        <v>482</v>
      </c>
      <c r="I537" s="40"/>
      <c r="J537" s="40">
        <v>0</v>
      </c>
      <c r="K537" s="40">
        <v>0</v>
      </c>
      <c r="L537" s="40">
        <v>0</v>
      </c>
    </row>
    <row r="538" spans="1:12" x14ac:dyDescent="0.25">
      <c r="A538" s="40" t="s">
        <v>40</v>
      </c>
      <c r="B538" s="40" t="s">
        <v>999</v>
      </c>
      <c r="C538" s="40" t="s">
        <v>1000</v>
      </c>
      <c r="D538" s="40" t="s">
        <v>493</v>
      </c>
      <c r="E538" s="40" t="s">
        <v>694</v>
      </c>
      <c r="F538" s="40">
        <v>1</v>
      </c>
      <c r="G538" s="40"/>
      <c r="H538" s="40" t="s">
        <v>482</v>
      </c>
      <c r="I538" s="40"/>
      <c r="J538" s="40">
        <v>0</v>
      </c>
      <c r="K538" s="40">
        <v>0</v>
      </c>
      <c r="L538" s="40">
        <v>0</v>
      </c>
    </row>
    <row r="539" spans="1:12" x14ac:dyDescent="0.25">
      <c r="A539" s="40" t="s">
        <v>40</v>
      </c>
      <c r="B539" s="40" t="s">
        <v>1001</v>
      </c>
      <c r="C539" s="40" t="s">
        <v>1002</v>
      </c>
      <c r="D539" s="40" t="s">
        <v>493</v>
      </c>
      <c r="E539" s="40" t="s">
        <v>694</v>
      </c>
      <c r="F539" s="40">
        <v>1</v>
      </c>
      <c r="G539" s="40"/>
      <c r="H539" s="40" t="s">
        <v>493</v>
      </c>
      <c r="I539" s="40"/>
      <c r="J539" s="40">
        <v>0</v>
      </c>
      <c r="K539" s="40">
        <v>0</v>
      </c>
      <c r="L539" s="40">
        <v>0</v>
      </c>
    </row>
    <row r="540" spans="1:12" x14ac:dyDescent="0.25">
      <c r="A540" s="40" t="s">
        <v>40</v>
      </c>
      <c r="B540" s="40" t="s">
        <v>1003</v>
      </c>
      <c r="C540" s="40" t="s">
        <v>1004</v>
      </c>
      <c r="D540" s="40" t="s">
        <v>1005</v>
      </c>
      <c r="E540" s="40" t="s">
        <v>1006</v>
      </c>
      <c r="F540" s="40">
        <v>1</v>
      </c>
      <c r="G540" s="40"/>
      <c r="H540" s="40" t="s">
        <v>482</v>
      </c>
      <c r="I540" s="40"/>
      <c r="J540" s="40">
        <v>0</v>
      </c>
      <c r="K540" s="40">
        <v>0</v>
      </c>
      <c r="L540" s="40">
        <v>0</v>
      </c>
    </row>
    <row r="541" spans="1:12" x14ac:dyDescent="0.25">
      <c r="A541" s="40" t="s">
        <v>40</v>
      </c>
      <c r="B541" s="40" t="s">
        <v>1007</v>
      </c>
      <c r="C541" s="40" t="s">
        <v>1008</v>
      </c>
      <c r="D541" s="40" t="s">
        <v>1278</v>
      </c>
      <c r="E541" s="40" t="s">
        <v>1010</v>
      </c>
      <c r="F541" s="40">
        <v>1</v>
      </c>
      <c r="G541" s="40"/>
      <c r="H541" s="40" t="s">
        <v>482</v>
      </c>
      <c r="I541" s="40"/>
      <c r="J541" s="40">
        <v>0</v>
      </c>
      <c r="K541" s="40">
        <v>0</v>
      </c>
      <c r="L541" s="40">
        <v>0</v>
      </c>
    </row>
    <row r="542" spans="1:12" x14ac:dyDescent="0.25">
      <c r="A542" s="40" t="s">
        <v>40</v>
      </c>
      <c r="B542" s="40" t="s">
        <v>1011</v>
      </c>
      <c r="C542" s="40" t="s">
        <v>1012</v>
      </c>
      <c r="D542" s="40" t="s">
        <v>1279</v>
      </c>
      <c r="E542" s="40" t="s">
        <v>1010</v>
      </c>
      <c r="F542" s="40">
        <v>1</v>
      </c>
      <c r="G542" s="40"/>
      <c r="H542" s="40" t="s">
        <v>482</v>
      </c>
      <c r="I542" s="40"/>
      <c r="J542" s="40">
        <v>0</v>
      </c>
      <c r="K542" s="40">
        <v>0</v>
      </c>
      <c r="L542" s="40">
        <v>0</v>
      </c>
    </row>
    <row r="543" spans="1:12" x14ac:dyDescent="0.25">
      <c r="A543" s="40" t="s">
        <v>40</v>
      </c>
      <c r="B543" s="40" t="s">
        <v>1014</v>
      </c>
      <c r="C543" s="40" t="s">
        <v>1015</v>
      </c>
      <c r="D543" s="40" t="s">
        <v>1279</v>
      </c>
      <c r="E543" s="40" t="s">
        <v>1016</v>
      </c>
      <c r="F543" s="40">
        <v>1</v>
      </c>
      <c r="G543" s="40"/>
      <c r="H543" s="40" t="s">
        <v>482</v>
      </c>
      <c r="I543" s="40"/>
      <c r="J543" s="40">
        <v>0</v>
      </c>
      <c r="K543" s="40">
        <v>0</v>
      </c>
      <c r="L543" s="40">
        <v>0</v>
      </c>
    </row>
    <row r="544" spans="1:12" x14ac:dyDescent="0.25">
      <c r="A544" s="40" t="s">
        <v>40</v>
      </c>
      <c r="B544" s="40" t="s">
        <v>1017</v>
      </c>
      <c r="C544" s="40" t="s">
        <v>1018</v>
      </c>
      <c r="D544" s="40" t="s">
        <v>1279</v>
      </c>
      <c r="E544" s="40" t="s">
        <v>1016</v>
      </c>
      <c r="F544" s="40">
        <v>1</v>
      </c>
      <c r="G544" s="40"/>
      <c r="H544" s="40" t="s">
        <v>482</v>
      </c>
      <c r="I544" s="40"/>
      <c r="J544" s="40">
        <v>0</v>
      </c>
      <c r="K544" s="40">
        <v>0</v>
      </c>
      <c r="L544" s="40">
        <v>0</v>
      </c>
    </row>
    <row r="545" spans="1:12" x14ac:dyDescent="0.25">
      <c r="A545" s="40" t="s">
        <v>40</v>
      </c>
      <c r="B545" s="40" t="s">
        <v>1019</v>
      </c>
      <c r="C545" s="40" t="s">
        <v>1020</v>
      </c>
      <c r="D545" s="40" t="s">
        <v>1279</v>
      </c>
      <c r="E545" s="40" t="s">
        <v>1016</v>
      </c>
      <c r="F545" s="40">
        <v>1</v>
      </c>
      <c r="G545" s="40"/>
      <c r="H545" s="40" t="s">
        <v>482</v>
      </c>
      <c r="I545" s="40"/>
      <c r="J545" s="40">
        <v>0</v>
      </c>
      <c r="K545" s="40">
        <v>0</v>
      </c>
      <c r="L545" s="40">
        <v>0</v>
      </c>
    </row>
    <row r="546" spans="1:12" x14ac:dyDescent="0.25">
      <c r="A546" s="40" t="s">
        <v>40</v>
      </c>
      <c r="B546" s="40" t="s">
        <v>1021</v>
      </c>
      <c r="C546" s="40" t="s">
        <v>1022</v>
      </c>
      <c r="D546" s="40" t="s">
        <v>1279</v>
      </c>
      <c r="E546" s="40" t="s">
        <v>1016</v>
      </c>
      <c r="F546" s="40">
        <v>1</v>
      </c>
      <c r="G546" s="40"/>
      <c r="H546" s="40" t="s">
        <v>493</v>
      </c>
      <c r="I546" s="40"/>
      <c r="J546" s="40">
        <v>1</v>
      </c>
      <c r="K546" s="40">
        <v>1</v>
      </c>
      <c r="L546" s="40">
        <v>1</v>
      </c>
    </row>
    <row r="547" spans="1:12" x14ac:dyDescent="0.25">
      <c r="A547" s="40" t="s">
        <v>40</v>
      </c>
      <c r="B547" s="40" t="s">
        <v>1024</v>
      </c>
      <c r="C547" s="40" t="s">
        <v>1025</v>
      </c>
      <c r="D547" s="40" t="s">
        <v>1279</v>
      </c>
      <c r="E547" s="40" t="s">
        <v>1016</v>
      </c>
      <c r="F547" s="40">
        <v>1</v>
      </c>
      <c r="G547" s="40"/>
      <c r="H547" s="40" t="s">
        <v>482</v>
      </c>
      <c r="I547" s="40"/>
      <c r="J547" s="40">
        <v>0</v>
      </c>
      <c r="K547" s="40">
        <v>0</v>
      </c>
      <c r="L547" s="40">
        <v>0</v>
      </c>
    </row>
    <row r="548" spans="1:12" x14ac:dyDescent="0.25">
      <c r="A548" s="40" t="s">
        <v>40</v>
      </c>
      <c r="B548" s="40" t="s">
        <v>1026</v>
      </c>
      <c r="C548" s="40" t="s">
        <v>1027</v>
      </c>
      <c r="D548" s="40" t="s">
        <v>1270</v>
      </c>
      <c r="E548" s="40" t="s">
        <v>493</v>
      </c>
      <c r="F548" s="40">
        <v>1</v>
      </c>
      <c r="G548" s="40"/>
      <c r="H548" s="40" t="s">
        <v>1028</v>
      </c>
      <c r="I548" s="40"/>
      <c r="J548" s="40">
        <v>0</v>
      </c>
      <c r="K548" s="40">
        <v>0</v>
      </c>
      <c r="L548" s="40">
        <v>1</v>
      </c>
    </row>
    <row r="549" spans="1:12" x14ac:dyDescent="0.25">
      <c r="A549" s="40" t="s">
        <v>40</v>
      </c>
      <c r="B549" s="40" t="s">
        <v>1029</v>
      </c>
      <c r="C549" s="40" t="s">
        <v>1030</v>
      </c>
      <c r="D549" s="40" t="s">
        <v>1270</v>
      </c>
      <c r="E549" s="40" t="s">
        <v>493</v>
      </c>
      <c r="F549" s="40">
        <v>1</v>
      </c>
      <c r="G549" s="40"/>
      <c r="H549" s="40" t="s">
        <v>1028</v>
      </c>
      <c r="I549" s="40"/>
      <c r="J549" s="40">
        <v>0</v>
      </c>
      <c r="K549" s="40">
        <v>0</v>
      </c>
      <c r="L549" s="40">
        <v>1</v>
      </c>
    </row>
    <row r="550" spans="1:12" x14ac:dyDescent="0.25">
      <c r="A550" s="40" t="s">
        <v>40</v>
      </c>
      <c r="B550" s="40" t="s">
        <v>1031</v>
      </c>
      <c r="C550" s="40" t="s">
        <v>1032</v>
      </c>
      <c r="D550" s="40" t="s">
        <v>1270</v>
      </c>
      <c r="E550" s="40" t="s">
        <v>493</v>
      </c>
      <c r="F550" s="40">
        <v>1</v>
      </c>
      <c r="G550" s="40"/>
      <c r="H550" s="40" t="s">
        <v>1028</v>
      </c>
      <c r="I550" s="40"/>
      <c r="J550" s="40">
        <v>0</v>
      </c>
      <c r="K550" s="40">
        <v>0</v>
      </c>
      <c r="L550" s="40">
        <v>1</v>
      </c>
    </row>
    <row r="551" spans="1:12" x14ac:dyDescent="0.25">
      <c r="A551" s="40" t="s">
        <v>40</v>
      </c>
      <c r="B551" s="40" t="s">
        <v>1033</v>
      </c>
      <c r="C551" s="40" t="s">
        <v>1034</v>
      </c>
      <c r="D551" s="40" t="s">
        <v>1270</v>
      </c>
      <c r="E551" s="40" t="s">
        <v>493</v>
      </c>
      <c r="F551" s="40">
        <v>1</v>
      </c>
      <c r="G551" s="40"/>
      <c r="H551" s="40" t="s">
        <v>1028</v>
      </c>
      <c r="I551" s="40"/>
      <c r="J551" s="40">
        <v>0</v>
      </c>
      <c r="K551" s="40">
        <v>0</v>
      </c>
      <c r="L551" s="40">
        <v>1</v>
      </c>
    </row>
    <row r="552" spans="1:12" x14ac:dyDescent="0.25">
      <c r="A552" s="40" t="s">
        <v>40</v>
      </c>
      <c r="B552" s="40" t="s">
        <v>1035</v>
      </c>
      <c r="C552" s="40" t="s">
        <v>1036</v>
      </c>
      <c r="D552" s="40" t="s">
        <v>1270</v>
      </c>
      <c r="E552" s="40" t="s">
        <v>493</v>
      </c>
      <c r="F552" s="40">
        <v>1</v>
      </c>
      <c r="G552" s="40"/>
      <c r="H552" s="40" t="s">
        <v>1028</v>
      </c>
      <c r="I552" s="40"/>
      <c r="J552" s="40">
        <v>0</v>
      </c>
      <c r="K552" s="40">
        <v>0</v>
      </c>
      <c r="L552" s="40">
        <v>1</v>
      </c>
    </row>
    <row r="553" spans="1:12" x14ac:dyDescent="0.25">
      <c r="A553" s="40" t="s">
        <v>40</v>
      </c>
      <c r="B553" s="40" t="s">
        <v>1037</v>
      </c>
      <c r="C553" s="40" t="s">
        <v>1038</v>
      </c>
      <c r="D553" s="40" t="s">
        <v>1270</v>
      </c>
      <c r="E553" s="40" t="s">
        <v>493</v>
      </c>
      <c r="F553" s="40">
        <v>1</v>
      </c>
      <c r="G553" s="40"/>
      <c r="H553" s="40" t="s">
        <v>1028</v>
      </c>
      <c r="I553" s="40"/>
      <c r="J553" s="40">
        <v>0</v>
      </c>
      <c r="K553" s="40">
        <v>0</v>
      </c>
      <c r="L553" s="40">
        <v>1</v>
      </c>
    </row>
    <row r="554" spans="1:12" x14ac:dyDescent="0.25">
      <c r="A554" s="40" t="s">
        <v>40</v>
      </c>
      <c r="B554" s="40" t="s">
        <v>1039</v>
      </c>
      <c r="C554" s="40" t="s">
        <v>1040</v>
      </c>
      <c r="D554" s="40" t="s">
        <v>1270</v>
      </c>
      <c r="E554" s="40" t="s">
        <v>493</v>
      </c>
      <c r="F554" s="40">
        <v>1</v>
      </c>
      <c r="G554" s="40"/>
      <c r="H554" s="40" t="s">
        <v>1028</v>
      </c>
      <c r="I554" s="40"/>
      <c r="J554" s="40">
        <v>0</v>
      </c>
      <c r="K554" s="40">
        <v>0</v>
      </c>
      <c r="L554" s="40">
        <v>1</v>
      </c>
    </row>
    <row r="555" spans="1:12" x14ac:dyDescent="0.25">
      <c r="A555" s="40" t="s">
        <v>40</v>
      </c>
      <c r="B555" s="40" t="s">
        <v>1041</v>
      </c>
      <c r="C555" s="40" t="s">
        <v>1042</v>
      </c>
      <c r="D555" s="40" t="s">
        <v>1270</v>
      </c>
      <c r="E555" s="40" t="s">
        <v>493</v>
      </c>
      <c r="F555" s="40">
        <v>1</v>
      </c>
      <c r="G555" s="40"/>
      <c r="H555" s="40" t="s">
        <v>493</v>
      </c>
      <c r="I555" s="40"/>
      <c r="J555" s="40">
        <v>0</v>
      </c>
      <c r="K555" s="40">
        <v>0</v>
      </c>
      <c r="L555" s="40">
        <v>1</v>
      </c>
    </row>
    <row r="556" spans="1:12" x14ac:dyDescent="0.25">
      <c r="A556" s="40" t="s">
        <v>40</v>
      </c>
      <c r="B556" s="40" t="s">
        <v>1043</v>
      </c>
      <c r="C556" s="40" t="s">
        <v>1044</v>
      </c>
      <c r="D556" s="40" t="s">
        <v>493</v>
      </c>
      <c r="E556" s="40" t="s">
        <v>493</v>
      </c>
      <c r="F556" s="40">
        <v>0</v>
      </c>
      <c r="G556" s="40"/>
      <c r="H556" s="40" t="s">
        <v>482</v>
      </c>
      <c r="I556" s="40"/>
      <c r="J556" s="40">
        <v>0</v>
      </c>
      <c r="K556" s="40">
        <v>0</v>
      </c>
      <c r="L556" s="40">
        <v>0</v>
      </c>
    </row>
    <row r="557" spans="1:12" x14ac:dyDescent="0.25">
      <c r="A557" s="40" t="s">
        <v>40</v>
      </c>
      <c r="B557" s="40" t="s">
        <v>1045</v>
      </c>
      <c r="C557" s="40" t="s">
        <v>1046</v>
      </c>
      <c r="D557" s="40" t="s">
        <v>493</v>
      </c>
      <c r="E557" s="40" t="s">
        <v>493</v>
      </c>
      <c r="F557" s="40">
        <v>0</v>
      </c>
      <c r="G557" s="40"/>
      <c r="H557" s="40" t="s">
        <v>482</v>
      </c>
      <c r="I557" s="40"/>
      <c r="J557" s="40">
        <v>0</v>
      </c>
      <c r="K557" s="40">
        <v>0</v>
      </c>
      <c r="L557" s="40">
        <v>0</v>
      </c>
    </row>
    <row r="558" spans="1:12" x14ac:dyDescent="0.25">
      <c r="A558" s="40" t="s">
        <v>40</v>
      </c>
      <c r="B558" s="40" t="s">
        <v>1048</v>
      </c>
      <c r="C558" s="40" t="s">
        <v>1049</v>
      </c>
      <c r="D558" s="40" t="s">
        <v>493</v>
      </c>
      <c r="E558" s="40" t="s">
        <v>493</v>
      </c>
      <c r="F558" s="40">
        <v>0</v>
      </c>
      <c r="G558" s="40"/>
      <c r="H558" s="40" t="s">
        <v>482</v>
      </c>
      <c r="I558" s="40"/>
      <c r="J558" s="40">
        <v>0</v>
      </c>
      <c r="K558" s="40">
        <v>0</v>
      </c>
      <c r="L558" s="40">
        <v>0</v>
      </c>
    </row>
    <row r="559" spans="1:12" x14ac:dyDescent="0.25">
      <c r="A559" s="40" t="s">
        <v>40</v>
      </c>
      <c r="B559" s="40" t="s">
        <v>1050</v>
      </c>
      <c r="C559" s="40" t="s">
        <v>1051</v>
      </c>
      <c r="D559" s="40" t="s">
        <v>493</v>
      </c>
      <c r="E559" s="40" t="s">
        <v>493</v>
      </c>
      <c r="F559" s="40">
        <v>0</v>
      </c>
      <c r="G559" s="40"/>
      <c r="H559" s="40" t="s">
        <v>482</v>
      </c>
      <c r="I559" s="40"/>
      <c r="J559" s="40">
        <v>0</v>
      </c>
      <c r="K559" s="40">
        <v>0</v>
      </c>
      <c r="L559" s="40">
        <v>0</v>
      </c>
    </row>
    <row r="560" spans="1:12" x14ac:dyDescent="0.25">
      <c r="A560" s="40" t="s">
        <v>40</v>
      </c>
      <c r="B560" s="40" t="s">
        <v>1052</v>
      </c>
      <c r="C560" s="40" t="s">
        <v>1053</v>
      </c>
      <c r="D560" s="40" t="s">
        <v>493</v>
      </c>
      <c r="E560" s="40" t="s">
        <v>493</v>
      </c>
      <c r="F560" s="40">
        <v>0</v>
      </c>
      <c r="G560" s="40"/>
      <c r="H560" s="40" t="s">
        <v>482</v>
      </c>
      <c r="I560" s="40"/>
      <c r="J560" s="40">
        <v>0</v>
      </c>
      <c r="K560" s="40">
        <v>0</v>
      </c>
      <c r="L560" s="40">
        <v>0</v>
      </c>
    </row>
    <row r="561" spans="1:12" x14ac:dyDescent="0.25">
      <c r="A561" s="40" t="s">
        <v>40</v>
      </c>
      <c r="B561" s="40" t="s">
        <v>1054</v>
      </c>
      <c r="C561" s="40" t="s">
        <v>1055</v>
      </c>
      <c r="D561" s="40" t="s">
        <v>493</v>
      </c>
      <c r="E561" s="40" t="s">
        <v>493</v>
      </c>
      <c r="F561" s="40">
        <v>0</v>
      </c>
      <c r="G561" s="40"/>
      <c r="H561" s="40" t="s">
        <v>482</v>
      </c>
      <c r="I561" s="40"/>
      <c r="J561" s="40">
        <v>0</v>
      </c>
      <c r="K561" s="40">
        <v>0</v>
      </c>
      <c r="L561" s="40">
        <v>0</v>
      </c>
    </row>
    <row r="562" spans="1:12" x14ac:dyDescent="0.25">
      <c r="A562" s="40" t="s">
        <v>40</v>
      </c>
      <c r="B562" s="40" t="s">
        <v>1056</v>
      </c>
      <c r="C562" s="40" t="s">
        <v>1057</v>
      </c>
      <c r="D562" s="40" t="s">
        <v>493</v>
      </c>
      <c r="E562" s="40" t="s">
        <v>493</v>
      </c>
      <c r="F562" s="40">
        <v>0</v>
      </c>
      <c r="G562" s="40"/>
      <c r="H562" s="40" t="s">
        <v>482</v>
      </c>
      <c r="I562" s="40"/>
      <c r="J562" s="40">
        <v>0</v>
      </c>
      <c r="K562" s="40">
        <v>0</v>
      </c>
      <c r="L562" s="40">
        <v>0</v>
      </c>
    </row>
    <row r="563" spans="1:12" x14ac:dyDescent="0.25">
      <c r="A563" s="40" t="s">
        <v>40</v>
      </c>
      <c r="B563" s="40" t="s">
        <v>1058</v>
      </c>
      <c r="C563" s="40" t="s">
        <v>1059</v>
      </c>
      <c r="D563" s="40" t="s">
        <v>493</v>
      </c>
      <c r="E563" s="40" t="s">
        <v>493</v>
      </c>
      <c r="F563" s="40">
        <v>0</v>
      </c>
      <c r="G563" s="40"/>
      <c r="H563" s="40" t="s">
        <v>482</v>
      </c>
      <c r="I563" s="40"/>
      <c r="J563" s="40">
        <v>0</v>
      </c>
      <c r="K563" s="40">
        <v>0</v>
      </c>
      <c r="L563" s="40">
        <v>0</v>
      </c>
    </row>
    <row r="564" spans="1:12" x14ac:dyDescent="0.25">
      <c r="A564" s="40" t="s">
        <v>40</v>
      </c>
      <c r="B564" s="40" t="s">
        <v>1060</v>
      </c>
      <c r="C564" s="40" t="s">
        <v>1061</v>
      </c>
      <c r="D564" s="40" t="s">
        <v>493</v>
      </c>
      <c r="E564" s="40" t="s">
        <v>493</v>
      </c>
      <c r="F564" s="40">
        <v>0</v>
      </c>
      <c r="G564" s="40"/>
      <c r="H564" s="40" t="s">
        <v>482</v>
      </c>
      <c r="I564" s="40"/>
      <c r="J564" s="40">
        <v>0</v>
      </c>
      <c r="K564" s="40">
        <v>0</v>
      </c>
      <c r="L564" s="40">
        <v>0</v>
      </c>
    </row>
    <row r="565" spans="1:12" x14ac:dyDescent="0.25">
      <c r="A565" s="40" t="s">
        <v>40</v>
      </c>
      <c r="B565" s="40" t="s">
        <v>1062</v>
      </c>
      <c r="C565" s="40" t="s">
        <v>1063</v>
      </c>
      <c r="D565" s="40" t="s">
        <v>1064</v>
      </c>
      <c r="E565" s="40" t="s">
        <v>493</v>
      </c>
      <c r="F565" s="40">
        <v>1</v>
      </c>
      <c r="G565" s="40"/>
      <c r="H565" s="40" t="s">
        <v>482</v>
      </c>
      <c r="I565" s="40"/>
      <c r="J565" s="40">
        <v>0</v>
      </c>
      <c r="K565" s="40">
        <v>0</v>
      </c>
      <c r="L565" s="40">
        <v>0</v>
      </c>
    </row>
    <row r="566" spans="1:12" x14ac:dyDescent="0.25">
      <c r="A566" s="40" t="s">
        <v>40</v>
      </c>
      <c r="B566" s="40" t="s">
        <v>1065</v>
      </c>
      <c r="C566" s="40" t="s">
        <v>1066</v>
      </c>
      <c r="D566" s="40" t="s">
        <v>1064</v>
      </c>
      <c r="E566" s="40" t="s">
        <v>493</v>
      </c>
      <c r="F566" s="40">
        <v>1</v>
      </c>
      <c r="G566" s="40"/>
      <c r="H566" s="40" t="s">
        <v>482</v>
      </c>
      <c r="I566" s="40"/>
      <c r="J566" s="40">
        <v>0</v>
      </c>
      <c r="K566" s="40">
        <v>0</v>
      </c>
      <c r="L566" s="40">
        <v>0</v>
      </c>
    </row>
    <row r="567" spans="1:12" x14ac:dyDescent="0.25">
      <c r="A567" s="40" t="s">
        <v>40</v>
      </c>
      <c r="B567" s="40" t="s">
        <v>1067</v>
      </c>
      <c r="C567" s="40" t="s">
        <v>1068</v>
      </c>
      <c r="D567" s="40" t="s">
        <v>1064</v>
      </c>
      <c r="E567" s="40" t="s">
        <v>493</v>
      </c>
      <c r="F567" s="40">
        <v>1</v>
      </c>
      <c r="G567" s="40"/>
      <c r="H567" s="40" t="s">
        <v>482</v>
      </c>
      <c r="I567" s="40"/>
      <c r="J567" s="40">
        <v>0</v>
      </c>
      <c r="K567" s="40">
        <v>0</v>
      </c>
      <c r="L567" s="40">
        <v>0</v>
      </c>
    </row>
    <row r="568" spans="1:12" x14ac:dyDescent="0.25">
      <c r="A568" s="40" t="s">
        <v>40</v>
      </c>
      <c r="B568" s="40" t="s">
        <v>1069</v>
      </c>
      <c r="C568" s="40" t="s">
        <v>1070</v>
      </c>
      <c r="D568" s="40" t="s">
        <v>1064</v>
      </c>
      <c r="E568" s="40" t="s">
        <v>493</v>
      </c>
      <c r="F568" s="40">
        <v>1</v>
      </c>
      <c r="G568" s="40"/>
      <c r="H568" s="40" t="s">
        <v>482</v>
      </c>
      <c r="I568" s="40"/>
      <c r="J568" s="40">
        <v>0</v>
      </c>
      <c r="K568" s="40">
        <v>0</v>
      </c>
      <c r="L568" s="40">
        <v>0</v>
      </c>
    </row>
    <row r="569" spans="1:12" x14ac:dyDescent="0.25">
      <c r="A569" s="40" t="s">
        <v>40</v>
      </c>
      <c r="B569" s="40" t="s">
        <v>1071</v>
      </c>
      <c r="C569" s="40" t="s">
        <v>1072</v>
      </c>
      <c r="D569" s="40" t="s">
        <v>493</v>
      </c>
      <c r="E569" s="40" t="s">
        <v>493</v>
      </c>
      <c r="F569" s="40">
        <v>0</v>
      </c>
      <c r="G569" s="40"/>
      <c r="H569" s="40" t="s">
        <v>482</v>
      </c>
      <c r="I569" s="40"/>
      <c r="J569" s="40">
        <v>0</v>
      </c>
      <c r="K569" s="40">
        <v>0</v>
      </c>
      <c r="L569" s="40">
        <v>0</v>
      </c>
    </row>
    <row r="570" spans="1:12" x14ac:dyDescent="0.25">
      <c r="A570" s="40" t="s">
        <v>40</v>
      </c>
      <c r="B570" s="40" t="s">
        <v>1073</v>
      </c>
      <c r="C570" s="40" t="s">
        <v>1074</v>
      </c>
      <c r="D570" s="40" t="s">
        <v>493</v>
      </c>
      <c r="E570" s="40" t="s">
        <v>493</v>
      </c>
      <c r="F570" s="40">
        <v>0</v>
      </c>
      <c r="G570" s="40"/>
      <c r="H570" s="40" t="s">
        <v>482</v>
      </c>
      <c r="I570" s="40"/>
      <c r="J570" s="40">
        <v>0</v>
      </c>
      <c r="K570" s="40">
        <v>0</v>
      </c>
      <c r="L570" s="40">
        <v>0</v>
      </c>
    </row>
    <row r="571" spans="1:12" x14ac:dyDescent="0.25">
      <c r="A571" s="40" t="s">
        <v>40</v>
      </c>
      <c r="B571" s="40" t="s">
        <v>1075</v>
      </c>
      <c r="C571" s="40" t="s">
        <v>1076</v>
      </c>
      <c r="D571" s="40" t="s">
        <v>493</v>
      </c>
      <c r="E571" s="40" t="s">
        <v>493</v>
      </c>
      <c r="F571" s="40">
        <v>0</v>
      </c>
      <c r="G571" s="40"/>
      <c r="H571" s="40" t="s">
        <v>482</v>
      </c>
      <c r="I571" s="40"/>
      <c r="J571" s="40">
        <v>0</v>
      </c>
      <c r="K571" s="40">
        <v>0</v>
      </c>
      <c r="L571" s="40">
        <v>0</v>
      </c>
    </row>
    <row r="572" spans="1:12" x14ac:dyDescent="0.25">
      <c r="A572" s="40" t="s">
        <v>40</v>
      </c>
      <c r="B572" s="40" t="s">
        <v>1077</v>
      </c>
      <c r="C572" s="40" t="s">
        <v>1078</v>
      </c>
      <c r="D572" s="40" t="s">
        <v>493</v>
      </c>
      <c r="E572" s="40" t="s">
        <v>493</v>
      </c>
      <c r="F572" s="40">
        <v>0</v>
      </c>
      <c r="G572" s="40"/>
      <c r="H572" s="40" t="s">
        <v>482</v>
      </c>
      <c r="I572" s="40"/>
      <c r="J572" s="40">
        <v>0</v>
      </c>
      <c r="K572" s="40">
        <v>0</v>
      </c>
      <c r="L572" s="40">
        <v>0</v>
      </c>
    </row>
    <row r="573" spans="1:12" x14ac:dyDescent="0.25">
      <c r="A573" s="40" t="s">
        <v>40</v>
      </c>
      <c r="B573" s="40" t="s">
        <v>1079</v>
      </c>
      <c r="C573" s="40" t="s">
        <v>1080</v>
      </c>
      <c r="D573" s="40" t="s">
        <v>493</v>
      </c>
      <c r="E573" s="40" t="s">
        <v>493</v>
      </c>
      <c r="F573" s="40">
        <v>0</v>
      </c>
      <c r="G573" s="40"/>
      <c r="H573" s="40" t="s">
        <v>883</v>
      </c>
      <c r="I573" s="40"/>
      <c r="J573" s="40">
        <v>0</v>
      </c>
      <c r="K573" s="40">
        <v>0</v>
      </c>
      <c r="L573" s="40">
        <v>1</v>
      </c>
    </row>
    <row r="574" spans="1:12" x14ac:dyDescent="0.25">
      <c r="A574" s="40" t="s">
        <v>40</v>
      </c>
      <c r="B574" s="40" t="s">
        <v>1081</v>
      </c>
      <c r="C574" s="40" t="s">
        <v>1082</v>
      </c>
      <c r="D574" s="40" t="s">
        <v>493</v>
      </c>
      <c r="E574" s="40" t="s">
        <v>493</v>
      </c>
      <c r="F574" s="40">
        <v>0</v>
      </c>
      <c r="G574" s="40"/>
      <c r="H574" s="40" t="s">
        <v>883</v>
      </c>
      <c r="I574" s="40"/>
      <c r="J574" s="40">
        <v>0</v>
      </c>
      <c r="K574" s="40">
        <v>0</v>
      </c>
      <c r="L574" s="40">
        <v>1</v>
      </c>
    </row>
    <row r="575" spans="1:12" x14ac:dyDescent="0.25">
      <c r="A575" s="40" t="s">
        <v>40</v>
      </c>
      <c r="B575" s="40" t="s">
        <v>1083</v>
      </c>
      <c r="C575" s="40" t="s">
        <v>1084</v>
      </c>
      <c r="D575" s="40" t="s">
        <v>493</v>
      </c>
      <c r="E575" s="40" t="s">
        <v>493</v>
      </c>
      <c r="F575" s="40">
        <v>0</v>
      </c>
      <c r="G575" s="40"/>
      <c r="H575" s="40" t="s">
        <v>883</v>
      </c>
      <c r="I575" s="40"/>
      <c r="J575" s="40">
        <v>0</v>
      </c>
      <c r="K575" s="40">
        <v>0</v>
      </c>
      <c r="L575" s="40">
        <v>1</v>
      </c>
    </row>
    <row r="576" spans="1:12" x14ac:dyDescent="0.25">
      <c r="A576" s="40" t="s">
        <v>40</v>
      </c>
      <c r="B576" s="40" t="s">
        <v>1085</v>
      </c>
      <c r="C576" s="40" t="s">
        <v>1086</v>
      </c>
      <c r="D576" s="40" t="s">
        <v>493</v>
      </c>
      <c r="E576" s="40" t="s">
        <v>493</v>
      </c>
      <c r="F576" s="40">
        <v>0</v>
      </c>
      <c r="G576" s="40"/>
      <c r="H576" s="40" t="s">
        <v>883</v>
      </c>
      <c r="I576" s="40"/>
      <c r="J576" s="40">
        <v>0</v>
      </c>
      <c r="K576" s="40">
        <v>0</v>
      </c>
      <c r="L576" s="40">
        <v>1</v>
      </c>
    </row>
    <row r="577" spans="1:12" x14ac:dyDescent="0.25">
      <c r="A577" s="40" t="s">
        <v>40</v>
      </c>
      <c r="B577" s="40" t="s">
        <v>1087</v>
      </c>
      <c r="C577" s="40" t="s">
        <v>1088</v>
      </c>
      <c r="D577" s="40" t="s">
        <v>493</v>
      </c>
      <c r="E577" s="40" t="s">
        <v>493</v>
      </c>
      <c r="F577" s="40">
        <v>0</v>
      </c>
      <c r="G577" s="40"/>
      <c r="H577" s="40" t="s">
        <v>883</v>
      </c>
      <c r="I577" s="40"/>
      <c r="J577" s="40">
        <v>0</v>
      </c>
      <c r="K577" s="40">
        <v>0</v>
      </c>
      <c r="L577" s="40">
        <v>1</v>
      </c>
    </row>
    <row r="578" spans="1:12" x14ac:dyDescent="0.25">
      <c r="A578" s="40" t="s">
        <v>40</v>
      </c>
      <c r="B578" s="40" t="s">
        <v>1089</v>
      </c>
      <c r="C578" s="40" t="s">
        <v>1090</v>
      </c>
      <c r="D578" s="40" t="s">
        <v>493</v>
      </c>
      <c r="E578" s="40" t="s">
        <v>493</v>
      </c>
      <c r="F578" s="40">
        <v>0</v>
      </c>
      <c r="G578" s="40"/>
      <c r="H578" s="40" t="s">
        <v>883</v>
      </c>
      <c r="I578" s="40"/>
      <c r="J578" s="40">
        <v>0</v>
      </c>
      <c r="K578" s="40">
        <v>0</v>
      </c>
      <c r="L578" s="40">
        <v>1</v>
      </c>
    </row>
    <row r="579" spans="1:12" x14ac:dyDescent="0.25">
      <c r="A579" s="40" t="s">
        <v>40</v>
      </c>
      <c r="B579" s="40" t="s">
        <v>1091</v>
      </c>
      <c r="C579" s="40" t="s">
        <v>1092</v>
      </c>
      <c r="D579" s="40" t="s">
        <v>493</v>
      </c>
      <c r="E579" s="40" t="s">
        <v>493</v>
      </c>
      <c r="F579" s="40">
        <v>0</v>
      </c>
      <c r="G579" s="40"/>
      <c r="H579" s="40" t="s">
        <v>883</v>
      </c>
      <c r="I579" s="40"/>
      <c r="J579" s="40">
        <v>0</v>
      </c>
      <c r="K579" s="40">
        <v>0</v>
      </c>
      <c r="L579" s="40">
        <v>1</v>
      </c>
    </row>
    <row r="580" spans="1:12" x14ac:dyDescent="0.25">
      <c r="A580" s="40" t="s">
        <v>40</v>
      </c>
      <c r="B580" s="40" t="s">
        <v>1093</v>
      </c>
      <c r="C580" s="40" t="s">
        <v>1094</v>
      </c>
      <c r="D580" s="40" t="s">
        <v>493</v>
      </c>
      <c r="E580" s="40" t="s">
        <v>493</v>
      </c>
      <c r="F580" s="40">
        <v>0</v>
      </c>
      <c r="G580" s="40"/>
      <c r="H580" s="40" t="s">
        <v>883</v>
      </c>
      <c r="I580" s="40"/>
      <c r="J580" s="40">
        <v>0</v>
      </c>
      <c r="K580" s="40">
        <v>0</v>
      </c>
      <c r="L580" s="40">
        <v>1</v>
      </c>
    </row>
    <row r="581" spans="1:12" x14ac:dyDescent="0.25">
      <c r="A581" s="40" t="s">
        <v>40</v>
      </c>
      <c r="B581" s="40" t="s">
        <v>1095</v>
      </c>
      <c r="C581" s="40" t="s">
        <v>1096</v>
      </c>
      <c r="D581" s="40" t="s">
        <v>493</v>
      </c>
      <c r="E581" s="40" t="s">
        <v>493</v>
      </c>
      <c r="F581" s="40">
        <v>0</v>
      </c>
      <c r="G581" s="40"/>
      <c r="H581" s="40" t="s">
        <v>883</v>
      </c>
      <c r="I581" s="40"/>
      <c r="J581" s="40">
        <v>0</v>
      </c>
      <c r="K581" s="40">
        <v>0</v>
      </c>
      <c r="L581" s="40">
        <v>1</v>
      </c>
    </row>
    <row r="582" spans="1:12" x14ac:dyDescent="0.25">
      <c r="A582" s="40" t="s">
        <v>40</v>
      </c>
      <c r="B582" s="40" t="s">
        <v>1097</v>
      </c>
      <c r="C582" s="40" t="s">
        <v>1098</v>
      </c>
      <c r="D582" s="40" t="s">
        <v>493</v>
      </c>
      <c r="E582" s="40" t="s">
        <v>493</v>
      </c>
      <c r="F582" s="40">
        <v>0</v>
      </c>
      <c r="G582" s="40"/>
      <c r="H582" s="40" t="s">
        <v>883</v>
      </c>
      <c r="I582" s="40"/>
      <c r="J582" s="40">
        <v>0</v>
      </c>
      <c r="K582" s="40">
        <v>0</v>
      </c>
      <c r="L582" s="40">
        <v>1</v>
      </c>
    </row>
    <row r="583" spans="1:12" x14ac:dyDescent="0.25">
      <c r="A583" s="40" t="s">
        <v>40</v>
      </c>
      <c r="B583" s="40" t="s">
        <v>1099</v>
      </c>
      <c r="C583" s="40" t="s">
        <v>1100</v>
      </c>
      <c r="D583" s="40" t="s">
        <v>493</v>
      </c>
      <c r="E583" s="40" t="s">
        <v>493</v>
      </c>
      <c r="F583" s="40">
        <v>0</v>
      </c>
      <c r="G583" s="40"/>
      <c r="H583" s="40" t="s">
        <v>883</v>
      </c>
      <c r="I583" s="40"/>
      <c r="J583" s="40">
        <v>0</v>
      </c>
      <c r="K583" s="40">
        <v>0</v>
      </c>
      <c r="L583" s="40">
        <v>1</v>
      </c>
    </row>
    <row r="584" spans="1:12" x14ac:dyDescent="0.25">
      <c r="A584" s="40" t="s">
        <v>40</v>
      </c>
      <c r="B584" s="40" t="s">
        <v>1101</v>
      </c>
      <c r="C584" s="40" t="s">
        <v>1102</v>
      </c>
      <c r="D584" s="40" t="s">
        <v>493</v>
      </c>
      <c r="E584" s="40" t="s">
        <v>493</v>
      </c>
      <c r="F584" s="40">
        <v>0</v>
      </c>
      <c r="G584" s="40"/>
      <c r="H584" s="40" t="s">
        <v>883</v>
      </c>
      <c r="I584" s="40"/>
      <c r="J584" s="40">
        <v>0</v>
      </c>
      <c r="K584" s="40">
        <v>0</v>
      </c>
      <c r="L584" s="40">
        <v>1</v>
      </c>
    </row>
    <row r="585" spans="1:12" x14ac:dyDescent="0.25">
      <c r="A585" s="40" t="s">
        <v>40</v>
      </c>
      <c r="B585" s="40" t="s">
        <v>1103</v>
      </c>
      <c r="C585" s="40" t="s">
        <v>1104</v>
      </c>
      <c r="D585" s="40" t="s">
        <v>493</v>
      </c>
      <c r="E585" s="40" t="s">
        <v>493</v>
      </c>
      <c r="F585" s="40">
        <v>0</v>
      </c>
      <c r="G585" s="40"/>
      <c r="H585" s="40" t="s">
        <v>883</v>
      </c>
      <c r="I585" s="40"/>
      <c r="J585" s="40">
        <v>0</v>
      </c>
      <c r="K585" s="40">
        <v>0</v>
      </c>
      <c r="L585" s="40">
        <v>1</v>
      </c>
    </row>
    <row r="586" spans="1:12" x14ac:dyDescent="0.25">
      <c r="A586" s="40" t="s">
        <v>40</v>
      </c>
      <c r="B586" s="40" t="s">
        <v>1105</v>
      </c>
      <c r="C586" s="40" t="s">
        <v>1106</v>
      </c>
      <c r="D586" s="40" t="s">
        <v>493</v>
      </c>
      <c r="E586" s="40" t="s">
        <v>493</v>
      </c>
      <c r="F586" s="40">
        <v>0</v>
      </c>
      <c r="G586" s="40"/>
      <c r="H586" s="40" t="s">
        <v>883</v>
      </c>
      <c r="I586" s="40"/>
      <c r="J586" s="40">
        <v>0</v>
      </c>
      <c r="K586" s="40">
        <v>0</v>
      </c>
      <c r="L586" s="40">
        <v>1</v>
      </c>
    </row>
    <row r="587" spans="1:12" x14ac:dyDescent="0.25">
      <c r="A587" s="40" t="s">
        <v>40</v>
      </c>
      <c r="B587" s="40" t="s">
        <v>1107</v>
      </c>
      <c r="C587" s="40" t="s">
        <v>1108</v>
      </c>
      <c r="D587" s="40" t="s">
        <v>493</v>
      </c>
      <c r="E587" s="40" t="s">
        <v>493</v>
      </c>
      <c r="F587" s="40">
        <v>0</v>
      </c>
      <c r="G587" s="40"/>
      <c r="H587" s="40" t="s">
        <v>883</v>
      </c>
      <c r="I587" s="40"/>
      <c r="J587" s="40">
        <v>0</v>
      </c>
      <c r="K587" s="40">
        <v>0</v>
      </c>
      <c r="L587" s="40">
        <v>1</v>
      </c>
    </row>
    <row r="588" spans="1:12" x14ac:dyDescent="0.25">
      <c r="A588" s="40" t="s">
        <v>40</v>
      </c>
      <c r="B588" s="40" t="s">
        <v>1109</v>
      </c>
      <c r="C588" s="40" t="s">
        <v>1110</v>
      </c>
      <c r="D588" s="40" t="s">
        <v>493</v>
      </c>
      <c r="E588" s="40" t="s">
        <v>493</v>
      </c>
      <c r="F588" s="40">
        <v>0</v>
      </c>
      <c r="G588" s="40"/>
      <c r="H588" s="40" t="s">
        <v>883</v>
      </c>
      <c r="I588" s="40"/>
      <c r="J588" s="40">
        <v>0</v>
      </c>
      <c r="K588" s="40">
        <v>0</v>
      </c>
      <c r="L588" s="40">
        <v>1</v>
      </c>
    </row>
    <row r="589" spans="1:12" x14ac:dyDescent="0.25">
      <c r="A589" s="40" t="s">
        <v>40</v>
      </c>
      <c r="B589" s="40" t="s">
        <v>1111</v>
      </c>
      <c r="C589" s="40" t="s">
        <v>1112</v>
      </c>
      <c r="D589" s="40" t="s">
        <v>1064</v>
      </c>
      <c r="E589" s="40" t="s">
        <v>569</v>
      </c>
      <c r="F589" s="40">
        <v>1</v>
      </c>
      <c r="G589" s="40"/>
      <c r="H589" s="40" t="s">
        <v>482</v>
      </c>
      <c r="I589" s="40"/>
      <c r="J589" s="40">
        <v>0</v>
      </c>
      <c r="K589" s="40">
        <v>0</v>
      </c>
      <c r="L589" s="40">
        <v>0</v>
      </c>
    </row>
    <row r="590" spans="1:12" x14ac:dyDescent="0.25">
      <c r="A590" s="40" t="s">
        <v>40</v>
      </c>
      <c r="B590" s="40" t="s">
        <v>1113</v>
      </c>
      <c r="C590" s="40" t="s">
        <v>1114</v>
      </c>
      <c r="D590" s="40" t="s">
        <v>1064</v>
      </c>
      <c r="E590" s="40" t="s">
        <v>605</v>
      </c>
      <c r="F590" s="40">
        <v>1</v>
      </c>
      <c r="G590" s="40"/>
      <c r="H590" s="40" t="s">
        <v>482</v>
      </c>
      <c r="I590" s="40"/>
      <c r="J590" s="40">
        <v>0</v>
      </c>
      <c r="K590" s="40">
        <v>0</v>
      </c>
      <c r="L590" s="40">
        <v>0</v>
      </c>
    </row>
    <row r="591" spans="1:12" x14ac:dyDescent="0.25">
      <c r="A591" s="40" t="s">
        <v>40</v>
      </c>
      <c r="B591" s="40" t="s">
        <v>1115</v>
      </c>
      <c r="C591" s="40" t="s">
        <v>1116</v>
      </c>
      <c r="D591" s="40" t="s">
        <v>1064</v>
      </c>
      <c r="E591" s="40" t="s">
        <v>605</v>
      </c>
      <c r="F591" s="40">
        <v>1</v>
      </c>
      <c r="G591" s="40"/>
      <c r="H591" s="40" t="s">
        <v>482</v>
      </c>
      <c r="I591" s="40"/>
      <c r="J591" s="40">
        <v>0</v>
      </c>
      <c r="K591" s="40">
        <v>0</v>
      </c>
      <c r="L591" s="40">
        <v>0</v>
      </c>
    </row>
    <row r="592" spans="1:12" x14ac:dyDescent="0.25">
      <c r="A592" s="40" t="s">
        <v>40</v>
      </c>
      <c r="B592" s="40" t="s">
        <v>1117</v>
      </c>
      <c r="C592" s="40" t="s">
        <v>1118</v>
      </c>
      <c r="D592" s="40" t="s">
        <v>1064</v>
      </c>
      <c r="E592" s="40" t="s">
        <v>605</v>
      </c>
      <c r="F592" s="40">
        <v>1</v>
      </c>
      <c r="G592" s="40"/>
      <c r="H592" s="40" t="s">
        <v>482</v>
      </c>
      <c r="I592" s="40"/>
      <c r="J592" s="40">
        <v>0</v>
      </c>
      <c r="K592" s="40">
        <v>0</v>
      </c>
      <c r="L592" s="40">
        <v>0</v>
      </c>
    </row>
    <row r="593" spans="1:12" x14ac:dyDescent="0.25">
      <c r="A593" s="40" t="s">
        <v>40</v>
      </c>
      <c r="B593" s="40" t="s">
        <v>1119</v>
      </c>
      <c r="C593" s="40" t="s">
        <v>1120</v>
      </c>
      <c r="D593" s="40" t="s">
        <v>1064</v>
      </c>
      <c r="E593" s="40" t="s">
        <v>605</v>
      </c>
      <c r="F593" s="40">
        <v>1</v>
      </c>
      <c r="G593" s="40"/>
      <c r="H593" s="40" t="s">
        <v>482</v>
      </c>
      <c r="I593" s="40"/>
      <c r="J593" s="40">
        <v>0</v>
      </c>
      <c r="K593" s="40">
        <v>0</v>
      </c>
      <c r="L593" s="40">
        <v>0</v>
      </c>
    </row>
    <row r="594" spans="1:12" x14ac:dyDescent="0.25">
      <c r="A594" s="40" t="s">
        <v>40</v>
      </c>
      <c r="B594" s="40" t="s">
        <v>1121</v>
      </c>
      <c r="C594" s="40" t="s">
        <v>1122</v>
      </c>
      <c r="D594" s="40" t="s">
        <v>1064</v>
      </c>
      <c r="E594" s="40" t="s">
        <v>605</v>
      </c>
      <c r="F594" s="40">
        <v>1</v>
      </c>
      <c r="G594" s="40"/>
      <c r="H594" s="40" t="s">
        <v>482</v>
      </c>
      <c r="I594" s="40"/>
      <c r="J594" s="40">
        <v>0</v>
      </c>
      <c r="K594" s="40">
        <v>0</v>
      </c>
      <c r="L594" s="40">
        <v>0</v>
      </c>
    </row>
    <row r="595" spans="1:12" x14ac:dyDescent="0.25">
      <c r="A595" s="40" t="s">
        <v>40</v>
      </c>
      <c r="B595" s="40" t="s">
        <v>1123</v>
      </c>
      <c r="C595" s="40" t="s">
        <v>1124</v>
      </c>
      <c r="D595" s="40" t="s">
        <v>1064</v>
      </c>
      <c r="E595" s="40" t="s">
        <v>605</v>
      </c>
      <c r="F595" s="40">
        <v>1</v>
      </c>
      <c r="G595" s="40"/>
      <c r="H595" s="40" t="s">
        <v>482</v>
      </c>
      <c r="I595" s="40"/>
      <c r="J595" s="40">
        <v>0</v>
      </c>
      <c r="K595" s="40">
        <v>0</v>
      </c>
      <c r="L595" s="40">
        <v>0</v>
      </c>
    </row>
    <row r="596" spans="1:12" x14ac:dyDescent="0.25">
      <c r="A596" s="40" t="s">
        <v>40</v>
      </c>
      <c r="B596" s="40" t="s">
        <v>1125</v>
      </c>
      <c r="C596" s="40" t="s">
        <v>1126</v>
      </c>
      <c r="D596" s="40" t="s">
        <v>1064</v>
      </c>
      <c r="E596" s="40" t="s">
        <v>605</v>
      </c>
      <c r="F596" s="40">
        <v>1</v>
      </c>
      <c r="G596" s="40"/>
      <c r="H596" s="40" t="s">
        <v>482</v>
      </c>
      <c r="I596" s="40"/>
      <c r="J596" s="40">
        <v>0</v>
      </c>
      <c r="K596" s="40">
        <v>0</v>
      </c>
      <c r="L596" s="40">
        <v>0</v>
      </c>
    </row>
    <row r="597" spans="1:12" x14ac:dyDescent="0.25">
      <c r="A597" s="40" t="s">
        <v>40</v>
      </c>
      <c r="B597" s="40" t="s">
        <v>1127</v>
      </c>
      <c r="C597" s="40" t="s">
        <v>1128</v>
      </c>
      <c r="D597" s="40" t="s">
        <v>1280</v>
      </c>
      <c r="E597" s="40" t="s">
        <v>1130</v>
      </c>
      <c r="F597" s="40">
        <v>1</v>
      </c>
      <c r="G597" s="40"/>
      <c r="H597" s="40" t="s">
        <v>482</v>
      </c>
      <c r="I597" s="40"/>
      <c r="J597" s="40">
        <v>0</v>
      </c>
      <c r="K597" s="40">
        <v>0</v>
      </c>
      <c r="L597" s="40">
        <v>0</v>
      </c>
    </row>
    <row r="598" spans="1:12" x14ac:dyDescent="0.25">
      <c r="A598" s="40" t="s">
        <v>40</v>
      </c>
      <c r="B598" s="40" t="s">
        <v>1131</v>
      </c>
      <c r="C598" s="40" t="s">
        <v>1132</v>
      </c>
      <c r="D598" s="40" t="s">
        <v>493</v>
      </c>
      <c r="E598" s="40" t="s">
        <v>493</v>
      </c>
      <c r="F598" s="40">
        <v>0</v>
      </c>
      <c r="G598" s="40"/>
      <c r="H598" s="40" t="s">
        <v>482</v>
      </c>
      <c r="I598" s="40"/>
      <c r="J598" s="40">
        <v>0</v>
      </c>
      <c r="K598" s="40">
        <v>0</v>
      </c>
      <c r="L598" s="40">
        <v>0</v>
      </c>
    </row>
    <row r="599" spans="1:12" x14ac:dyDescent="0.25">
      <c r="A599" s="40" t="s">
        <v>40</v>
      </c>
      <c r="B599" s="40" t="s">
        <v>1133</v>
      </c>
      <c r="C599" s="40" t="s">
        <v>1134</v>
      </c>
      <c r="D599" s="40" t="s">
        <v>493</v>
      </c>
      <c r="E599" s="40" t="s">
        <v>493</v>
      </c>
      <c r="F599" s="40">
        <v>0</v>
      </c>
      <c r="G599" s="40"/>
      <c r="H599" s="40" t="s">
        <v>493</v>
      </c>
      <c r="I599" s="40"/>
      <c r="J599" s="40">
        <v>0</v>
      </c>
      <c r="K599" s="40">
        <v>0</v>
      </c>
      <c r="L599" s="40">
        <v>1</v>
      </c>
    </row>
    <row r="600" spans="1:12" x14ac:dyDescent="0.25">
      <c r="A600" s="40" t="s">
        <v>40</v>
      </c>
      <c r="B600" s="40" t="s">
        <v>1136</v>
      </c>
      <c r="C600" s="40" t="s">
        <v>1137</v>
      </c>
      <c r="D600" s="40" t="s">
        <v>1281</v>
      </c>
      <c r="E600" s="40" t="s">
        <v>1138</v>
      </c>
      <c r="F600" s="40">
        <v>1</v>
      </c>
      <c r="G600" s="40"/>
      <c r="H600" s="40" t="s">
        <v>493</v>
      </c>
      <c r="I600" s="40"/>
      <c r="J600" s="40">
        <v>0</v>
      </c>
      <c r="K600" s="40">
        <v>0</v>
      </c>
      <c r="L600" s="40">
        <v>1</v>
      </c>
    </row>
    <row r="601" spans="1:12" x14ac:dyDescent="0.25">
      <c r="A601" s="40" t="s">
        <v>40</v>
      </c>
      <c r="B601" s="40" t="s">
        <v>1139</v>
      </c>
      <c r="C601" s="40" t="s">
        <v>1140</v>
      </c>
      <c r="D601" s="40" t="s">
        <v>1282</v>
      </c>
      <c r="E601" s="40" t="s">
        <v>493</v>
      </c>
      <c r="F601" s="40">
        <v>1</v>
      </c>
      <c r="G601" s="40"/>
      <c r="H601" s="40" t="s">
        <v>493</v>
      </c>
      <c r="I601" s="40"/>
      <c r="J601" s="40">
        <v>0</v>
      </c>
      <c r="K601" s="40">
        <v>0</v>
      </c>
      <c r="L601" s="40">
        <v>1</v>
      </c>
    </row>
    <row r="602" spans="1:12" x14ac:dyDescent="0.25">
      <c r="A602" s="40" t="s">
        <v>40</v>
      </c>
      <c r="B602" s="40" t="s">
        <v>1141</v>
      </c>
      <c r="C602" s="40" t="s">
        <v>1142</v>
      </c>
      <c r="D602" s="40" t="s">
        <v>1143</v>
      </c>
      <c r="E602" s="40" t="s">
        <v>1143</v>
      </c>
      <c r="F602" s="40">
        <v>0</v>
      </c>
      <c r="G602" s="40"/>
      <c r="H602" s="40" t="s">
        <v>493</v>
      </c>
      <c r="I602" s="40"/>
      <c r="J602" s="40">
        <v>0</v>
      </c>
      <c r="K602" s="40">
        <v>0</v>
      </c>
      <c r="L602" s="40">
        <v>1</v>
      </c>
    </row>
    <row r="603" spans="1:12" x14ac:dyDescent="0.25">
      <c r="A603" s="40" t="s">
        <v>40</v>
      </c>
      <c r="B603" s="40" t="s">
        <v>1144</v>
      </c>
      <c r="C603" s="40" t="s">
        <v>1145</v>
      </c>
      <c r="D603" s="40" t="s">
        <v>493</v>
      </c>
      <c r="E603" s="40" t="s">
        <v>493</v>
      </c>
      <c r="F603" s="40">
        <v>0</v>
      </c>
      <c r="G603" s="40"/>
      <c r="H603" s="40" t="s">
        <v>493</v>
      </c>
      <c r="I603" s="40"/>
      <c r="J603" s="40">
        <v>0</v>
      </c>
      <c r="K603" s="40">
        <v>0</v>
      </c>
      <c r="L603" s="40">
        <v>1</v>
      </c>
    </row>
    <row r="604" spans="1:12" x14ac:dyDescent="0.25">
      <c r="A604" s="40" t="s">
        <v>40</v>
      </c>
      <c r="B604" s="40" t="s">
        <v>1146</v>
      </c>
      <c r="C604" s="40" t="s">
        <v>1147</v>
      </c>
      <c r="D604" s="40" t="s">
        <v>1148</v>
      </c>
      <c r="E604" s="40" t="s">
        <v>1149</v>
      </c>
      <c r="F604" s="40">
        <v>1</v>
      </c>
      <c r="G604" s="40"/>
      <c r="H604" s="40" t="s">
        <v>482</v>
      </c>
      <c r="I604" s="40"/>
      <c r="J604" s="40">
        <v>0</v>
      </c>
      <c r="K604" s="40">
        <v>0</v>
      </c>
      <c r="L604" s="40">
        <v>0</v>
      </c>
    </row>
    <row r="605" spans="1:12" x14ac:dyDescent="0.25">
      <c r="A605" s="40" t="s">
        <v>40</v>
      </c>
      <c r="B605" s="40" t="s">
        <v>1150</v>
      </c>
      <c r="C605" s="40" t="s">
        <v>1151</v>
      </c>
      <c r="D605" s="40" t="s">
        <v>493</v>
      </c>
      <c r="E605" s="40" t="s">
        <v>493</v>
      </c>
      <c r="F605" s="40">
        <v>0</v>
      </c>
      <c r="G605" s="40"/>
      <c r="H605" s="40" t="s">
        <v>482</v>
      </c>
      <c r="I605" s="40"/>
      <c r="J605" s="40">
        <v>0</v>
      </c>
      <c r="K605" s="40">
        <v>0</v>
      </c>
      <c r="L605" s="40">
        <v>0</v>
      </c>
    </row>
    <row r="606" spans="1:12" x14ac:dyDescent="0.25">
      <c r="A606" s="40" t="s">
        <v>40</v>
      </c>
      <c r="B606" s="40" t="s">
        <v>1152</v>
      </c>
      <c r="C606" s="40" t="s">
        <v>1153</v>
      </c>
      <c r="D606" s="40" t="s">
        <v>493</v>
      </c>
      <c r="E606" s="40" t="s">
        <v>493</v>
      </c>
      <c r="F606" s="40">
        <v>0</v>
      </c>
      <c r="G606" s="40"/>
      <c r="H606" s="40" t="s">
        <v>482</v>
      </c>
      <c r="I606" s="40"/>
      <c r="J606" s="40">
        <v>0</v>
      </c>
      <c r="K606" s="40">
        <v>0</v>
      </c>
      <c r="L606" s="40">
        <v>0</v>
      </c>
    </row>
    <row r="607" spans="1:12" x14ac:dyDescent="0.25">
      <c r="A607" s="40" t="s">
        <v>40</v>
      </c>
      <c r="B607" s="40" t="s">
        <v>1155</v>
      </c>
      <c r="C607" s="40" t="s">
        <v>1156</v>
      </c>
      <c r="D607" s="40" t="s">
        <v>1283</v>
      </c>
      <c r="E607" s="40" t="s">
        <v>493</v>
      </c>
      <c r="F607" s="40">
        <v>1</v>
      </c>
      <c r="G607" s="40"/>
      <c r="H607" s="40" t="s">
        <v>482</v>
      </c>
      <c r="I607" s="40"/>
      <c r="J607" s="40">
        <v>0</v>
      </c>
      <c r="K607" s="40">
        <v>0</v>
      </c>
      <c r="L607" s="40">
        <v>0</v>
      </c>
    </row>
    <row r="608" spans="1:12" x14ac:dyDescent="0.25">
      <c r="A608" s="40" t="s">
        <v>40</v>
      </c>
      <c r="B608" s="40" t="s">
        <v>1157</v>
      </c>
      <c r="C608" s="40" t="s">
        <v>1158</v>
      </c>
      <c r="D608" s="40" t="s">
        <v>1284</v>
      </c>
      <c r="E608" s="40" t="s">
        <v>493</v>
      </c>
      <c r="F608" s="40">
        <v>1</v>
      </c>
      <c r="G608" s="40"/>
      <c r="H608" s="40" t="s">
        <v>482</v>
      </c>
      <c r="I608" s="40"/>
      <c r="J608" s="40">
        <v>0</v>
      </c>
      <c r="K608" s="40">
        <v>0</v>
      </c>
      <c r="L608" s="40">
        <v>0</v>
      </c>
    </row>
    <row r="609" spans="1:12" x14ac:dyDescent="0.25">
      <c r="A609" s="40" t="s">
        <v>40</v>
      </c>
      <c r="B609" s="40" t="s">
        <v>1160</v>
      </c>
      <c r="C609" s="40" t="s">
        <v>1161</v>
      </c>
      <c r="D609" s="40" t="s">
        <v>1284</v>
      </c>
      <c r="E609" s="40" t="s">
        <v>493</v>
      </c>
      <c r="F609" s="40">
        <v>1</v>
      </c>
      <c r="G609" s="40"/>
      <c r="H609" s="40" t="s">
        <v>482</v>
      </c>
      <c r="I609" s="40"/>
      <c r="J609" s="40">
        <v>0</v>
      </c>
      <c r="K609" s="40">
        <v>0</v>
      </c>
      <c r="L609" s="40">
        <v>0</v>
      </c>
    </row>
    <row r="610" spans="1:12" x14ac:dyDescent="0.25">
      <c r="A610" s="40" t="s">
        <v>40</v>
      </c>
      <c r="B610" s="40" t="s">
        <v>1162</v>
      </c>
      <c r="C610" s="40" t="s">
        <v>1163</v>
      </c>
      <c r="D610" s="40" t="s">
        <v>1284</v>
      </c>
      <c r="E610" s="40" t="s">
        <v>493</v>
      </c>
      <c r="F610" s="40">
        <v>1</v>
      </c>
      <c r="G610" s="40"/>
      <c r="H610" s="40" t="s">
        <v>482</v>
      </c>
      <c r="I610" s="40"/>
      <c r="J610" s="40">
        <v>0</v>
      </c>
      <c r="K610" s="40">
        <v>0</v>
      </c>
      <c r="L610" s="40">
        <v>0</v>
      </c>
    </row>
    <row r="611" spans="1:12" x14ac:dyDescent="0.25">
      <c r="A611" s="40" t="s">
        <v>40</v>
      </c>
      <c r="B611" s="40" t="s">
        <v>1164</v>
      </c>
      <c r="C611" s="40" t="s">
        <v>1165</v>
      </c>
      <c r="D611" s="40" t="s">
        <v>1285</v>
      </c>
      <c r="E611" s="40" t="s">
        <v>493</v>
      </c>
      <c r="F611" s="40">
        <v>1</v>
      </c>
      <c r="G611" s="40"/>
      <c r="H611" s="40" t="s">
        <v>482</v>
      </c>
      <c r="I611" s="40"/>
      <c r="J611" s="40">
        <v>0</v>
      </c>
      <c r="K611" s="40">
        <v>0</v>
      </c>
      <c r="L611" s="40">
        <v>0</v>
      </c>
    </row>
    <row r="612" spans="1:12" x14ac:dyDescent="0.25">
      <c r="A612" s="40" t="s">
        <v>40</v>
      </c>
      <c r="B612" s="40" t="s">
        <v>1167</v>
      </c>
      <c r="C612" s="40" t="s">
        <v>1168</v>
      </c>
      <c r="D612" s="40" t="s">
        <v>1285</v>
      </c>
      <c r="E612" s="40" t="s">
        <v>493</v>
      </c>
      <c r="F612" s="40">
        <v>1</v>
      </c>
      <c r="G612" s="40"/>
      <c r="H612" s="40" t="s">
        <v>482</v>
      </c>
      <c r="I612" s="40"/>
      <c r="J612" s="40">
        <v>0</v>
      </c>
      <c r="K612" s="40">
        <v>0</v>
      </c>
      <c r="L612" s="40">
        <v>0</v>
      </c>
    </row>
    <row r="613" spans="1:12" x14ac:dyDescent="0.25">
      <c r="A613" s="40" t="s">
        <v>40</v>
      </c>
      <c r="B613" s="40" t="s">
        <v>1169</v>
      </c>
      <c r="C613" s="40" t="s">
        <v>1170</v>
      </c>
      <c r="D613" s="40" t="s">
        <v>1285</v>
      </c>
      <c r="E613" s="40" t="s">
        <v>493</v>
      </c>
      <c r="F613" s="40">
        <v>1</v>
      </c>
      <c r="G613" s="40"/>
      <c r="H613" s="40" t="s">
        <v>482</v>
      </c>
      <c r="I613" s="40"/>
      <c r="J613" s="40">
        <v>0</v>
      </c>
      <c r="K613" s="40">
        <v>0</v>
      </c>
      <c r="L613" s="40">
        <v>0</v>
      </c>
    </row>
    <row r="614" spans="1:12" x14ac:dyDescent="0.25">
      <c r="A614" s="40" t="s">
        <v>40</v>
      </c>
      <c r="B614" s="40" t="s">
        <v>1171</v>
      </c>
      <c r="C614" s="40" t="s">
        <v>1172</v>
      </c>
      <c r="D614" s="40" t="s">
        <v>1285</v>
      </c>
      <c r="E614" s="40" t="s">
        <v>493</v>
      </c>
      <c r="F614" s="40">
        <v>1</v>
      </c>
      <c r="G614" s="40"/>
      <c r="H614" s="40" t="s">
        <v>482</v>
      </c>
      <c r="I614" s="40"/>
      <c r="J614" s="40">
        <v>0</v>
      </c>
      <c r="K614" s="40">
        <v>0</v>
      </c>
      <c r="L614" s="40">
        <v>0</v>
      </c>
    </row>
    <row r="615" spans="1:12" x14ac:dyDescent="0.25">
      <c r="A615" s="40" t="s">
        <v>40</v>
      </c>
      <c r="B615" s="40" t="s">
        <v>1173</v>
      </c>
      <c r="C615" s="40" t="s">
        <v>1174</v>
      </c>
      <c r="D615" s="40" t="s">
        <v>1148</v>
      </c>
      <c r="E615" s="40" t="s">
        <v>493</v>
      </c>
      <c r="F615" s="40">
        <v>1</v>
      </c>
      <c r="G615" s="40"/>
      <c r="H615" s="40" t="s">
        <v>482</v>
      </c>
      <c r="I615" s="40"/>
      <c r="J615" s="40">
        <v>0</v>
      </c>
      <c r="K615" s="40">
        <v>0</v>
      </c>
      <c r="L615" s="40">
        <v>0</v>
      </c>
    </row>
    <row r="616" spans="1:12" x14ac:dyDescent="0.25">
      <c r="A616" s="40" t="s">
        <v>40</v>
      </c>
      <c r="B616" s="40" t="s">
        <v>1175</v>
      </c>
      <c r="C616" s="40" t="s">
        <v>1176</v>
      </c>
      <c r="D616" s="40" t="s">
        <v>1148</v>
      </c>
      <c r="E616" s="40" t="s">
        <v>493</v>
      </c>
      <c r="F616" s="40">
        <v>1</v>
      </c>
      <c r="G616" s="40"/>
      <c r="H616" s="40" t="s">
        <v>482</v>
      </c>
      <c r="I616" s="40"/>
      <c r="J616" s="40">
        <v>0</v>
      </c>
      <c r="K616" s="40">
        <v>0</v>
      </c>
      <c r="L616" s="40">
        <v>0</v>
      </c>
    </row>
    <row r="617" spans="1:12" x14ac:dyDescent="0.25">
      <c r="A617" s="40" t="s">
        <v>40</v>
      </c>
      <c r="B617" s="40" t="s">
        <v>1177</v>
      </c>
      <c r="C617" s="40" t="s">
        <v>1178</v>
      </c>
      <c r="D617" s="40" t="s">
        <v>1148</v>
      </c>
      <c r="E617" s="40" t="s">
        <v>493</v>
      </c>
      <c r="F617" s="40">
        <v>1</v>
      </c>
      <c r="G617" s="40"/>
      <c r="H617" s="40" t="s">
        <v>482</v>
      </c>
      <c r="I617" s="40"/>
      <c r="J617" s="40">
        <v>0</v>
      </c>
      <c r="K617" s="40">
        <v>0</v>
      </c>
      <c r="L617" s="40">
        <v>0</v>
      </c>
    </row>
    <row r="618" spans="1:12" x14ac:dyDescent="0.25">
      <c r="A618" s="40" t="s">
        <v>40</v>
      </c>
      <c r="B618" s="40" t="s">
        <v>1179</v>
      </c>
      <c r="C618" s="40" t="s">
        <v>1180</v>
      </c>
      <c r="D618" s="40" t="s">
        <v>1148</v>
      </c>
      <c r="E618" s="40" t="s">
        <v>493</v>
      </c>
      <c r="F618" s="40">
        <v>1</v>
      </c>
      <c r="G618" s="40"/>
      <c r="H618" s="40" t="s">
        <v>482</v>
      </c>
      <c r="I618" s="40"/>
      <c r="J618" s="40">
        <v>0</v>
      </c>
      <c r="K618" s="40">
        <v>0</v>
      </c>
      <c r="L618" s="40">
        <v>0</v>
      </c>
    </row>
    <row r="619" spans="1:12" x14ac:dyDescent="0.25">
      <c r="A619" s="40" t="s">
        <v>40</v>
      </c>
      <c r="B619" s="40" t="s">
        <v>1181</v>
      </c>
      <c r="C619" s="40" t="s">
        <v>1182</v>
      </c>
      <c r="D619" s="40" t="s">
        <v>493</v>
      </c>
      <c r="E619" s="40" t="s">
        <v>493</v>
      </c>
      <c r="F619" s="40">
        <v>0</v>
      </c>
      <c r="G619" s="40"/>
      <c r="H619" s="40" t="s">
        <v>482</v>
      </c>
      <c r="I619" s="40"/>
      <c r="J619" s="40">
        <v>0</v>
      </c>
      <c r="K619" s="40">
        <v>0</v>
      </c>
      <c r="L619" s="40">
        <v>0</v>
      </c>
    </row>
    <row r="620" spans="1:12" x14ac:dyDescent="0.25">
      <c r="A620" s="40" t="s">
        <v>40</v>
      </c>
      <c r="B620" s="40" t="s">
        <v>1184</v>
      </c>
      <c r="C620" s="40" t="s">
        <v>1185</v>
      </c>
      <c r="D620" s="40" t="s">
        <v>493</v>
      </c>
      <c r="E620" s="40" t="s">
        <v>493</v>
      </c>
      <c r="F620" s="40">
        <v>0</v>
      </c>
      <c r="G620" s="40"/>
      <c r="H620" s="40" t="s">
        <v>482</v>
      </c>
      <c r="I620" s="40"/>
      <c r="J620" s="40">
        <v>0</v>
      </c>
      <c r="K620" s="40">
        <v>0</v>
      </c>
      <c r="L620" s="40">
        <v>0</v>
      </c>
    </row>
    <row r="621" spans="1:12" x14ac:dyDescent="0.25">
      <c r="A621" s="40" t="s">
        <v>40</v>
      </c>
      <c r="B621" s="40" t="s">
        <v>1186</v>
      </c>
      <c r="C621" s="40" t="s">
        <v>1187</v>
      </c>
      <c r="D621" s="40" t="s">
        <v>493</v>
      </c>
      <c r="E621" s="40" t="s">
        <v>493</v>
      </c>
      <c r="F621" s="40">
        <v>0</v>
      </c>
      <c r="G621" s="40"/>
      <c r="H621" s="40" t="s">
        <v>482</v>
      </c>
      <c r="I621" s="40"/>
      <c r="J621" s="40">
        <v>0</v>
      </c>
      <c r="K621" s="40">
        <v>0</v>
      </c>
      <c r="L621" s="40">
        <v>0</v>
      </c>
    </row>
    <row r="622" spans="1:12" x14ac:dyDescent="0.25">
      <c r="A622" s="40" t="s">
        <v>40</v>
      </c>
      <c r="B622" s="40" t="s">
        <v>1189</v>
      </c>
      <c r="C622" s="40" t="s">
        <v>1190</v>
      </c>
      <c r="D622" s="40" t="s">
        <v>493</v>
      </c>
      <c r="E622" s="40" t="s">
        <v>493</v>
      </c>
      <c r="F622" s="40">
        <v>0</v>
      </c>
      <c r="G622" s="40"/>
      <c r="H622" s="40" t="s">
        <v>482</v>
      </c>
      <c r="I622" s="40"/>
      <c r="J622" s="40">
        <v>0</v>
      </c>
      <c r="K622" s="40">
        <v>0</v>
      </c>
      <c r="L622" s="40">
        <v>0</v>
      </c>
    </row>
    <row r="623" spans="1:12" x14ac:dyDescent="0.25">
      <c r="A623" s="40" t="s">
        <v>40</v>
      </c>
      <c r="B623" s="40" t="s">
        <v>1191</v>
      </c>
      <c r="C623" s="40" t="s">
        <v>1192</v>
      </c>
      <c r="D623" s="40" t="s">
        <v>493</v>
      </c>
      <c r="E623" s="40" t="s">
        <v>493</v>
      </c>
      <c r="F623" s="40">
        <v>0</v>
      </c>
      <c r="G623" s="40"/>
      <c r="H623" s="40" t="s">
        <v>482</v>
      </c>
      <c r="I623" s="40"/>
      <c r="J623" s="40">
        <v>0</v>
      </c>
      <c r="K623" s="40">
        <v>0</v>
      </c>
      <c r="L623" s="40">
        <v>1</v>
      </c>
    </row>
    <row r="624" spans="1:12" x14ac:dyDescent="0.25">
      <c r="A624" s="40" t="s">
        <v>40</v>
      </c>
      <c r="B624" s="40" t="s">
        <v>1193</v>
      </c>
      <c r="C624" s="40" t="s">
        <v>1194</v>
      </c>
      <c r="D624" s="40" t="s">
        <v>493</v>
      </c>
      <c r="E624" s="40" t="s">
        <v>493</v>
      </c>
      <c r="F624" s="40">
        <v>0</v>
      </c>
      <c r="G624" s="40"/>
      <c r="H624" s="40" t="s">
        <v>482</v>
      </c>
      <c r="I624" s="40"/>
      <c r="J624" s="40">
        <v>0</v>
      </c>
      <c r="K624" s="40">
        <v>0</v>
      </c>
      <c r="L624" s="40">
        <v>1</v>
      </c>
    </row>
    <row r="625" spans="1:12" x14ac:dyDescent="0.25">
      <c r="A625" s="40" t="s">
        <v>40</v>
      </c>
      <c r="B625" s="40" t="s">
        <v>1195</v>
      </c>
      <c r="C625" s="40" t="s">
        <v>1196</v>
      </c>
      <c r="D625" s="40" t="s">
        <v>493</v>
      </c>
      <c r="E625" s="40" t="s">
        <v>493</v>
      </c>
      <c r="F625" s="40">
        <v>0</v>
      </c>
      <c r="G625" s="40"/>
      <c r="H625" s="40" t="s">
        <v>482</v>
      </c>
      <c r="I625" s="40"/>
      <c r="J625" s="40">
        <v>0</v>
      </c>
      <c r="K625" s="40">
        <v>0</v>
      </c>
      <c r="L625" s="40">
        <v>1</v>
      </c>
    </row>
    <row r="626" spans="1:12" x14ac:dyDescent="0.25">
      <c r="A626" s="40" t="s">
        <v>40</v>
      </c>
      <c r="B626" s="40" t="s">
        <v>1197</v>
      </c>
      <c r="C626" s="40" t="s">
        <v>1198</v>
      </c>
      <c r="D626" s="40" t="s">
        <v>493</v>
      </c>
      <c r="E626" s="40" t="s">
        <v>493</v>
      </c>
      <c r="F626" s="40">
        <v>0</v>
      </c>
      <c r="G626" s="40"/>
      <c r="H626" s="40" t="s">
        <v>482</v>
      </c>
      <c r="I626" s="40"/>
      <c r="J626" s="40">
        <v>0</v>
      </c>
      <c r="K626" s="40">
        <v>0</v>
      </c>
      <c r="L626" s="40">
        <v>1</v>
      </c>
    </row>
    <row r="627" spans="1:12" x14ac:dyDescent="0.25">
      <c r="A627" s="40" t="s">
        <v>40</v>
      </c>
      <c r="B627" s="40" t="s">
        <v>1199</v>
      </c>
      <c r="C627" s="40" t="s">
        <v>1200</v>
      </c>
      <c r="D627" s="40" t="s">
        <v>493</v>
      </c>
      <c r="E627" s="40" t="s">
        <v>493</v>
      </c>
      <c r="F627" s="40">
        <v>0</v>
      </c>
      <c r="G627" s="40"/>
      <c r="H627" s="40" t="s">
        <v>482</v>
      </c>
      <c r="I627" s="40"/>
      <c r="J627" s="40">
        <v>0</v>
      </c>
      <c r="K627" s="40">
        <v>0</v>
      </c>
      <c r="L627" s="40">
        <v>1</v>
      </c>
    </row>
    <row r="628" spans="1:12" x14ac:dyDescent="0.25">
      <c r="A628" s="40" t="s">
        <v>40</v>
      </c>
      <c r="B628" s="40" t="s">
        <v>1201</v>
      </c>
      <c r="C628" s="40" t="s">
        <v>1202</v>
      </c>
      <c r="D628" s="40" t="s">
        <v>493</v>
      </c>
      <c r="E628" s="40" t="s">
        <v>493</v>
      </c>
      <c r="F628" s="40">
        <v>0</v>
      </c>
      <c r="G628" s="40"/>
      <c r="H628" s="40" t="s">
        <v>482</v>
      </c>
      <c r="I628" s="40"/>
      <c r="J628" s="40">
        <v>0</v>
      </c>
      <c r="K628" s="40">
        <v>0</v>
      </c>
      <c r="L628" s="40">
        <v>1</v>
      </c>
    </row>
    <row r="629" spans="1:12" x14ac:dyDescent="0.25">
      <c r="A629" s="40" t="s">
        <v>40</v>
      </c>
      <c r="B629" s="40" t="s">
        <v>1203</v>
      </c>
      <c r="C629" s="40" t="s">
        <v>1204</v>
      </c>
      <c r="D629" s="40" t="s">
        <v>493</v>
      </c>
      <c r="E629" s="40" t="s">
        <v>493</v>
      </c>
      <c r="F629" s="40">
        <v>0</v>
      </c>
      <c r="G629" s="40"/>
      <c r="H629" s="40" t="s">
        <v>482</v>
      </c>
      <c r="I629" s="40"/>
      <c r="J629" s="40">
        <v>0</v>
      </c>
      <c r="K629" s="40">
        <v>0</v>
      </c>
      <c r="L629" s="40">
        <v>1</v>
      </c>
    </row>
    <row r="630" spans="1:12" x14ac:dyDescent="0.25">
      <c r="A630" s="40" t="s">
        <v>40</v>
      </c>
      <c r="B630" s="40" t="s">
        <v>1205</v>
      </c>
      <c r="C630" s="40" t="s">
        <v>1206</v>
      </c>
      <c r="D630" s="40" t="s">
        <v>493</v>
      </c>
      <c r="E630" s="40" t="s">
        <v>493</v>
      </c>
      <c r="F630" s="40">
        <v>0</v>
      </c>
      <c r="G630" s="40"/>
      <c r="H630" s="40" t="s">
        <v>482</v>
      </c>
      <c r="I630" s="40"/>
      <c r="J630" s="40">
        <v>0</v>
      </c>
      <c r="K630" s="40">
        <v>0</v>
      </c>
      <c r="L630" s="40">
        <v>1</v>
      </c>
    </row>
    <row r="631" spans="1:12" x14ac:dyDescent="0.25">
      <c r="A631" s="40" t="s">
        <v>40</v>
      </c>
      <c r="B631" s="40" t="s">
        <v>1207</v>
      </c>
      <c r="C631" s="40" t="s">
        <v>1208</v>
      </c>
      <c r="D631" s="40" t="s">
        <v>1286</v>
      </c>
      <c r="E631" s="40" t="s">
        <v>1130</v>
      </c>
      <c r="F631" s="40">
        <v>1</v>
      </c>
      <c r="G631" s="40"/>
      <c r="H631" s="40" t="s">
        <v>482</v>
      </c>
      <c r="I631" s="40"/>
      <c r="J631" s="40">
        <v>0</v>
      </c>
      <c r="K631" s="40">
        <v>0</v>
      </c>
      <c r="L631" s="40">
        <v>0</v>
      </c>
    </row>
    <row r="632" spans="1:12" x14ac:dyDescent="0.25">
      <c r="A632" s="40" t="s">
        <v>40</v>
      </c>
      <c r="B632" s="40" t="s">
        <v>1210</v>
      </c>
      <c r="C632" s="40" t="s">
        <v>1211</v>
      </c>
      <c r="D632" s="40" t="s">
        <v>1286</v>
      </c>
      <c r="E632" s="40" t="s">
        <v>1130</v>
      </c>
      <c r="F632" s="40">
        <v>1</v>
      </c>
      <c r="G632" s="40"/>
      <c r="H632" s="40" t="s">
        <v>482</v>
      </c>
      <c r="I632" s="40"/>
      <c r="J632" s="40">
        <v>0</v>
      </c>
      <c r="K632" s="40">
        <v>0</v>
      </c>
      <c r="L632" s="40">
        <v>0</v>
      </c>
    </row>
    <row r="633" spans="1:12" x14ac:dyDescent="0.25">
      <c r="A633" s="40" t="s">
        <v>40</v>
      </c>
      <c r="B633" s="40" t="s">
        <v>1212</v>
      </c>
      <c r="C633" s="40" t="s">
        <v>1213</v>
      </c>
      <c r="D633" s="40" t="s">
        <v>1286</v>
      </c>
      <c r="E633" s="40" t="s">
        <v>1130</v>
      </c>
      <c r="F633" s="40">
        <v>1</v>
      </c>
      <c r="G633" s="40"/>
      <c r="H633" s="40" t="s">
        <v>482</v>
      </c>
      <c r="I633" s="40"/>
      <c r="J633" s="40">
        <v>0</v>
      </c>
      <c r="K633" s="40">
        <v>0</v>
      </c>
      <c r="L633" s="40">
        <v>0</v>
      </c>
    </row>
    <row r="634" spans="1:12" x14ac:dyDescent="0.25">
      <c r="A634" s="40" t="s">
        <v>40</v>
      </c>
      <c r="B634" s="40" t="s">
        <v>1214</v>
      </c>
      <c r="C634" s="40" t="s">
        <v>1215</v>
      </c>
      <c r="D634" s="40" t="s">
        <v>1287</v>
      </c>
      <c r="E634" s="40" t="s">
        <v>1130</v>
      </c>
      <c r="F634" s="40">
        <v>1</v>
      </c>
      <c r="G634" s="40"/>
      <c r="H634" s="40" t="s">
        <v>482</v>
      </c>
      <c r="I634" s="40"/>
      <c r="J634" s="40">
        <v>0</v>
      </c>
      <c r="K634" s="40">
        <v>0</v>
      </c>
      <c r="L634" s="40">
        <v>0</v>
      </c>
    </row>
    <row r="635" spans="1:12" x14ac:dyDescent="0.25">
      <c r="A635" s="40" t="s">
        <v>40</v>
      </c>
      <c r="B635" s="40" t="s">
        <v>1217</v>
      </c>
      <c r="C635" s="40" t="s">
        <v>1218</v>
      </c>
      <c r="D635" s="40" t="s">
        <v>1287</v>
      </c>
      <c r="E635" s="40" t="s">
        <v>1130</v>
      </c>
      <c r="F635" s="40">
        <v>1</v>
      </c>
      <c r="G635" s="40"/>
      <c r="H635" s="40" t="s">
        <v>482</v>
      </c>
      <c r="I635" s="40"/>
      <c r="J635" s="40">
        <v>0</v>
      </c>
      <c r="K635" s="40">
        <v>0</v>
      </c>
      <c r="L635" s="40">
        <v>0</v>
      </c>
    </row>
    <row r="636" spans="1:12" x14ac:dyDescent="0.25">
      <c r="A636" s="40" t="s">
        <v>40</v>
      </c>
      <c r="B636" s="40" t="s">
        <v>1219</v>
      </c>
      <c r="C636" s="40" t="s">
        <v>1220</v>
      </c>
      <c r="D636" s="40" t="s">
        <v>1287</v>
      </c>
      <c r="E636" s="40" t="s">
        <v>1130</v>
      </c>
      <c r="F636" s="40">
        <v>1</v>
      </c>
      <c r="G636" s="40"/>
      <c r="H636" s="40" t="s">
        <v>482</v>
      </c>
      <c r="I636" s="40"/>
      <c r="J636" s="40">
        <v>0</v>
      </c>
      <c r="K636" s="40">
        <v>0</v>
      </c>
      <c r="L636" s="40">
        <v>0</v>
      </c>
    </row>
    <row r="637" spans="1:12" x14ac:dyDescent="0.25">
      <c r="A637" s="40" t="s">
        <v>40</v>
      </c>
      <c r="B637" s="40" t="s">
        <v>1221</v>
      </c>
      <c r="C637" s="40" t="s">
        <v>1222</v>
      </c>
      <c r="D637" s="40" t="s">
        <v>1288</v>
      </c>
      <c r="E637" s="40" t="s">
        <v>1130</v>
      </c>
      <c r="F637" s="40">
        <v>1</v>
      </c>
      <c r="G637" s="40"/>
      <c r="H637" s="40" t="s">
        <v>482</v>
      </c>
      <c r="I637" s="40"/>
      <c r="J637" s="40">
        <v>0</v>
      </c>
      <c r="K637" s="40">
        <v>0</v>
      </c>
      <c r="L637" s="40">
        <v>0</v>
      </c>
    </row>
    <row r="638" spans="1:12" x14ac:dyDescent="0.25">
      <c r="A638" s="40" t="s">
        <v>40</v>
      </c>
      <c r="B638" s="40" t="s">
        <v>1224</v>
      </c>
      <c r="C638" s="40" t="s">
        <v>1225</v>
      </c>
      <c r="D638" s="40" t="s">
        <v>1288</v>
      </c>
      <c r="E638" s="40" t="s">
        <v>1130</v>
      </c>
      <c r="F638" s="40">
        <v>1</v>
      </c>
      <c r="G638" s="40"/>
      <c r="H638" s="40" t="s">
        <v>482</v>
      </c>
      <c r="I638" s="40"/>
      <c r="J638" s="40">
        <v>0</v>
      </c>
      <c r="K638" s="40">
        <v>0</v>
      </c>
      <c r="L638" s="40">
        <v>0</v>
      </c>
    </row>
    <row r="639" spans="1:12" x14ac:dyDescent="0.25">
      <c r="A639" s="40" t="s">
        <v>40</v>
      </c>
      <c r="B639" s="40" t="s">
        <v>1227</v>
      </c>
      <c r="C639" s="40" t="s">
        <v>1228</v>
      </c>
      <c r="D639" s="40" t="s">
        <v>493</v>
      </c>
      <c r="E639" s="40" t="s">
        <v>493</v>
      </c>
      <c r="F639" s="40">
        <v>0</v>
      </c>
      <c r="G639" s="40"/>
      <c r="H639" s="40" t="s">
        <v>482</v>
      </c>
      <c r="I639" s="40"/>
      <c r="J639" s="40">
        <v>0</v>
      </c>
      <c r="K639" s="40">
        <v>0</v>
      </c>
      <c r="L639" s="40">
        <v>0</v>
      </c>
    </row>
    <row r="640" spans="1:12" x14ac:dyDescent="0.25">
      <c r="A640" s="40" t="s">
        <v>40</v>
      </c>
      <c r="B640" s="40" t="s">
        <v>1229</v>
      </c>
      <c r="C640" s="40" t="s">
        <v>1230</v>
      </c>
      <c r="D640" s="40" t="s">
        <v>493</v>
      </c>
      <c r="E640" s="40" t="s">
        <v>493</v>
      </c>
      <c r="F640" s="40">
        <v>0</v>
      </c>
      <c r="G640" s="40"/>
      <c r="H640" s="40" t="s">
        <v>482</v>
      </c>
      <c r="I640" s="40"/>
      <c r="J640" s="40">
        <v>0</v>
      </c>
      <c r="K640" s="40">
        <v>0</v>
      </c>
      <c r="L640" s="40">
        <v>0</v>
      </c>
    </row>
    <row r="641" spans="1:12" x14ac:dyDescent="0.25">
      <c r="A641" s="40" t="s">
        <v>40</v>
      </c>
      <c r="B641" s="40" t="s">
        <v>1231</v>
      </c>
      <c r="C641" s="40" t="s">
        <v>1232</v>
      </c>
      <c r="D641" s="40" t="s">
        <v>493</v>
      </c>
      <c r="E641" s="40" t="s">
        <v>493</v>
      </c>
      <c r="F641" s="40">
        <v>0</v>
      </c>
      <c r="G641" s="40"/>
      <c r="H641" s="40" t="s">
        <v>482</v>
      </c>
      <c r="I641" s="40"/>
      <c r="J641" s="40">
        <v>0</v>
      </c>
      <c r="K641" s="40">
        <v>0</v>
      </c>
      <c r="L641" s="40">
        <v>0</v>
      </c>
    </row>
    <row r="642" spans="1:12" x14ac:dyDescent="0.25">
      <c r="A642" s="40" t="s">
        <v>40</v>
      </c>
      <c r="B642" s="40" t="s">
        <v>1233</v>
      </c>
      <c r="C642" s="40" t="s">
        <v>1234</v>
      </c>
      <c r="D642" s="40" t="s">
        <v>493</v>
      </c>
      <c r="E642" s="40" t="s">
        <v>493</v>
      </c>
      <c r="F642" s="40">
        <v>0</v>
      </c>
      <c r="G642" s="40"/>
      <c r="H642" s="40" t="s">
        <v>482</v>
      </c>
      <c r="I642" s="40"/>
      <c r="J642" s="40">
        <v>0</v>
      </c>
      <c r="K642" s="40">
        <v>0</v>
      </c>
      <c r="L642" s="40">
        <v>0</v>
      </c>
    </row>
    <row r="643" spans="1:12" x14ac:dyDescent="0.25">
      <c r="A643" s="40" t="s">
        <v>40</v>
      </c>
      <c r="B643" s="40" t="s">
        <v>1236</v>
      </c>
      <c r="C643" s="40" t="s">
        <v>1237</v>
      </c>
      <c r="D643" s="40" t="s">
        <v>493</v>
      </c>
      <c r="E643" s="40" t="s">
        <v>493</v>
      </c>
      <c r="F643" s="40">
        <v>0</v>
      </c>
      <c r="G643" s="40"/>
      <c r="H643" s="40" t="s">
        <v>482</v>
      </c>
      <c r="I643" s="40"/>
      <c r="J643" s="40">
        <v>0</v>
      </c>
      <c r="K643" s="40">
        <v>0</v>
      </c>
      <c r="L643" s="40">
        <v>0</v>
      </c>
    </row>
    <row r="644" spans="1:12" x14ac:dyDescent="0.25">
      <c r="A644" s="40" t="s">
        <v>40</v>
      </c>
      <c r="B644" s="40" t="s">
        <v>1238</v>
      </c>
      <c r="C644" s="40" t="s">
        <v>1239</v>
      </c>
      <c r="D644" s="40" t="s">
        <v>493</v>
      </c>
      <c r="E644" s="40" t="s">
        <v>493</v>
      </c>
      <c r="F644" s="40">
        <v>0</v>
      </c>
      <c r="G644" s="40"/>
      <c r="H644" s="40" t="s">
        <v>482</v>
      </c>
      <c r="I644" s="40"/>
      <c r="J644" s="40">
        <v>0</v>
      </c>
      <c r="K644" s="40">
        <v>0</v>
      </c>
      <c r="L644" s="40">
        <v>0</v>
      </c>
    </row>
    <row r="645" spans="1:12" x14ac:dyDescent="0.25">
      <c r="A645" s="40" t="s">
        <v>40</v>
      </c>
      <c r="B645" s="40" t="s">
        <v>1241</v>
      </c>
      <c r="C645" s="40" t="s">
        <v>1242</v>
      </c>
      <c r="D645" s="40" t="s">
        <v>493</v>
      </c>
      <c r="E645" s="40" t="s">
        <v>493</v>
      </c>
      <c r="F645" s="40">
        <v>0</v>
      </c>
      <c r="G645" s="40"/>
      <c r="H645" s="40" t="s">
        <v>482</v>
      </c>
      <c r="I645" s="40"/>
      <c r="J645" s="40">
        <v>0</v>
      </c>
      <c r="K645" s="40">
        <v>0</v>
      </c>
      <c r="L645" s="40">
        <v>0</v>
      </c>
    </row>
    <row r="646" spans="1:12" x14ac:dyDescent="0.25">
      <c r="A646" s="40" t="s">
        <v>40</v>
      </c>
      <c r="B646" s="40" t="s">
        <v>1243</v>
      </c>
      <c r="C646" s="40" t="s">
        <v>1244</v>
      </c>
      <c r="D646" s="40" t="s">
        <v>493</v>
      </c>
      <c r="E646" s="40" t="s">
        <v>493</v>
      </c>
      <c r="F646" s="40">
        <v>0</v>
      </c>
      <c r="G646" s="40"/>
      <c r="H646" s="40" t="s">
        <v>482</v>
      </c>
      <c r="I646" s="40"/>
      <c r="J646" s="40">
        <v>0</v>
      </c>
      <c r="K646" s="40">
        <v>0</v>
      </c>
      <c r="L646" s="40">
        <v>0</v>
      </c>
    </row>
    <row r="647" spans="1:12" x14ac:dyDescent="0.25">
      <c r="A647" s="40" t="s">
        <v>40</v>
      </c>
      <c r="B647" s="40" t="s">
        <v>1246</v>
      </c>
      <c r="C647" s="40" t="s">
        <v>1247</v>
      </c>
      <c r="D647" s="40" t="s">
        <v>493</v>
      </c>
      <c r="E647" s="40" t="s">
        <v>493</v>
      </c>
      <c r="F647" s="40">
        <v>0</v>
      </c>
      <c r="G647" s="40"/>
      <c r="H647" s="40" t="s">
        <v>482</v>
      </c>
      <c r="I647" s="40"/>
      <c r="J647" s="40">
        <v>0</v>
      </c>
      <c r="K647" s="40">
        <v>0</v>
      </c>
      <c r="L647" s="40">
        <v>0</v>
      </c>
    </row>
    <row r="648" spans="1:12" x14ac:dyDescent="0.25">
      <c r="A648" s="40" t="s">
        <v>40</v>
      </c>
      <c r="B648" s="40" t="s">
        <v>1248</v>
      </c>
      <c r="C648" s="40" t="s">
        <v>1249</v>
      </c>
      <c r="D648" s="40" t="s">
        <v>493</v>
      </c>
      <c r="E648" s="40" t="s">
        <v>493</v>
      </c>
      <c r="F648" s="40">
        <v>0</v>
      </c>
      <c r="G648" s="40"/>
      <c r="H648" s="40" t="s">
        <v>482</v>
      </c>
      <c r="I648" s="40"/>
      <c r="J648" s="40">
        <v>0</v>
      </c>
      <c r="K648" s="40">
        <v>0</v>
      </c>
      <c r="L648" s="40">
        <v>0</v>
      </c>
    </row>
    <row r="649" spans="1:12" x14ac:dyDescent="0.25">
      <c r="A649" s="40" t="s">
        <v>40</v>
      </c>
      <c r="B649" s="40" t="s">
        <v>1251</v>
      </c>
      <c r="C649" s="40" t="s">
        <v>1252</v>
      </c>
      <c r="D649" s="40" t="s">
        <v>493</v>
      </c>
      <c r="E649" s="40" t="s">
        <v>493</v>
      </c>
      <c r="F649" s="40">
        <v>0</v>
      </c>
      <c r="G649" s="40"/>
      <c r="H649" s="40" t="s">
        <v>482</v>
      </c>
      <c r="I649" s="40"/>
      <c r="J649" s="40">
        <v>0</v>
      </c>
      <c r="K649" s="40">
        <v>0</v>
      </c>
      <c r="L649" s="40">
        <v>0</v>
      </c>
    </row>
    <row r="650" spans="1:12" x14ac:dyDescent="0.25">
      <c r="A650" s="40" t="s">
        <v>40</v>
      </c>
      <c r="B650" s="40" t="s">
        <v>1253</v>
      </c>
      <c r="C650" s="40" t="s">
        <v>1254</v>
      </c>
      <c r="D650" s="40" t="s">
        <v>493</v>
      </c>
      <c r="E650" s="40" t="s">
        <v>493</v>
      </c>
      <c r="F650" s="40">
        <v>0</v>
      </c>
      <c r="G650" s="40"/>
      <c r="H650" s="40" t="s">
        <v>482</v>
      </c>
      <c r="I650" s="40"/>
      <c r="J650" s="40">
        <v>0</v>
      </c>
      <c r="K650" s="40">
        <v>0</v>
      </c>
      <c r="L650" s="40">
        <v>0</v>
      </c>
    </row>
    <row r="651" spans="1:12" x14ac:dyDescent="0.25">
      <c r="A651" s="40" t="s">
        <v>40</v>
      </c>
      <c r="B651" s="40" t="s">
        <v>1256</v>
      </c>
      <c r="C651" s="40" t="s">
        <v>1257</v>
      </c>
      <c r="D651" s="40" t="s">
        <v>493</v>
      </c>
      <c r="E651" s="40" t="s">
        <v>493</v>
      </c>
      <c r="F651" s="40">
        <v>0</v>
      </c>
      <c r="G651" s="40"/>
      <c r="H651" s="40" t="s">
        <v>482</v>
      </c>
      <c r="I651" s="40"/>
      <c r="J651" s="40">
        <v>0</v>
      </c>
      <c r="K651" s="40">
        <v>0</v>
      </c>
      <c r="L651" s="40">
        <v>0</v>
      </c>
    </row>
    <row r="652" spans="1:12" x14ac:dyDescent="0.25">
      <c r="A652" s="40" t="s">
        <v>40</v>
      </c>
      <c r="B652" s="40" t="s">
        <v>1259</v>
      </c>
      <c r="C652" s="40" t="s">
        <v>1260</v>
      </c>
      <c r="D652" s="40" t="s">
        <v>493</v>
      </c>
      <c r="E652" s="40" t="s">
        <v>493</v>
      </c>
      <c r="F652" s="40">
        <v>0</v>
      </c>
      <c r="G652" s="40"/>
      <c r="H652" s="40" t="s">
        <v>482</v>
      </c>
      <c r="I652" s="40"/>
      <c r="J652" s="40">
        <v>0</v>
      </c>
      <c r="K652" s="40">
        <v>0</v>
      </c>
      <c r="L652" s="40">
        <v>0</v>
      </c>
    </row>
    <row r="653" spans="1:12" x14ac:dyDescent="0.25">
      <c r="A653" s="40" t="s">
        <v>40</v>
      </c>
      <c r="B653" s="40" t="s">
        <v>1261</v>
      </c>
      <c r="C653" s="40" t="s">
        <v>1262</v>
      </c>
      <c r="D653" s="40" t="s">
        <v>493</v>
      </c>
      <c r="E653" s="40" t="s">
        <v>493</v>
      </c>
      <c r="F653" s="40">
        <v>0</v>
      </c>
      <c r="G653" s="40"/>
      <c r="H653" s="40" t="s">
        <v>482</v>
      </c>
      <c r="I653" s="40"/>
      <c r="J653" s="40">
        <v>0</v>
      </c>
      <c r="K653" s="40">
        <v>0</v>
      </c>
      <c r="L653" s="40">
        <v>0</v>
      </c>
    </row>
    <row r="654" spans="1:12" x14ac:dyDescent="0.25">
      <c r="A654" s="40" t="s">
        <v>40</v>
      </c>
      <c r="B654" s="40" t="s">
        <v>1263</v>
      </c>
      <c r="C654" s="40" t="s">
        <v>1264</v>
      </c>
      <c r="D654" s="40" t="s">
        <v>493</v>
      </c>
      <c r="E654" s="40" t="s">
        <v>493</v>
      </c>
      <c r="F654" s="40">
        <v>0</v>
      </c>
      <c r="G654" s="40"/>
      <c r="H654" s="40" t="s">
        <v>482</v>
      </c>
      <c r="I654" s="40"/>
      <c r="J654" s="40">
        <v>0</v>
      </c>
      <c r="K654" s="40">
        <v>0</v>
      </c>
      <c r="L654" s="40">
        <v>0</v>
      </c>
    </row>
    <row r="655" spans="1:12" x14ac:dyDescent="0.25">
      <c r="A655" s="40" t="s">
        <v>42</v>
      </c>
      <c r="B655" s="40" t="s">
        <v>483</v>
      </c>
      <c r="C655" s="40" t="s">
        <v>1289</v>
      </c>
      <c r="D655" s="40" t="s">
        <v>1290</v>
      </c>
      <c r="E655" s="40" t="s">
        <v>1291</v>
      </c>
      <c r="F655" s="40">
        <v>1</v>
      </c>
      <c r="G655" s="40"/>
      <c r="H655" s="40" t="s">
        <v>482</v>
      </c>
      <c r="I655" s="40"/>
      <c r="J655" s="40">
        <v>0</v>
      </c>
      <c r="K655" s="40">
        <v>0</v>
      </c>
      <c r="L655" s="40">
        <v>0</v>
      </c>
    </row>
    <row r="656" spans="1:12" x14ac:dyDescent="0.25">
      <c r="A656" s="40" t="s">
        <v>42</v>
      </c>
      <c r="B656" s="40" t="s">
        <v>487</v>
      </c>
      <c r="C656" s="40" t="s">
        <v>1292</v>
      </c>
      <c r="D656" s="40" t="s">
        <v>1293</v>
      </c>
      <c r="E656" s="40" t="s">
        <v>493</v>
      </c>
      <c r="F656" s="40">
        <v>1</v>
      </c>
      <c r="G656" s="40"/>
      <c r="H656" s="40" t="s">
        <v>482</v>
      </c>
      <c r="I656" s="40"/>
      <c r="J656" s="40">
        <v>0</v>
      </c>
      <c r="K656" s="40">
        <v>0</v>
      </c>
      <c r="L656" s="40">
        <v>0</v>
      </c>
    </row>
    <row r="657" spans="1:12" x14ac:dyDescent="0.25">
      <c r="A657" s="40" t="s">
        <v>42</v>
      </c>
      <c r="B657" s="40" t="s">
        <v>491</v>
      </c>
      <c r="C657" s="40" t="s">
        <v>1294</v>
      </c>
      <c r="D657" s="40" t="s">
        <v>493</v>
      </c>
      <c r="E657" s="40" t="s">
        <v>493</v>
      </c>
      <c r="F657" s="40">
        <v>0</v>
      </c>
      <c r="G657" s="40"/>
      <c r="H657" s="40" t="s">
        <v>482</v>
      </c>
      <c r="I657" s="40"/>
      <c r="J657" s="40">
        <v>0</v>
      </c>
      <c r="K657" s="40">
        <v>0</v>
      </c>
      <c r="L657" s="40">
        <v>0</v>
      </c>
    </row>
    <row r="658" spans="1:12" x14ac:dyDescent="0.25">
      <c r="A658" s="40" t="s">
        <v>42</v>
      </c>
      <c r="B658" s="40" t="s">
        <v>494</v>
      </c>
      <c r="C658" s="40" t="s">
        <v>1295</v>
      </c>
      <c r="D658" s="40" t="s">
        <v>493</v>
      </c>
      <c r="E658" s="40" t="s">
        <v>493</v>
      </c>
      <c r="F658" s="40">
        <v>0</v>
      </c>
      <c r="G658" s="40"/>
      <c r="H658" s="40" t="s">
        <v>482</v>
      </c>
      <c r="I658" s="40"/>
      <c r="J658" s="40">
        <v>0</v>
      </c>
      <c r="K658" s="40">
        <v>0</v>
      </c>
      <c r="L658" s="40">
        <v>0</v>
      </c>
    </row>
    <row r="659" spans="1:12" x14ac:dyDescent="0.25">
      <c r="A659" s="40" t="s">
        <v>42</v>
      </c>
      <c r="B659" s="40" t="s">
        <v>496</v>
      </c>
      <c r="C659" s="40" t="s">
        <v>1296</v>
      </c>
      <c r="D659" s="40" t="s">
        <v>493</v>
      </c>
      <c r="E659" s="40" t="s">
        <v>493</v>
      </c>
      <c r="F659" s="40">
        <v>0</v>
      </c>
      <c r="G659" s="40"/>
      <c r="H659" s="40" t="s">
        <v>482</v>
      </c>
      <c r="I659" s="40"/>
      <c r="J659" s="40">
        <v>0</v>
      </c>
      <c r="K659" s="40">
        <v>0</v>
      </c>
      <c r="L659" s="40">
        <v>0</v>
      </c>
    </row>
    <row r="660" spans="1:12" x14ac:dyDescent="0.25">
      <c r="A660" s="40" t="s">
        <v>42</v>
      </c>
      <c r="B660" s="40" t="s">
        <v>1297</v>
      </c>
      <c r="C660" s="40" t="s">
        <v>1298</v>
      </c>
      <c r="D660" s="40" t="s">
        <v>1299</v>
      </c>
      <c r="E660" s="40" t="s">
        <v>1299</v>
      </c>
      <c r="F660" s="40">
        <v>0</v>
      </c>
      <c r="G660" s="40"/>
      <c r="H660" s="40" t="s">
        <v>482</v>
      </c>
      <c r="I660" s="40"/>
      <c r="J660" s="40">
        <v>0</v>
      </c>
      <c r="K660" s="40">
        <v>0</v>
      </c>
      <c r="L660" s="40">
        <v>0</v>
      </c>
    </row>
    <row r="661" spans="1:12" x14ac:dyDescent="0.25">
      <c r="A661" s="40" t="s">
        <v>42</v>
      </c>
      <c r="B661" s="40" t="s">
        <v>1300</v>
      </c>
      <c r="C661" s="40" t="s">
        <v>1301</v>
      </c>
      <c r="D661" s="40" t="s">
        <v>493</v>
      </c>
      <c r="E661" s="40" t="s">
        <v>493</v>
      </c>
      <c r="F661" s="40">
        <v>0</v>
      </c>
      <c r="G661" s="40"/>
      <c r="H661" s="40" t="s">
        <v>482</v>
      </c>
      <c r="I661" s="40"/>
      <c r="J661" s="40">
        <v>0</v>
      </c>
      <c r="K661" s="40">
        <v>0</v>
      </c>
      <c r="L661" s="40">
        <v>0</v>
      </c>
    </row>
    <row r="662" spans="1:12" x14ac:dyDescent="0.25">
      <c r="A662" s="40" t="s">
        <v>42</v>
      </c>
      <c r="B662" s="40" t="s">
        <v>1302</v>
      </c>
      <c r="C662" s="40" t="s">
        <v>1303</v>
      </c>
      <c r="D662" s="40" t="s">
        <v>493</v>
      </c>
      <c r="E662" s="40" t="s">
        <v>493</v>
      </c>
      <c r="F662" s="40">
        <v>0</v>
      </c>
      <c r="G662" s="40"/>
      <c r="H662" s="40" t="s">
        <v>482</v>
      </c>
      <c r="I662" s="40"/>
      <c r="J662" s="40">
        <v>0</v>
      </c>
      <c r="K662" s="40">
        <v>0</v>
      </c>
      <c r="L662" s="40">
        <v>0</v>
      </c>
    </row>
    <row r="663" spans="1:12" x14ac:dyDescent="0.25">
      <c r="A663" s="40" t="s">
        <v>42</v>
      </c>
      <c r="B663" s="40" t="s">
        <v>1304</v>
      </c>
      <c r="C663" s="40" t="s">
        <v>1305</v>
      </c>
      <c r="D663" s="40" t="s">
        <v>1149</v>
      </c>
      <c r="E663" s="40" t="s">
        <v>1306</v>
      </c>
      <c r="F663" s="40">
        <v>1</v>
      </c>
      <c r="G663" s="40"/>
      <c r="H663" s="40" t="s">
        <v>482</v>
      </c>
      <c r="I663" s="40"/>
      <c r="J663" s="40">
        <v>0</v>
      </c>
      <c r="K663" s="40">
        <v>0</v>
      </c>
      <c r="L663" s="40">
        <v>0</v>
      </c>
    </row>
    <row r="664" spans="1:12" x14ac:dyDescent="0.25">
      <c r="A664" s="40" t="s">
        <v>42</v>
      </c>
      <c r="B664" s="40" t="s">
        <v>1307</v>
      </c>
      <c r="C664" s="40" t="s">
        <v>1308</v>
      </c>
      <c r="D664" s="40" t="s">
        <v>493</v>
      </c>
      <c r="E664" s="40" t="s">
        <v>493</v>
      </c>
      <c r="F664" s="40">
        <v>0</v>
      </c>
      <c r="G664" s="40"/>
      <c r="H664" s="40" t="s">
        <v>482</v>
      </c>
      <c r="I664" s="40"/>
      <c r="J664" s="40">
        <v>0</v>
      </c>
      <c r="K664" s="40">
        <v>0</v>
      </c>
      <c r="L664" s="40">
        <v>0</v>
      </c>
    </row>
    <row r="665" spans="1:12" x14ac:dyDescent="0.25">
      <c r="A665" s="40" t="s">
        <v>42</v>
      </c>
      <c r="B665" s="40" t="s">
        <v>1309</v>
      </c>
      <c r="C665" s="40" t="s">
        <v>1310</v>
      </c>
      <c r="D665" s="40" t="s">
        <v>493</v>
      </c>
      <c r="E665" s="40" t="s">
        <v>493</v>
      </c>
      <c r="F665" s="40">
        <v>0</v>
      </c>
      <c r="G665" s="40"/>
      <c r="H665" s="40" t="s">
        <v>482</v>
      </c>
      <c r="I665" s="40"/>
      <c r="J665" s="40">
        <v>0</v>
      </c>
      <c r="K665" s="40">
        <v>0</v>
      </c>
      <c r="L665" s="40">
        <v>0</v>
      </c>
    </row>
    <row r="666" spans="1:12" x14ac:dyDescent="0.25">
      <c r="A666" s="40" t="s">
        <v>42</v>
      </c>
      <c r="B666" s="40" t="s">
        <v>498</v>
      </c>
      <c r="C666" s="40" t="s">
        <v>1311</v>
      </c>
      <c r="D666" s="40" t="s">
        <v>1312</v>
      </c>
      <c r="E666" s="40" t="s">
        <v>1312</v>
      </c>
      <c r="F666" s="40">
        <v>0</v>
      </c>
      <c r="G666" s="40"/>
      <c r="H666" s="40" t="s">
        <v>482</v>
      </c>
      <c r="I666" s="40"/>
      <c r="J666" s="40">
        <v>0</v>
      </c>
      <c r="K666" s="40">
        <v>0</v>
      </c>
      <c r="L666" s="40">
        <v>0</v>
      </c>
    </row>
    <row r="667" spans="1:12" x14ac:dyDescent="0.25">
      <c r="A667" s="40" t="s">
        <v>42</v>
      </c>
      <c r="B667" s="40" t="s">
        <v>500</v>
      </c>
      <c r="C667" s="40" t="s">
        <v>1313</v>
      </c>
      <c r="D667" s="40" t="s">
        <v>1314</v>
      </c>
      <c r="E667" s="40" t="s">
        <v>1315</v>
      </c>
      <c r="F667" s="40">
        <v>1</v>
      </c>
      <c r="G667" s="40"/>
      <c r="H667" s="40" t="s">
        <v>482</v>
      </c>
      <c r="I667" s="40"/>
      <c r="J667" s="40">
        <v>0</v>
      </c>
      <c r="K667" s="40">
        <v>0</v>
      </c>
      <c r="L667" s="40">
        <v>0</v>
      </c>
    </row>
    <row r="668" spans="1:12" x14ac:dyDescent="0.25">
      <c r="A668" s="40" t="s">
        <v>42</v>
      </c>
      <c r="B668" s="40" t="s">
        <v>1316</v>
      </c>
      <c r="C668" s="40" t="s">
        <v>1317</v>
      </c>
      <c r="D668" s="40" t="s">
        <v>1318</v>
      </c>
      <c r="E668" s="40" t="s">
        <v>1319</v>
      </c>
      <c r="F668" s="40">
        <v>1</v>
      </c>
      <c r="G668" s="40"/>
      <c r="H668" s="40" t="s">
        <v>482</v>
      </c>
      <c r="I668" s="40"/>
      <c r="J668" s="40">
        <v>0</v>
      </c>
      <c r="K668" s="40">
        <v>0</v>
      </c>
      <c r="L668" s="40">
        <v>0</v>
      </c>
    </row>
    <row r="669" spans="1:12" x14ac:dyDescent="0.25">
      <c r="A669" s="40" t="s">
        <v>42</v>
      </c>
      <c r="B669" s="40" t="s">
        <v>502</v>
      </c>
      <c r="C669" s="40" t="s">
        <v>1320</v>
      </c>
      <c r="D669" s="40" t="s">
        <v>493</v>
      </c>
      <c r="E669" s="40" t="s">
        <v>493</v>
      </c>
      <c r="F669" s="40">
        <v>0</v>
      </c>
      <c r="G669" s="40"/>
      <c r="H669" s="40" t="s">
        <v>482</v>
      </c>
      <c r="I669" s="40"/>
      <c r="J669" s="40">
        <v>0</v>
      </c>
      <c r="K669" s="40">
        <v>0</v>
      </c>
      <c r="L669" s="40">
        <v>0</v>
      </c>
    </row>
    <row r="670" spans="1:12" x14ac:dyDescent="0.25">
      <c r="A670" s="40" t="s">
        <v>42</v>
      </c>
      <c r="B670" s="40" t="s">
        <v>510</v>
      </c>
      <c r="C670" s="40" t="s">
        <v>1321</v>
      </c>
      <c r="D670" s="40" t="s">
        <v>1322</v>
      </c>
      <c r="E670" s="40" t="s">
        <v>1322</v>
      </c>
      <c r="F670" s="40">
        <v>0</v>
      </c>
      <c r="G670" s="40"/>
      <c r="H670" s="40" t="s">
        <v>482</v>
      </c>
      <c r="I670" s="40"/>
      <c r="J670" s="40">
        <v>0</v>
      </c>
      <c r="K670" s="40">
        <v>0</v>
      </c>
      <c r="L670" s="40">
        <v>0</v>
      </c>
    </row>
    <row r="671" spans="1:12" x14ac:dyDescent="0.25">
      <c r="A671" s="40" t="s">
        <v>42</v>
      </c>
      <c r="B671" s="40" t="s">
        <v>518</v>
      </c>
      <c r="C671" s="40" t="s">
        <v>1323</v>
      </c>
      <c r="D671" s="40" t="s">
        <v>1324</v>
      </c>
      <c r="E671" s="40" t="s">
        <v>1325</v>
      </c>
      <c r="F671" s="40">
        <v>1</v>
      </c>
      <c r="G671" s="40"/>
      <c r="H671" s="40" t="s">
        <v>482</v>
      </c>
      <c r="I671" s="40"/>
      <c r="J671" s="40">
        <v>0</v>
      </c>
      <c r="K671" s="40">
        <v>0</v>
      </c>
      <c r="L671" s="40">
        <v>0</v>
      </c>
    </row>
    <row r="672" spans="1:12" x14ac:dyDescent="0.25">
      <c r="A672" s="40" t="s">
        <v>42</v>
      </c>
      <c r="B672" s="40" t="s">
        <v>523</v>
      </c>
      <c r="C672" s="40" t="s">
        <v>1326</v>
      </c>
      <c r="D672" s="40" t="s">
        <v>1149</v>
      </c>
      <c r="E672" s="40" t="s">
        <v>493</v>
      </c>
      <c r="F672" s="40">
        <v>1</v>
      </c>
      <c r="G672" s="40"/>
      <c r="H672" s="40" t="s">
        <v>482</v>
      </c>
      <c r="I672" s="40"/>
      <c r="J672" s="40">
        <v>0</v>
      </c>
      <c r="K672" s="40">
        <v>0</v>
      </c>
      <c r="L672" s="40">
        <v>0</v>
      </c>
    </row>
    <row r="673" spans="1:12" x14ac:dyDescent="0.25">
      <c r="A673" s="40" t="s">
        <v>42</v>
      </c>
      <c r="B673" s="40" t="s">
        <v>529</v>
      </c>
      <c r="C673" s="40" t="s">
        <v>1327</v>
      </c>
      <c r="D673" s="40" t="s">
        <v>1328</v>
      </c>
      <c r="E673" s="40" t="s">
        <v>1329</v>
      </c>
      <c r="F673" s="40">
        <v>1</v>
      </c>
      <c r="G673" s="40"/>
      <c r="H673" s="40" t="s">
        <v>482</v>
      </c>
      <c r="I673" s="40"/>
      <c r="J673" s="40">
        <v>0</v>
      </c>
      <c r="K673" s="40">
        <v>0</v>
      </c>
      <c r="L673" s="40">
        <v>0</v>
      </c>
    </row>
    <row r="674" spans="1:12" x14ac:dyDescent="0.25">
      <c r="A674" s="40" t="s">
        <v>42</v>
      </c>
      <c r="B674" s="40" t="s">
        <v>531</v>
      </c>
      <c r="C674" s="40" t="s">
        <v>1330</v>
      </c>
      <c r="D674" s="40" t="s">
        <v>1331</v>
      </c>
      <c r="E674" s="40" t="s">
        <v>1332</v>
      </c>
      <c r="F674" s="40">
        <v>1</v>
      </c>
      <c r="G674" s="40"/>
      <c r="H674" s="40" t="s">
        <v>482</v>
      </c>
      <c r="I674" s="40"/>
      <c r="J674" s="40">
        <v>0</v>
      </c>
      <c r="K674" s="40">
        <v>0</v>
      </c>
      <c r="L674" s="40">
        <v>0</v>
      </c>
    </row>
    <row r="675" spans="1:12" x14ac:dyDescent="0.25">
      <c r="A675" s="40" t="s">
        <v>42</v>
      </c>
      <c r="B675" s="40" t="s">
        <v>533</v>
      </c>
      <c r="C675" s="40" t="s">
        <v>1333</v>
      </c>
      <c r="D675" s="40" t="s">
        <v>1334</v>
      </c>
      <c r="E675" s="40" t="s">
        <v>1334</v>
      </c>
      <c r="F675" s="40">
        <v>0</v>
      </c>
      <c r="G675" s="40"/>
      <c r="H675" s="40" t="s">
        <v>482</v>
      </c>
      <c r="I675" s="40"/>
      <c r="J675" s="40">
        <v>0</v>
      </c>
      <c r="K675" s="40">
        <v>0</v>
      </c>
      <c r="L675" s="40">
        <v>0</v>
      </c>
    </row>
    <row r="676" spans="1:12" x14ac:dyDescent="0.25">
      <c r="A676" s="40" t="s">
        <v>42</v>
      </c>
      <c r="B676" s="40" t="s">
        <v>542</v>
      </c>
      <c r="C676" s="40" t="s">
        <v>1335</v>
      </c>
      <c r="D676" s="40" t="s">
        <v>493</v>
      </c>
      <c r="E676" s="40" t="s">
        <v>493</v>
      </c>
      <c r="F676" s="40">
        <v>0</v>
      </c>
      <c r="G676" s="40"/>
      <c r="H676" s="40" t="s">
        <v>482</v>
      </c>
      <c r="I676" s="40"/>
      <c r="J676" s="40">
        <v>0</v>
      </c>
      <c r="K676" s="40">
        <v>0</v>
      </c>
      <c r="L676" s="40">
        <v>0</v>
      </c>
    </row>
    <row r="677" spans="1:12" x14ac:dyDescent="0.25">
      <c r="A677" s="40" t="s">
        <v>42</v>
      </c>
      <c r="B677" s="40" t="s">
        <v>544</v>
      </c>
      <c r="C677" s="40" t="s">
        <v>1336</v>
      </c>
      <c r="D677" s="40" t="s">
        <v>493</v>
      </c>
      <c r="E677" s="40" t="s">
        <v>728</v>
      </c>
      <c r="F677" s="40">
        <v>1</v>
      </c>
      <c r="G677" s="40"/>
      <c r="H677" s="40" t="s">
        <v>482</v>
      </c>
      <c r="I677" s="40"/>
      <c r="J677" s="40">
        <v>0</v>
      </c>
      <c r="K677" s="40">
        <v>0</v>
      </c>
      <c r="L677" s="40">
        <v>0</v>
      </c>
    </row>
    <row r="678" spans="1:12" x14ac:dyDescent="0.25">
      <c r="A678" s="40" t="s">
        <v>42</v>
      </c>
      <c r="B678" s="40" t="s">
        <v>1337</v>
      </c>
      <c r="C678" s="40" t="s">
        <v>1338</v>
      </c>
      <c r="D678" s="40" t="s">
        <v>493</v>
      </c>
      <c r="E678" s="40" t="s">
        <v>493</v>
      </c>
      <c r="F678" s="40">
        <v>0</v>
      </c>
      <c r="G678" s="40"/>
      <c r="H678" s="40" t="s">
        <v>482</v>
      </c>
      <c r="I678" s="40"/>
      <c r="J678" s="40">
        <v>0</v>
      </c>
      <c r="K678" s="40">
        <v>0</v>
      </c>
      <c r="L678" s="40">
        <v>0</v>
      </c>
    </row>
    <row r="679" spans="1:12" x14ac:dyDescent="0.25">
      <c r="A679" s="40" t="s">
        <v>42</v>
      </c>
      <c r="B679" s="40" t="s">
        <v>1339</v>
      </c>
      <c r="C679" s="40" t="s">
        <v>1340</v>
      </c>
      <c r="D679" s="40" t="s">
        <v>493</v>
      </c>
      <c r="E679" s="40" t="s">
        <v>493</v>
      </c>
      <c r="F679" s="40">
        <v>0</v>
      </c>
      <c r="G679" s="40"/>
      <c r="H679" s="40" t="s">
        <v>482</v>
      </c>
      <c r="I679" s="40"/>
      <c r="J679" s="40">
        <v>0</v>
      </c>
      <c r="K679" s="40">
        <v>0</v>
      </c>
      <c r="L679" s="40">
        <v>0</v>
      </c>
    </row>
    <row r="680" spans="1:12" x14ac:dyDescent="0.25">
      <c r="A680" s="40" t="s">
        <v>42</v>
      </c>
      <c r="B680" s="40" t="s">
        <v>1341</v>
      </c>
      <c r="C680" s="40" t="s">
        <v>1342</v>
      </c>
      <c r="D680" s="40" t="s">
        <v>493</v>
      </c>
      <c r="E680" s="40" t="s">
        <v>728</v>
      </c>
      <c r="F680" s="40">
        <v>1</v>
      </c>
      <c r="G680" s="40"/>
      <c r="H680" s="40" t="s">
        <v>482</v>
      </c>
      <c r="I680" s="40"/>
      <c r="J680" s="40">
        <v>0</v>
      </c>
      <c r="K680" s="40">
        <v>0</v>
      </c>
      <c r="L680" s="40">
        <v>0</v>
      </c>
    </row>
    <row r="681" spans="1:12" x14ac:dyDescent="0.25">
      <c r="A681" s="40" t="s">
        <v>42</v>
      </c>
      <c r="B681" s="40" t="s">
        <v>1343</v>
      </c>
      <c r="C681" s="40" t="s">
        <v>1344</v>
      </c>
      <c r="D681" s="40" t="s">
        <v>493</v>
      </c>
      <c r="E681" s="40" t="s">
        <v>493</v>
      </c>
      <c r="F681" s="40">
        <v>0</v>
      </c>
      <c r="G681" s="40"/>
      <c r="H681" s="40" t="s">
        <v>482</v>
      </c>
      <c r="I681" s="40"/>
      <c r="J681" s="40">
        <v>0</v>
      </c>
      <c r="K681" s="40">
        <v>0</v>
      </c>
      <c r="L681" s="40">
        <v>0</v>
      </c>
    </row>
    <row r="682" spans="1:12" x14ac:dyDescent="0.25">
      <c r="A682" s="40" t="s">
        <v>42</v>
      </c>
      <c r="B682" s="40" t="s">
        <v>1345</v>
      </c>
      <c r="C682" s="40" t="s">
        <v>1346</v>
      </c>
      <c r="D682" s="40" t="s">
        <v>493</v>
      </c>
      <c r="E682" s="40" t="s">
        <v>493</v>
      </c>
      <c r="F682" s="40">
        <v>0</v>
      </c>
      <c r="G682" s="40"/>
      <c r="H682" s="40" t="s">
        <v>482</v>
      </c>
      <c r="I682" s="40"/>
      <c r="J682" s="40">
        <v>0</v>
      </c>
      <c r="K682" s="40">
        <v>0</v>
      </c>
      <c r="L682" s="40">
        <v>0</v>
      </c>
    </row>
    <row r="683" spans="1:12" x14ac:dyDescent="0.25">
      <c r="A683" s="40" t="s">
        <v>42</v>
      </c>
      <c r="B683" s="40" t="s">
        <v>1347</v>
      </c>
      <c r="C683" s="40" t="s">
        <v>1348</v>
      </c>
      <c r="D683" s="40" t="s">
        <v>493</v>
      </c>
      <c r="E683" s="40" t="s">
        <v>493</v>
      </c>
      <c r="F683" s="40">
        <v>0</v>
      </c>
      <c r="G683" s="40"/>
      <c r="H683" s="40" t="s">
        <v>482</v>
      </c>
      <c r="I683" s="40"/>
      <c r="J683" s="40">
        <v>0</v>
      </c>
      <c r="K683" s="40">
        <v>0</v>
      </c>
      <c r="L683" s="40">
        <v>0</v>
      </c>
    </row>
    <row r="684" spans="1:12" x14ac:dyDescent="0.25">
      <c r="A684" s="40" t="s">
        <v>42</v>
      </c>
      <c r="B684" s="40" t="s">
        <v>1349</v>
      </c>
      <c r="C684" s="40" t="s">
        <v>1350</v>
      </c>
      <c r="D684" s="40" t="s">
        <v>493</v>
      </c>
      <c r="E684" s="40" t="s">
        <v>493</v>
      </c>
      <c r="F684" s="40">
        <v>0</v>
      </c>
      <c r="G684" s="40"/>
      <c r="H684" s="40" t="s">
        <v>482</v>
      </c>
      <c r="I684" s="40"/>
      <c r="J684" s="40">
        <v>0</v>
      </c>
      <c r="K684" s="40">
        <v>0</v>
      </c>
      <c r="L684" s="40">
        <v>0</v>
      </c>
    </row>
    <row r="685" spans="1:12" x14ac:dyDescent="0.25">
      <c r="A685" s="40" t="s">
        <v>42</v>
      </c>
      <c r="B685" s="40" t="s">
        <v>1351</v>
      </c>
      <c r="C685" s="40" t="s">
        <v>1352</v>
      </c>
      <c r="D685" s="40" t="s">
        <v>493</v>
      </c>
      <c r="E685" s="40" t="s">
        <v>493</v>
      </c>
      <c r="F685" s="40">
        <v>0</v>
      </c>
      <c r="G685" s="40"/>
      <c r="H685" s="40" t="s">
        <v>482</v>
      </c>
      <c r="I685" s="40"/>
      <c r="J685" s="40">
        <v>0</v>
      </c>
      <c r="K685" s="40">
        <v>0</v>
      </c>
      <c r="L685" s="40">
        <v>0</v>
      </c>
    </row>
    <row r="686" spans="1:12" x14ac:dyDescent="0.25">
      <c r="A686" s="40" t="s">
        <v>42</v>
      </c>
      <c r="B686" s="40" t="s">
        <v>1353</v>
      </c>
      <c r="C686" s="40" t="s">
        <v>1354</v>
      </c>
      <c r="D686" s="40" t="s">
        <v>1355</v>
      </c>
      <c r="E686" s="40" t="s">
        <v>1355</v>
      </c>
      <c r="F686" s="40">
        <v>0</v>
      </c>
      <c r="G686" s="40"/>
      <c r="H686" s="40" t="s">
        <v>482</v>
      </c>
      <c r="I686" s="40"/>
      <c r="J686" s="40">
        <v>0</v>
      </c>
      <c r="K686" s="40">
        <v>0</v>
      </c>
      <c r="L686" s="40">
        <v>0</v>
      </c>
    </row>
    <row r="687" spans="1:12" x14ac:dyDescent="0.25">
      <c r="A687" s="40" t="s">
        <v>42</v>
      </c>
      <c r="B687" s="40" t="s">
        <v>606</v>
      </c>
      <c r="C687" s="40" t="s">
        <v>1356</v>
      </c>
      <c r="D687" s="40" t="s">
        <v>1355</v>
      </c>
      <c r="E687" s="40" t="s">
        <v>1355</v>
      </c>
      <c r="F687" s="40">
        <v>0</v>
      </c>
      <c r="G687" s="40"/>
      <c r="H687" s="40" t="s">
        <v>482</v>
      </c>
      <c r="I687" s="40"/>
      <c r="J687" s="40">
        <v>0</v>
      </c>
      <c r="K687" s="40">
        <v>0</v>
      </c>
      <c r="L687" s="40">
        <v>0</v>
      </c>
    </row>
    <row r="688" spans="1:12" x14ac:dyDescent="0.25">
      <c r="A688" s="40" t="s">
        <v>42</v>
      </c>
      <c r="B688" s="40" t="s">
        <v>612</v>
      </c>
      <c r="C688" s="40" t="s">
        <v>1357</v>
      </c>
      <c r="D688" s="40" t="s">
        <v>1312</v>
      </c>
      <c r="E688" s="40" t="s">
        <v>1312</v>
      </c>
      <c r="F688" s="40">
        <v>0</v>
      </c>
      <c r="G688" s="40"/>
      <c r="H688" s="40" t="s">
        <v>482</v>
      </c>
      <c r="I688" s="40"/>
      <c r="J688" s="40">
        <v>0</v>
      </c>
      <c r="K688" s="40">
        <v>0</v>
      </c>
      <c r="L688" s="40">
        <v>0</v>
      </c>
    </row>
    <row r="689" spans="1:12" x14ac:dyDescent="0.25">
      <c r="A689" s="40" t="s">
        <v>42</v>
      </c>
      <c r="B689" s="40" t="s">
        <v>614</v>
      </c>
      <c r="C689" s="40" t="s">
        <v>1358</v>
      </c>
      <c r="D689" s="40" t="s">
        <v>1314</v>
      </c>
      <c r="E689" s="40" t="s">
        <v>1315</v>
      </c>
      <c r="F689" s="40">
        <v>1</v>
      </c>
      <c r="G689" s="40"/>
      <c r="H689" s="40" t="s">
        <v>482</v>
      </c>
      <c r="I689" s="40"/>
      <c r="J689" s="40">
        <v>0</v>
      </c>
      <c r="K689" s="40">
        <v>0</v>
      </c>
      <c r="L689" s="40">
        <v>0</v>
      </c>
    </row>
    <row r="690" spans="1:12" x14ac:dyDescent="0.25">
      <c r="A690" s="40" t="s">
        <v>42</v>
      </c>
      <c r="B690" s="40" t="s">
        <v>1359</v>
      </c>
      <c r="C690" s="40" t="s">
        <v>1360</v>
      </c>
      <c r="D690" s="40" t="s">
        <v>1318</v>
      </c>
      <c r="E690" s="40" t="s">
        <v>1319</v>
      </c>
      <c r="F690" s="40">
        <v>1</v>
      </c>
      <c r="G690" s="40"/>
      <c r="H690" s="40" t="s">
        <v>482</v>
      </c>
      <c r="I690" s="40"/>
      <c r="J690" s="40">
        <v>0</v>
      </c>
      <c r="K690" s="40">
        <v>0</v>
      </c>
      <c r="L690" s="40">
        <v>0</v>
      </c>
    </row>
    <row r="691" spans="1:12" x14ac:dyDescent="0.25">
      <c r="A691" s="40" t="s">
        <v>42</v>
      </c>
      <c r="B691" s="40" t="s">
        <v>616</v>
      </c>
      <c r="C691" s="40" t="s">
        <v>1361</v>
      </c>
      <c r="D691" s="40" t="s">
        <v>493</v>
      </c>
      <c r="E691" s="40" t="s">
        <v>493</v>
      </c>
      <c r="F691" s="40">
        <v>0</v>
      </c>
      <c r="G691" s="40"/>
      <c r="H691" s="40" t="s">
        <v>482</v>
      </c>
      <c r="I691" s="40"/>
      <c r="J691" s="40">
        <v>0</v>
      </c>
      <c r="K691" s="40">
        <v>0</v>
      </c>
      <c r="L691" s="40">
        <v>0</v>
      </c>
    </row>
    <row r="692" spans="1:12" x14ac:dyDescent="0.25">
      <c r="A692" s="40" t="s">
        <v>42</v>
      </c>
      <c r="B692" s="40" t="s">
        <v>630</v>
      </c>
      <c r="C692" s="40" t="s">
        <v>1362</v>
      </c>
      <c r="D692" s="40" t="s">
        <v>1324</v>
      </c>
      <c r="E692" s="40" t="s">
        <v>1325</v>
      </c>
      <c r="F692" s="40">
        <v>1</v>
      </c>
      <c r="G692" s="40"/>
      <c r="H692" s="40" t="s">
        <v>482</v>
      </c>
      <c r="I692" s="40"/>
      <c r="J692" s="40">
        <v>0</v>
      </c>
      <c r="K692" s="40">
        <v>0</v>
      </c>
      <c r="L692" s="40">
        <v>0</v>
      </c>
    </row>
    <row r="693" spans="1:12" x14ac:dyDescent="0.25">
      <c r="A693" s="40" t="s">
        <v>42</v>
      </c>
      <c r="B693" s="40" t="s">
        <v>659</v>
      </c>
      <c r="C693" s="40" t="s">
        <v>1363</v>
      </c>
      <c r="D693" s="40" t="s">
        <v>493</v>
      </c>
      <c r="E693" s="40" t="s">
        <v>493</v>
      </c>
      <c r="F693" s="40">
        <v>0</v>
      </c>
      <c r="G693" s="40"/>
      <c r="H693" s="40" t="s">
        <v>482</v>
      </c>
      <c r="I693" s="40"/>
      <c r="J693" s="40">
        <v>0</v>
      </c>
      <c r="K693" s="40">
        <v>0</v>
      </c>
      <c r="L693" s="40">
        <v>0</v>
      </c>
    </row>
    <row r="694" spans="1:12" x14ac:dyDescent="0.25">
      <c r="A694" s="40" t="s">
        <v>42</v>
      </c>
      <c r="B694" s="40" t="s">
        <v>667</v>
      </c>
      <c r="C694" s="40" t="s">
        <v>1364</v>
      </c>
      <c r="D694" s="40" t="s">
        <v>493</v>
      </c>
      <c r="E694" s="40" t="s">
        <v>493</v>
      </c>
      <c r="F694" s="40">
        <v>0</v>
      </c>
      <c r="G694" s="40"/>
      <c r="H694" s="40" t="s">
        <v>482</v>
      </c>
      <c r="I694" s="40"/>
      <c r="J694" s="40">
        <v>0</v>
      </c>
      <c r="K694" s="40">
        <v>0</v>
      </c>
      <c r="L694" s="40">
        <v>0</v>
      </c>
    </row>
    <row r="695" spans="1:12" x14ac:dyDescent="0.25">
      <c r="A695" s="40" t="s">
        <v>42</v>
      </c>
      <c r="B695" s="40" t="s">
        <v>669</v>
      </c>
      <c r="C695" s="40" t="s">
        <v>1365</v>
      </c>
      <c r="D695" s="40" t="s">
        <v>493</v>
      </c>
      <c r="E695" s="40" t="s">
        <v>493</v>
      </c>
      <c r="F695" s="40">
        <v>0</v>
      </c>
      <c r="G695" s="40"/>
      <c r="H695" s="40" t="s">
        <v>482</v>
      </c>
      <c r="I695" s="40"/>
      <c r="J695" s="40">
        <v>0</v>
      </c>
      <c r="K695" s="40">
        <v>0</v>
      </c>
      <c r="L695" s="40">
        <v>0</v>
      </c>
    </row>
    <row r="696" spans="1:12" x14ac:dyDescent="0.25">
      <c r="A696" s="40" t="s">
        <v>42</v>
      </c>
      <c r="B696" s="40" t="s">
        <v>671</v>
      </c>
      <c r="C696" s="40" t="s">
        <v>1366</v>
      </c>
      <c r="D696" s="40" t="s">
        <v>493</v>
      </c>
      <c r="E696" s="40" t="s">
        <v>493</v>
      </c>
      <c r="F696" s="40">
        <v>0</v>
      </c>
      <c r="G696" s="40"/>
      <c r="H696" s="40" t="s">
        <v>482</v>
      </c>
      <c r="I696" s="40"/>
      <c r="J696" s="40">
        <v>0</v>
      </c>
      <c r="K696" s="40">
        <v>0</v>
      </c>
      <c r="L696" s="40">
        <v>0</v>
      </c>
    </row>
    <row r="697" spans="1:12" x14ac:dyDescent="0.25">
      <c r="A697" s="40" t="s">
        <v>42</v>
      </c>
      <c r="B697" s="40" t="s">
        <v>700</v>
      </c>
      <c r="C697" s="40" t="s">
        <v>1367</v>
      </c>
      <c r="D697" s="40" t="s">
        <v>1328</v>
      </c>
      <c r="E697" s="40" t="s">
        <v>1329</v>
      </c>
      <c r="F697" s="40">
        <v>1</v>
      </c>
      <c r="G697" s="40"/>
      <c r="H697" s="40" t="s">
        <v>482</v>
      </c>
      <c r="I697" s="40"/>
      <c r="J697" s="40">
        <v>0</v>
      </c>
      <c r="K697" s="40">
        <v>0</v>
      </c>
      <c r="L697" s="40">
        <v>0</v>
      </c>
    </row>
    <row r="698" spans="1:12" x14ac:dyDescent="0.25">
      <c r="A698" s="40" t="s">
        <v>42</v>
      </c>
      <c r="B698" s="40" t="s">
        <v>704</v>
      </c>
      <c r="C698" s="40" t="s">
        <v>1368</v>
      </c>
      <c r="D698" s="40" t="s">
        <v>1331</v>
      </c>
      <c r="E698" s="40" t="s">
        <v>1332</v>
      </c>
      <c r="F698" s="40">
        <v>1</v>
      </c>
      <c r="G698" s="40"/>
      <c r="H698" s="40" t="s">
        <v>482</v>
      </c>
      <c r="I698" s="40"/>
      <c r="J698" s="40">
        <v>0</v>
      </c>
      <c r="K698" s="40">
        <v>0</v>
      </c>
      <c r="L698" s="40">
        <v>0</v>
      </c>
    </row>
    <row r="699" spans="1:12" x14ac:dyDescent="0.25">
      <c r="A699" s="40" t="s">
        <v>42</v>
      </c>
      <c r="B699" s="40" t="s">
        <v>708</v>
      </c>
      <c r="C699" s="40" t="s">
        <v>1369</v>
      </c>
      <c r="D699" s="40" t="s">
        <v>1334</v>
      </c>
      <c r="E699" s="40" t="s">
        <v>1334</v>
      </c>
      <c r="F699" s="40">
        <v>0</v>
      </c>
      <c r="G699" s="40"/>
      <c r="H699" s="40" t="s">
        <v>482</v>
      </c>
      <c r="I699" s="40"/>
      <c r="J699" s="40">
        <v>0</v>
      </c>
      <c r="K699" s="40">
        <v>0</v>
      </c>
      <c r="L699" s="40">
        <v>0</v>
      </c>
    </row>
    <row r="700" spans="1:12" x14ac:dyDescent="0.25">
      <c r="A700" s="40" t="s">
        <v>42</v>
      </c>
      <c r="B700" s="40" t="s">
        <v>858</v>
      </c>
      <c r="C700" s="40" t="s">
        <v>1370</v>
      </c>
      <c r="D700" s="40" t="s">
        <v>493</v>
      </c>
      <c r="E700" s="40" t="s">
        <v>493</v>
      </c>
      <c r="F700" s="40">
        <v>0</v>
      </c>
      <c r="G700" s="40"/>
      <c r="H700" s="40" t="s">
        <v>482</v>
      </c>
      <c r="I700" s="40"/>
      <c r="J700" s="40">
        <v>0</v>
      </c>
      <c r="K700" s="40">
        <v>0</v>
      </c>
      <c r="L700" s="40">
        <v>0</v>
      </c>
    </row>
    <row r="701" spans="1:12" x14ac:dyDescent="0.25">
      <c r="A701" s="40" t="s">
        <v>42</v>
      </c>
      <c r="B701" s="40" t="s">
        <v>860</v>
      </c>
      <c r="C701" s="40" t="s">
        <v>1371</v>
      </c>
      <c r="D701" s="40" t="s">
        <v>493</v>
      </c>
      <c r="E701" s="40" t="s">
        <v>493</v>
      </c>
      <c r="F701" s="40">
        <v>0</v>
      </c>
      <c r="G701" s="40"/>
      <c r="H701" s="40" t="s">
        <v>482</v>
      </c>
      <c r="I701" s="40"/>
      <c r="J701" s="40">
        <v>0</v>
      </c>
      <c r="K701" s="40">
        <v>0</v>
      </c>
      <c r="L701" s="40">
        <v>0</v>
      </c>
    </row>
    <row r="702" spans="1:12" x14ac:dyDescent="0.25">
      <c r="A702" s="40" t="s">
        <v>42</v>
      </c>
      <c r="B702" s="40" t="s">
        <v>862</v>
      </c>
      <c r="C702" s="40" t="s">
        <v>1372</v>
      </c>
      <c r="D702" s="40" t="s">
        <v>493</v>
      </c>
      <c r="E702" s="40" t="s">
        <v>493</v>
      </c>
      <c r="F702" s="40">
        <v>0</v>
      </c>
      <c r="G702" s="40"/>
      <c r="H702" s="40" t="s">
        <v>482</v>
      </c>
      <c r="I702" s="40"/>
      <c r="J702" s="40">
        <v>0</v>
      </c>
      <c r="K702" s="40">
        <v>0</v>
      </c>
      <c r="L702" s="40">
        <v>0</v>
      </c>
    </row>
    <row r="703" spans="1:12" x14ac:dyDescent="0.25">
      <c r="A703" s="40" t="s">
        <v>42</v>
      </c>
      <c r="B703" s="40" t="s">
        <v>864</v>
      </c>
      <c r="C703" s="40" t="s">
        <v>1373</v>
      </c>
      <c r="D703" s="40" t="s">
        <v>1374</v>
      </c>
      <c r="E703" s="40" t="s">
        <v>493</v>
      </c>
      <c r="F703" s="40">
        <v>1</v>
      </c>
      <c r="G703" s="40"/>
      <c r="H703" s="40" t="s">
        <v>482</v>
      </c>
      <c r="I703" s="40"/>
      <c r="J703" s="40">
        <v>0</v>
      </c>
      <c r="K703" s="40">
        <v>0</v>
      </c>
      <c r="L703" s="40">
        <v>0</v>
      </c>
    </row>
    <row r="704" spans="1:12" x14ac:dyDescent="0.25">
      <c r="A704" s="40" t="s">
        <v>42</v>
      </c>
      <c r="B704" s="40" t="s">
        <v>890</v>
      </c>
      <c r="C704" s="40" t="s">
        <v>1375</v>
      </c>
      <c r="D704" s="40" t="s">
        <v>1148</v>
      </c>
      <c r="E704" s="40" t="s">
        <v>1064</v>
      </c>
      <c r="F704" s="40">
        <v>0</v>
      </c>
      <c r="G704" s="40"/>
      <c r="H704" s="40" t="s">
        <v>482</v>
      </c>
      <c r="I704" s="40"/>
      <c r="J704" s="40">
        <v>0</v>
      </c>
      <c r="K704" s="40">
        <v>0</v>
      </c>
      <c r="L704" s="40">
        <v>0</v>
      </c>
    </row>
    <row r="705" spans="1:12" x14ac:dyDescent="0.25">
      <c r="A705" s="40" t="s">
        <v>42</v>
      </c>
      <c r="B705" s="40" t="s">
        <v>892</v>
      </c>
      <c r="C705" s="40" t="s">
        <v>1376</v>
      </c>
      <c r="D705" s="40" t="s">
        <v>1148</v>
      </c>
      <c r="E705" s="40" t="s">
        <v>1064</v>
      </c>
      <c r="F705" s="40">
        <v>0</v>
      </c>
      <c r="G705" s="40"/>
      <c r="H705" s="40" t="s">
        <v>482</v>
      </c>
      <c r="I705" s="40"/>
      <c r="J705" s="40">
        <v>0</v>
      </c>
      <c r="K705" s="40">
        <v>0</v>
      </c>
      <c r="L705" s="40">
        <v>0</v>
      </c>
    </row>
    <row r="706" spans="1:12" x14ac:dyDescent="0.25">
      <c r="A706" s="40" t="s">
        <v>42</v>
      </c>
      <c r="B706" s="40" t="s">
        <v>894</v>
      </c>
      <c r="C706" s="40" t="s">
        <v>1377</v>
      </c>
      <c r="D706" s="40" t="s">
        <v>1148</v>
      </c>
      <c r="E706" s="40" t="s">
        <v>1064</v>
      </c>
      <c r="F706" s="40">
        <v>0</v>
      </c>
      <c r="G706" s="40"/>
      <c r="H706" s="40" t="s">
        <v>482</v>
      </c>
      <c r="I706" s="40"/>
      <c r="J706" s="40">
        <v>0</v>
      </c>
      <c r="K706" s="40">
        <v>0</v>
      </c>
      <c r="L706" s="40">
        <v>0</v>
      </c>
    </row>
    <row r="707" spans="1:12" x14ac:dyDescent="0.25">
      <c r="A707" s="40" t="s">
        <v>42</v>
      </c>
      <c r="B707" s="40" t="s">
        <v>897</v>
      </c>
      <c r="C707" s="40" t="s">
        <v>1378</v>
      </c>
      <c r="D707" s="40" t="s">
        <v>1148</v>
      </c>
      <c r="E707" s="40" t="s">
        <v>1064</v>
      </c>
      <c r="F707" s="40">
        <v>0</v>
      </c>
      <c r="G707" s="40"/>
      <c r="H707" s="40" t="s">
        <v>482</v>
      </c>
      <c r="I707" s="40"/>
      <c r="J707" s="40">
        <v>0</v>
      </c>
      <c r="K707" s="40">
        <v>0</v>
      </c>
      <c r="L707" s="40">
        <v>0</v>
      </c>
    </row>
    <row r="708" spans="1:12" x14ac:dyDescent="0.25">
      <c r="A708" s="40" t="s">
        <v>42</v>
      </c>
      <c r="B708" s="40" t="s">
        <v>900</v>
      </c>
      <c r="C708" s="40" t="s">
        <v>1379</v>
      </c>
      <c r="D708" s="40" t="s">
        <v>1148</v>
      </c>
      <c r="E708" s="40" t="s">
        <v>1064</v>
      </c>
      <c r="F708" s="40">
        <v>0</v>
      </c>
      <c r="G708" s="40"/>
      <c r="H708" s="40" t="s">
        <v>482</v>
      </c>
      <c r="I708" s="40"/>
      <c r="J708" s="40">
        <v>0</v>
      </c>
      <c r="K708" s="40">
        <v>0</v>
      </c>
      <c r="L708" s="40">
        <v>0</v>
      </c>
    </row>
    <row r="709" spans="1:12" x14ac:dyDescent="0.25">
      <c r="A709" s="40" t="s">
        <v>42</v>
      </c>
      <c r="B709" s="40" t="s">
        <v>903</v>
      </c>
      <c r="C709" s="40" t="s">
        <v>1380</v>
      </c>
      <c r="D709" s="40" t="s">
        <v>1148</v>
      </c>
      <c r="E709" s="40" t="s">
        <v>1064</v>
      </c>
      <c r="F709" s="40">
        <v>0</v>
      </c>
      <c r="G709" s="40"/>
      <c r="H709" s="40" t="s">
        <v>482</v>
      </c>
      <c r="I709" s="40"/>
      <c r="J709" s="40">
        <v>0</v>
      </c>
      <c r="K709" s="40">
        <v>0</v>
      </c>
      <c r="L709" s="40">
        <v>0</v>
      </c>
    </row>
    <row r="710" spans="1:12" x14ac:dyDescent="0.25">
      <c r="A710" s="40" t="s">
        <v>42</v>
      </c>
      <c r="B710" s="40" t="s">
        <v>905</v>
      </c>
      <c r="C710" s="40" t="s">
        <v>1381</v>
      </c>
      <c r="D710" s="40" t="s">
        <v>1148</v>
      </c>
      <c r="E710" s="40" t="s">
        <v>1064</v>
      </c>
      <c r="F710" s="40">
        <v>0</v>
      </c>
      <c r="G710" s="40"/>
      <c r="H710" s="40" t="s">
        <v>482</v>
      </c>
      <c r="I710" s="40"/>
      <c r="J710" s="40">
        <v>0</v>
      </c>
      <c r="K710" s="40">
        <v>0</v>
      </c>
      <c r="L710" s="40">
        <v>0</v>
      </c>
    </row>
    <row r="711" spans="1:12" x14ac:dyDescent="0.25">
      <c r="A711" s="40" t="s">
        <v>42</v>
      </c>
      <c r="B711" s="40" t="s">
        <v>907</v>
      </c>
      <c r="C711" s="40" t="s">
        <v>1382</v>
      </c>
      <c r="D711" s="40" t="s">
        <v>1148</v>
      </c>
      <c r="E711" s="40" t="s">
        <v>1064</v>
      </c>
      <c r="F711" s="40">
        <v>0</v>
      </c>
      <c r="G711" s="40"/>
      <c r="H711" s="40" t="s">
        <v>482</v>
      </c>
      <c r="I711" s="40"/>
      <c r="J711" s="40">
        <v>0</v>
      </c>
      <c r="K711" s="40">
        <v>0</v>
      </c>
      <c r="L711" s="40">
        <v>0</v>
      </c>
    </row>
    <row r="712" spans="1:12" x14ac:dyDescent="0.25">
      <c r="A712" s="40" t="s">
        <v>42</v>
      </c>
      <c r="B712" s="40" t="s">
        <v>909</v>
      </c>
      <c r="C712" s="40" t="s">
        <v>1383</v>
      </c>
      <c r="D712" s="40" t="s">
        <v>1148</v>
      </c>
      <c r="E712" s="40" t="s">
        <v>1064</v>
      </c>
      <c r="F712" s="40">
        <v>0</v>
      </c>
      <c r="G712" s="40"/>
      <c r="H712" s="40" t="s">
        <v>482</v>
      </c>
      <c r="I712" s="40"/>
      <c r="J712" s="40">
        <v>0</v>
      </c>
      <c r="K712" s="40">
        <v>0</v>
      </c>
      <c r="L712" s="40">
        <v>0</v>
      </c>
    </row>
    <row r="713" spans="1:12" x14ac:dyDescent="0.25">
      <c r="A713" s="40" t="s">
        <v>42</v>
      </c>
      <c r="B713" s="40" t="s">
        <v>912</v>
      </c>
      <c r="C713" s="40" t="s">
        <v>1384</v>
      </c>
      <c r="D713" s="40" t="s">
        <v>1148</v>
      </c>
      <c r="E713" s="40" t="s">
        <v>1064</v>
      </c>
      <c r="F713" s="40">
        <v>0</v>
      </c>
      <c r="G713" s="40"/>
      <c r="H713" s="40" t="s">
        <v>482</v>
      </c>
      <c r="I713" s="40"/>
      <c r="J713" s="40">
        <v>0</v>
      </c>
      <c r="K713" s="40">
        <v>0</v>
      </c>
      <c r="L713" s="40">
        <v>0</v>
      </c>
    </row>
    <row r="714" spans="1:12" x14ac:dyDescent="0.25">
      <c r="A714" s="40" t="s">
        <v>42</v>
      </c>
      <c r="B714" s="40" t="s">
        <v>915</v>
      </c>
      <c r="C714" s="40" t="s">
        <v>1385</v>
      </c>
      <c r="D714" s="40" t="s">
        <v>1148</v>
      </c>
      <c r="E714" s="40" t="s">
        <v>1064</v>
      </c>
      <c r="F714" s="40">
        <v>0</v>
      </c>
      <c r="G714" s="40"/>
      <c r="H714" s="40" t="s">
        <v>482</v>
      </c>
      <c r="I714" s="40"/>
      <c r="J714" s="40">
        <v>0</v>
      </c>
      <c r="K714" s="40">
        <v>0</v>
      </c>
      <c r="L714" s="40">
        <v>0</v>
      </c>
    </row>
    <row r="715" spans="1:12" x14ac:dyDescent="0.25">
      <c r="A715" s="40" t="s">
        <v>42</v>
      </c>
      <c r="B715" s="40" t="s">
        <v>918</v>
      </c>
      <c r="C715" s="40" t="s">
        <v>1386</v>
      </c>
      <c r="D715" s="40" t="s">
        <v>1148</v>
      </c>
      <c r="E715" s="40" t="s">
        <v>1064</v>
      </c>
      <c r="F715" s="40">
        <v>0</v>
      </c>
      <c r="G715" s="40"/>
      <c r="H715" s="40" t="s">
        <v>482</v>
      </c>
      <c r="I715" s="40"/>
      <c r="J715" s="40">
        <v>0</v>
      </c>
      <c r="K715" s="40">
        <v>0</v>
      </c>
      <c r="L715" s="40">
        <v>0</v>
      </c>
    </row>
    <row r="716" spans="1:12" x14ac:dyDescent="0.25">
      <c r="A716" s="40" t="s">
        <v>42</v>
      </c>
      <c r="B716" s="40" t="s">
        <v>1387</v>
      </c>
      <c r="C716" s="40" t="s">
        <v>1388</v>
      </c>
      <c r="D716" s="40" t="s">
        <v>1148</v>
      </c>
      <c r="E716" s="40" t="s">
        <v>1064</v>
      </c>
      <c r="F716" s="40">
        <v>0</v>
      </c>
      <c r="G716" s="40"/>
      <c r="H716" s="40" t="s">
        <v>482</v>
      </c>
      <c r="I716" s="40"/>
      <c r="J716" s="40">
        <v>0</v>
      </c>
      <c r="K716" s="40">
        <v>0</v>
      </c>
      <c r="L716" s="40">
        <v>0</v>
      </c>
    </row>
    <row r="717" spans="1:12" x14ac:dyDescent="0.25">
      <c r="A717" s="40" t="s">
        <v>42</v>
      </c>
      <c r="B717" s="40" t="s">
        <v>921</v>
      </c>
      <c r="C717" s="40" t="s">
        <v>1389</v>
      </c>
      <c r="D717" s="40" t="s">
        <v>1148</v>
      </c>
      <c r="E717" s="40" t="s">
        <v>1064</v>
      </c>
      <c r="F717" s="40">
        <v>0</v>
      </c>
      <c r="G717" s="40"/>
      <c r="H717" s="40" t="s">
        <v>482</v>
      </c>
      <c r="I717" s="40"/>
      <c r="J717" s="40">
        <v>0</v>
      </c>
      <c r="K717" s="40">
        <v>0</v>
      </c>
      <c r="L717" s="40">
        <v>0</v>
      </c>
    </row>
    <row r="718" spans="1:12" x14ac:dyDescent="0.25">
      <c r="A718" s="40" t="s">
        <v>42</v>
      </c>
      <c r="B718" s="40" t="s">
        <v>924</v>
      </c>
      <c r="C718" s="40" t="s">
        <v>1390</v>
      </c>
      <c r="D718" s="40" t="s">
        <v>1148</v>
      </c>
      <c r="E718" s="40" t="s">
        <v>1064</v>
      </c>
      <c r="F718" s="40">
        <v>0</v>
      </c>
      <c r="G718" s="40"/>
      <c r="H718" s="40" t="s">
        <v>482</v>
      </c>
      <c r="I718" s="40"/>
      <c r="J718" s="40">
        <v>0</v>
      </c>
      <c r="K718" s="40">
        <v>0</v>
      </c>
      <c r="L718" s="40">
        <v>0</v>
      </c>
    </row>
    <row r="719" spans="1:12" x14ac:dyDescent="0.25">
      <c r="A719" s="40" t="s">
        <v>42</v>
      </c>
      <c r="B719" s="40" t="s">
        <v>927</v>
      </c>
      <c r="C719" s="40" t="s">
        <v>1391</v>
      </c>
      <c r="D719" s="40" t="s">
        <v>1148</v>
      </c>
      <c r="E719" s="40" t="s">
        <v>1064</v>
      </c>
      <c r="F719" s="40">
        <v>0</v>
      </c>
      <c r="G719" s="40"/>
      <c r="H719" s="40" t="s">
        <v>482</v>
      </c>
      <c r="I719" s="40"/>
      <c r="J719" s="40">
        <v>0</v>
      </c>
      <c r="K719" s="40">
        <v>0</v>
      </c>
      <c r="L719" s="40">
        <v>0</v>
      </c>
    </row>
    <row r="720" spans="1:12" x14ac:dyDescent="0.25">
      <c r="A720" s="40" t="s">
        <v>42</v>
      </c>
      <c r="B720" s="40" t="s">
        <v>930</v>
      </c>
      <c r="C720" s="40" t="s">
        <v>1392</v>
      </c>
      <c r="D720" s="40" t="s">
        <v>1148</v>
      </c>
      <c r="E720" s="40" t="s">
        <v>1064</v>
      </c>
      <c r="F720" s="40">
        <v>0</v>
      </c>
      <c r="G720" s="40"/>
      <c r="H720" s="40" t="s">
        <v>482</v>
      </c>
      <c r="I720" s="40"/>
      <c r="J720" s="40">
        <v>0</v>
      </c>
      <c r="K720" s="40">
        <v>0</v>
      </c>
      <c r="L720" s="40">
        <v>0</v>
      </c>
    </row>
    <row r="721" spans="1:12" x14ac:dyDescent="0.25">
      <c r="A721" s="40" t="s">
        <v>42</v>
      </c>
      <c r="B721" s="40" t="s">
        <v>933</v>
      </c>
      <c r="C721" s="40" t="s">
        <v>1393</v>
      </c>
      <c r="D721" s="40" t="s">
        <v>1148</v>
      </c>
      <c r="E721" s="40" t="s">
        <v>1064</v>
      </c>
      <c r="F721" s="40">
        <v>0</v>
      </c>
      <c r="G721" s="40"/>
      <c r="H721" s="40" t="s">
        <v>482</v>
      </c>
      <c r="I721" s="40"/>
      <c r="J721" s="40">
        <v>0</v>
      </c>
      <c r="K721" s="40">
        <v>0</v>
      </c>
      <c r="L721" s="40">
        <v>0</v>
      </c>
    </row>
    <row r="722" spans="1:12" x14ac:dyDescent="0.25">
      <c r="A722" s="40" t="s">
        <v>42</v>
      </c>
      <c r="B722" s="40" t="s">
        <v>936</v>
      </c>
      <c r="C722" s="40" t="s">
        <v>1394</v>
      </c>
      <c r="D722" s="40" t="s">
        <v>1148</v>
      </c>
      <c r="E722" s="40" t="s">
        <v>1064</v>
      </c>
      <c r="F722" s="40">
        <v>0</v>
      </c>
      <c r="G722" s="40"/>
      <c r="H722" s="40" t="s">
        <v>482</v>
      </c>
      <c r="I722" s="40"/>
      <c r="J722" s="40">
        <v>0</v>
      </c>
      <c r="K722" s="40">
        <v>0</v>
      </c>
      <c r="L722" s="40">
        <v>0</v>
      </c>
    </row>
    <row r="723" spans="1:12" x14ac:dyDescent="0.25">
      <c r="A723" s="40" t="s">
        <v>42</v>
      </c>
      <c r="B723" s="40" t="s">
        <v>939</v>
      </c>
      <c r="C723" s="40" t="s">
        <v>1395</v>
      </c>
      <c r="D723" s="40" t="s">
        <v>1148</v>
      </c>
      <c r="E723" s="40" t="s">
        <v>1064</v>
      </c>
      <c r="F723" s="40">
        <v>0</v>
      </c>
      <c r="G723" s="40"/>
      <c r="H723" s="40" t="s">
        <v>482</v>
      </c>
      <c r="I723" s="40"/>
      <c r="J723" s="40">
        <v>0</v>
      </c>
      <c r="K723" s="40">
        <v>0</v>
      </c>
      <c r="L723" s="40">
        <v>0</v>
      </c>
    </row>
    <row r="724" spans="1:12" x14ac:dyDescent="0.25">
      <c r="A724" s="40" t="s">
        <v>42</v>
      </c>
      <c r="B724" s="40" t="s">
        <v>942</v>
      </c>
      <c r="C724" s="40" t="s">
        <v>1396</v>
      </c>
      <c r="D724" s="40" t="s">
        <v>1148</v>
      </c>
      <c r="E724" s="40" t="s">
        <v>1064</v>
      </c>
      <c r="F724" s="40">
        <v>0</v>
      </c>
      <c r="G724" s="40"/>
      <c r="H724" s="40" t="s">
        <v>482</v>
      </c>
      <c r="I724" s="40"/>
      <c r="J724" s="40">
        <v>0</v>
      </c>
      <c r="K724" s="40">
        <v>0</v>
      </c>
      <c r="L724" s="40">
        <v>0</v>
      </c>
    </row>
    <row r="725" spans="1:12" x14ac:dyDescent="0.25">
      <c r="A725" s="40" t="s">
        <v>42</v>
      </c>
      <c r="B725" s="40" t="s">
        <v>1397</v>
      </c>
      <c r="C725" s="40" t="s">
        <v>1398</v>
      </c>
      <c r="D725" s="40" t="s">
        <v>1148</v>
      </c>
      <c r="E725" s="40" t="s">
        <v>1064</v>
      </c>
      <c r="F725" s="40">
        <v>0</v>
      </c>
      <c r="G725" s="40"/>
      <c r="H725" s="40" t="s">
        <v>482</v>
      </c>
      <c r="I725" s="40"/>
      <c r="J725" s="40">
        <v>0</v>
      </c>
      <c r="K725" s="40">
        <v>0</v>
      </c>
      <c r="L725" s="40">
        <v>0</v>
      </c>
    </row>
    <row r="726" spans="1:12" x14ac:dyDescent="0.25">
      <c r="A726" s="40" t="s">
        <v>42</v>
      </c>
      <c r="B726" s="40" t="s">
        <v>1399</v>
      </c>
      <c r="C726" s="40" t="s">
        <v>1400</v>
      </c>
      <c r="D726" s="40" t="s">
        <v>1148</v>
      </c>
      <c r="E726" s="40" t="s">
        <v>1064</v>
      </c>
      <c r="F726" s="40">
        <v>0</v>
      </c>
      <c r="G726" s="40"/>
      <c r="H726" s="40" t="s">
        <v>482</v>
      </c>
      <c r="I726" s="40"/>
      <c r="J726" s="40">
        <v>0</v>
      </c>
      <c r="K726" s="40">
        <v>0</v>
      </c>
      <c r="L726" s="40">
        <v>0</v>
      </c>
    </row>
    <row r="727" spans="1:12" x14ac:dyDescent="0.25">
      <c r="A727" s="40" t="s">
        <v>42</v>
      </c>
      <c r="B727" s="40" t="s">
        <v>1401</v>
      </c>
      <c r="C727" s="40" t="s">
        <v>1402</v>
      </c>
      <c r="D727" s="40" t="s">
        <v>1148</v>
      </c>
      <c r="E727" s="40" t="s">
        <v>1064</v>
      </c>
      <c r="F727" s="40">
        <v>0</v>
      </c>
      <c r="G727" s="40"/>
      <c r="H727" s="40" t="s">
        <v>482</v>
      </c>
      <c r="I727" s="40"/>
      <c r="J727" s="40">
        <v>0</v>
      </c>
      <c r="K727" s="40">
        <v>0</v>
      </c>
      <c r="L727" s="40">
        <v>0</v>
      </c>
    </row>
    <row r="728" spans="1:12" x14ac:dyDescent="0.25">
      <c r="A728" s="40" t="s">
        <v>42</v>
      </c>
      <c r="B728" s="40" t="s">
        <v>1403</v>
      </c>
      <c r="C728" s="40" t="s">
        <v>1404</v>
      </c>
      <c r="D728" s="40" t="s">
        <v>1148</v>
      </c>
      <c r="E728" s="40" t="s">
        <v>1064</v>
      </c>
      <c r="F728" s="40">
        <v>0</v>
      </c>
      <c r="G728" s="40"/>
      <c r="H728" s="40" t="s">
        <v>482</v>
      </c>
      <c r="I728" s="40"/>
      <c r="J728" s="40">
        <v>0</v>
      </c>
      <c r="K728" s="40">
        <v>0</v>
      </c>
      <c r="L728" s="40">
        <v>0</v>
      </c>
    </row>
    <row r="729" spans="1:12" x14ac:dyDescent="0.25">
      <c r="A729" s="40" t="s">
        <v>42</v>
      </c>
      <c r="B729" s="40" t="s">
        <v>1405</v>
      </c>
      <c r="C729" s="40" t="s">
        <v>1406</v>
      </c>
      <c r="D729" s="40" t="s">
        <v>1148</v>
      </c>
      <c r="E729" s="40" t="s">
        <v>1064</v>
      </c>
      <c r="F729" s="40">
        <v>0</v>
      </c>
      <c r="G729" s="40"/>
      <c r="H729" s="40" t="s">
        <v>482</v>
      </c>
      <c r="I729" s="40"/>
      <c r="J729" s="40">
        <v>0</v>
      </c>
      <c r="K729" s="40">
        <v>0</v>
      </c>
      <c r="L729" s="40">
        <v>0</v>
      </c>
    </row>
    <row r="730" spans="1:12" x14ac:dyDescent="0.25">
      <c r="A730" s="40" t="s">
        <v>42</v>
      </c>
      <c r="B730" s="40" t="s">
        <v>1407</v>
      </c>
      <c r="C730" s="40" t="s">
        <v>1408</v>
      </c>
      <c r="D730" s="40" t="s">
        <v>1148</v>
      </c>
      <c r="E730" s="40" t="s">
        <v>1064</v>
      </c>
      <c r="F730" s="40">
        <v>0</v>
      </c>
      <c r="G730" s="40"/>
      <c r="H730" s="40" t="s">
        <v>482</v>
      </c>
      <c r="I730" s="40"/>
      <c r="J730" s="40">
        <v>0</v>
      </c>
      <c r="K730" s="40">
        <v>0</v>
      </c>
      <c r="L730" s="40">
        <v>0</v>
      </c>
    </row>
    <row r="731" spans="1:12" x14ac:dyDescent="0.25">
      <c r="A731" s="40" t="s">
        <v>42</v>
      </c>
      <c r="B731" s="40" t="s">
        <v>1409</v>
      </c>
      <c r="C731" s="40" t="s">
        <v>1410</v>
      </c>
      <c r="D731" s="40" t="s">
        <v>1148</v>
      </c>
      <c r="E731" s="40" t="s">
        <v>1064</v>
      </c>
      <c r="F731" s="40">
        <v>0</v>
      </c>
      <c r="G731" s="40"/>
      <c r="H731" s="40" t="s">
        <v>482</v>
      </c>
      <c r="I731" s="40"/>
      <c r="J731" s="40">
        <v>0</v>
      </c>
      <c r="K731" s="40">
        <v>0</v>
      </c>
      <c r="L731" s="40">
        <v>0</v>
      </c>
    </row>
    <row r="732" spans="1:12" x14ac:dyDescent="0.25">
      <c r="A732" s="40" t="s">
        <v>42</v>
      </c>
      <c r="B732" s="40" t="s">
        <v>1411</v>
      </c>
      <c r="C732" s="40" t="s">
        <v>1412</v>
      </c>
      <c r="D732" s="40" t="s">
        <v>1148</v>
      </c>
      <c r="E732" s="40" t="s">
        <v>1064</v>
      </c>
      <c r="F732" s="40">
        <v>0</v>
      </c>
      <c r="G732" s="40"/>
      <c r="H732" s="40" t="s">
        <v>482</v>
      </c>
      <c r="I732" s="40"/>
      <c r="J732" s="40">
        <v>0</v>
      </c>
      <c r="K732" s="40">
        <v>0</v>
      </c>
      <c r="L732" s="40">
        <v>0</v>
      </c>
    </row>
    <row r="733" spans="1:12" x14ac:dyDescent="0.25">
      <c r="A733" s="40" t="s">
        <v>42</v>
      </c>
      <c r="B733" s="40" t="s">
        <v>945</v>
      </c>
      <c r="C733" s="40" t="s">
        <v>1413</v>
      </c>
      <c r="D733" s="40" t="s">
        <v>1148</v>
      </c>
      <c r="E733" s="40" t="s">
        <v>1064</v>
      </c>
      <c r="F733" s="40">
        <v>0</v>
      </c>
      <c r="G733" s="40"/>
      <c r="H733" s="40" t="s">
        <v>482</v>
      </c>
      <c r="I733" s="40"/>
      <c r="J733" s="40">
        <v>0</v>
      </c>
      <c r="K733" s="40">
        <v>0</v>
      </c>
      <c r="L733" s="40">
        <v>0</v>
      </c>
    </row>
    <row r="734" spans="1:12" x14ac:dyDescent="0.25">
      <c r="A734" s="40" t="s">
        <v>42</v>
      </c>
      <c r="B734" s="40" t="s">
        <v>948</v>
      </c>
      <c r="C734" s="40" t="s">
        <v>1414</v>
      </c>
      <c r="D734" s="40" t="s">
        <v>1148</v>
      </c>
      <c r="E734" s="40" t="s">
        <v>1064</v>
      </c>
      <c r="F734" s="40">
        <v>0</v>
      </c>
      <c r="G734" s="40"/>
      <c r="H734" s="40" t="s">
        <v>482</v>
      </c>
      <c r="I734" s="40"/>
      <c r="J734" s="40">
        <v>0</v>
      </c>
      <c r="K734" s="40">
        <v>0</v>
      </c>
      <c r="L734" s="40">
        <v>0</v>
      </c>
    </row>
    <row r="735" spans="1:12" x14ac:dyDescent="0.25">
      <c r="A735" s="40" t="s">
        <v>42</v>
      </c>
      <c r="B735" s="40" t="s">
        <v>951</v>
      </c>
      <c r="C735" s="40" t="s">
        <v>1415</v>
      </c>
      <c r="D735" s="40" t="s">
        <v>1148</v>
      </c>
      <c r="E735" s="40" t="s">
        <v>1064</v>
      </c>
      <c r="F735" s="40">
        <v>0</v>
      </c>
      <c r="G735" s="40"/>
      <c r="H735" s="40" t="s">
        <v>482</v>
      </c>
      <c r="I735" s="40"/>
      <c r="J735" s="40">
        <v>0</v>
      </c>
      <c r="K735" s="40">
        <v>0</v>
      </c>
      <c r="L735" s="40">
        <v>0</v>
      </c>
    </row>
    <row r="736" spans="1:12" x14ac:dyDescent="0.25">
      <c r="A736" s="40" t="s">
        <v>42</v>
      </c>
      <c r="B736" s="40" t="s">
        <v>965</v>
      </c>
      <c r="C736" s="40" t="s">
        <v>1416</v>
      </c>
      <c r="D736" s="40" t="s">
        <v>1417</v>
      </c>
      <c r="E736" s="40" t="s">
        <v>1418</v>
      </c>
      <c r="F736" s="40">
        <v>1</v>
      </c>
      <c r="G736" s="40"/>
      <c r="H736" s="40" t="s">
        <v>482</v>
      </c>
      <c r="I736" s="40"/>
      <c r="J736" s="40">
        <v>0</v>
      </c>
      <c r="K736" s="40">
        <v>0</v>
      </c>
      <c r="L736" s="40">
        <v>0</v>
      </c>
    </row>
    <row r="737" spans="1:12" x14ac:dyDescent="0.25">
      <c r="A737" s="40" t="s">
        <v>42</v>
      </c>
      <c r="B737" s="40" t="s">
        <v>968</v>
      </c>
      <c r="C737" s="40" t="s">
        <v>1419</v>
      </c>
      <c r="D737" s="40" t="s">
        <v>1420</v>
      </c>
      <c r="E737" s="40" t="s">
        <v>1421</v>
      </c>
      <c r="F737" s="40">
        <v>1</v>
      </c>
      <c r="G737" s="40"/>
      <c r="H737" s="40" t="s">
        <v>482</v>
      </c>
      <c r="I737" s="40"/>
      <c r="J737" s="40">
        <v>0</v>
      </c>
      <c r="K737" s="40">
        <v>0</v>
      </c>
      <c r="L737" s="40">
        <v>0</v>
      </c>
    </row>
    <row r="738" spans="1:12" x14ac:dyDescent="0.25">
      <c r="A738" s="40" t="s">
        <v>42</v>
      </c>
      <c r="B738" s="40" t="s">
        <v>970</v>
      </c>
      <c r="C738" s="40" t="s">
        <v>1422</v>
      </c>
      <c r="D738" s="40" t="s">
        <v>1423</v>
      </c>
      <c r="E738" s="40" t="s">
        <v>1424</v>
      </c>
      <c r="F738" s="40">
        <v>1</v>
      </c>
      <c r="G738" s="40"/>
      <c r="H738" s="40" t="s">
        <v>482</v>
      </c>
      <c r="I738" s="40"/>
      <c r="J738" s="40">
        <v>0</v>
      </c>
      <c r="K738" s="40">
        <v>0</v>
      </c>
      <c r="L738" s="40">
        <v>0</v>
      </c>
    </row>
    <row r="739" spans="1:12" x14ac:dyDescent="0.25">
      <c r="A739" s="40" t="s">
        <v>42</v>
      </c>
      <c r="B739" s="40" t="s">
        <v>973</v>
      </c>
      <c r="C739" s="40" t="s">
        <v>1425</v>
      </c>
      <c r="D739" s="40" t="s">
        <v>1426</v>
      </c>
      <c r="E739" s="40" t="s">
        <v>1427</v>
      </c>
      <c r="F739" s="40">
        <v>1</v>
      </c>
      <c r="G739" s="40"/>
      <c r="H739" s="40" t="s">
        <v>482</v>
      </c>
      <c r="I739" s="40"/>
      <c r="J739" s="40">
        <v>0</v>
      </c>
      <c r="K739" s="40">
        <v>0</v>
      </c>
      <c r="L739" s="40">
        <v>0</v>
      </c>
    </row>
    <row r="740" spans="1:12" x14ac:dyDescent="0.25">
      <c r="A740" s="40" t="s">
        <v>42</v>
      </c>
      <c r="B740" s="40" t="s">
        <v>975</v>
      </c>
      <c r="C740" s="40" t="s">
        <v>1428</v>
      </c>
      <c r="D740" s="40" t="s">
        <v>1429</v>
      </c>
      <c r="E740" s="40" t="s">
        <v>482</v>
      </c>
      <c r="F740" s="40">
        <v>1</v>
      </c>
      <c r="G740" s="40"/>
      <c r="H740" s="40" t="s">
        <v>482</v>
      </c>
      <c r="I740" s="40"/>
      <c r="J740" s="40">
        <v>0</v>
      </c>
      <c r="K740" s="40">
        <v>0</v>
      </c>
      <c r="L740" s="40">
        <v>0</v>
      </c>
    </row>
    <row r="741" spans="1:12" x14ac:dyDescent="0.25">
      <c r="A741" s="40" t="s">
        <v>42</v>
      </c>
      <c r="B741" s="40" t="s">
        <v>977</v>
      </c>
      <c r="C741" s="40" t="s">
        <v>1430</v>
      </c>
      <c r="D741" s="40" t="s">
        <v>1431</v>
      </c>
      <c r="E741" s="40" t="s">
        <v>482</v>
      </c>
      <c r="F741" s="40">
        <v>1</v>
      </c>
      <c r="G741" s="40"/>
      <c r="H741" s="40" t="s">
        <v>482</v>
      </c>
      <c r="I741" s="40"/>
      <c r="J741" s="40">
        <v>0</v>
      </c>
      <c r="K741" s="40">
        <v>0</v>
      </c>
      <c r="L741" s="40">
        <v>0</v>
      </c>
    </row>
    <row r="742" spans="1:12" x14ac:dyDescent="0.25">
      <c r="A742" s="40" t="s">
        <v>42</v>
      </c>
      <c r="B742" s="40" t="s">
        <v>979</v>
      </c>
      <c r="C742" s="40" t="s">
        <v>1432</v>
      </c>
      <c r="D742" s="40" t="s">
        <v>1417</v>
      </c>
      <c r="E742" s="40" t="s">
        <v>482</v>
      </c>
      <c r="F742" s="40">
        <v>1</v>
      </c>
      <c r="G742" s="40"/>
      <c r="H742" s="40" t="s">
        <v>482</v>
      </c>
      <c r="I742" s="40"/>
      <c r="J742" s="40">
        <v>0</v>
      </c>
      <c r="K742" s="40">
        <v>0</v>
      </c>
      <c r="L742" s="40">
        <v>0</v>
      </c>
    </row>
    <row r="743" spans="1:12" x14ac:dyDescent="0.25">
      <c r="A743" s="40" t="s">
        <v>42</v>
      </c>
      <c r="B743" s="40" t="s">
        <v>981</v>
      </c>
      <c r="C743" s="40" t="s">
        <v>1433</v>
      </c>
      <c r="D743" s="40" t="s">
        <v>1417</v>
      </c>
      <c r="E743" s="40" t="s">
        <v>482</v>
      </c>
      <c r="F743" s="40">
        <v>1</v>
      </c>
      <c r="G743" s="40"/>
      <c r="H743" s="40" t="s">
        <v>482</v>
      </c>
      <c r="I743" s="40"/>
      <c r="J743" s="40">
        <v>0</v>
      </c>
      <c r="K743" s="40">
        <v>0</v>
      </c>
      <c r="L743" s="40">
        <v>0</v>
      </c>
    </row>
    <row r="744" spans="1:12" x14ac:dyDescent="0.25">
      <c r="A744" s="40" t="s">
        <v>42</v>
      </c>
      <c r="B744" s="40" t="s">
        <v>991</v>
      </c>
      <c r="C744" s="40" t="s">
        <v>1434</v>
      </c>
      <c r="D744" s="40" t="s">
        <v>1418</v>
      </c>
      <c r="E744" s="40" t="s">
        <v>1418</v>
      </c>
      <c r="F744" s="40">
        <v>0</v>
      </c>
      <c r="G744" s="40"/>
      <c r="H744" s="40" t="s">
        <v>482</v>
      </c>
      <c r="I744" s="40"/>
      <c r="J744" s="40">
        <v>0</v>
      </c>
      <c r="K744" s="40">
        <v>0</v>
      </c>
      <c r="L744" s="40">
        <v>0</v>
      </c>
    </row>
    <row r="745" spans="1:12" x14ac:dyDescent="0.25">
      <c r="A745" s="40" t="s">
        <v>42</v>
      </c>
      <c r="B745" s="40" t="s">
        <v>993</v>
      </c>
      <c r="C745" s="40" t="s">
        <v>1435</v>
      </c>
      <c r="D745" s="40" t="s">
        <v>1421</v>
      </c>
      <c r="E745" s="40" t="s">
        <v>1421</v>
      </c>
      <c r="F745" s="40">
        <v>0</v>
      </c>
      <c r="G745" s="40"/>
      <c r="H745" s="40" t="s">
        <v>482</v>
      </c>
      <c r="I745" s="40"/>
      <c r="J745" s="40">
        <v>0</v>
      </c>
      <c r="K745" s="40">
        <v>0</v>
      </c>
      <c r="L745" s="40">
        <v>0</v>
      </c>
    </row>
    <row r="746" spans="1:12" x14ac:dyDescent="0.25">
      <c r="A746" s="40" t="s">
        <v>42</v>
      </c>
      <c r="B746" s="40" t="s">
        <v>996</v>
      </c>
      <c r="C746" s="40" t="s">
        <v>1436</v>
      </c>
      <c r="D746" s="40" t="s">
        <v>1418</v>
      </c>
      <c r="E746" s="40" t="s">
        <v>1424</v>
      </c>
      <c r="F746" s="40">
        <v>1</v>
      </c>
      <c r="G746" s="40"/>
      <c r="H746" s="40" t="s">
        <v>482</v>
      </c>
      <c r="I746" s="40"/>
      <c r="J746" s="40">
        <v>0</v>
      </c>
      <c r="K746" s="40">
        <v>0</v>
      </c>
      <c r="L746" s="40">
        <v>0</v>
      </c>
    </row>
    <row r="747" spans="1:12" x14ac:dyDescent="0.25">
      <c r="A747" s="40" t="s">
        <v>42</v>
      </c>
      <c r="B747" s="40" t="s">
        <v>999</v>
      </c>
      <c r="C747" s="40" t="s">
        <v>1437</v>
      </c>
      <c r="D747" s="40" t="s">
        <v>482</v>
      </c>
      <c r="E747" s="40" t="s">
        <v>1427</v>
      </c>
      <c r="F747" s="40">
        <v>1</v>
      </c>
      <c r="G747" s="40"/>
      <c r="H747" s="40" t="s">
        <v>482</v>
      </c>
      <c r="I747" s="40"/>
      <c r="J747" s="40">
        <v>0</v>
      </c>
      <c r="K747" s="40">
        <v>0</v>
      </c>
      <c r="L747" s="40">
        <v>0</v>
      </c>
    </row>
    <row r="748" spans="1:12" x14ac:dyDescent="0.25">
      <c r="A748" s="40" t="s">
        <v>42</v>
      </c>
      <c r="B748" s="40" t="s">
        <v>1001</v>
      </c>
      <c r="C748" s="40" t="s">
        <v>1438</v>
      </c>
      <c r="D748" s="40" t="s">
        <v>1439</v>
      </c>
      <c r="E748" s="40" t="s">
        <v>482</v>
      </c>
      <c r="F748" s="40">
        <v>1</v>
      </c>
      <c r="G748" s="40"/>
      <c r="H748" s="40" t="s">
        <v>482</v>
      </c>
      <c r="I748" s="40"/>
      <c r="J748" s="40">
        <v>0</v>
      </c>
      <c r="K748" s="40">
        <v>0</v>
      </c>
      <c r="L748" s="40">
        <v>0</v>
      </c>
    </row>
    <row r="749" spans="1:12" x14ac:dyDescent="0.25">
      <c r="A749" s="40" t="s">
        <v>42</v>
      </c>
      <c r="B749" s="40" t="s">
        <v>1440</v>
      </c>
      <c r="C749" s="40" t="s">
        <v>1441</v>
      </c>
      <c r="D749" s="40" t="s">
        <v>1442</v>
      </c>
      <c r="E749" s="40" t="s">
        <v>482</v>
      </c>
      <c r="F749" s="40">
        <v>1</v>
      </c>
      <c r="G749" s="40"/>
      <c r="H749" s="40" t="s">
        <v>482</v>
      </c>
      <c r="I749" s="40"/>
      <c r="J749" s="40">
        <v>0</v>
      </c>
      <c r="K749" s="40">
        <v>0</v>
      </c>
      <c r="L749" s="40">
        <v>0</v>
      </c>
    </row>
    <row r="750" spans="1:12" x14ac:dyDescent="0.25">
      <c r="A750" s="40" t="s">
        <v>42</v>
      </c>
      <c r="B750" s="40" t="s">
        <v>1443</v>
      </c>
      <c r="C750" s="40" t="s">
        <v>1444</v>
      </c>
      <c r="D750" s="40" t="s">
        <v>1421</v>
      </c>
      <c r="E750" s="40" t="s">
        <v>482</v>
      </c>
      <c r="F750" s="40">
        <v>1</v>
      </c>
      <c r="G750" s="40"/>
      <c r="H750" s="40" t="s">
        <v>482</v>
      </c>
      <c r="I750" s="40"/>
      <c r="J750" s="40">
        <v>0</v>
      </c>
      <c r="K750" s="40">
        <v>0</v>
      </c>
      <c r="L750" s="40">
        <v>0</v>
      </c>
    </row>
    <row r="751" spans="1:12" x14ac:dyDescent="0.25">
      <c r="A751" s="40" t="s">
        <v>42</v>
      </c>
      <c r="B751" s="40" t="s">
        <v>1445</v>
      </c>
      <c r="C751" s="40" t="s">
        <v>1446</v>
      </c>
      <c r="D751" s="40" t="s">
        <v>482</v>
      </c>
      <c r="E751" s="40" t="s">
        <v>482</v>
      </c>
      <c r="F751" s="40">
        <v>0</v>
      </c>
      <c r="G751" s="40"/>
      <c r="H751" s="40" t="s">
        <v>482</v>
      </c>
      <c r="I751" s="40"/>
      <c r="J751" s="40">
        <v>0</v>
      </c>
      <c r="K751" s="40">
        <v>0</v>
      </c>
      <c r="L751" s="40">
        <v>0</v>
      </c>
    </row>
    <row r="752" spans="1:12" x14ac:dyDescent="0.25">
      <c r="A752" s="40" t="s">
        <v>42</v>
      </c>
      <c r="B752" s="40" t="s">
        <v>1003</v>
      </c>
      <c r="C752" s="40" t="s">
        <v>1447</v>
      </c>
      <c r="D752" s="40" t="s">
        <v>1448</v>
      </c>
      <c r="E752" s="40" t="s">
        <v>1449</v>
      </c>
      <c r="F752" s="40">
        <v>1</v>
      </c>
      <c r="G752" s="40"/>
      <c r="H752" s="40" t="s">
        <v>482</v>
      </c>
      <c r="I752" s="40"/>
      <c r="J752" s="40">
        <v>0</v>
      </c>
      <c r="K752" s="40">
        <v>0</v>
      </c>
      <c r="L752" s="40">
        <v>0</v>
      </c>
    </row>
    <row r="753" spans="1:12" x14ac:dyDescent="0.25">
      <c r="A753" s="40" t="s">
        <v>42</v>
      </c>
      <c r="B753" s="40" t="s">
        <v>1007</v>
      </c>
      <c r="C753" s="40" t="s">
        <v>1450</v>
      </c>
      <c r="D753" s="40" t="s">
        <v>1451</v>
      </c>
      <c r="E753" s="40" t="s">
        <v>1452</v>
      </c>
      <c r="F753" s="40">
        <v>1</v>
      </c>
      <c r="G753" s="40"/>
      <c r="H753" s="40" t="s">
        <v>482</v>
      </c>
      <c r="I753" s="40"/>
      <c r="J753" s="40">
        <v>0</v>
      </c>
      <c r="K753" s="40">
        <v>0</v>
      </c>
      <c r="L753" s="40">
        <v>0</v>
      </c>
    </row>
    <row r="754" spans="1:12" x14ac:dyDescent="0.25">
      <c r="A754" s="40" t="s">
        <v>42</v>
      </c>
      <c r="B754" s="40" t="s">
        <v>1011</v>
      </c>
      <c r="C754" s="40" t="s">
        <v>1453</v>
      </c>
      <c r="D754" s="40" t="s">
        <v>493</v>
      </c>
      <c r="E754" s="40" t="s">
        <v>493</v>
      </c>
      <c r="F754" s="40">
        <v>0</v>
      </c>
      <c r="G754" s="40"/>
      <c r="H754" s="40" t="s">
        <v>482</v>
      </c>
      <c r="I754" s="40"/>
      <c r="J754" s="40">
        <v>0</v>
      </c>
      <c r="K754" s="40">
        <v>0</v>
      </c>
      <c r="L754" s="40">
        <v>0</v>
      </c>
    </row>
    <row r="755" spans="1:12" x14ac:dyDescent="0.25">
      <c r="A755" s="40" t="s">
        <v>42</v>
      </c>
      <c r="B755" s="40" t="s">
        <v>1014</v>
      </c>
      <c r="C755" s="40" t="s">
        <v>1454</v>
      </c>
      <c r="D755" s="40" t="s">
        <v>1455</v>
      </c>
      <c r="E755" s="40" t="s">
        <v>493</v>
      </c>
      <c r="F755" s="40">
        <v>1</v>
      </c>
      <c r="G755" s="40"/>
      <c r="H755" s="40" t="s">
        <v>482</v>
      </c>
      <c r="I755" s="40"/>
      <c r="J755" s="40">
        <v>0</v>
      </c>
      <c r="K755" s="40">
        <v>0</v>
      </c>
      <c r="L755" s="40">
        <v>0</v>
      </c>
    </row>
    <row r="756" spans="1:12" x14ac:dyDescent="0.25">
      <c r="A756" s="40" t="s">
        <v>42</v>
      </c>
      <c r="B756" s="40" t="s">
        <v>1017</v>
      </c>
      <c r="C756" s="40" t="s">
        <v>1456</v>
      </c>
      <c r="D756" s="40" t="s">
        <v>1457</v>
      </c>
      <c r="E756" s="40" t="s">
        <v>1457</v>
      </c>
      <c r="F756" s="40">
        <v>0</v>
      </c>
      <c r="G756" s="40"/>
      <c r="H756" s="40" t="s">
        <v>482</v>
      </c>
      <c r="I756" s="40"/>
      <c r="J756" s="40">
        <v>0</v>
      </c>
      <c r="K756" s="40">
        <v>0</v>
      </c>
      <c r="L756" s="40">
        <v>0</v>
      </c>
    </row>
    <row r="757" spans="1:12" x14ac:dyDescent="0.25">
      <c r="A757" s="40" t="s">
        <v>42</v>
      </c>
      <c r="B757" s="40" t="s">
        <v>1019</v>
      </c>
      <c r="C757" s="40" t="s">
        <v>1458</v>
      </c>
      <c r="D757" s="40" t="s">
        <v>493</v>
      </c>
      <c r="E757" s="40" t="s">
        <v>493</v>
      </c>
      <c r="F757" s="40">
        <v>0</v>
      </c>
      <c r="G757" s="40"/>
      <c r="H757" s="40" t="s">
        <v>482</v>
      </c>
      <c r="I757" s="40"/>
      <c r="J757" s="40">
        <v>0</v>
      </c>
      <c r="K757" s="40">
        <v>0</v>
      </c>
      <c r="L757" s="40">
        <v>0</v>
      </c>
    </row>
    <row r="758" spans="1:12" x14ac:dyDescent="0.25">
      <c r="A758" s="40" t="s">
        <v>42</v>
      </c>
      <c r="B758" s="40" t="s">
        <v>1021</v>
      </c>
      <c r="C758" s="40" t="s">
        <v>1459</v>
      </c>
      <c r="D758" s="40" t="s">
        <v>493</v>
      </c>
      <c r="E758" s="40" t="s">
        <v>493</v>
      </c>
      <c r="F758" s="40">
        <v>0</v>
      </c>
      <c r="G758" s="40"/>
      <c r="H758" s="40" t="s">
        <v>482</v>
      </c>
      <c r="I758" s="40"/>
      <c r="J758" s="40">
        <v>0</v>
      </c>
      <c r="K758" s="40">
        <v>0</v>
      </c>
      <c r="L758" s="40">
        <v>0</v>
      </c>
    </row>
    <row r="759" spans="1:12" x14ac:dyDescent="0.25">
      <c r="A759" s="40" t="s">
        <v>42</v>
      </c>
      <c r="B759" s="40" t="s">
        <v>1024</v>
      </c>
      <c r="C759" s="40" t="s">
        <v>1460</v>
      </c>
      <c r="D759" s="40" t="s">
        <v>1461</v>
      </c>
      <c r="E759" s="40" t="s">
        <v>493</v>
      </c>
      <c r="F759" s="40">
        <v>1</v>
      </c>
      <c r="G759" s="40"/>
      <c r="H759" s="40" t="s">
        <v>482</v>
      </c>
      <c r="I759" s="40"/>
      <c r="J759" s="40">
        <v>0</v>
      </c>
      <c r="K759" s="40">
        <v>0</v>
      </c>
      <c r="L759" s="40">
        <v>0</v>
      </c>
    </row>
    <row r="760" spans="1:12" x14ac:dyDescent="0.25">
      <c r="A760" s="40" t="s">
        <v>42</v>
      </c>
      <c r="B760" s="40" t="s">
        <v>1026</v>
      </c>
      <c r="C760" s="40" t="s">
        <v>1462</v>
      </c>
      <c r="D760" s="40" t="s">
        <v>493</v>
      </c>
      <c r="E760" s="40" t="s">
        <v>493</v>
      </c>
      <c r="F760" s="40">
        <v>0</v>
      </c>
      <c r="G760" s="40"/>
      <c r="H760" s="40" t="s">
        <v>482</v>
      </c>
      <c r="I760" s="40"/>
      <c r="J760" s="40">
        <v>0</v>
      </c>
      <c r="K760" s="40">
        <v>0</v>
      </c>
      <c r="L760" s="40">
        <v>0</v>
      </c>
    </row>
    <row r="761" spans="1:12" x14ac:dyDescent="0.25">
      <c r="A761" s="40" t="s">
        <v>42</v>
      </c>
      <c r="B761" s="40" t="s">
        <v>1029</v>
      </c>
      <c r="C761" s="40" t="s">
        <v>1463</v>
      </c>
      <c r="D761" s="40" t="s">
        <v>1464</v>
      </c>
      <c r="E761" s="40" t="s">
        <v>1465</v>
      </c>
      <c r="F761" s="40">
        <v>1</v>
      </c>
      <c r="G761" s="40"/>
      <c r="H761" s="40" t="s">
        <v>482</v>
      </c>
      <c r="I761" s="40"/>
      <c r="J761" s="40">
        <v>0</v>
      </c>
      <c r="K761" s="40">
        <v>0</v>
      </c>
      <c r="L761" s="40">
        <v>0</v>
      </c>
    </row>
    <row r="762" spans="1:12" x14ac:dyDescent="0.25">
      <c r="A762" s="40" t="s">
        <v>42</v>
      </c>
      <c r="B762" s="40" t="s">
        <v>1031</v>
      </c>
      <c r="C762" s="40" t="s">
        <v>1466</v>
      </c>
      <c r="D762" s="40" t="s">
        <v>493</v>
      </c>
      <c r="E762" s="40" t="s">
        <v>493</v>
      </c>
      <c r="F762" s="40">
        <v>0</v>
      </c>
      <c r="G762" s="40"/>
      <c r="H762" s="40" t="s">
        <v>482</v>
      </c>
      <c r="I762" s="40"/>
      <c r="J762" s="40">
        <v>0</v>
      </c>
      <c r="K762" s="40">
        <v>0</v>
      </c>
      <c r="L762" s="40">
        <v>0</v>
      </c>
    </row>
    <row r="763" spans="1:12" x14ac:dyDescent="0.25">
      <c r="A763" s="40" t="s">
        <v>42</v>
      </c>
      <c r="B763" s="40" t="s">
        <v>1033</v>
      </c>
      <c r="C763" s="40" t="s">
        <v>1467</v>
      </c>
      <c r="D763" s="40" t="s">
        <v>493</v>
      </c>
      <c r="E763" s="40" t="s">
        <v>493</v>
      </c>
      <c r="F763" s="40">
        <v>0</v>
      </c>
      <c r="G763" s="40"/>
      <c r="H763" s="40" t="s">
        <v>482</v>
      </c>
      <c r="I763" s="40"/>
      <c r="J763" s="40">
        <v>0</v>
      </c>
      <c r="K763" s="40">
        <v>0</v>
      </c>
      <c r="L763" s="40">
        <v>0</v>
      </c>
    </row>
    <row r="764" spans="1:12" x14ac:dyDescent="0.25">
      <c r="A764" s="40" t="s">
        <v>42</v>
      </c>
      <c r="B764" s="40" t="s">
        <v>1035</v>
      </c>
      <c r="C764" s="40" t="s">
        <v>1468</v>
      </c>
      <c r="D764" s="40" t="s">
        <v>493</v>
      </c>
      <c r="E764" s="40" t="s">
        <v>493</v>
      </c>
      <c r="F764" s="40">
        <v>0</v>
      </c>
      <c r="G764" s="40"/>
      <c r="H764" s="40" t="s">
        <v>482</v>
      </c>
      <c r="I764" s="40"/>
      <c r="J764" s="40">
        <v>0</v>
      </c>
      <c r="K764" s="40">
        <v>0</v>
      </c>
      <c r="L764" s="40">
        <v>0</v>
      </c>
    </row>
    <row r="765" spans="1:12" x14ac:dyDescent="0.25">
      <c r="A765" s="40" t="s">
        <v>42</v>
      </c>
      <c r="B765" s="40" t="s">
        <v>1037</v>
      </c>
      <c r="C765" s="40" t="s">
        <v>1469</v>
      </c>
      <c r="D765" s="40" t="s">
        <v>493</v>
      </c>
      <c r="E765" s="40" t="s">
        <v>493</v>
      </c>
      <c r="F765" s="40">
        <v>0</v>
      </c>
      <c r="G765" s="40"/>
      <c r="H765" s="40" t="s">
        <v>482</v>
      </c>
      <c r="I765" s="40"/>
      <c r="J765" s="40">
        <v>0</v>
      </c>
      <c r="K765" s="40">
        <v>0</v>
      </c>
      <c r="L765" s="40">
        <v>0</v>
      </c>
    </row>
    <row r="766" spans="1:12" x14ac:dyDescent="0.25">
      <c r="A766" s="40" t="s">
        <v>42</v>
      </c>
      <c r="B766" s="40" t="s">
        <v>1039</v>
      </c>
      <c r="C766" s="40" t="s">
        <v>1470</v>
      </c>
      <c r="D766" s="40" t="s">
        <v>493</v>
      </c>
      <c r="E766" s="40" t="s">
        <v>493</v>
      </c>
      <c r="F766" s="40">
        <v>0</v>
      </c>
      <c r="G766" s="40"/>
      <c r="H766" s="40" t="s">
        <v>482</v>
      </c>
      <c r="I766" s="40"/>
      <c r="J766" s="40">
        <v>0</v>
      </c>
      <c r="K766" s="40">
        <v>0</v>
      </c>
      <c r="L766" s="40">
        <v>0</v>
      </c>
    </row>
    <row r="767" spans="1:12" x14ac:dyDescent="0.25">
      <c r="A767" s="40" t="s">
        <v>42</v>
      </c>
      <c r="B767" s="40" t="s">
        <v>1041</v>
      </c>
      <c r="C767" s="40" t="s">
        <v>1471</v>
      </c>
      <c r="D767" s="40" t="s">
        <v>493</v>
      </c>
      <c r="E767" s="40" t="s">
        <v>493</v>
      </c>
      <c r="F767" s="40">
        <v>0</v>
      </c>
      <c r="G767" s="40"/>
      <c r="H767" s="40" t="s">
        <v>482</v>
      </c>
      <c r="I767" s="40"/>
      <c r="J767" s="40">
        <v>0</v>
      </c>
      <c r="K767" s="40">
        <v>0</v>
      </c>
      <c r="L767" s="40">
        <v>0</v>
      </c>
    </row>
    <row r="768" spans="1:12" x14ac:dyDescent="0.25">
      <c r="A768" s="40" t="s">
        <v>42</v>
      </c>
      <c r="B768" s="40" t="s">
        <v>1472</v>
      </c>
      <c r="C768" s="40" t="s">
        <v>1473</v>
      </c>
      <c r="D768" s="40" t="s">
        <v>493</v>
      </c>
      <c r="E768" s="40" t="s">
        <v>493</v>
      </c>
      <c r="F768" s="40">
        <v>0</v>
      </c>
      <c r="G768" s="40"/>
      <c r="H768" s="40" t="s">
        <v>482</v>
      </c>
      <c r="I768" s="40"/>
      <c r="J768" s="40">
        <v>0</v>
      </c>
      <c r="K768" s="40">
        <v>0</v>
      </c>
      <c r="L768" s="40">
        <v>0</v>
      </c>
    </row>
    <row r="769" spans="1:12" x14ac:dyDescent="0.25">
      <c r="A769" s="40" t="s">
        <v>42</v>
      </c>
      <c r="B769" s="40" t="s">
        <v>1474</v>
      </c>
      <c r="C769" s="40" t="s">
        <v>1475</v>
      </c>
      <c r="D769" s="40" t="s">
        <v>493</v>
      </c>
      <c r="E769" s="40" t="s">
        <v>493</v>
      </c>
      <c r="F769" s="40">
        <v>0</v>
      </c>
      <c r="G769" s="40"/>
      <c r="H769" s="40" t="s">
        <v>482</v>
      </c>
      <c r="I769" s="40"/>
      <c r="J769" s="40">
        <v>0</v>
      </c>
      <c r="K769" s="40">
        <v>0</v>
      </c>
      <c r="L769" s="40">
        <v>0</v>
      </c>
    </row>
    <row r="770" spans="1:12" x14ac:dyDescent="0.25">
      <c r="A770" s="40" t="s">
        <v>42</v>
      </c>
      <c r="B770" s="40" t="s">
        <v>1476</v>
      </c>
      <c r="C770" s="40" t="s">
        <v>1477</v>
      </c>
      <c r="D770" s="40" t="s">
        <v>1478</v>
      </c>
      <c r="E770" s="40" t="s">
        <v>493</v>
      </c>
      <c r="F770" s="40">
        <v>1</v>
      </c>
      <c r="G770" s="40"/>
      <c r="H770" s="40" t="s">
        <v>652</v>
      </c>
      <c r="I770" s="40"/>
      <c r="J770" s="40">
        <v>0</v>
      </c>
      <c r="K770" s="40">
        <v>0</v>
      </c>
      <c r="L770" s="40">
        <v>0</v>
      </c>
    </row>
    <row r="771" spans="1:12" x14ac:dyDescent="0.25">
      <c r="A771" s="40" t="s">
        <v>42</v>
      </c>
      <c r="B771" s="40" t="s">
        <v>1479</v>
      </c>
      <c r="C771" s="40" t="s">
        <v>1480</v>
      </c>
      <c r="D771" s="40" t="s">
        <v>1478</v>
      </c>
      <c r="E771" s="40" t="s">
        <v>493</v>
      </c>
      <c r="F771" s="40">
        <v>1</v>
      </c>
      <c r="G771" s="40"/>
      <c r="H771" s="40" t="s">
        <v>482</v>
      </c>
      <c r="I771" s="40"/>
      <c r="J771" s="40">
        <v>0</v>
      </c>
      <c r="K771" s="40">
        <v>0</v>
      </c>
      <c r="L771" s="40">
        <v>0</v>
      </c>
    </row>
    <row r="772" spans="1:12" x14ac:dyDescent="0.25">
      <c r="A772" s="40" t="s">
        <v>42</v>
      </c>
      <c r="B772" s="40" t="s">
        <v>1481</v>
      </c>
      <c r="C772" s="40" t="s">
        <v>1482</v>
      </c>
      <c r="D772" s="40" t="s">
        <v>1452</v>
      </c>
      <c r="E772" s="40" t="s">
        <v>493</v>
      </c>
      <c r="F772" s="40">
        <v>1</v>
      </c>
      <c r="G772" s="40"/>
      <c r="H772" s="40" t="s">
        <v>482</v>
      </c>
      <c r="I772" s="40"/>
      <c r="J772" s="40">
        <v>0</v>
      </c>
      <c r="K772" s="40">
        <v>0</v>
      </c>
      <c r="L772" s="40">
        <v>0</v>
      </c>
    </row>
    <row r="773" spans="1:12" x14ac:dyDescent="0.25">
      <c r="A773" s="40" t="s">
        <v>42</v>
      </c>
      <c r="B773" s="40" t="s">
        <v>1483</v>
      </c>
      <c r="C773" s="40" t="s">
        <v>1484</v>
      </c>
      <c r="D773" s="40" t="s">
        <v>493</v>
      </c>
      <c r="E773" s="40" t="s">
        <v>493</v>
      </c>
      <c r="F773" s="40">
        <v>0</v>
      </c>
      <c r="G773" s="40"/>
      <c r="H773" s="40" t="s">
        <v>482</v>
      </c>
      <c r="I773" s="40"/>
      <c r="J773" s="40">
        <v>0</v>
      </c>
      <c r="K773" s="40">
        <v>0</v>
      </c>
      <c r="L773" s="40">
        <v>0</v>
      </c>
    </row>
    <row r="774" spans="1:12" x14ac:dyDescent="0.25">
      <c r="A774" s="40" t="s">
        <v>42</v>
      </c>
      <c r="B774" s="40" t="s">
        <v>1485</v>
      </c>
      <c r="C774" s="40" t="s">
        <v>1486</v>
      </c>
      <c r="D774" s="40" t="s">
        <v>493</v>
      </c>
      <c r="E774" s="40" t="s">
        <v>493</v>
      </c>
      <c r="F774" s="40">
        <v>0</v>
      </c>
      <c r="G774" s="40"/>
      <c r="H774" s="40" t="s">
        <v>482</v>
      </c>
      <c r="I774" s="40"/>
      <c r="J774" s="40">
        <v>0</v>
      </c>
      <c r="K774" s="40">
        <v>0</v>
      </c>
      <c r="L774" s="40">
        <v>0</v>
      </c>
    </row>
    <row r="775" spans="1:12" x14ac:dyDescent="0.25">
      <c r="A775" s="40" t="s">
        <v>42</v>
      </c>
      <c r="B775" s="40" t="s">
        <v>1111</v>
      </c>
      <c r="C775" s="40" t="s">
        <v>1487</v>
      </c>
      <c r="D775" s="40" t="s">
        <v>1488</v>
      </c>
      <c r="E775" s="40" t="s">
        <v>1489</v>
      </c>
      <c r="F775" s="40">
        <v>1</v>
      </c>
      <c r="G775" s="40"/>
      <c r="H775" s="40" t="s">
        <v>482</v>
      </c>
      <c r="I775" s="40"/>
      <c r="J775" s="40">
        <v>0</v>
      </c>
      <c r="K775" s="40">
        <v>0</v>
      </c>
      <c r="L775" s="40">
        <v>0</v>
      </c>
    </row>
    <row r="776" spans="1:12" x14ac:dyDescent="0.25">
      <c r="A776" s="40" t="s">
        <v>42</v>
      </c>
      <c r="B776" s="40" t="s">
        <v>1113</v>
      </c>
      <c r="C776" s="40" t="s">
        <v>1490</v>
      </c>
      <c r="D776" s="40" t="s">
        <v>1491</v>
      </c>
      <c r="E776" s="40" t="s">
        <v>1492</v>
      </c>
      <c r="F776" s="40">
        <v>1</v>
      </c>
      <c r="G776" s="40"/>
      <c r="H776" s="40" t="s">
        <v>482</v>
      </c>
      <c r="I776" s="40"/>
      <c r="J776" s="40">
        <v>0</v>
      </c>
      <c r="K776" s="40">
        <v>0</v>
      </c>
      <c r="L776" s="40">
        <v>0</v>
      </c>
    </row>
    <row r="777" spans="1:12" x14ac:dyDescent="0.25">
      <c r="A777" s="40" t="s">
        <v>42</v>
      </c>
      <c r="B777" s="40" t="s">
        <v>1115</v>
      </c>
      <c r="C777" s="40" t="s">
        <v>1493</v>
      </c>
      <c r="D777" s="40" t="s">
        <v>493</v>
      </c>
      <c r="E777" s="40" t="s">
        <v>493</v>
      </c>
      <c r="F777" s="40">
        <v>0</v>
      </c>
      <c r="G777" s="40"/>
      <c r="H777" s="40" t="s">
        <v>482</v>
      </c>
      <c r="I777" s="40"/>
      <c r="J777" s="40">
        <v>0</v>
      </c>
      <c r="K777" s="40">
        <v>0</v>
      </c>
      <c r="L777" s="40">
        <v>0</v>
      </c>
    </row>
    <row r="778" spans="1:12" x14ac:dyDescent="0.25">
      <c r="A778" s="40" t="s">
        <v>42</v>
      </c>
      <c r="B778" s="40" t="s">
        <v>1117</v>
      </c>
      <c r="C778" s="40" t="s">
        <v>1494</v>
      </c>
      <c r="D778" s="40" t="s">
        <v>1495</v>
      </c>
      <c r="E778" s="40" t="s">
        <v>1495</v>
      </c>
      <c r="F778" s="40">
        <v>0</v>
      </c>
      <c r="G778" s="40"/>
      <c r="H778" s="40" t="s">
        <v>482</v>
      </c>
      <c r="I778" s="40"/>
      <c r="J778" s="40">
        <v>0</v>
      </c>
      <c r="K778" s="40">
        <v>0</v>
      </c>
      <c r="L778" s="40">
        <v>0</v>
      </c>
    </row>
    <row r="779" spans="1:12" x14ac:dyDescent="0.25">
      <c r="A779" s="40" t="s">
        <v>42</v>
      </c>
      <c r="B779" s="40" t="s">
        <v>1119</v>
      </c>
      <c r="C779" s="40" t="s">
        <v>1496</v>
      </c>
      <c r="D779" s="40" t="s">
        <v>493</v>
      </c>
      <c r="E779" s="40" t="s">
        <v>493</v>
      </c>
      <c r="F779" s="40">
        <v>0</v>
      </c>
      <c r="G779" s="40"/>
      <c r="H779" s="40" t="s">
        <v>482</v>
      </c>
      <c r="I779" s="40"/>
      <c r="J779" s="40">
        <v>0</v>
      </c>
      <c r="K779" s="40">
        <v>0</v>
      </c>
      <c r="L779" s="40">
        <v>0</v>
      </c>
    </row>
    <row r="780" spans="1:12" x14ac:dyDescent="0.25">
      <c r="A780" s="40" t="s">
        <v>42</v>
      </c>
      <c r="B780" s="40" t="s">
        <v>1497</v>
      </c>
      <c r="C780" s="40" t="s">
        <v>1498</v>
      </c>
      <c r="D780" s="40" t="s">
        <v>728</v>
      </c>
      <c r="E780" s="40" t="s">
        <v>728</v>
      </c>
      <c r="F780" s="40">
        <v>0</v>
      </c>
      <c r="G780" s="40"/>
      <c r="H780" s="40" t="s">
        <v>482</v>
      </c>
      <c r="I780" s="40"/>
      <c r="J780" s="40">
        <v>0</v>
      </c>
      <c r="K780" s="40">
        <v>0</v>
      </c>
      <c r="L780" s="40">
        <v>0</v>
      </c>
    </row>
    <row r="781" spans="1:12" x14ac:dyDescent="0.25">
      <c r="A781" s="40" t="s">
        <v>42</v>
      </c>
      <c r="B781" s="40" t="s">
        <v>1499</v>
      </c>
      <c r="C781" s="40" t="s">
        <v>1500</v>
      </c>
      <c r="D781" s="40" t="s">
        <v>1154</v>
      </c>
      <c r="E781" s="40" t="s">
        <v>1154</v>
      </c>
      <c r="F781" s="40">
        <v>0</v>
      </c>
      <c r="G781" s="40"/>
      <c r="H781" s="40" t="s">
        <v>482</v>
      </c>
      <c r="I781" s="40"/>
      <c r="J781" s="40">
        <v>0</v>
      </c>
      <c r="K781" s="40">
        <v>0</v>
      </c>
      <c r="L781" s="40">
        <v>0</v>
      </c>
    </row>
    <row r="782" spans="1:12" x14ac:dyDescent="0.25">
      <c r="A782" s="40" t="s">
        <v>42</v>
      </c>
      <c r="B782" s="40" t="s">
        <v>1501</v>
      </c>
      <c r="C782" s="40" t="s">
        <v>1502</v>
      </c>
      <c r="D782" s="40" t="s">
        <v>1503</v>
      </c>
      <c r="E782" s="40" t="s">
        <v>1503</v>
      </c>
      <c r="F782" s="40">
        <v>0</v>
      </c>
      <c r="G782" s="40"/>
      <c r="H782" s="40" t="s">
        <v>482</v>
      </c>
      <c r="I782" s="40"/>
      <c r="J782" s="40">
        <v>0</v>
      </c>
      <c r="K782" s="40">
        <v>0</v>
      </c>
      <c r="L782" s="40">
        <v>0</v>
      </c>
    </row>
    <row r="783" spans="1:12" x14ac:dyDescent="0.25">
      <c r="A783" s="40" t="s">
        <v>42</v>
      </c>
      <c r="B783" s="40" t="s">
        <v>1504</v>
      </c>
      <c r="C783" s="40" t="s">
        <v>1505</v>
      </c>
      <c r="D783" s="40" t="s">
        <v>493</v>
      </c>
      <c r="E783" s="40" t="s">
        <v>493</v>
      </c>
      <c r="F783" s="40">
        <v>0</v>
      </c>
      <c r="G783" s="40"/>
      <c r="H783" s="40" t="s">
        <v>482</v>
      </c>
      <c r="I783" s="40"/>
      <c r="J783" s="40">
        <v>0</v>
      </c>
      <c r="K783" s="40">
        <v>0</v>
      </c>
      <c r="L783" s="40">
        <v>0</v>
      </c>
    </row>
    <row r="784" spans="1:12" x14ac:dyDescent="0.25">
      <c r="A784" s="40" t="s">
        <v>42</v>
      </c>
      <c r="B784" s="40" t="s">
        <v>1127</v>
      </c>
      <c r="C784" s="40" t="s">
        <v>1506</v>
      </c>
      <c r="D784" s="40" t="s">
        <v>493</v>
      </c>
      <c r="E784" s="40" t="s">
        <v>493</v>
      </c>
      <c r="F784" s="40">
        <v>0</v>
      </c>
      <c r="G784" s="40"/>
      <c r="H784" s="40" t="s">
        <v>482</v>
      </c>
      <c r="I784" s="40"/>
      <c r="J784" s="40">
        <v>0</v>
      </c>
      <c r="K784" s="40">
        <v>0</v>
      </c>
      <c r="L784" s="40">
        <v>0</v>
      </c>
    </row>
    <row r="785" spans="1:12" x14ac:dyDescent="0.25">
      <c r="A785" s="40" t="s">
        <v>42</v>
      </c>
      <c r="B785" s="40" t="s">
        <v>1131</v>
      </c>
      <c r="C785" s="40" t="s">
        <v>1507</v>
      </c>
      <c r="D785" s="40" t="s">
        <v>493</v>
      </c>
      <c r="E785" s="40" t="s">
        <v>493</v>
      </c>
      <c r="F785" s="40">
        <v>0</v>
      </c>
      <c r="G785" s="40"/>
      <c r="H785" s="40" t="s">
        <v>482</v>
      </c>
      <c r="I785" s="40"/>
      <c r="J785" s="40">
        <v>0</v>
      </c>
      <c r="K785" s="40">
        <v>0</v>
      </c>
      <c r="L785" s="40">
        <v>0</v>
      </c>
    </row>
    <row r="786" spans="1:12" x14ac:dyDescent="0.25">
      <c r="A786" s="40" t="s">
        <v>42</v>
      </c>
      <c r="B786" s="40" t="s">
        <v>1133</v>
      </c>
      <c r="C786" s="40" t="s">
        <v>1508</v>
      </c>
      <c r="D786" s="40" t="s">
        <v>728</v>
      </c>
      <c r="E786" s="40" t="s">
        <v>728</v>
      </c>
      <c r="F786" s="40">
        <v>0</v>
      </c>
      <c r="G786" s="40"/>
      <c r="H786" s="40" t="s">
        <v>482</v>
      </c>
      <c r="I786" s="40"/>
      <c r="J786" s="40">
        <v>0</v>
      </c>
      <c r="K786" s="40">
        <v>0</v>
      </c>
      <c r="L786" s="40">
        <v>0</v>
      </c>
    </row>
    <row r="787" spans="1:12" x14ac:dyDescent="0.25">
      <c r="A787" s="40" t="s">
        <v>42</v>
      </c>
      <c r="B787" s="40" t="s">
        <v>1136</v>
      </c>
      <c r="C787" s="40" t="s">
        <v>1509</v>
      </c>
      <c r="D787" s="40" t="s">
        <v>493</v>
      </c>
      <c r="E787" s="40" t="s">
        <v>493</v>
      </c>
      <c r="F787" s="40">
        <v>0</v>
      </c>
      <c r="G787" s="40"/>
      <c r="H787" s="40" t="s">
        <v>482</v>
      </c>
      <c r="I787" s="40"/>
      <c r="J787" s="40">
        <v>0</v>
      </c>
      <c r="K787" s="40">
        <v>0</v>
      </c>
      <c r="L787" s="40">
        <v>0</v>
      </c>
    </row>
    <row r="788" spans="1:12" x14ac:dyDescent="0.25">
      <c r="A788" s="40" t="s">
        <v>42</v>
      </c>
      <c r="B788" s="40" t="s">
        <v>1139</v>
      </c>
      <c r="C788" s="40" t="s">
        <v>1510</v>
      </c>
      <c r="D788" s="40" t="s">
        <v>1511</v>
      </c>
      <c r="E788" s="40" t="s">
        <v>1511</v>
      </c>
      <c r="F788" s="40">
        <v>0</v>
      </c>
      <c r="G788" s="40"/>
      <c r="H788" s="40" t="s">
        <v>482</v>
      </c>
      <c r="I788" s="40"/>
      <c r="J788" s="40">
        <v>0</v>
      </c>
      <c r="K788" s="40">
        <v>0</v>
      </c>
      <c r="L788" s="40">
        <v>0</v>
      </c>
    </row>
    <row r="789" spans="1:12" x14ac:dyDescent="0.25">
      <c r="A789" s="40" t="s">
        <v>42</v>
      </c>
      <c r="B789" s="40" t="s">
        <v>1141</v>
      </c>
      <c r="C789" s="40" t="s">
        <v>1512</v>
      </c>
      <c r="D789" s="40" t="s">
        <v>1455</v>
      </c>
      <c r="E789" s="40" t="s">
        <v>493</v>
      </c>
      <c r="F789" s="40">
        <v>1</v>
      </c>
      <c r="G789" s="40"/>
      <c r="H789" s="40" t="s">
        <v>482</v>
      </c>
      <c r="I789" s="40"/>
      <c r="J789" s="40">
        <v>0</v>
      </c>
      <c r="K789" s="40">
        <v>0</v>
      </c>
      <c r="L789" s="40">
        <v>0</v>
      </c>
    </row>
    <row r="790" spans="1:12" x14ac:dyDescent="0.25">
      <c r="A790" s="40" t="s">
        <v>42</v>
      </c>
      <c r="B790" s="40" t="s">
        <v>1144</v>
      </c>
      <c r="C790" s="40" t="s">
        <v>1513</v>
      </c>
      <c r="D790" s="40" t="s">
        <v>493</v>
      </c>
      <c r="E790" s="40" t="s">
        <v>493</v>
      </c>
      <c r="F790" s="40">
        <v>0</v>
      </c>
      <c r="G790" s="40"/>
      <c r="H790" s="40" t="s">
        <v>482</v>
      </c>
      <c r="I790" s="40"/>
      <c r="J790" s="40">
        <v>0</v>
      </c>
      <c r="K790" s="40">
        <v>0</v>
      </c>
      <c r="L790" s="40">
        <v>0</v>
      </c>
    </row>
    <row r="791" spans="1:12" x14ac:dyDescent="0.25">
      <c r="A791" s="40" t="s">
        <v>42</v>
      </c>
      <c r="B791" s="40" t="s">
        <v>1514</v>
      </c>
      <c r="C791" s="40" t="s">
        <v>1515</v>
      </c>
      <c r="D791" s="40" t="s">
        <v>493</v>
      </c>
      <c r="E791" s="40" t="s">
        <v>493</v>
      </c>
      <c r="F791" s="40">
        <v>0</v>
      </c>
      <c r="G791" s="40"/>
      <c r="H791" s="40" t="s">
        <v>482</v>
      </c>
      <c r="I791" s="40"/>
      <c r="J791" s="40">
        <v>0</v>
      </c>
      <c r="K791" s="40">
        <v>0</v>
      </c>
      <c r="L791" s="40">
        <v>0</v>
      </c>
    </row>
    <row r="792" spans="1:12" x14ac:dyDescent="0.25">
      <c r="A792" s="40" t="s">
        <v>42</v>
      </c>
      <c r="B792" s="40" t="s">
        <v>1516</v>
      </c>
      <c r="C792" s="40" t="s">
        <v>1517</v>
      </c>
      <c r="D792" s="40" t="s">
        <v>1518</v>
      </c>
      <c r="E792" s="40" t="s">
        <v>1235</v>
      </c>
      <c r="F792" s="40">
        <v>1</v>
      </c>
      <c r="G792" s="40"/>
      <c r="H792" s="40" t="s">
        <v>482</v>
      </c>
      <c r="I792" s="40"/>
      <c r="J792" s="40">
        <v>0</v>
      </c>
      <c r="K792" s="40">
        <v>0</v>
      </c>
      <c r="L792" s="40">
        <v>0</v>
      </c>
    </row>
    <row r="793" spans="1:12" x14ac:dyDescent="0.25">
      <c r="A793" s="40" t="s">
        <v>42</v>
      </c>
      <c r="B793" s="40" t="s">
        <v>1519</v>
      </c>
      <c r="C793" s="40" t="s">
        <v>1520</v>
      </c>
      <c r="D793" s="40" t="s">
        <v>493</v>
      </c>
      <c r="E793" s="40" t="s">
        <v>493</v>
      </c>
      <c r="F793" s="40">
        <v>0</v>
      </c>
      <c r="G793" s="40"/>
      <c r="H793" s="40" t="s">
        <v>482</v>
      </c>
      <c r="I793" s="40"/>
      <c r="J793" s="40">
        <v>0</v>
      </c>
      <c r="K793" s="40">
        <v>0</v>
      </c>
      <c r="L793" s="40">
        <v>0</v>
      </c>
    </row>
    <row r="794" spans="1:12" x14ac:dyDescent="0.25">
      <c r="A794" s="40" t="s">
        <v>42</v>
      </c>
      <c r="B794" s="40" t="s">
        <v>1521</v>
      </c>
      <c r="C794" s="40" t="s">
        <v>1522</v>
      </c>
      <c r="D794" s="40" t="s">
        <v>622</v>
      </c>
      <c r="E794" s="40" t="s">
        <v>622</v>
      </c>
      <c r="F794" s="40">
        <v>0</v>
      </c>
      <c r="G794" s="40"/>
      <c r="H794" s="40" t="s">
        <v>482</v>
      </c>
      <c r="I794" s="40"/>
      <c r="J794" s="40">
        <v>0</v>
      </c>
      <c r="K794" s="40">
        <v>0</v>
      </c>
      <c r="L794" s="40">
        <v>0</v>
      </c>
    </row>
    <row r="795" spans="1:12" x14ac:dyDescent="0.25">
      <c r="A795" s="40" t="s">
        <v>42</v>
      </c>
      <c r="B795" s="40" t="s">
        <v>1523</v>
      </c>
      <c r="C795" s="40" t="s">
        <v>1524</v>
      </c>
      <c r="D795" s="40" t="s">
        <v>1525</v>
      </c>
      <c r="E795" s="40" t="s">
        <v>1525</v>
      </c>
      <c r="F795" s="40">
        <v>0</v>
      </c>
      <c r="G795" s="40"/>
      <c r="H795" s="40" t="s">
        <v>482</v>
      </c>
      <c r="I795" s="40"/>
      <c r="J795" s="40">
        <v>0</v>
      </c>
      <c r="K795" s="40">
        <v>0</v>
      </c>
      <c r="L795" s="40">
        <v>0</v>
      </c>
    </row>
    <row r="796" spans="1:12" x14ac:dyDescent="0.25">
      <c r="A796" s="40" t="s">
        <v>42</v>
      </c>
      <c r="B796" s="40" t="s">
        <v>1526</v>
      </c>
      <c r="C796" s="40" t="s">
        <v>1527</v>
      </c>
      <c r="D796" s="40" t="s">
        <v>493</v>
      </c>
      <c r="E796" s="40" t="s">
        <v>493</v>
      </c>
      <c r="F796" s="40">
        <v>0</v>
      </c>
      <c r="G796" s="40"/>
      <c r="H796" s="40" t="s">
        <v>482</v>
      </c>
      <c r="I796" s="40"/>
      <c r="J796" s="40">
        <v>0</v>
      </c>
      <c r="K796" s="40">
        <v>0</v>
      </c>
      <c r="L796" s="40">
        <v>0</v>
      </c>
    </row>
    <row r="797" spans="1:12" x14ac:dyDescent="0.25">
      <c r="A797" s="40" t="s">
        <v>42</v>
      </c>
      <c r="B797" s="40" t="s">
        <v>1528</v>
      </c>
      <c r="C797" s="40" t="s">
        <v>1529</v>
      </c>
      <c r="D797" s="40" t="s">
        <v>1530</v>
      </c>
      <c r="E797" s="40" t="s">
        <v>1530</v>
      </c>
      <c r="F797" s="40">
        <v>0</v>
      </c>
      <c r="G797" s="40"/>
      <c r="H797" s="40" t="s">
        <v>482</v>
      </c>
      <c r="I797" s="40"/>
      <c r="J797" s="40">
        <v>0</v>
      </c>
      <c r="K797" s="40">
        <v>0</v>
      </c>
      <c r="L797" s="40">
        <v>0</v>
      </c>
    </row>
    <row r="798" spans="1:12" x14ac:dyDescent="0.25">
      <c r="A798" s="40" t="s">
        <v>42</v>
      </c>
      <c r="B798" s="40" t="s">
        <v>1531</v>
      </c>
      <c r="C798" s="40" t="s">
        <v>1532</v>
      </c>
      <c r="D798" s="40" t="s">
        <v>493</v>
      </c>
      <c r="E798" s="40" t="s">
        <v>493</v>
      </c>
      <c r="F798" s="40">
        <v>0</v>
      </c>
      <c r="G798" s="40"/>
      <c r="H798" s="40" t="s">
        <v>482</v>
      </c>
      <c r="I798" s="40"/>
      <c r="J798" s="40">
        <v>0</v>
      </c>
      <c r="K798" s="40">
        <v>0</v>
      </c>
      <c r="L798" s="40">
        <v>0</v>
      </c>
    </row>
    <row r="799" spans="1:12" x14ac:dyDescent="0.25">
      <c r="A799" s="40" t="s">
        <v>42</v>
      </c>
      <c r="B799" s="40" t="s">
        <v>1533</v>
      </c>
      <c r="C799" s="40" t="s">
        <v>1534</v>
      </c>
      <c r="D799" s="40" t="s">
        <v>493</v>
      </c>
      <c r="E799" s="40" t="s">
        <v>493</v>
      </c>
      <c r="F799" s="40">
        <v>0</v>
      </c>
      <c r="G799" s="40"/>
      <c r="H799" s="40" t="s">
        <v>482</v>
      </c>
      <c r="I799" s="40"/>
      <c r="J799" s="40">
        <v>0</v>
      </c>
      <c r="K799" s="40">
        <v>0</v>
      </c>
      <c r="L799" s="40">
        <v>0</v>
      </c>
    </row>
    <row r="800" spans="1:12" x14ac:dyDescent="0.25">
      <c r="A800" s="40" t="s">
        <v>42</v>
      </c>
      <c r="B800" s="40" t="s">
        <v>1146</v>
      </c>
      <c r="C800" s="40" t="s">
        <v>1535</v>
      </c>
      <c r="D800" s="40" t="s">
        <v>1536</v>
      </c>
      <c r="E800" s="40" t="s">
        <v>1536</v>
      </c>
      <c r="F800" s="40">
        <v>0</v>
      </c>
      <c r="G800" s="40"/>
      <c r="H800" s="40" t="s">
        <v>482</v>
      </c>
      <c r="I800" s="40"/>
      <c r="J800" s="40">
        <v>0</v>
      </c>
      <c r="K800" s="40">
        <v>0</v>
      </c>
      <c r="L800" s="40">
        <v>0</v>
      </c>
    </row>
    <row r="801" spans="1:12" x14ac:dyDescent="0.25">
      <c r="A801" s="40" t="s">
        <v>42</v>
      </c>
      <c r="B801" s="40" t="s">
        <v>1150</v>
      </c>
      <c r="C801" s="40" t="s">
        <v>1537</v>
      </c>
      <c r="D801" s="40" t="s">
        <v>1538</v>
      </c>
      <c r="E801" s="40" t="s">
        <v>1538</v>
      </c>
      <c r="F801" s="40">
        <v>0</v>
      </c>
      <c r="G801" s="40"/>
      <c r="H801" s="40" t="s">
        <v>482</v>
      </c>
      <c r="I801" s="40"/>
      <c r="J801" s="40">
        <v>0</v>
      </c>
      <c r="K801" s="40">
        <v>0</v>
      </c>
      <c r="L801" s="40">
        <v>0</v>
      </c>
    </row>
    <row r="802" spans="1:12" x14ac:dyDescent="0.25">
      <c r="A802" s="40" t="s">
        <v>42</v>
      </c>
      <c r="B802" s="40" t="s">
        <v>1539</v>
      </c>
      <c r="C802" s="40" t="s">
        <v>1540</v>
      </c>
      <c r="D802" s="40" t="s">
        <v>1541</v>
      </c>
      <c r="E802" s="40" t="s">
        <v>1541</v>
      </c>
      <c r="F802" s="40">
        <v>0</v>
      </c>
      <c r="G802" s="40"/>
      <c r="H802" s="40" t="s">
        <v>482</v>
      </c>
      <c r="I802" s="40"/>
      <c r="J802" s="40">
        <v>0</v>
      </c>
      <c r="K802" s="40">
        <v>0</v>
      </c>
      <c r="L802" s="40">
        <v>0</v>
      </c>
    </row>
    <row r="803" spans="1:12" x14ac:dyDescent="0.25">
      <c r="A803" s="40" t="s">
        <v>42</v>
      </c>
      <c r="B803" s="40" t="s">
        <v>1152</v>
      </c>
      <c r="C803" s="40" t="s">
        <v>1542</v>
      </c>
      <c r="D803" s="40" t="s">
        <v>1013</v>
      </c>
      <c r="E803" s="40" t="s">
        <v>1013</v>
      </c>
      <c r="F803" s="40">
        <v>0</v>
      </c>
      <c r="G803" s="40"/>
      <c r="H803" s="40" t="s">
        <v>482</v>
      </c>
      <c r="I803" s="40"/>
      <c r="J803" s="40">
        <v>0</v>
      </c>
      <c r="K803" s="40">
        <v>0</v>
      </c>
      <c r="L803" s="40">
        <v>0</v>
      </c>
    </row>
    <row r="804" spans="1:12" x14ac:dyDescent="0.25">
      <c r="A804" s="40" t="s">
        <v>42</v>
      </c>
      <c r="B804" s="40" t="s">
        <v>1155</v>
      </c>
      <c r="C804" s="40" t="s">
        <v>1543</v>
      </c>
      <c r="D804" s="40" t="s">
        <v>493</v>
      </c>
      <c r="E804" s="40" t="s">
        <v>493</v>
      </c>
      <c r="F804" s="40">
        <v>0</v>
      </c>
      <c r="G804" s="40"/>
      <c r="H804" s="40" t="s">
        <v>482</v>
      </c>
      <c r="I804" s="40"/>
      <c r="J804" s="40">
        <v>0</v>
      </c>
      <c r="K804" s="40">
        <v>0</v>
      </c>
      <c r="L804" s="40">
        <v>0</v>
      </c>
    </row>
    <row r="805" spans="1:12" x14ac:dyDescent="0.25">
      <c r="A805" s="40" t="s">
        <v>42</v>
      </c>
      <c r="B805" s="40" t="s">
        <v>1157</v>
      </c>
      <c r="C805" s="40" t="s">
        <v>1544</v>
      </c>
      <c r="D805" s="40" t="s">
        <v>735</v>
      </c>
      <c r="E805" s="40" t="s">
        <v>735</v>
      </c>
      <c r="F805" s="40">
        <v>0</v>
      </c>
      <c r="G805" s="40"/>
      <c r="H805" s="40" t="s">
        <v>482</v>
      </c>
      <c r="I805" s="40"/>
      <c r="J805" s="40">
        <v>0</v>
      </c>
      <c r="K805" s="40">
        <v>0</v>
      </c>
      <c r="L805" s="40">
        <v>0</v>
      </c>
    </row>
    <row r="806" spans="1:12" x14ac:dyDescent="0.25">
      <c r="A806" s="40" t="s">
        <v>42</v>
      </c>
      <c r="B806" s="40" t="s">
        <v>1160</v>
      </c>
      <c r="C806" s="40" t="s">
        <v>1545</v>
      </c>
      <c r="D806" s="40" t="s">
        <v>1455</v>
      </c>
      <c r="E806" s="40" t="s">
        <v>1455</v>
      </c>
      <c r="F806" s="40">
        <v>0</v>
      </c>
      <c r="G806" s="40"/>
      <c r="H806" s="40" t="s">
        <v>482</v>
      </c>
      <c r="I806" s="40"/>
      <c r="J806" s="40">
        <v>0</v>
      </c>
      <c r="K806" s="40">
        <v>0</v>
      </c>
      <c r="L806" s="40">
        <v>0</v>
      </c>
    </row>
    <row r="807" spans="1:12" x14ac:dyDescent="0.25">
      <c r="A807" s="40" t="s">
        <v>42</v>
      </c>
      <c r="B807" s="40" t="s">
        <v>1162</v>
      </c>
      <c r="C807" s="40" t="s">
        <v>1546</v>
      </c>
      <c r="D807" s="40" t="s">
        <v>493</v>
      </c>
      <c r="E807" s="40" t="s">
        <v>493</v>
      </c>
      <c r="F807" s="40">
        <v>0</v>
      </c>
      <c r="G807" s="40"/>
      <c r="H807" s="40" t="s">
        <v>482</v>
      </c>
      <c r="I807" s="40"/>
      <c r="J807" s="40">
        <v>0</v>
      </c>
      <c r="K807" s="40">
        <v>0</v>
      </c>
      <c r="L807" s="40">
        <v>0</v>
      </c>
    </row>
    <row r="808" spans="1:12" x14ac:dyDescent="0.25">
      <c r="A808" s="40" t="s">
        <v>42</v>
      </c>
      <c r="B808" s="40" t="s">
        <v>1164</v>
      </c>
      <c r="C808" s="40" t="s">
        <v>1547</v>
      </c>
      <c r="D808" s="40" t="s">
        <v>1530</v>
      </c>
      <c r="E808" s="40" t="s">
        <v>1530</v>
      </c>
      <c r="F808" s="40">
        <v>0</v>
      </c>
      <c r="G808" s="40"/>
      <c r="H808" s="40" t="s">
        <v>482</v>
      </c>
      <c r="I808" s="40"/>
      <c r="J808" s="40">
        <v>0</v>
      </c>
      <c r="K808" s="40">
        <v>0</v>
      </c>
      <c r="L808" s="40">
        <v>0</v>
      </c>
    </row>
    <row r="809" spans="1:12" x14ac:dyDescent="0.25">
      <c r="A809" s="40" t="s">
        <v>42</v>
      </c>
      <c r="B809" s="40" t="s">
        <v>1167</v>
      </c>
      <c r="C809" s="40" t="s">
        <v>1548</v>
      </c>
      <c r="D809" s="40" t="s">
        <v>493</v>
      </c>
      <c r="E809" s="40" t="s">
        <v>493</v>
      </c>
      <c r="F809" s="40">
        <v>0</v>
      </c>
      <c r="G809" s="40"/>
      <c r="H809" s="40" t="s">
        <v>482</v>
      </c>
      <c r="I809" s="40"/>
      <c r="J809" s="40">
        <v>0</v>
      </c>
      <c r="K809" s="40">
        <v>0</v>
      </c>
      <c r="L809" s="40">
        <v>0</v>
      </c>
    </row>
    <row r="810" spans="1:12" x14ac:dyDescent="0.25">
      <c r="A810" s="40" t="s">
        <v>42</v>
      </c>
      <c r="B810" s="40" t="s">
        <v>1169</v>
      </c>
      <c r="C810" s="40" t="s">
        <v>1549</v>
      </c>
      <c r="D810" s="40" t="s">
        <v>493</v>
      </c>
      <c r="E810" s="40" t="s">
        <v>493</v>
      </c>
      <c r="F810" s="40">
        <v>0</v>
      </c>
      <c r="G810" s="40"/>
      <c r="H810" s="40" t="s">
        <v>482</v>
      </c>
      <c r="I810" s="40"/>
      <c r="J810" s="40">
        <v>0</v>
      </c>
      <c r="K810" s="40">
        <v>0</v>
      </c>
      <c r="L810" s="40">
        <v>0</v>
      </c>
    </row>
    <row r="811" spans="1:12" x14ac:dyDescent="0.25">
      <c r="A811" s="40" t="s">
        <v>42</v>
      </c>
      <c r="B811" s="40" t="s">
        <v>1171</v>
      </c>
      <c r="C811" s="40" t="s">
        <v>1550</v>
      </c>
      <c r="D811" s="40" t="s">
        <v>1269</v>
      </c>
      <c r="E811" s="40" t="s">
        <v>1269</v>
      </c>
      <c r="F811" s="40">
        <v>0</v>
      </c>
      <c r="G811" s="40"/>
      <c r="H811" s="40" t="s">
        <v>482</v>
      </c>
      <c r="I811" s="40"/>
      <c r="J811" s="40">
        <v>0</v>
      </c>
      <c r="K811" s="40">
        <v>0</v>
      </c>
      <c r="L811" s="40">
        <v>0</v>
      </c>
    </row>
    <row r="812" spans="1:12" x14ac:dyDescent="0.25">
      <c r="A812" s="40" t="s">
        <v>42</v>
      </c>
      <c r="B812" s="40" t="s">
        <v>1173</v>
      </c>
      <c r="C812" s="40" t="s">
        <v>1551</v>
      </c>
      <c r="D812" s="40" t="s">
        <v>1552</v>
      </c>
      <c r="E812" s="40" t="s">
        <v>1552</v>
      </c>
      <c r="F812" s="40">
        <v>0</v>
      </c>
      <c r="G812" s="40"/>
      <c r="H812" s="40" t="s">
        <v>482</v>
      </c>
      <c r="I812" s="40"/>
      <c r="J812" s="40">
        <v>0</v>
      </c>
      <c r="K812" s="40">
        <v>0</v>
      </c>
      <c r="L812" s="40">
        <v>0</v>
      </c>
    </row>
    <row r="813" spans="1:12" x14ac:dyDescent="0.25">
      <c r="A813" s="40" t="s">
        <v>42</v>
      </c>
      <c r="B813" s="40" t="s">
        <v>1175</v>
      </c>
      <c r="C813" s="40" t="s">
        <v>1553</v>
      </c>
      <c r="D813" s="40" t="s">
        <v>1554</v>
      </c>
      <c r="E813" s="40" t="s">
        <v>1554</v>
      </c>
      <c r="F813" s="40">
        <v>0</v>
      </c>
      <c r="G813" s="40"/>
      <c r="H813" s="40" t="s">
        <v>482</v>
      </c>
      <c r="I813" s="40"/>
      <c r="J813" s="40">
        <v>0</v>
      </c>
      <c r="K813" s="40">
        <v>0</v>
      </c>
      <c r="L813" s="40">
        <v>0</v>
      </c>
    </row>
    <row r="814" spans="1:12" x14ac:dyDescent="0.25">
      <c r="A814" s="40" t="s">
        <v>42</v>
      </c>
      <c r="B814" s="40" t="s">
        <v>1177</v>
      </c>
      <c r="C814" s="40" t="s">
        <v>1555</v>
      </c>
      <c r="D814" s="40" t="s">
        <v>493</v>
      </c>
      <c r="E814" s="40" t="s">
        <v>493</v>
      </c>
      <c r="F814" s="40">
        <v>0</v>
      </c>
      <c r="G814" s="40"/>
      <c r="H814" s="40" t="s">
        <v>482</v>
      </c>
      <c r="I814" s="40"/>
      <c r="J814" s="40">
        <v>0</v>
      </c>
      <c r="K814" s="40">
        <v>0</v>
      </c>
      <c r="L814" s="40">
        <v>0</v>
      </c>
    </row>
    <row r="815" spans="1:12" x14ac:dyDescent="0.25">
      <c r="A815" s="40" t="s">
        <v>42</v>
      </c>
      <c r="B815" s="40" t="s">
        <v>1179</v>
      </c>
      <c r="C815" s="40" t="s">
        <v>1556</v>
      </c>
      <c r="D815" s="40" t="s">
        <v>493</v>
      </c>
      <c r="E815" s="40" t="s">
        <v>493</v>
      </c>
      <c r="F815" s="40">
        <v>0</v>
      </c>
      <c r="G815" s="40"/>
      <c r="H815" s="40" t="s">
        <v>482</v>
      </c>
      <c r="I815" s="40"/>
      <c r="J815" s="40">
        <v>0</v>
      </c>
      <c r="K815" s="40">
        <v>0</v>
      </c>
      <c r="L815" s="40">
        <v>0</v>
      </c>
    </row>
    <row r="816" spans="1:12" x14ac:dyDescent="0.25">
      <c r="A816" s="40" t="s">
        <v>42</v>
      </c>
      <c r="B816" s="40" t="s">
        <v>1181</v>
      </c>
      <c r="C816" s="40" t="s">
        <v>1557</v>
      </c>
      <c r="D816" s="40" t="s">
        <v>1558</v>
      </c>
      <c r="E816" s="40" t="s">
        <v>1558</v>
      </c>
      <c r="F816" s="40">
        <v>0</v>
      </c>
      <c r="G816" s="40"/>
      <c r="H816" s="40" t="s">
        <v>482</v>
      </c>
      <c r="I816" s="40"/>
      <c r="J816" s="40">
        <v>0</v>
      </c>
      <c r="K816" s="40">
        <v>0</v>
      </c>
      <c r="L816" s="40">
        <v>0</v>
      </c>
    </row>
    <row r="817" spans="1:12" x14ac:dyDescent="0.25">
      <c r="A817" s="40" t="s">
        <v>42</v>
      </c>
      <c r="B817" s="40" t="s">
        <v>1184</v>
      </c>
      <c r="C817" s="40" t="s">
        <v>1559</v>
      </c>
      <c r="D817" s="40" t="s">
        <v>493</v>
      </c>
      <c r="E817" s="40" t="s">
        <v>493</v>
      </c>
      <c r="F817" s="40">
        <v>0</v>
      </c>
      <c r="G817" s="40"/>
      <c r="H817" s="40" t="s">
        <v>482</v>
      </c>
      <c r="I817" s="40"/>
      <c r="J817" s="40">
        <v>0</v>
      </c>
      <c r="K817" s="40">
        <v>0</v>
      </c>
      <c r="L817" s="40">
        <v>0</v>
      </c>
    </row>
    <row r="818" spans="1:12" x14ac:dyDescent="0.25">
      <c r="A818" s="40" t="s">
        <v>42</v>
      </c>
      <c r="B818" s="40" t="s">
        <v>1186</v>
      </c>
      <c r="C818" s="40" t="s">
        <v>1560</v>
      </c>
      <c r="D818" s="40" t="s">
        <v>1148</v>
      </c>
      <c r="E818" s="40" t="s">
        <v>1148</v>
      </c>
      <c r="F818" s="40">
        <v>0</v>
      </c>
      <c r="G818" s="40"/>
      <c r="H818" s="40" t="s">
        <v>482</v>
      </c>
      <c r="I818" s="40"/>
      <c r="J818" s="40">
        <v>0</v>
      </c>
      <c r="K818" s="40">
        <v>0</v>
      </c>
      <c r="L818" s="40">
        <v>0</v>
      </c>
    </row>
    <row r="819" spans="1:12" x14ac:dyDescent="0.25">
      <c r="A819" s="40" t="s">
        <v>42</v>
      </c>
      <c r="B819" s="40" t="s">
        <v>1189</v>
      </c>
      <c r="C819" s="40" t="s">
        <v>1561</v>
      </c>
      <c r="D819" s="40" t="s">
        <v>493</v>
      </c>
      <c r="E819" s="40" t="s">
        <v>493</v>
      </c>
      <c r="F819" s="40">
        <v>0</v>
      </c>
      <c r="G819" s="40"/>
      <c r="H819" s="40" t="s">
        <v>482</v>
      </c>
      <c r="I819" s="40"/>
      <c r="J819" s="40">
        <v>0</v>
      </c>
      <c r="K819" s="40">
        <v>0</v>
      </c>
      <c r="L819" s="40">
        <v>0</v>
      </c>
    </row>
    <row r="820" spans="1:12" x14ac:dyDescent="0.25">
      <c r="A820" s="40" t="s">
        <v>42</v>
      </c>
      <c r="B820" s="40" t="s">
        <v>1191</v>
      </c>
      <c r="C820" s="40" t="s">
        <v>1562</v>
      </c>
      <c r="D820" s="40" t="s">
        <v>493</v>
      </c>
      <c r="E820" s="40" t="s">
        <v>493</v>
      </c>
      <c r="F820" s="40">
        <v>0</v>
      </c>
      <c r="G820" s="40"/>
      <c r="H820" s="40" t="s">
        <v>482</v>
      </c>
      <c r="I820" s="40"/>
      <c r="J820" s="40">
        <v>0</v>
      </c>
      <c r="K820" s="40">
        <v>0</v>
      </c>
      <c r="L820" s="40">
        <v>0</v>
      </c>
    </row>
    <row r="821" spans="1:12" x14ac:dyDescent="0.25">
      <c r="A821" s="40" t="s">
        <v>42</v>
      </c>
      <c r="B821" s="40" t="s">
        <v>1193</v>
      </c>
      <c r="C821" s="40" t="s">
        <v>1563</v>
      </c>
      <c r="D821" s="40" t="s">
        <v>493</v>
      </c>
      <c r="E821" s="40" t="s">
        <v>493</v>
      </c>
      <c r="F821" s="40">
        <v>0</v>
      </c>
      <c r="G821" s="40"/>
      <c r="H821" s="40" t="s">
        <v>482</v>
      </c>
      <c r="I821" s="40"/>
      <c r="J821" s="40">
        <v>0</v>
      </c>
      <c r="K821" s="40">
        <v>0</v>
      </c>
      <c r="L821" s="40">
        <v>0</v>
      </c>
    </row>
    <row r="822" spans="1:12" x14ac:dyDescent="0.25">
      <c r="A822" s="40" t="s">
        <v>42</v>
      </c>
      <c r="B822" s="40" t="s">
        <v>1195</v>
      </c>
      <c r="C822" s="40" t="s">
        <v>1564</v>
      </c>
      <c r="D822" s="40" t="s">
        <v>1552</v>
      </c>
      <c r="E822" s="40" t="s">
        <v>1552</v>
      </c>
      <c r="F822" s="40">
        <v>0</v>
      </c>
      <c r="G822" s="40"/>
      <c r="H822" s="40" t="s">
        <v>482</v>
      </c>
      <c r="I822" s="40"/>
      <c r="J822" s="40">
        <v>0</v>
      </c>
      <c r="K822" s="40">
        <v>0</v>
      </c>
      <c r="L822" s="40">
        <v>0</v>
      </c>
    </row>
    <row r="823" spans="1:12" x14ac:dyDescent="0.25">
      <c r="A823" s="40" t="s">
        <v>42</v>
      </c>
      <c r="B823" s="40" t="s">
        <v>1197</v>
      </c>
      <c r="C823" s="40" t="s">
        <v>1565</v>
      </c>
      <c r="D823" s="40" t="s">
        <v>1064</v>
      </c>
      <c r="E823" s="40" t="s">
        <v>1064</v>
      </c>
      <c r="F823" s="40">
        <v>0</v>
      </c>
      <c r="G823" s="40"/>
      <c r="H823" s="40" t="s">
        <v>482</v>
      </c>
      <c r="I823" s="40"/>
      <c r="J823" s="40">
        <v>0</v>
      </c>
      <c r="K823" s="40">
        <v>0</v>
      </c>
      <c r="L823" s="40">
        <v>0</v>
      </c>
    </row>
    <row r="824" spans="1:12" x14ac:dyDescent="0.25">
      <c r="A824" s="40" t="s">
        <v>42</v>
      </c>
      <c r="B824" s="40" t="s">
        <v>1199</v>
      </c>
      <c r="C824" s="40" t="s">
        <v>1566</v>
      </c>
      <c r="D824" s="40" t="s">
        <v>1149</v>
      </c>
      <c r="E824" s="40" t="s">
        <v>1149</v>
      </c>
      <c r="F824" s="40">
        <v>0</v>
      </c>
      <c r="G824" s="40"/>
      <c r="H824" s="40" t="s">
        <v>482</v>
      </c>
      <c r="I824" s="40"/>
      <c r="J824" s="40">
        <v>0</v>
      </c>
      <c r="K824" s="40">
        <v>0</v>
      </c>
      <c r="L824" s="40">
        <v>0</v>
      </c>
    </row>
    <row r="825" spans="1:12" x14ac:dyDescent="0.25">
      <c r="A825" s="40" t="s">
        <v>42</v>
      </c>
      <c r="B825" s="40" t="s">
        <v>1201</v>
      </c>
      <c r="C825" s="40" t="s">
        <v>1567</v>
      </c>
      <c r="D825" s="40" t="s">
        <v>1149</v>
      </c>
      <c r="E825" s="40" t="s">
        <v>1149</v>
      </c>
      <c r="F825" s="40">
        <v>0</v>
      </c>
      <c r="G825" s="40"/>
      <c r="H825" s="40" t="s">
        <v>482</v>
      </c>
      <c r="I825" s="40"/>
      <c r="J825" s="40">
        <v>0</v>
      </c>
      <c r="K825" s="40">
        <v>0</v>
      </c>
      <c r="L825" s="40">
        <v>0</v>
      </c>
    </row>
    <row r="826" spans="1:12" x14ac:dyDescent="0.25">
      <c r="A826" s="40" t="s">
        <v>42</v>
      </c>
      <c r="B826" s="40" t="s">
        <v>1203</v>
      </c>
      <c r="C826" s="40" t="s">
        <v>1568</v>
      </c>
      <c r="D826" s="40" t="s">
        <v>1511</v>
      </c>
      <c r="E826" s="40" t="s">
        <v>1511</v>
      </c>
      <c r="F826" s="40">
        <v>0</v>
      </c>
      <c r="G826" s="40"/>
      <c r="H826" s="40" t="s">
        <v>482</v>
      </c>
      <c r="I826" s="40"/>
      <c r="J826" s="40">
        <v>0</v>
      </c>
      <c r="K826" s="40">
        <v>0</v>
      </c>
      <c r="L826" s="40">
        <v>0</v>
      </c>
    </row>
    <row r="827" spans="1:12" x14ac:dyDescent="0.25">
      <c r="A827" s="40" t="s">
        <v>42</v>
      </c>
      <c r="B827" s="40" t="s">
        <v>1205</v>
      </c>
      <c r="C827" s="40" t="s">
        <v>1569</v>
      </c>
      <c r="D827" s="40" t="s">
        <v>493</v>
      </c>
      <c r="E827" s="40" t="s">
        <v>493</v>
      </c>
      <c r="F827" s="40">
        <v>0</v>
      </c>
      <c r="G827" s="40"/>
      <c r="H827" s="40" t="s">
        <v>482</v>
      </c>
      <c r="I827" s="40"/>
      <c r="J827" s="40">
        <v>0</v>
      </c>
      <c r="K827" s="40">
        <v>0</v>
      </c>
      <c r="L827" s="40">
        <v>0</v>
      </c>
    </row>
    <row r="828" spans="1:12" x14ac:dyDescent="0.25">
      <c r="A828" s="40" t="s">
        <v>42</v>
      </c>
      <c r="B828" s="40" t="s">
        <v>1207</v>
      </c>
      <c r="C828" s="40" t="s">
        <v>1570</v>
      </c>
      <c r="D828" s="40" t="s">
        <v>493</v>
      </c>
      <c r="E828" s="40" t="s">
        <v>493</v>
      </c>
      <c r="F828" s="40">
        <v>0</v>
      </c>
      <c r="G828" s="40"/>
      <c r="H828" s="40" t="s">
        <v>482</v>
      </c>
      <c r="I828" s="40"/>
      <c r="J828" s="40">
        <v>0</v>
      </c>
      <c r="K828" s="40">
        <v>0</v>
      </c>
      <c r="L828" s="40">
        <v>0</v>
      </c>
    </row>
    <row r="829" spans="1:12" x14ac:dyDescent="0.25">
      <c r="A829" s="40" t="s">
        <v>42</v>
      </c>
      <c r="B829" s="40" t="s">
        <v>1210</v>
      </c>
      <c r="C829" s="40" t="s">
        <v>1571</v>
      </c>
      <c r="D829" s="40" t="s">
        <v>493</v>
      </c>
      <c r="E829" s="40" t="s">
        <v>493</v>
      </c>
      <c r="F829" s="40">
        <v>0</v>
      </c>
      <c r="G829" s="40"/>
      <c r="H829" s="40" t="s">
        <v>482</v>
      </c>
      <c r="I829" s="40"/>
      <c r="J829" s="40">
        <v>0</v>
      </c>
      <c r="K829" s="40">
        <v>0</v>
      </c>
      <c r="L829" s="40">
        <v>0</v>
      </c>
    </row>
    <row r="830" spans="1:12" x14ac:dyDescent="0.25">
      <c r="A830" s="40" t="s">
        <v>42</v>
      </c>
      <c r="B830" s="40" t="s">
        <v>1212</v>
      </c>
      <c r="C830" s="40" t="s">
        <v>1572</v>
      </c>
      <c r="D830" s="40" t="s">
        <v>493</v>
      </c>
      <c r="E830" s="40" t="s">
        <v>493</v>
      </c>
      <c r="F830" s="40">
        <v>0</v>
      </c>
      <c r="G830" s="40"/>
      <c r="H830" s="40" t="s">
        <v>482</v>
      </c>
      <c r="I830" s="40"/>
      <c r="J830" s="40">
        <v>0</v>
      </c>
      <c r="K830" s="40">
        <v>0</v>
      </c>
      <c r="L830" s="40">
        <v>0</v>
      </c>
    </row>
    <row r="831" spans="1:12" x14ac:dyDescent="0.25">
      <c r="A831" s="40" t="s">
        <v>42</v>
      </c>
      <c r="B831" s="40" t="s">
        <v>1214</v>
      </c>
      <c r="C831" s="40" t="s">
        <v>1573</v>
      </c>
      <c r="D831" s="40" t="s">
        <v>1511</v>
      </c>
      <c r="E831" s="40" t="s">
        <v>1511</v>
      </c>
      <c r="F831" s="40">
        <v>0</v>
      </c>
      <c r="G831" s="40"/>
      <c r="H831" s="40" t="s">
        <v>482</v>
      </c>
      <c r="I831" s="40"/>
      <c r="J831" s="40">
        <v>0</v>
      </c>
      <c r="K831" s="40">
        <v>0</v>
      </c>
      <c r="L831" s="40">
        <v>0</v>
      </c>
    </row>
    <row r="832" spans="1:12" x14ac:dyDescent="0.25">
      <c r="A832" s="40" t="s">
        <v>42</v>
      </c>
      <c r="B832" s="40" t="s">
        <v>1217</v>
      </c>
      <c r="C832" s="40" t="s">
        <v>1574</v>
      </c>
      <c r="D832" s="40" t="s">
        <v>493</v>
      </c>
      <c r="E832" s="40" t="s">
        <v>493</v>
      </c>
      <c r="F832" s="40">
        <v>0</v>
      </c>
      <c r="G832" s="40"/>
      <c r="H832" s="40" t="s">
        <v>482</v>
      </c>
      <c r="I832" s="40"/>
      <c r="J832" s="40">
        <v>0</v>
      </c>
      <c r="K832" s="40">
        <v>0</v>
      </c>
      <c r="L832" s="40">
        <v>0</v>
      </c>
    </row>
    <row r="833" spans="1:12" x14ac:dyDescent="0.25">
      <c r="A833" s="40" t="s">
        <v>42</v>
      </c>
      <c r="B833" s="40" t="s">
        <v>1219</v>
      </c>
      <c r="C833" s="40" t="s">
        <v>1575</v>
      </c>
      <c r="D833" s="40" t="s">
        <v>728</v>
      </c>
      <c r="E833" s="40" t="s">
        <v>728</v>
      </c>
      <c r="F833" s="40">
        <v>0</v>
      </c>
      <c r="G833" s="40"/>
      <c r="H833" s="40" t="s">
        <v>482</v>
      </c>
      <c r="I833" s="40"/>
      <c r="J833" s="40">
        <v>0</v>
      </c>
      <c r="K833" s="40">
        <v>0</v>
      </c>
      <c r="L833" s="40">
        <v>0</v>
      </c>
    </row>
    <row r="834" spans="1:12" x14ac:dyDescent="0.25">
      <c r="A834" s="40" t="s">
        <v>42</v>
      </c>
      <c r="B834" s="40" t="s">
        <v>1221</v>
      </c>
      <c r="C834" s="40" t="s">
        <v>1576</v>
      </c>
      <c r="D834" s="40" t="s">
        <v>493</v>
      </c>
      <c r="E834" s="40" t="s">
        <v>493</v>
      </c>
      <c r="F834" s="40">
        <v>0</v>
      </c>
      <c r="G834" s="40"/>
      <c r="H834" s="40" t="s">
        <v>482</v>
      </c>
      <c r="I834" s="40"/>
      <c r="J834" s="40">
        <v>0</v>
      </c>
      <c r="K834" s="40">
        <v>0</v>
      </c>
      <c r="L834" s="40">
        <v>0</v>
      </c>
    </row>
    <row r="835" spans="1:12" x14ac:dyDescent="0.25">
      <c r="A835" s="40" t="s">
        <v>42</v>
      </c>
      <c r="B835" s="40" t="s">
        <v>1224</v>
      </c>
      <c r="C835" s="40" t="s">
        <v>1577</v>
      </c>
      <c r="D835" s="40" t="s">
        <v>1271</v>
      </c>
      <c r="E835" s="40" t="s">
        <v>1271</v>
      </c>
      <c r="F835" s="40">
        <v>0</v>
      </c>
      <c r="G835" s="40"/>
      <c r="H835" s="40" t="s">
        <v>482</v>
      </c>
      <c r="I835" s="40"/>
      <c r="J835" s="40">
        <v>0</v>
      </c>
      <c r="K835" s="40">
        <v>0</v>
      </c>
      <c r="L835" s="40">
        <v>0</v>
      </c>
    </row>
    <row r="836" spans="1:12" x14ac:dyDescent="0.25">
      <c r="A836" s="40" t="s">
        <v>42</v>
      </c>
      <c r="B836" s="40" t="s">
        <v>1227</v>
      </c>
      <c r="C836" s="40" t="s">
        <v>1578</v>
      </c>
      <c r="D836" s="40" t="s">
        <v>493</v>
      </c>
      <c r="E836" s="40" t="s">
        <v>493</v>
      </c>
      <c r="F836" s="40">
        <v>0</v>
      </c>
      <c r="G836" s="40"/>
      <c r="H836" s="40" t="s">
        <v>482</v>
      </c>
      <c r="I836" s="40"/>
      <c r="J836" s="40">
        <v>0</v>
      </c>
      <c r="K836" s="40">
        <v>0</v>
      </c>
      <c r="L836" s="40">
        <v>0</v>
      </c>
    </row>
    <row r="837" spans="1:12" x14ac:dyDescent="0.25">
      <c r="A837" s="40" t="s">
        <v>42</v>
      </c>
      <c r="B837" s="40" t="s">
        <v>1229</v>
      </c>
      <c r="C837" s="40" t="s">
        <v>1579</v>
      </c>
      <c r="D837" s="40" t="s">
        <v>493</v>
      </c>
      <c r="E837" s="40" t="s">
        <v>493</v>
      </c>
      <c r="F837" s="40">
        <v>0</v>
      </c>
      <c r="G837" s="40"/>
      <c r="H837" s="40" t="s">
        <v>482</v>
      </c>
      <c r="I837" s="40"/>
      <c r="J837" s="40">
        <v>0</v>
      </c>
      <c r="K837" s="40">
        <v>0</v>
      </c>
      <c r="L837" s="40">
        <v>0</v>
      </c>
    </row>
    <row r="838" spans="1:12" x14ac:dyDescent="0.25">
      <c r="A838" s="40" t="s">
        <v>42</v>
      </c>
      <c r="B838" s="40" t="s">
        <v>1231</v>
      </c>
      <c r="C838" s="40" t="s">
        <v>1580</v>
      </c>
      <c r="D838" s="40" t="s">
        <v>493</v>
      </c>
      <c r="E838" s="40" t="s">
        <v>493</v>
      </c>
      <c r="F838" s="40">
        <v>0</v>
      </c>
      <c r="G838" s="40"/>
      <c r="H838" s="40" t="s">
        <v>482</v>
      </c>
      <c r="I838" s="40"/>
      <c r="J838" s="40">
        <v>0</v>
      </c>
      <c r="K838" s="40">
        <v>0</v>
      </c>
      <c r="L838" s="40">
        <v>0</v>
      </c>
    </row>
    <row r="839" spans="1:12" x14ac:dyDescent="0.25">
      <c r="A839" s="40" t="s">
        <v>42</v>
      </c>
      <c r="B839" s="40" t="s">
        <v>1233</v>
      </c>
      <c r="C839" s="40" t="s">
        <v>1581</v>
      </c>
      <c r="D839" s="40" t="s">
        <v>1154</v>
      </c>
      <c r="E839" s="40" t="s">
        <v>1154</v>
      </c>
      <c r="F839" s="40">
        <v>0</v>
      </c>
      <c r="G839" s="40"/>
      <c r="H839" s="40" t="s">
        <v>482</v>
      </c>
      <c r="I839" s="40"/>
      <c r="J839" s="40">
        <v>0</v>
      </c>
      <c r="K839" s="40">
        <v>0</v>
      </c>
      <c r="L839" s="40">
        <v>0</v>
      </c>
    </row>
    <row r="840" spans="1:12" x14ac:dyDescent="0.25">
      <c r="A840" s="40" t="s">
        <v>42</v>
      </c>
      <c r="B840" s="40" t="s">
        <v>1236</v>
      </c>
      <c r="C840" s="40" t="s">
        <v>1582</v>
      </c>
      <c r="D840" s="40" t="s">
        <v>493</v>
      </c>
      <c r="E840" s="40" t="s">
        <v>493</v>
      </c>
      <c r="F840" s="40">
        <v>0</v>
      </c>
      <c r="G840" s="40"/>
      <c r="H840" s="40" t="s">
        <v>482</v>
      </c>
      <c r="I840" s="40"/>
      <c r="J840" s="40">
        <v>0</v>
      </c>
      <c r="K840" s="40">
        <v>0</v>
      </c>
      <c r="L840" s="40">
        <v>0</v>
      </c>
    </row>
    <row r="841" spans="1:12" x14ac:dyDescent="0.25">
      <c r="A841" s="40" t="s">
        <v>42</v>
      </c>
      <c r="B841" s="40" t="s">
        <v>1238</v>
      </c>
      <c r="C841" s="40" t="s">
        <v>1583</v>
      </c>
      <c r="D841" s="40" t="s">
        <v>493</v>
      </c>
      <c r="E841" s="40" t="s">
        <v>493</v>
      </c>
      <c r="F841" s="40">
        <v>0</v>
      </c>
      <c r="G841" s="40"/>
      <c r="H841" s="40" t="s">
        <v>482</v>
      </c>
      <c r="I841" s="40"/>
      <c r="J841" s="40">
        <v>0</v>
      </c>
      <c r="K841" s="40">
        <v>0</v>
      </c>
      <c r="L841" s="40">
        <v>0</v>
      </c>
    </row>
    <row r="842" spans="1:12" x14ac:dyDescent="0.25">
      <c r="A842" s="40" t="s">
        <v>42</v>
      </c>
      <c r="B842" s="40" t="s">
        <v>1241</v>
      </c>
      <c r="C842" s="40" t="s">
        <v>1584</v>
      </c>
      <c r="D842" s="40" t="s">
        <v>493</v>
      </c>
      <c r="E842" s="40" t="s">
        <v>493</v>
      </c>
      <c r="F842" s="40">
        <v>0</v>
      </c>
      <c r="G842" s="40"/>
      <c r="H842" s="40" t="s">
        <v>482</v>
      </c>
      <c r="I842" s="40"/>
      <c r="J842" s="40">
        <v>0</v>
      </c>
      <c r="K842" s="40">
        <v>0</v>
      </c>
      <c r="L842" s="40">
        <v>0</v>
      </c>
    </row>
    <row r="843" spans="1:12" x14ac:dyDescent="0.25">
      <c r="A843" s="40" t="s">
        <v>42</v>
      </c>
      <c r="B843" s="40" t="s">
        <v>1243</v>
      </c>
      <c r="C843" s="40" t="s">
        <v>1585</v>
      </c>
      <c r="D843" s="40" t="s">
        <v>493</v>
      </c>
      <c r="E843" s="40" t="s">
        <v>493</v>
      </c>
      <c r="F843" s="40">
        <v>0</v>
      </c>
      <c r="G843" s="40"/>
      <c r="H843" s="40" t="s">
        <v>482</v>
      </c>
      <c r="I843" s="40"/>
      <c r="J843" s="40">
        <v>0</v>
      </c>
      <c r="K843" s="40">
        <v>0</v>
      </c>
      <c r="L843" s="40">
        <v>0</v>
      </c>
    </row>
    <row r="844" spans="1:12" x14ac:dyDescent="0.25">
      <c r="A844" s="40" t="s">
        <v>42</v>
      </c>
      <c r="B844" s="40" t="s">
        <v>1246</v>
      </c>
      <c r="C844" s="40" t="s">
        <v>1586</v>
      </c>
      <c r="D844" s="40" t="s">
        <v>493</v>
      </c>
      <c r="E844" s="40" t="s">
        <v>493</v>
      </c>
      <c r="F844" s="40">
        <v>0</v>
      </c>
      <c r="G844" s="40"/>
      <c r="H844" s="40" t="s">
        <v>482</v>
      </c>
      <c r="I844" s="40"/>
      <c r="J844" s="40">
        <v>0</v>
      </c>
      <c r="K844" s="40">
        <v>0</v>
      </c>
      <c r="L844" s="40">
        <v>0</v>
      </c>
    </row>
    <row r="845" spans="1:12" x14ac:dyDescent="0.25">
      <c r="A845" s="40" t="s">
        <v>42</v>
      </c>
      <c r="B845" s="40" t="s">
        <v>1248</v>
      </c>
      <c r="C845" s="40" t="s">
        <v>1587</v>
      </c>
      <c r="D845" s="40" t="s">
        <v>493</v>
      </c>
      <c r="E845" s="40" t="s">
        <v>493</v>
      </c>
      <c r="F845" s="40">
        <v>0</v>
      </c>
      <c r="G845" s="40"/>
      <c r="H845" s="40" t="s">
        <v>482</v>
      </c>
      <c r="I845" s="40"/>
      <c r="J845" s="40">
        <v>0</v>
      </c>
      <c r="K845" s="40">
        <v>0</v>
      </c>
      <c r="L845" s="40">
        <v>0</v>
      </c>
    </row>
    <row r="846" spans="1:12" x14ac:dyDescent="0.25">
      <c r="A846" s="40" t="s">
        <v>42</v>
      </c>
      <c r="B846" s="40" t="s">
        <v>1251</v>
      </c>
      <c r="C846" s="40" t="s">
        <v>1588</v>
      </c>
      <c r="D846" s="40" t="s">
        <v>493</v>
      </c>
      <c r="E846" s="40" t="s">
        <v>493</v>
      </c>
      <c r="F846" s="40">
        <v>0</v>
      </c>
      <c r="G846" s="40"/>
      <c r="H846" s="40" t="s">
        <v>482</v>
      </c>
      <c r="I846" s="40"/>
      <c r="J846" s="40">
        <v>0</v>
      </c>
      <c r="K846" s="40">
        <v>0</v>
      </c>
      <c r="L846" s="40">
        <v>0</v>
      </c>
    </row>
    <row r="847" spans="1:12" x14ac:dyDescent="0.25">
      <c r="A847" s="40" t="s">
        <v>42</v>
      </c>
      <c r="B847" s="40" t="s">
        <v>1253</v>
      </c>
      <c r="C847" s="40" t="s">
        <v>1589</v>
      </c>
      <c r="D847" s="40" t="s">
        <v>493</v>
      </c>
      <c r="E847" s="40" t="s">
        <v>493</v>
      </c>
      <c r="F847" s="40">
        <v>0</v>
      </c>
      <c r="G847" s="40"/>
      <c r="H847" s="40" t="s">
        <v>482</v>
      </c>
      <c r="I847" s="40"/>
      <c r="J847" s="40">
        <v>0</v>
      </c>
      <c r="K847" s="40">
        <v>0</v>
      </c>
      <c r="L847" s="40">
        <v>0</v>
      </c>
    </row>
    <row r="848" spans="1:12" x14ac:dyDescent="0.25">
      <c r="A848" s="40" t="s">
        <v>42</v>
      </c>
      <c r="B848" s="40" t="s">
        <v>1256</v>
      </c>
      <c r="C848" s="40" t="s">
        <v>1590</v>
      </c>
      <c r="D848" s="40" t="s">
        <v>493</v>
      </c>
      <c r="E848" s="40" t="s">
        <v>493</v>
      </c>
      <c r="F848" s="40">
        <v>0</v>
      </c>
      <c r="G848" s="40"/>
      <c r="H848" s="40" t="s">
        <v>482</v>
      </c>
      <c r="I848" s="40"/>
      <c r="J848" s="40">
        <v>0</v>
      </c>
      <c r="K848" s="40">
        <v>0</v>
      </c>
      <c r="L848" s="40">
        <v>0</v>
      </c>
    </row>
    <row r="849" spans="1:12" x14ac:dyDescent="0.25">
      <c r="A849" s="40" t="s">
        <v>42</v>
      </c>
      <c r="B849" s="40" t="s">
        <v>1259</v>
      </c>
      <c r="C849" s="40" t="s">
        <v>1591</v>
      </c>
      <c r="D849" s="40" t="s">
        <v>493</v>
      </c>
      <c r="E849" s="40" t="s">
        <v>493</v>
      </c>
      <c r="F849" s="40">
        <v>0</v>
      </c>
      <c r="G849" s="40"/>
      <c r="H849" s="40" t="s">
        <v>482</v>
      </c>
      <c r="I849" s="40"/>
      <c r="J849" s="40">
        <v>0</v>
      </c>
      <c r="K849" s="40">
        <v>0</v>
      </c>
      <c r="L849" s="40">
        <v>0</v>
      </c>
    </row>
    <row r="850" spans="1:12" x14ac:dyDescent="0.25">
      <c r="A850" s="40" t="s">
        <v>42</v>
      </c>
      <c r="B850" s="40" t="s">
        <v>1261</v>
      </c>
      <c r="C850" s="40" t="s">
        <v>1592</v>
      </c>
      <c r="D850" s="40" t="s">
        <v>493</v>
      </c>
      <c r="E850" s="40" t="s">
        <v>493</v>
      </c>
      <c r="F850" s="40">
        <v>0</v>
      </c>
      <c r="G850" s="40"/>
      <c r="H850" s="40" t="s">
        <v>482</v>
      </c>
      <c r="I850" s="40"/>
      <c r="J850" s="40">
        <v>0</v>
      </c>
      <c r="K850" s="40">
        <v>0</v>
      </c>
      <c r="L850" s="40">
        <v>0</v>
      </c>
    </row>
    <row r="851" spans="1:12" x14ac:dyDescent="0.25">
      <c r="A851" s="40" t="s">
        <v>42</v>
      </c>
      <c r="B851" s="40" t="s">
        <v>1263</v>
      </c>
      <c r="C851" s="40" t="s">
        <v>1593</v>
      </c>
      <c r="D851" s="40" t="s">
        <v>493</v>
      </c>
      <c r="E851" s="40" t="s">
        <v>493</v>
      </c>
      <c r="F851" s="40">
        <v>0</v>
      </c>
      <c r="G851" s="40"/>
      <c r="H851" s="40" t="s">
        <v>482</v>
      </c>
      <c r="I851" s="40"/>
      <c r="J851" s="40">
        <v>0</v>
      </c>
      <c r="K851" s="40">
        <v>0</v>
      </c>
      <c r="L851" s="40">
        <v>0</v>
      </c>
    </row>
    <row r="852" spans="1:12" x14ac:dyDescent="0.25">
      <c r="A852" s="40" t="s">
        <v>42</v>
      </c>
      <c r="B852" s="40" t="s">
        <v>1594</v>
      </c>
      <c r="C852" s="40" t="s">
        <v>1595</v>
      </c>
      <c r="D852" s="40" t="s">
        <v>493</v>
      </c>
      <c r="E852" s="40" t="s">
        <v>493</v>
      </c>
      <c r="F852" s="40">
        <v>0</v>
      </c>
      <c r="G852" s="40"/>
      <c r="H852" s="40" t="s">
        <v>482</v>
      </c>
      <c r="I852" s="40"/>
      <c r="J852" s="40">
        <v>0</v>
      </c>
      <c r="K852" s="40">
        <v>0</v>
      </c>
      <c r="L852" s="40">
        <v>0</v>
      </c>
    </row>
    <row r="853" spans="1:12" x14ac:dyDescent="0.25">
      <c r="A853" s="40" t="s">
        <v>42</v>
      </c>
      <c r="B853" s="40" t="s">
        <v>1596</v>
      </c>
      <c r="C853" s="40" t="s">
        <v>1597</v>
      </c>
      <c r="D853" s="40" t="s">
        <v>493</v>
      </c>
      <c r="E853" s="40" t="s">
        <v>493</v>
      </c>
      <c r="F853" s="40">
        <v>0</v>
      </c>
      <c r="G853" s="40"/>
      <c r="H853" s="40" t="s">
        <v>482</v>
      </c>
      <c r="I853" s="40"/>
      <c r="J853" s="40">
        <v>0</v>
      </c>
      <c r="K853" s="40">
        <v>0</v>
      </c>
      <c r="L853" s="40">
        <v>0</v>
      </c>
    </row>
    <row r="854" spans="1:12" x14ac:dyDescent="0.25">
      <c r="A854" s="40" t="s">
        <v>42</v>
      </c>
      <c r="B854" s="40" t="s">
        <v>1598</v>
      </c>
      <c r="C854" s="40" t="s">
        <v>1599</v>
      </c>
      <c r="D854" s="40" t="s">
        <v>493</v>
      </c>
      <c r="E854" s="40" t="s">
        <v>493</v>
      </c>
      <c r="F854" s="40">
        <v>0</v>
      </c>
      <c r="G854" s="40"/>
      <c r="H854" s="40" t="s">
        <v>482</v>
      </c>
      <c r="I854" s="40"/>
      <c r="J854" s="40">
        <v>0</v>
      </c>
      <c r="K854" s="40">
        <v>0</v>
      </c>
      <c r="L854" s="40">
        <v>0</v>
      </c>
    </row>
    <row r="855" spans="1:12" x14ac:dyDescent="0.25">
      <c r="A855" s="40" t="s">
        <v>42</v>
      </c>
      <c r="B855" s="40" t="s">
        <v>1600</v>
      </c>
      <c r="C855" s="40" t="s">
        <v>1601</v>
      </c>
      <c r="D855" s="40" t="s">
        <v>493</v>
      </c>
      <c r="E855" s="40" t="s">
        <v>493</v>
      </c>
      <c r="F855" s="40">
        <v>0</v>
      </c>
      <c r="G855" s="40"/>
      <c r="H855" s="40" t="s">
        <v>482</v>
      </c>
      <c r="I855" s="40"/>
      <c r="J855" s="40">
        <v>0</v>
      </c>
      <c r="K855" s="40">
        <v>0</v>
      </c>
      <c r="L855" s="40">
        <v>0</v>
      </c>
    </row>
    <row r="856" spans="1:12" x14ac:dyDescent="0.25">
      <c r="A856" s="40" t="s">
        <v>42</v>
      </c>
      <c r="B856" s="40" t="s">
        <v>1602</v>
      </c>
      <c r="C856" s="40" t="s">
        <v>1603</v>
      </c>
      <c r="D856" s="40" t="s">
        <v>493</v>
      </c>
      <c r="E856" s="40" t="s">
        <v>493</v>
      </c>
      <c r="F856" s="40">
        <v>0</v>
      </c>
      <c r="G856" s="40"/>
      <c r="H856" s="40" t="s">
        <v>482</v>
      </c>
      <c r="I856" s="40"/>
      <c r="J856" s="40">
        <v>0</v>
      </c>
      <c r="K856" s="40">
        <v>0</v>
      </c>
      <c r="L856" s="40">
        <v>0</v>
      </c>
    </row>
    <row r="857" spans="1:12" x14ac:dyDescent="0.25">
      <c r="A857" s="40" t="s">
        <v>42</v>
      </c>
      <c r="B857" s="40" t="s">
        <v>1604</v>
      </c>
      <c r="C857" s="40" t="s">
        <v>1605</v>
      </c>
      <c r="D857" s="40" t="s">
        <v>493</v>
      </c>
      <c r="E857" s="40" t="s">
        <v>493</v>
      </c>
      <c r="F857" s="40">
        <v>0</v>
      </c>
      <c r="G857" s="40"/>
      <c r="H857" s="40" t="s">
        <v>482</v>
      </c>
      <c r="I857" s="40"/>
      <c r="J857" s="40">
        <v>0</v>
      </c>
      <c r="K857" s="40">
        <v>0</v>
      </c>
      <c r="L857" s="40">
        <v>0</v>
      </c>
    </row>
    <row r="858" spans="1:12" x14ac:dyDescent="0.25">
      <c r="A858" s="40" t="s">
        <v>42</v>
      </c>
      <c r="B858" s="40" t="s">
        <v>1606</v>
      </c>
      <c r="C858" s="40" t="s">
        <v>1607</v>
      </c>
      <c r="D858" s="40" t="s">
        <v>493</v>
      </c>
      <c r="E858" s="40" t="s">
        <v>493</v>
      </c>
      <c r="F858" s="40">
        <v>0</v>
      </c>
      <c r="G858" s="40"/>
      <c r="H858" s="40" t="s">
        <v>482</v>
      </c>
      <c r="I858" s="40"/>
      <c r="J858" s="40">
        <v>0</v>
      </c>
      <c r="K858" s="40">
        <v>0</v>
      </c>
      <c r="L858" s="40">
        <v>0</v>
      </c>
    </row>
    <row r="859" spans="1:12" x14ac:dyDescent="0.25">
      <c r="A859" s="40" t="s">
        <v>42</v>
      </c>
      <c r="B859" s="40" t="s">
        <v>1608</v>
      </c>
      <c r="C859" s="40" t="s">
        <v>1609</v>
      </c>
      <c r="D859" s="40" t="s">
        <v>493</v>
      </c>
      <c r="E859" s="40" t="s">
        <v>493</v>
      </c>
      <c r="F859" s="40">
        <v>0</v>
      </c>
      <c r="G859" s="40"/>
      <c r="H859" s="40" t="s">
        <v>482</v>
      </c>
      <c r="I859" s="40"/>
      <c r="J859" s="40">
        <v>0</v>
      </c>
      <c r="K859" s="40">
        <v>0</v>
      </c>
      <c r="L859" s="40">
        <v>0</v>
      </c>
    </row>
    <row r="860" spans="1:12" x14ac:dyDescent="0.25">
      <c r="A860" s="40" t="s">
        <v>42</v>
      </c>
      <c r="B860" s="40" t="s">
        <v>1610</v>
      </c>
      <c r="C860" s="40" t="s">
        <v>1611</v>
      </c>
      <c r="D860" s="40" t="s">
        <v>493</v>
      </c>
      <c r="E860" s="40" t="s">
        <v>493</v>
      </c>
      <c r="F860" s="40">
        <v>0</v>
      </c>
      <c r="G860" s="40"/>
      <c r="H860" s="40" t="s">
        <v>482</v>
      </c>
      <c r="I860" s="40"/>
      <c r="J860" s="40">
        <v>0</v>
      </c>
      <c r="K860" s="40">
        <v>0</v>
      </c>
      <c r="L860" s="40">
        <v>0</v>
      </c>
    </row>
    <row r="861" spans="1:12" x14ac:dyDescent="0.25">
      <c r="A861" s="40" t="s">
        <v>42</v>
      </c>
      <c r="B861" s="40" t="s">
        <v>1612</v>
      </c>
      <c r="C861" s="40" t="s">
        <v>1613</v>
      </c>
      <c r="D861" s="40" t="s">
        <v>1235</v>
      </c>
      <c r="E861" s="40" t="s">
        <v>1235</v>
      </c>
      <c r="F861" s="40">
        <v>0</v>
      </c>
      <c r="G861" s="40"/>
      <c r="H861" s="40" t="s">
        <v>482</v>
      </c>
      <c r="I861" s="40"/>
      <c r="J861" s="40">
        <v>0</v>
      </c>
      <c r="K861" s="40">
        <v>0</v>
      </c>
      <c r="L861" s="40">
        <v>0</v>
      </c>
    </row>
    <row r="862" spans="1:12" x14ac:dyDescent="0.25">
      <c r="A862" s="40" t="s">
        <v>42</v>
      </c>
      <c r="B862" s="40" t="s">
        <v>1614</v>
      </c>
      <c r="C862" s="40" t="s">
        <v>1615</v>
      </c>
      <c r="D862" s="40" t="s">
        <v>1235</v>
      </c>
      <c r="E862" s="40" t="s">
        <v>1235</v>
      </c>
      <c r="F862" s="40">
        <v>0</v>
      </c>
      <c r="G862" s="40"/>
      <c r="H862" s="40" t="s">
        <v>482</v>
      </c>
      <c r="I862" s="40"/>
      <c r="J862" s="40">
        <v>0</v>
      </c>
      <c r="K862" s="40">
        <v>0</v>
      </c>
      <c r="L862" s="40">
        <v>0</v>
      </c>
    </row>
    <row r="863" spans="1:12" x14ac:dyDescent="0.25">
      <c r="A863" s="40" t="s">
        <v>42</v>
      </c>
      <c r="B863" s="40" t="s">
        <v>1616</v>
      </c>
      <c r="C863" s="40" t="s">
        <v>1617</v>
      </c>
      <c r="D863" s="40" t="s">
        <v>1149</v>
      </c>
      <c r="E863" s="40" t="s">
        <v>1149</v>
      </c>
      <c r="F863" s="40">
        <v>0</v>
      </c>
      <c r="G863" s="40"/>
      <c r="H863" s="40" t="s">
        <v>482</v>
      </c>
      <c r="I863" s="40"/>
      <c r="J863" s="40">
        <v>0</v>
      </c>
      <c r="K863" s="40">
        <v>0</v>
      </c>
      <c r="L863" s="40">
        <v>0</v>
      </c>
    </row>
    <row r="864" spans="1:12" x14ac:dyDescent="0.25">
      <c r="A864" s="40" t="s">
        <v>42</v>
      </c>
      <c r="B864" s="40" t="s">
        <v>1618</v>
      </c>
      <c r="C864" s="40" t="s">
        <v>1619</v>
      </c>
      <c r="D864" s="40" t="s">
        <v>1149</v>
      </c>
      <c r="E864" s="40" t="s">
        <v>1149</v>
      </c>
      <c r="F864" s="40">
        <v>0</v>
      </c>
      <c r="G864" s="40"/>
      <c r="H864" s="40" t="s">
        <v>482</v>
      </c>
      <c r="I864" s="40"/>
      <c r="J864" s="40">
        <v>0</v>
      </c>
      <c r="K864" s="40">
        <v>0</v>
      </c>
      <c r="L864" s="40">
        <v>0</v>
      </c>
    </row>
    <row r="865" spans="1:12" x14ac:dyDescent="0.25">
      <c r="A865" s="40" t="s">
        <v>42</v>
      </c>
      <c r="B865" s="40" t="s">
        <v>1620</v>
      </c>
      <c r="C865" s="40" t="s">
        <v>1621</v>
      </c>
      <c r="D865" s="40" t="s">
        <v>1188</v>
      </c>
      <c r="E865" s="40" t="s">
        <v>1188</v>
      </c>
      <c r="F865" s="40">
        <v>0</v>
      </c>
      <c r="G865" s="40"/>
      <c r="H865" s="40" t="s">
        <v>482</v>
      </c>
      <c r="I865" s="40"/>
      <c r="J865" s="40">
        <v>0</v>
      </c>
      <c r="K865" s="40">
        <v>0</v>
      </c>
      <c r="L865" s="40">
        <v>0</v>
      </c>
    </row>
    <row r="866" spans="1:12" x14ac:dyDescent="0.25">
      <c r="A866" s="40" t="s">
        <v>42</v>
      </c>
      <c r="B866" s="40" t="s">
        <v>1622</v>
      </c>
      <c r="C866" s="40" t="s">
        <v>1623</v>
      </c>
      <c r="D866" s="40" t="s">
        <v>493</v>
      </c>
      <c r="E866" s="40" t="s">
        <v>493</v>
      </c>
      <c r="F866" s="40">
        <v>0</v>
      </c>
      <c r="G866" s="40"/>
      <c r="H866" s="40" t="s">
        <v>482</v>
      </c>
      <c r="I866" s="40"/>
      <c r="J866" s="40">
        <v>0</v>
      </c>
      <c r="K866" s="40">
        <v>0</v>
      </c>
      <c r="L866" s="40">
        <v>0</v>
      </c>
    </row>
    <row r="867" spans="1:12" x14ac:dyDescent="0.25">
      <c r="A867" s="40" t="s">
        <v>42</v>
      </c>
      <c r="B867" s="40" t="s">
        <v>1624</v>
      </c>
      <c r="C867" s="40" t="s">
        <v>1625</v>
      </c>
      <c r="D867" s="40" t="s">
        <v>1525</v>
      </c>
      <c r="E867" s="40" t="s">
        <v>1525</v>
      </c>
      <c r="F867" s="40">
        <v>0</v>
      </c>
      <c r="G867" s="40"/>
      <c r="H867" s="40" t="s">
        <v>482</v>
      </c>
      <c r="I867" s="40"/>
      <c r="J867" s="40">
        <v>0</v>
      </c>
      <c r="K867" s="40">
        <v>0</v>
      </c>
      <c r="L867" s="40">
        <v>0</v>
      </c>
    </row>
    <row r="868" spans="1:12" x14ac:dyDescent="0.25">
      <c r="A868" s="40" t="s">
        <v>42</v>
      </c>
      <c r="B868" s="40" t="s">
        <v>1626</v>
      </c>
      <c r="C868" s="40" t="s">
        <v>1627</v>
      </c>
      <c r="D868" s="40" t="s">
        <v>1525</v>
      </c>
      <c r="E868" s="40" t="s">
        <v>1525</v>
      </c>
      <c r="F868" s="40">
        <v>0</v>
      </c>
      <c r="G868" s="40"/>
      <c r="H868" s="40" t="s">
        <v>482</v>
      </c>
      <c r="I868" s="40"/>
      <c r="J868" s="40">
        <v>0</v>
      </c>
      <c r="K868" s="40">
        <v>0</v>
      </c>
      <c r="L868" s="40">
        <v>0</v>
      </c>
    </row>
    <row r="869" spans="1:12" x14ac:dyDescent="0.25">
      <c r="A869" s="40" t="s">
        <v>42</v>
      </c>
      <c r="B869" s="40" t="s">
        <v>1628</v>
      </c>
      <c r="C869" s="40" t="s">
        <v>1629</v>
      </c>
      <c r="D869" s="40" t="s">
        <v>1630</v>
      </c>
      <c r="E869" s="40" t="s">
        <v>1630</v>
      </c>
      <c r="F869" s="40">
        <v>0</v>
      </c>
      <c r="G869" s="40"/>
      <c r="H869" s="40" t="s">
        <v>482</v>
      </c>
      <c r="I869" s="40"/>
      <c r="J869" s="40">
        <v>0</v>
      </c>
      <c r="K869" s="40">
        <v>0</v>
      </c>
      <c r="L869" s="40">
        <v>0</v>
      </c>
    </row>
    <row r="870" spans="1:12" x14ac:dyDescent="0.25">
      <c r="A870" s="40" t="s">
        <v>42</v>
      </c>
      <c r="B870" s="40" t="s">
        <v>1631</v>
      </c>
      <c r="C870" s="40" t="s">
        <v>1632</v>
      </c>
      <c r="D870" s="40" t="s">
        <v>1630</v>
      </c>
      <c r="E870" s="40" t="s">
        <v>1630</v>
      </c>
      <c r="F870" s="40">
        <v>0</v>
      </c>
      <c r="G870" s="40"/>
      <c r="H870" s="40" t="s">
        <v>482</v>
      </c>
      <c r="I870" s="40"/>
      <c r="J870" s="40">
        <v>0</v>
      </c>
      <c r="K870" s="40">
        <v>0</v>
      </c>
      <c r="L870" s="40">
        <v>0</v>
      </c>
    </row>
    <row r="871" spans="1:12" x14ac:dyDescent="0.25">
      <c r="A871" s="40" t="s">
        <v>42</v>
      </c>
      <c r="B871" s="40" t="s">
        <v>1633</v>
      </c>
      <c r="C871" s="40" t="s">
        <v>1634</v>
      </c>
      <c r="D871" s="40" t="s">
        <v>1154</v>
      </c>
      <c r="E871" s="40" t="s">
        <v>1154</v>
      </c>
      <c r="F871" s="40">
        <v>0</v>
      </c>
      <c r="G871" s="40"/>
      <c r="H871" s="40" t="s">
        <v>482</v>
      </c>
      <c r="I871" s="40"/>
      <c r="J871" s="40">
        <v>0</v>
      </c>
      <c r="K871" s="40">
        <v>0</v>
      </c>
      <c r="L871" s="40">
        <v>0</v>
      </c>
    </row>
    <row r="872" spans="1:12" x14ac:dyDescent="0.25">
      <c r="A872" s="40" t="s">
        <v>42</v>
      </c>
      <c r="B872" s="40" t="s">
        <v>1635</v>
      </c>
      <c r="C872" s="40" t="s">
        <v>1636</v>
      </c>
      <c r="D872" s="40" t="s">
        <v>493</v>
      </c>
      <c r="E872" s="40" t="s">
        <v>493</v>
      </c>
      <c r="F872" s="40">
        <v>0</v>
      </c>
      <c r="G872" s="40"/>
      <c r="H872" s="40" t="s">
        <v>482</v>
      </c>
      <c r="I872" s="40"/>
      <c r="J872" s="40">
        <v>0</v>
      </c>
      <c r="K872" s="40">
        <v>0</v>
      </c>
      <c r="L872" s="40">
        <v>0</v>
      </c>
    </row>
    <row r="873" spans="1:12" x14ac:dyDescent="0.25">
      <c r="A873" s="40" t="s">
        <v>42</v>
      </c>
      <c r="B873" s="40" t="s">
        <v>1637</v>
      </c>
      <c r="C873" s="40" t="s">
        <v>1638</v>
      </c>
      <c r="D873" s="40" t="s">
        <v>493</v>
      </c>
      <c r="E873" s="40" t="s">
        <v>493</v>
      </c>
      <c r="F873" s="40">
        <v>0</v>
      </c>
      <c r="G873" s="40"/>
      <c r="H873" s="40" t="s">
        <v>482</v>
      </c>
      <c r="I873" s="40"/>
      <c r="J873" s="40">
        <v>0</v>
      </c>
      <c r="K873" s="40">
        <v>0</v>
      </c>
      <c r="L873" s="40">
        <v>0</v>
      </c>
    </row>
    <row r="874" spans="1:12" x14ac:dyDescent="0.25">
      <c r="A874" s="40" t="s">
        <v>42</v>
      </c>
      <c r="B874" s="40" t="s">
        <v>1639</v>
      </c>
      <c r="C874" s="40" t="s">
        <v>1640</v>
      </c>
      <c r="D874" s="40" t="s">
        <v>493</v>
      </c>
      <c r="E874" s="40" t="s">
        <v>493</v>
      </c>
      <c r="F874" s="40">
        <v>0</v>
      </c>
      <c r="G874" s="40"/>
      <c r="H874" s="40" t="s">
        <v>482</v>
      </c>
      <c r="I874" s="40"/>
      <c r="J874" s="40">
        <v>0</v>
      </c>
      <c r="K874" s="40">
        <v>0</v>
      </c>
      <c r="L874" s="40">
        <v>0</v>
      </c>
    </row>
    <row r="875" spans="1:12" x14ac:dyDescent="0.25">
      <c r="A875" s="40" t="s">
        <v>42</v>
      </c>
      <c r="B875" s="40" t="s">
        <v>1641</v>
      </c>
      <c r="C875" s="40" t="s">
        <v>1642</v>
      </c>
      <c r="D875" s="40" t="s">
        <v>493</v>
      </c>
      <c r="E875" s="40" t="s">
        <v>493</v>
      </c>
      <c r="F875" s="40">
        <v>0</v>
      </c>
      <c r="G875" s="40"/>
      <c r="H875" s="40" t="s">
        <v>482</v>
      </c>
      <c r="I875" s="40"/>
      <c r="J875" s="40">
        <v>0</v>
      </c>
      <c r="K875" s="40">
        <v>0</v>
      </c>
      <c r="L875" s="40">
        <v>0</v>
      </c>
    </row>
    <row r="876" spans="1:12" x14ac:dyDescent="0.25">
      <c r="A876" s="40" t="s">
        <v>42</v>
      </c>
      <c r="B876" s="40" t="s">
        <v>1643</v>
      </c>
      <c r="C876" s="40" t="s">
        <v>1644</v>
      </c>
      <c r="D876" s="40" t="s">
        <v>728</v>
      </c>
      <c r="E876" s="40" t="s">
        <v>728</v>
      </c>
      <c r="F876" s="40">
        <v>0</v>
      </c>
      <c r="G876" s="40"/>
      <c r="H876" s="40" t="s">
        <v>482</v>
      </c>
      <c r="I876" s="40"/>
      <c r="J876" s="40">
        <v>0</v>
      </c>
      <c r="K876" s="40">
        <v>0</v>
      </c>
      <c r="L876" s="40">
        <v>0</v>
      </c>
    </row>
    <row r="877" spans="1:12" x14ac:dyDescent="0.25">
      <c r="A877" s="40" t="s">
        <v>42</v>
      </c>
      <c r="B877" s="40" t="s">
        <v>1645</v>
      </c>
      <c r="C877" s="40" t="s">
        <v>1646</v>
      </c>
      <c r="D877" s="40" t="s">
        <v>1148</v>
      </c>
      <c r="E877" s="40" t="s">
        <v>1148</v>
      </c>
      <c r="F877" s="40">
        <v>0</v>
      </c>
      <c r="G877" s="40"/>
      <c r="H877" s="40" t="s">
        <v>482</v>
      </c>
      <c r="I877" s="40"/>
      <c r="J877" s="40">
        <v>0</v>
      </c>
      <c r="K877" s="40">
        <v>0</v>
      </c>
      <c r="L877" s="40">
        <v>0</v>
      </c>
    </row>
    <row r="878" spans="1:12" x14ac:dyDescent="0.25">
      <c r="A878" s="40" t="s">
        <v>42</v>
      </c>
      <c r="B878" s="40" t="s">
        <v>1647</v>
      </c>
      <c r="C878" s="40" t="s">
        <v>1648</v>
      </c>
      <c r="D878" s="40" t="s">
        <v>1649</v>
      </c>
      <c r="E878" s="40" t="s">
        <v>1649</v>
      </c>
      <c r="F878" s="40">
        <v>0</v>
      </c>
      <c r="G878" s="40"/>
      <c r="H878" s="40" t="s">
        <v>482</v>
      </c>
      <c r="I878" s="40"/>
      <c r="J878" s="40">
        <v>0</v>
      </c>
      <c r="K878" s="40">
        <v>0</v>
      </c>
      <c r="L878" s="40">
        <v>0</v>
      </c>
    </row>
    <row r="879" spans="1:12" x14ac:dyDescent="0.25">
      <c r="A879" s="40" t="s">
        <v>42</v>
      </c>
      <c r="B879" s="40" t="s">
        <v>1650</v>
      </c>
      <c r="C879" s="40" t="s">
        <v>1651</v>
      </c>
      <c r="D879" s="40" t="s">
        <v>493</v>
      </c>
      <c r="E879" s="40" t="s">
        <v>493</v>
      </c>
      <c r="F879" s="40">
        <v>0</v>
      </c>
      <c r="G879" s="40"/>
      <c r="H879" s="40" t="s">
        <v>482</v>
      </c>
      <c r="I879" s="40"/>
      <c r="J879" s="40">
        <v>0</v>
      </c>
      <c r="K879" s="40">
        <v>0</v>
      </c>
      <c r="L879" s="40">
        <v>0</v>
      </c>
    </row>
    <row r="880" spans="1:12" x14ac:dyDescent="0.25">
      <c r="A880" s="40" t="s">
        <v>42</v>
      </c>
      <c r="B880" s="40" t="s">
        <v>1652</v>
      </c>
      <c r="C880" s="40" t="s">
        <v>1653</v>
      </c>
      <c r="D880" s="40" t="s">
        <v>493</v>
      </c>
      <c r="E880" s="40" t="s">
        <v>493</v>
      </c>
      <c r="F880" s="40">
        <v>0</v>
      </c>
      <c r="G880" s="40"/>
      <c r="H880" s="40" t="s">
        <v>482</v>
      </c>
      <c r="I880" s="40"/>
      <c r="J880" s="40">
        <v>0</v>
      </c>
      <c r="K880" s="40">
        <v>0</v>
      </c>
      <c r="L880" s="40">
        <v>0</v>
      </c>
    </row>
    <row r="881" spans="1:12" x14ac:dyDescent="0.25">
      <c r="A881" s="40" t="s">
        <v>42</v>
      </c>
      <c r="B881" s="40" t="s">
        <v>1654</v>
      </c>
      <c r="C881" s="40" t="s">
        <v>1655</v>
      </c>
      <c r="D881" s="40" t="s">
        <v>1235</v>
      </c>
      <c r="E881" s="40" t="s">
        <v>1235</v>
      </c>
      <c r="F881" s="40">
        <v>0</v>
      </c>
      <c r="G881" s="40"/>
      <c r="H881" s="40" t="s">
        <v>482</v>
      </c>
      <c r="I881" s="40"/>
      <c r="J881" s="40">
        <v>0</v>
      </c>
      <c r="K881" s="40">
        <v>0</v>
      </c>
      <c r="L881" s="40">
        <v>0</v>
      </c>
    </row>
    <row r="882" spans="1:12" x14ac:dyDescent="0.25">
      <c r="A882" s="40" t="s">
        <v>42</v>
      </c>
      <c r="B882" s="40" t="s">
        <v>1656</v>
      </c>
      <c r="C882" s="40" t="s">
        <v>1657</v>
      </c>
      <c r="D882" s="40" t="s">
        <v>1455</v>
      </c>
      <c r="E882" s="40" t="s">
        <v>1455</v>
      </c>
      <c r="F882" s="40">
        <v>0</v>
      </c>
      <c r="G882" s="40"/>
      <c r="H882" s="40" t="s">
        <v>482</v>
      </c>
      <c r="I882" s="40"/>
      <c r="J882" s="40">
        <v>0</v>
      </c>
      <c r="K882" s="40">
        <v>0</v>
      </c>
      <c r="L882" s="40">
        <v>0</v>
      </c>
    </row>
    <row r="883" spans="1:12" x14ac:dyDescent="0.25">
      <c r="A883" s="40" t="s">
        <v>42</v>
      </c>
      <c r="B883" s="40" t="s">
        <v>1658</v>
      </c>
      <c r="C883" s="40" t="s">
        <v>1659</v>
      </c>
      <c r="D883" s="40" t="s">
        <v>493</v>
      </c>
      <c r="E883" s="40" t="s">
        <v>493</v>
      </c>
      <c r="F883" s="40">
        <v>0</v>
      </c>
      <c r="G883" s="40"/>
      <c r="H883" s="40" t="s">
        <v>482</v>
      </c>
      <c r="I883" s="40"/>
      <c r="J883" s="40">
        <v>0</v>
      </c>
      <c r="K883" s="40">
        <v>0</v>
      </c>
      <c r="L883" s="40">
        <v>0</v>
      </c>
    </row>
    <row r="884" spans="1:12" x14ac:dyDescent="0.25">
      <c r="A884" s="40" t="s">
        <v>42</v>
      </c>
      <c r="B884" s="40" t="s">
        <v>1660</v>
      </c>
      <c r="C884" s="40" t="s">
        <v>1661</v>
      </c>
      <c r="D884" s="40" t="s">
        <v>728</v>
      </c>
      <c r="E884" s="40" t="s">
        <v>728</v>
      </c>
      <c r="F884" s="40">
        <v>0</v>
      </c>
      <c r="G884" s="40"/>
      <c r="H884" s="40" t="s">
        <v>482</v>
      </c>
      <c r="I884" s="40"/>
      <c r="J884" s="40">
        <v>0</v>
      </c>
      <c r="K884" s="40">
        <v>0</v>
      </c>
      <c r="L884" s="40">
        <v>0</v>
      </c>
    </row>
    <row r="885" spans="1:12" x14ac:dyDescent="0.25">
      <c r="A885" s="40" t="s">
        <v>42</v>
      </c>
      <c r="B885" s="40" t="s">
        <v>1662</v>
      </c>
      <c r="C885" s="40" t="s">
        <v>1663</v>
      </c>
      <c r="D885" s="40" t="s">
        <v>1154</v>
      </c>
      <c r="E885" s="40" t="s">
        <v>1154</v>
      </c>
      <c r="F885" s="40">
        <v>0</v>
      </c>
      <c r="G885" s="40"/>
      <c r="H885" s="40" t="s">
        <v>482</v>
      </c>
      <c r="I885" s="40"/>
      <c r="J885" s="40">
        <v>0</v>
      </c>
      <c r="K885" s="40">
        <v>0</v>
      </c>
      <c r="L885" s="40">
        <v>0</v>
      </c>
    </row>
    <row r="886" spans="1:12" x14ac:dyDescent="0.25">
      <c r="A886" s="40" t="s">
        <v>42</v>
      </c>
      <c r="B886" s="40" t="s">
        <v>1664</v>
      </c>
      <c r="C886" s="40" t="s">
        <v>1665</v>
      </c>
      <c r="D886" s="40" t="s">
        <v>1503</v>
      </c>
      <c r="E886" s="40" t="s">
        <v>1503</v>
      </c>
      <c r="F886" s="40">
        <v>0</v>
      </c>
      <c r="G886" s="40"/>
      <c r="H886" s="40" t="s">
        <v>482</v>
      </c>
      <c r="I886" s="40"/>
      <c r="J886" s="40">
        <v>0</v>
      </c>
      <c r="K886" s="40">
        <v>0</v>
      </c>
      <c r="L886" s="40">
        <v>0</v>
      </c>
    </row>
    <row r="887" spans="1:12" x14ac:dyDescent="0.25">
      <c r="A887" s="40" t="s">
        <v>42</v>
      </c>
      <c r="B887" s="40" t="s">
        <v>1666</v>
      </c>
      <c r="C887" s="40" t="s">
        <v>1667</v>
      </c>
      <c r="D887" s="40" t="s">
        <v>493</v>
      </c>
      <c r="E887" s="40" t="s">
        <v>493</v>
      </c>
      <c r="F887" s="40">
        <v>0</v>
      </c>
      <c r="G887" s="40"/>
      <c r="H887" s="40" t="s">
        <v>482</v>
      </c>
      <c r="I887" s="40"/>
      <c r="J887" s="40">
        <v>0</v>
      </c>
      <c r="K887" s="40">
        <v>0</v>
      </c>
      <c r="L887" s="40">
        <v>0</v>
      </c>
    </row>
    <row r="888" spans="1:12" x14ac:dyDescent="0.25">
      <c r="A888" s="40" t="s">
        <v>42</v>
      </c>
      <c r="B888" s="40" t="s">
        <v>1668</v>
      </c>
      <c r="C888" s="40" t="s">
        <v>1669</v>
      </c>
      <c r="D888" s="40" t="s">
        <v>493</v>
      </c>
      <c r="E888" s="40" t="s">
        <v>493</v>
      </c>
      <c r="F888" s="40">
        <v>0</v>
      </c>
      <c r="G888" s="40"/>
      <c r="H888" s="40" t="s">
        <v>482</v>
      </c>
      <c r="I888" s="40"/>
      <c r="J888" s="40">
        <v>0</v>
      </c>
      <c r="K888" s="40">
        <v>0</v>
      </c>
      <c r="L888" s="40">
        <v>0</v>
      </c>
    </row>
    <row r="889" spans="1:12" x14ac:dyDescent="0.25">
      <c r="A889" s="40" t="s">
        <v>42</v>
      </c>
      <c r="B889" s="40" t="s">
        <v>1670</v>
      </c>
      <c r="C889" s="40" t="s">
        <v>1671</v>
      </c>
      <c r="D889" s="40" t="s">
        <v>493</v>
      </c>
      <c r="E889" s="40" t="s">
        <v>493</v>
      </c>
      <c r="F889" s="40">
        <v>0</v>
      </c>
      <c r="G889" s="40"/>
      <c r="H889" s="40" t="s">
        <v>482</v>
      </c>
      <c r="I889" s="40"/>
      <c r="J889" s="40">
        <v>0</v>
      </c>
      <c r="K889" s="40">
        <v>0</v>
      </c>
      <c r="L889" s="40">
        <v>0</v>
      </c>
    </row>
    <row r="890" spans="1:12" x14ac:dyDescent="0.25">
      <c r="A890" s="40" t="s">
        <v>42</v>
      </c>
      <c r="B890" s="40" t="s">
        <v>1672</v>
      </c>
      <c r="C890" s="40" t="s">
        <v>1673</v>
      </c>
      <c r="D890" s="40" t="s">
        <v>728</v>
      </c>
      <c r="E890" s="40" t="s">
        <v>728</v>
      </c>
      <c r="F890" s="40">
        <v>0</v>
      </c>
      <c r="G890" s="40"/>
      <c r="H890" s="40" t="s">
        <v>482</v>
      </c>
      <c r="I890" s="40"/>
      <c r="J890" s="40">
        <v>0</v>
      </c>
      <c r="K890" s="40">
        <v>0</v>
      </c>
      <c r="L890" s="40">
        <v>0</v>
      </c>
    </row>
    <row r="891" spans="1:12" x14ac:dyDescent="0.25">
      <c r="A891" s="40" t="s">
        <v>42</v>
      </c>
      <c r="B891" s="40" t="s">
        <v>1674</v>
      </c>
      <c r="C891" s="40" t="s">
        <v>1675</v>
      </c>
      <c r="D891" s="40" t="s">
        <v>493</v>
      </c>
      <c r="E891" s="40" t="s">
        <v>493</v>
      </c>
      <c r="F891" s="40">
        <v>0</v>
      </c>
      <c r="G891" s="40"/>
      <c r="H891" s="40" t="s">
        <v>482</v>
      </c>
      <c r="I891" s="40"/>
      <c r="J891" s="40">
        <v>0</v>
      </c>
      <c r="K891" s="40">
        <v>0</v>
      </c>
      <c r="L891" s="40">
        <v>0</v>
      </c>
    </row>
    <row r="892" spans="1:12" x14ac:dyDescent="0.25">
      <c r="A892" s="40" t="s">
        <v>42</v>
      </c>
      <c r="B892" s="40" t="s">
        <v>1676</v>
      </c>
      <c r="C892" s="40" t="s">
        <v>1677</v>
      </c>
      <c r="D892" s="40" t="s">
        <v>1511</v>
      </c>
      <c r="E892" s="40" t="s">
        <v>1511</v>
      </c>
      <c r="F892" s="40">
        <v>0</v>
      </c>
      <c r="G892" s="40"/>
      <c r="H892" s="40" t="s">
        <v>482</v>
      </c>
      <c r="I892" s="40"/>
      <c r="J892" s="40">
        <v>0</v>
      </c>
      <c r="K892" s="40">
        <v>0</v>
      </c>
      <c r="L892" s="40">
        <v>0</v>
      </c>
    </row>
    <row r="893" spans="1:12" x14ac:dyDescent="0.25">
      <c r="A893" s="40" t="s">
        <v>42</v>
      </c>
      <c r="B893" s="40" t="s">
        <v>1678</v>
      </c>
      <c r="C893" s="40" t="s">
        <v>1679</v>
      </c>
      <c r="D893" s="40" t="s">
        <v>1455</v>
      </c>
      <c r="E893" s="40" t="s">
        <v>493</v>
      </c>
      <c r="F893" s="40">
        <v>1</v>
      </c>
      <c r="G893" s="40"/>
      <c r="H893" s="40" t="s">
        <v>482</v>
      </c>
      <c r="I893" s="40"/>
      <c r="J893" s="40">
        <v>0</v>
      </c>
      <c r="K893" s="40">
        <v>0</v>
      </c>
      <c r="L893" s="40">
        <v>0</v>
      </c>
    </row>
    <row r="894" spans="1:12" x14ac:dyDescent="0.25">
      <c r="A894" s="40" t="s">
        <v>42</v>
      </c>
      <c r="B894" s="40" t="s">
        <v>1680</v>
      </c>
      <c r="C894" s="40" t="s">
        <v>1681</v>
      </c>
      <c r="D894" s="40" t="s">
        <v>493</v>
      </c>
      <c r="E894" s="40" t="s">
        <v>493</v>
      </c>
      <c r="F894" s="40">
        <v>0</v>
      </c>
      <c r="G894" s="40"/>
      <c r="H894" s="40" t="s">
        <v>482</v>
      </c>
      <c r="I894" s="40"/>
      <c r="J894" s="40">
        <v>0</v>
      </c>
      <c r="K894" s="40">
        <v>0</v>
      </c>
      <c r="L894" s="40">
        <v>0</v>
      </c>
    </row>
    <row r="895" spans="1:12" x14ac:dyDescent="0.25">
      <c r="A895" s="40" t="s">
        <v>42</v>
      </c>
      <c r="B895" s="40" t="s">
        <v>1682</v>
      </c>
      <c r="C895" s="40" t="s">
        <v>1683</v>
      </c>
      <c r="D895" s="40" t="s">
        <v>493</v>
      </c>
      <c r="E895" s="40" t="s">
        <v>493</v>
      </c>
      <c r="F895" s="40">
        <v>0</v>
      </c>
      <c r="G895" s="40"/>
      <c r="H895" s="40" t="s">
        <v>482</v>
      </c>
      <c r="I895" s="40"/>
      <c r="J895" s="40">
        <v>0</v>
      </c>
      <c r="K895" s="40">
        <v>0</v>
      </c>
      <c r="L895" s="40">
        <v>0</v>
      </c>
    </row>
    <row r="896" spans="1:12" x14ac:dyDescent="0.25">
      <c r="A896" s="40" t="s">
        <v>42</v>
      </c>
      <c r="B896" s="40" t="s">
        <v>1684</v>
      </c>
      <c r="C896" s="40" t="s">
        <v>1685</v>
      </c>
      <c r="D896" s="40" t="s">
        <v>1518</v>
      </c>
      <c r="E896" s="40" t="s">
        <v>1235</v>
      </c>
      <c r="F896" s="40">
        <v>1</v>
      </c>
      <c r="G896" s="40"/>
      <c r="H896" s="40" t="s">
        <v>482</v>
      </c>
      <c r="I896" s="40"/>
      <c r="J896" s="40">
        <v>0</v>
      </c>
      <c r="K896" s="40">
        <v>0</v>
      </c>
      <c r="L896" s="40">
        <v>0</v>
      </c>
    </row>
    <row r="897" spans="1:12" x14ac:dyDescent="0.25">
      <c r="A897" s="40" t="s">
        <v>42</v>
      </c>
      <c r="B897" s="40" t="s">
        <v>1686</v>
      </c>
      <c r="C897" s="40" t="s">
        <v>1687</v>
      </c>
      <c r="D897" s="40" t="s">
        <v>493</v>
      </c>
      <c r="E897" s="40" t="s">
        <v>493</v>
      </c>
      <c r="F897" s="40">
        <v>0</v>
      </c>
      <c r="G897" s="40"/>
      <c r="H897" s="40" t="s">
        <v>482</v>
      </c>
      <c r="I897" s="40"/>
      <c r="J897" s="40">
        <v>0</v>
      </c>
      <c r="K897" s="40">
        <v>0</v>
      </c>
      <c r="L897" s="40">
        <v>0</v>
      </c>
    </row>
    <row r="898" spans="1:12" x14ac:dyDescent="0.25">
      <c r="A898" s="40" t="s">
        <v>42</v>
      </c>
      <c r="B898" s="40" t="s">
        <v>1688</v>
      </c>
      <c r="C898" s="40" t="s">
        <v>1689</v>
      </c>
      <c r="D898" s="40" t="s">
        <v>622</v>
      </c>
      <c r="E898" s="40" t="s">
        <v>622</v>
      </c>
      <c r="F898" s="40">
        <v>0</v>
      </c>
      <c r="G898" s="40"/>
      <c r="H898" s="40" t="s">
        <v>482</v>
      </c>
      <c r="I898" s="40"/>
      <c r="J898" s="40">
        <v>0</v>
      </c>
      <c r="K898" s="40">
        <v>0</v>
      </c>
      <c r="L898" s="40">
        <v>0</v>
      </c>
    </row>
    <row r="899" spans="1:12" x14ac:dyDescent="0.25">
      <c r="A899" s="40" t="s">
        <v>42</v>
      </c>
      <c r="B899" s="40" t="s">
        <v>1690</v>
      </c>
      <c r="C899" s="40" t="s">
        <v>1691</v>
      </c>
      <c r="D899" s="40" t="s">
        <v>1525</v>
      </c>
      <c r="E899" s="40" t="s">
        <v>1525</v>
      </c>
      <c r="F899" s="40">
        <v>0</v>
      </c>
      <c r="G899" s="40"/>
      <c r="H899" s="40" t="s">
        <v>482</v>
      </c>
      <c r="I899" s="40"/>
      <c r="J899" s="40">
        <v>0</v>
      </c>
      <c r="K899" s="40">
        <v>0</v>
      </c>
      <c r="L899" s="40">
        <v>0</v>
      </c>
    </row>
    <row r="900" spans="1:12" x14ac:dyDescent="0.25">
      <c r="A900" s="40" t="s">
        <v>42</v>
      </c>
      <c r="B900" s="40" t="s">
        <v>1692</v>
      </c>
      <c r="C900" s="40" t="s">
        <v>1693</v>
      </c>
      <c r="D900" s="40" t="s">
        <v>493</v>
      </c>
      <c r="E900" s="40" t="s">
        <v>493</v>
      </c>
      <c r="F900" s="40">
        <v>0</v>
      </c>
      <c r="G900" s="40"/>
      <c r="H900" s="40" t="s">
        <v>482</v>
      </c>
      <c r="I900" s="40"/>
      <c r="J900" s="40">
        <v>0</v>
      </c>
      <c r="K900" s="40">
        <v>0</v>
      </c>
      <c r="L900" s="40">
        <v>0</v>
      </c>
    </row>
    <row r="901" spans="1:12" x14ac:dyDescent="0.25">
      <c r="A901" s="40" t="s">
        <v>42</v>
      </c>
      <c r="B901" s="40" t="s">
        <v>1694</v>
      </c>
      <c r="C901" s="40" t="s">
        <v>1695</v>
      </c>
      <c r="D901" s="40" t="s">
        <v>1530</v>
      </c>
      <c r="E901" s="40" t="s">
        <v>1530</v>
      </c>
      <c r="F901" s="40">
        <v>0</v>
      </c>
      <c r="G901" s="40"/>
      <c r="H901" s="40" t="s">
        <v>482</v>
      </c>
      <c r="I901" s="40"/>
      <c r="J901" s="40">
        <v>0</v>
      </c>
      <c r="K901" s="40">
        <v>0</v>
      </c>
      <c r="L901" s="40">
        <v>0</v>
      </c>
    </row>
    <row r="902" spans="1:12" x14ac:dyDescent="0.25">
      <c r="A902" s="40" t="s">
        <v>42</v>
      </c>
      <c r="B902" s="40" t="s">
        <v>1696</v>
      </c>
      <c r="C902" s="40" t="s">
        <v>1697</v>
      </c>
      <c r="D902" s="40" t="s">
        <v>493</v>
      </c>
      <c r="E902" s="40" t="s">
        <v>493</v>
      </c>
      <c r="F902" s="40">
        <v>0</v>
      </c>
      <c r="G902" s="40"/>
      <c r="H902" s="40" t="s">
        <v>482</v>
      </c>
      <c r="I902" s="40"/>
      <c r="J902" s="40">
        <v>0</v>
      </c>
      <c r="K902" s="40">
        <v>0</v>
      </c>
      <c r="L902" s="40">
        <v>0</v>
      </c>
    </row>
    <row r="903" spans="1:12" x14ac:dyDescent="0.25">
      <c r="A903" s="40" t="s">
        <v>42</v>
      </c>
      <c r="B903" s="40" t="s">
        <v>1698</v>
      </c>
      <c r="C903" s="40" t="s">
        <v>1699</v>
      </c>
      <c r="D903" s="40" t="s">
        <v>493</v>
      </c>
      <c r="E903" s="40" t="s">
        <v>493</v>
      </c>
      <c r="F903" s="40">
        <v>0</v>
      </c>
      <c r="G903" s="40"/>
      <c r="H903" s="40" t="s">
        <v>482</v>
      </c>
      <c r="I903" s="40"/>
      <c r="J903" s="40">
        <v>0</v>
      </c>
      <c r="K903" s="40">
        <v>0</v>
      </c>
      <c r="L903" s="40">
        <v>0</v>
      </c>
    </row>
    <row r="904" spans="1:12" x14ac:dyDescent="0.25">
      <c r="A904" s="40" t="s">
        <v>42</v>
      </c>
      <c r="B904" s="40" t="s">
        <v>1700</v>
      </c>
      <c r="C904" s="40" t="s">
        <v>1701</v>
      </c>
      <c r="D904" s="40" t="s">
        <v>1536</v>
      </c>
      <c r="E904" s="40" t="s">
        <v>1536</v>
      </c>
      <c r="F904" s="40">
        <v>0</v>
      </c>
      <c r="G904" s="40"/>
      <c r="H904" s="40" t="s">
        <v>482</v>
      </c>
      <c r="I904" s="40"/>
      <c r="J904" s="40">
        <v>0</v>
      </c>
      <c r="K904" s="40">
        <v>0</v>
      </c>
      <c r="L904" s="40">
        <v>0</v>
      </c>
    </row>
    <row r="905" spans="1:12" x14ac:dyDescent="0.25">
      <c r="A905" s="40" t="s">
        <v>42</v>
      </c>
      <c r="B905" s="40" t="s">
        <v>1702</v>
      </c>
      <c r="C905" s="40" t="s">
        <v>1703</v>
      </c>
      <c r="D905" s="40" t="s">
        <v>1538</v>
      </c>
      <c r="E905" s="40" t="s">
        <v>1538</v>
      </c>
      <c r="F905" s="40">
        <v>0</v>
      </c>
      <c r="G905" s="40"/>
      <c r="H905" s="40" t="s">
        <v>482</v>
      </c>
      <c r="I905" s="40"/>
      <c r="J905" s="40">
        <v>0</v>
      </c>
      <c r="K905" s="40">
        <v>0</v>
      </c>
      <c r="L905" s="40">
        <v>0</v>
      </c>
    </row>
    <row r="906" spans="1:12" x14ac:dyDescent="0.25">
      <c r="A906" s="40" t="s">
        <v>42</v>
      </c>
      <c r="B906" s="40" t="s">
        <v>1704</v>
      </c>
      <c r="C906" s="40" t="s">
        <v>1705</v>
      </c>
      <c r="D906" s="40" t="s">
        <v>1541</v>
      </c>
      <c r="E906" s="40" t="s">
        <v>1541</v>
      </c>
      <c r="F906" s="40">
        <v>0</v>
      </c>
      <c r="G906" s="40"/>
      <c r="H906" s="40" t="s">
        <v>482</v>
      </c>
      <c r="I906" s="40"/>
      <c r="J906" s="40">
        <v>0</v>
      </c>
      <c r="K906" s="40">
        <v>0</v>
      </c>
      <c r="L906" s="40">
        <v>0</v>
      </c>
    </row>
    <row r="907" spans="1:12" x14ac:dyDescent="0.25">
      <c r="A907" s="40" t="s">
        <v>42</v>
      </c>
      <c r="B907" s="40" t="s">
        <v>1706</v>
      </c>
      <c r="C907" s="40" t="s">
        <v>1707</v>
      </c>
      <c r="D907" s="40" t="s">
        <v>1013</v>
      </c>
      <c r="E907" s="40" t="s">
        <v>1013</v>
      </c>
      <c r="F907" s="40">
        <v>0</v>
      </c>
      <c r="G907" s="40"/>
      <c r="H907" s="40" t="s">
        <v>482</v>
      </c>
      <c r="I907" s="40"/>
      <c r="J907" s="40">
        <v>0</v>
      </c>
      <c r="K907" s="40">
        <v>0</v>
      </c>
      <c r="L907" s="40">
        <v>0</v>
      </c>
    </row>
    <row r="908" spans="1:12" x14ac:dyDescent="0.25">
      <c r="A908" s="40" t="s">
        <v>42</v>
      </c>
      <c r="B908" s="40" t="s">
        <v>1708</v>
      </c>
      <c r="C908" s="40" t="s">
        <v>1709</v>
      </c>
      <c r="D908" s="40" t="s">
        <v>493</v>
      </c>
      <c r="E908" s="40" t="s">
        <v>493</v>
      </c>
      <c r="F908" s="40">
        <v>0</v>
      </c>
      <c r="G908" s="40"/>
      <c r="H908" s="40" t="s">
        <v>482</v>
      </c>
      <c r="I908" s="40"/>
      <c r="J908" s="40">
        <v>0</v>
      </c>
      <c r="K908" s="40">
        <v>0</v>
      </c>
      <c r="L908" s="40">
        <v>0</v>
      </c>
    </row>
    <row r="909" spans="1:12" x14ac:dyDescent="0.25">
      <c r="A909" s="40" t="s">
        <v>42</v>
      </c>
      <c r="B909" s="40" t="s">
        <v>1710</v>
      </c>
      <c r="C909" s="40" t="s">
        <v>1711</v>
      </c>
      <c r="D909" s="40" t="s">
        <v>735</v>
      </c>
      <c r="E909" s="40" t="s">
        <v>735</v>
      </c>
      <c r="F909" s="40">
        <v>0</v>
      </c>
      <c r="G909" s="40"/>
      <c r="H909" s="40" t="s">
        <v>482</v>
      </c>
      <c r="I909" s="40"/>
      <c r="J909" s="40">
        <v>0</v>
      </c>
      <c r="K909" s="40">
        <v>0</v>
      </c>
      <c r="L909" s="40">
        <v>0</v>
      </c>
    </row>
    <row r="910" spans="1:12" x14ac:dyDescent="0.25">
      <c r="A910" s="40" t="s">
        <v>42</v>
      </c>
      <c r="B910" s="40" t="s">
        <v>1712</v>
      </c>
      <c r="C910" s="40" t="s">
        <v>1713</v>
      </c>
      <c r="D910" s="40" t="s">
        <v>1455</v>
      </c>
      <c r="E910" s="40" t="s">
        <v>1455</v>
      </c>
      <c r="F910" s="40">
        <v>0</v>
      </c>
      <c r="G910" s="40"/>
      <c r="H910" s="40" t="s">
        <v>482</v>
      </c>
      <c r="I910" s="40"/>
      <c r="J910" s="40">
        <v>0</v>
      </c>
      <c r="K910" s="40">
        <v>0</v>
      </c>
      <c r="L910" s="40">
        <v>0</v>
      </c>
    </row>
    <row r="911" spans="1:12" x14ac:dyDescent="0.25">
      <c r="A911" s="40" t="s">
        <v>42</v>
      </c>
      <c r="B911" s="40" t="s">
        <v>1714</v>
      </c>
      <c r="C911" s="40" t="s">
        <v>1715</v>
      </c>
      <c r="D911" s="40" t="s">
        <v>493</v>
      </c>
      <c r="E911" s="40" t="s">
        <v>493</v>
      </c>
      <c r="F911" s="40">
        <v>0</v>
      </c>
      <c r="G911" s="40"/>
      <c r="H911" s="40" t="s">
        <v>482</v>
      </c>
      <c r="I911" s="40"/>
      <c r="J911" s="40">
        <v>0</v>
      </c>
      <c r="K911" s="40">
        <v>0</v>
      </c>
      <c r="L911" s="40">
        <v>0</v>
      </c>
    </row>
    <row r="912" spans="1:12" x14ac:dyDescent="0.25">
      <c r="A912" s="40" t="s">
        <v>42</v>
      </c>
      <c r="B912" s="40" t="s">
        <v>1716</v>
      </c>
      <c r="C912" s="40" t="s">
        <v>1717</v>
      </c>
      <c r="D912" s="40" t="s">
        <v>1530</v>
      </c>
      <c r="E912" s="40" t="s">
        <v>1530</v>
      </c>
      <c r="F912" s="40">
        <v>0</v>
      </c>
      <c r="G912" s="40"/>
      <c r="H912" s="40" t="s">
        <v>482</v>
      </c>
      <c r="I912" s="40"/>
      <c r="J912" s="40">
        <v>0</v>
      </c>
      <c r="K912" s="40">
        <v>0</v>
      </c>
      <c r="L912" s="40">
        <v>0</v>
      </c>
    </row>
    <row r="913" spans="1:12" x14ac:dyDescent="0.25">
      <c r="A913" s="40" t="s">
        <v>42</v>
      </c>
      <c r="B913" s="40" t="s">
        <v>1718</v>
      </c>
      <c r="C913" s="40" t="s">
        <v>1719</v>
      </c>
      <c r="D913" s="40" t="s">
        <v>493</v>
      </c>
      <c r="E913" s="40" t="s">
        <v>493</v>
      </c>
      <c r="F913" s="40">
        <v>0</v>
      </c>
      <c r="G913" s="40"/>
      <c r="H913" s="40" t="s">
        <v>482</v>
      </c>
      <c r="I913" s="40"/>
      <c r="J913" s="40">
        <v>0</v>
      </c>
      <c r="K913" s="40">
        <v>0</v>
      </c>
      <c r="L913" s="40">
        <v>0</v>
      </c>
    </row>
    <row r="914" spans="1:12" x14ac:dyDescent="0.25">
      <c r="A914" s="40" t="s">
        <v>42</v>
      </c>
      <c r="B914" s="40" t="s">
        <v>1720</v>
      </c>
      <c r="C914" s="40" t="s">
        <v>1721</v>
      </c>
      <c r="D914" s="40" t="s">
        <v>493</v>
      </c>
      <c r="E914" s="40" t="s">
        <v>493</v>
      </c>
      <c r="F914" s="40">
        <v>0</v>
      </c>
      <c r="G914" s="40"/>
      <c r="H914" s="40" t="s">
        <v>482</v>
      </c>
      <c r="I914" s="40"/>
      <c r="J914" s="40">
        <v>0</v>
      </c>
      <c r="K914" s="40">
        <v>0</v>
      </c>
      <c r="L914" s="40">
        <v>0</v>
      </c>
    </row>
    <row r="915" spans="1:12" x14ac:dyDescent="0.25">
      <c r="A915" s="40" t="s">
        <v>42</v>
      </c>
      <c r="B915" s="40" t="s">
        <v>1722</v>
      </c>
      <c r="C915" s="40" t="s">
        <v>1723</v>
      </c>
      <c r="D915" s="40" t="s">
        <v>1269</v>
      </c>
      <c r="E915" s="40" t="s">
        <v>1269</v>
      </c>
      <c r="F915" s="40">
        <v>0</v>
      </c>
      <c r="G915" s="40"/>
      <c r="H915" s="40" t="s">
        <v>482</v>
      </c>
      <c r="I915" s="40"/>
      <c r="J915" s="40">
        <v>0</v>
      </c>
      <c r="K915" s="40">
        <v>0</v>
      </c>
      <c r="L915" s="40">
        <v>0</v>
      </c>
    </row>
    <row r="916" spans="1:12" x14ac:dyDescent="0.25">
      <c r="A916" s="40" t="s">
        <v>42</v>
      </c>
      <c r="B916" s="40" t="s">
        <v>1724</v>
      </c>
      <c r="C916" s="40" t="s">
        <v>1725</v>
      </c>
      <c r="D916" s="40" t="s">
        <v>1552</v>
      </c>
      <c r="E916" s="40" t="s">
        <v>1552</v>
      </c>
      <c r="F916" s="40">
        <v>0</v>
      </c>
      <c r="G916" s="40"/>
      <c r="H916" s="40" t="s">
        <v>482</v>
      </c>
      <c r="I916" s="40"/>
      <c r="J916" s="40">
        <v>0</v>
      </c>
      <c r="K916" s="40">
        <v>0</v>
      </c>
      <c r="L916" s="40">
        <v>0</v>
      </c>
    </row>
    <row r="917" spans="1:12" x14ac:dyDescent="0.25">
      <c r="A917" s="40" t="s">
        <v>42</v>
      </c>
      <c r="B917" s="40" t="s">
        <v>1726</v>
      </c>
      <c r="C917" s="40" t="s">
        <v>1727</v>
      </c>
      <c r="D917" s="40" t="s">
        <v>1554</v>
      </c>
      <c r="E917" s="40" t="s">
        <v>1554</v>
      </c>
      <c r="F917" s="40">
        <v>0</v>
      </c>
      <c r="G917" s="40"/>
      <c r="H917" s="40" t="s">
        <v>482</v>
      </c>
      <c r="I917" s="40"/>
      <c r="J917" s="40">
        <v>0</v>
      </c>
      <c r="K917" s="40">
        <v>0</v>
      </c>
      <c r="L917" s="40">
        <v>0</v>
      </c>
    </row>
    <row r="918" spans="1:12" x14ac:dyDescent="0.25">
      <c r="A918" s="40" t="s">
        <v>42</v>
      </c>
      <c r="B918" s="40" t="s">
        <v>1728</v>
      </c>
      <c r="C918" s="40" t="s">
        <v>1729</v>
      </c>
      <c r="D918" s="40" t="s">
        <v>493</v>
      </c>
      <c r="E918" s="40" t="s">
        <v>493</v>
      </c>
      <c r="F918" s="40">
        <v>0</v>
      </c>
      <c r="G918" s="40"/>
      <c r="H918" s="40" t="s">
        <v>482</v>
      </c>
      <c r="I918" s="40"/>
      <c r="J918" s="40">
        <v>0</v>
      </c>
      <c r="K918" s="40">
        <v>0</v>
      </c>
      <c r="L918" s="40">
        <v>0</v>
      </c>
    </row>
    <row r="919" spans="1:12" x14ac:dyDescent="0.25">
      <c r="A919" s="40" t="s">
        <v>42</v>
      </c>
      <c r="B919" s="40" t="s">
        <v>1730</v>
      </c>
      <c r="C919" s="40" t="s">
        <v>1731</v>
      </c>
      <c r="D919" s="40" t="s">
        <v>493</v>
      </c>
      <c r="E919" s="40" t="s">
        <v>493</v>
      </c>
      <c r="F919" s="40">
        <v>0</v>
      </c>
      <c r="G919" s="40"/>
      <c r="H919" s="40" t="s">
        <v>482</v>
      </c>
      <c r="I919" s="40"/>
      <c r="J919" s="40">
        <v>0</v>
      </c>
      <c r="K919" s="40">
        <v>0</v>
      </c>
      <c r="L919" s="40">
        <v>0</v>
      </c>
    </row>
    <row r="920" spans="1:12" x14ac:dyDescent="0.25">
      <c r="A920" s="40" t="s">
        <v>42</v>
      </c>
      <c r="B920" s="40" t="s">
        <v>1732</v>
      </c>
      <c r="C920" s="40" t="s">
        <v>1733</v>
      </c>
      <c r="D920" s="40" t="s">
        <v>1558</v>
      </c>
      <c r="E920" s="40" t="s">
        <v>1558</v>
      </c>
      <c r="F920" s="40">
        <v>0</v>
      </c>
      <c r="G920" s="40"/>
      <c r="H920" s="40" t="s">
        <v>482</v>
      </c>
      <c r="I920" s="40"/>
      <c r="J920" s="40">
        <v>0</v>
      </c>
      <c r="K920" s="40">
        <v>0</v>
      </c>
      <c r="L920" s="40">
        <v>0</v>
      </c>
    </row>
    <row r="921" spans="1:12" x14ac:dyDescent="0.25">
      <c r="A921" s="40" t="s">
        <v>42</v>
      </c>
      <c r="B921" s="40" t="s">
        <v>1734</v>
      </c>
      <c r="C921" s="40" t="s">
        <v>1735</v>
      </c>
      <c r="D921" s="40" t="s">
        <v>493</v>
      </c>
      <c r="E921" s="40" t="s">
        <v>493</v>
      </c>
      <c r="F921" s="40">
        <v>0</v>
      </c>
      <c r="G921" s="40"/>
      <c r="H921" s="40" t="s">
        <v>482</v>
      </c>
      <c r="I921" s="40"/>
      <c r="J921" s="40">
        <v>0</v>
      </c>
      <c r="K921" s="40">
        <v>0</v>
      </c>
      <c r="L921" s="40">
        <v>0</v>
      </c>
    </row>
    <row r="922" spans="1:12" x14ac:dyDescent="0.25">
      <c r="A922" s="40" t="s">
        <v>42</v>
      </c>
      <c r="B922" s="40" t="s">
        <v>1736</v>
      </c>
      <c r="C922" s="40" t="s">
        <v>1737</v>
      </c>
      <c r="D922" s="40" t="s">
        <v>1148</v>
      </c>
      <c r="E922" s="40" t="s">
        <v>1148</v>
      </c>
      <c r="F922" s="40">
        <v>0</v>
      </c>
      <c r="G922" s="40"/>
      <c r="H922" s="40" t="s">
        <v>482</v>
      </c>
      <c r="I922" s="40"/>
      <c r="J922" s="40">
        <v>0</v>
      </c>
      <c r="K922" s="40">
        <v>0</v>
      </c>
      <c r="L922" s="40">
        <v>0</v>
      </c>
    </row>
    <row r="923" spans="1:12" x14ac:dyDescent="0.25">
      <c r="A923" s="40" t="s">
        <v>42</v>
      </c>
      <c r="B923" s="40" t="s">
        <v>1738</v>
      </c>
      <c r="C923" s="40" t="s">
        <v>1739</v>
      </c>
      <c r="D923" s="40" t="s">
        <v>493</v>
      </c>
      <c r="E923" s="40" t="s">
        <v>493</v>
      </c>
      <c r="F923" s="40">
        <v>0</v>
      </c>
      <c r="G923" s="40"/>
      <c r="H923" s="40" t="s">
        <v>482</v>
      </c>
      <c r="I923" s="40"/>
      <c r="J923" s="40">
        <v>0</v>
      </c>
      <c r="K923" s="40">
        <v>0</v>
      </c>
      <c r="L923" s="40">
        <v>0</v>
      </c>
    </row>
    <row r="924" spans="1:12" x14ac:dyDescent="0.25">
      <c r="A924" s="40" t="s">
        <v>42</v>
      </c>
      <c r="B924" s="40" t="s">
        <v>1740</v>
      </c>
      <c r="C924" s="40" t="s">
        <v>1741</v>
      </c>
      <c r="D924" s="40" t="s">
        <v>493</v>
      </c>
      <c r="E924" s="40" t="s">
        <v>493</v>
      </c>
      <c r="F924" s="40">
        <v>0</v>
      </c>
      <c r="G924" s="40"/>
      <c r="H924" s="40" t="s">
        <v>482</v>
      </c>
      <c r="I924" s="40"/>
      <c r="J924" s="40">
        <v>0</v>
      </c>
      <c r="K924" s="40">
        <v>0</v>
      </c>
      <c r="L924" s="40">
        <v>0</v>
      </c>
    </row>
    <row r="925" spans="1:12" x14ac:dyDescent="0.25">
      <c r="A925" s="40" t="s">
        <v>42</v>
      </c>
      <c r="B925" s="40" t="s">
        <v>1742</v>
      </c>
      <c r="C925" s="40" t="s">
        <v>1743</v>
      </c>
      <c r="D925" s="40" t="s">
        <v>493</v>
      </c>
      <c r="E925" s="40" t="s">
        <v>493</v>
      </c>
      <c r="F925" s="40">
        <v>0</v>
      </c>
      <c r="G925" s="40"/>
      <c r="H925" s="40" t="s">
        <v>482</v>
      </c>
      <c r="I925" s="40"/>
      <c r="J925" s="40">
        <v>0</v>
      </c>
      <c r="K925" s="40">
        <v>0</v>
      </c>
      <c r="L925" s="40">
        <v>0</v>
      </c>
    </row>
    <row r="926" spans="1:12" x14ac:dyDescent="0.25">
      <c r="A926" s="40" t="s">
        <v>42</v>
      </c>
      <c r="B926" s="40" t="s">
        <v>1744</v>
      </c>
      <c r="C926" s="40" t="s">
        <v>1745</v>
      </c>
      <c r="D926" s="40" t="s">
        <v>1552</v>
      </c>
      <c r="E926" s="40" t="s">
        <v>1552</v>
      </c>
      <c r="F926" s="40">
        <v>0</v>
      </c>
      <c r="G926" s="40"/>
      <c r="H926" s="40" t="s">
        <v>482</v>
      </c>
      <c r="I926" s="40"/>
      <c r="J926" s="40">
        <v>0</v>
      </c>
      <c r="K926" s="40">
        <v>0</v>
      </c>
      <c r="L926" s="40">
        <v>0</v>
      </c>
    </row>
    <row r="927" spans="1:12" x14ac:dyDescent="0.25">
      <c r="A927" s="40" t="s">
        <v>42</v>
      </c>
      <c r="B927" s="40" t="s">
        <v>1746</v>
      </c>
      <c r="C927" s="40" t="s">
        <v>1747</v>
      </c>
      <c r="D927" s="40" t="s">
        <v>1064</v>
      </c>
      <c r="E927" s="40" t="s">
        <v>1064</v>
      </c>
      <c r="F927" s="40">
        <v>0</v>
      </c>
      <c r="G927" s="40"/>
      <c r="H927" s="40" t="s">
        <v>482</v>
      </c>
      <c r="I927" s="40"/>
      <c r="J927" s="40">
        <v>0</v>
      </c>
      <c r="K927" s="40">
        <v>0</v>
      </c>
      <c r="L927" s="40">
        <v>0</v>
      </c>
    </row>
    <row r="928" spans="1:12" x14ac:dyDescent="0.25">
      <c r="A928" s="40" t="s">
        <v>42</v>
      </c>
      <c r="B928" s="40" t="s">
        <v>1748</v>
      </c>
      <c r="C928" s="40" t="s">
        <v>1749</v>
      </c>
      <c r="D928" s="40" t="s">
        <v>1149</v>
      </c>
      <c r="E928" s="40" t="s">
        <v>1149</v>
      </c>
      <c r="F928" s="40">
        <v>0</v>
      </c>
      <c r="G928" s="40"/>
      <c r="H928" s="40" t="s">
        <v>482</v>
      </c>
      <c r="I928" s="40"/>
      <c r="J928" s="40">
        <v>0</v>
      </c>
      <c r="K928" s="40">
        <v>0</v>
      </c>
      <c r="L928" s="40">
        <v>0</v>
      </c>
    </row>
    <row r="929" spans="1:12" x14ac:dyDescent="0.25">
      <c r="A929" s="40" t="s">
        <v>42</v>
      </c>
      <c r="B929" s="40" t="s">
        <v>1750</v>
      </c>
      <c r="C929" s="40" t="s">
        <v>1751</v>
      </c>
      <c r="D929" s="40" t="s">
        <v>1149</v>
      </c>
      <c r="E929" s="40" t="s">
        <v>1149</v>
      </c>
      <c r="F929" s="40">
        <v>0</v>
      </c>
      <c r="G929" s="40"/>
      <c r="H929" s="40" t="s">
        <v>482</v>
      </c>
      <c r="I929" s="40"/>
      <c r="J929" s="40">
        <v>0</v>
      </c>
      <c r="K929" s="40">
        <v>0</v>
      </c>
      <c r="L929" s="40">
        <v>0</v>
      </c>
    </row>
    <row r="930" spans="1:12" x14ac:dyDescent="0.25">
      <c r="A930" s="40" t="s">
        <v>42</v>
      </c>
      <c r="B930" s="40" t="s">
        <v>1752</v>
      </c>
      <c r="C930" s="40" t="s">
        <v>1753</v>
      </c>
      <c r="D930" s="40" t="s">
        <v>1511</v>
      </c>
      <c r="E930" s="40" t="s">
        <v>1511</v>
      </c>
      <c r="F930" s="40">
        <v>0</v>
      </c>
      <c r="G930" s="40"/>
      <c r="H930" s="40" t="s">
        <v>482</v>
      </c>
      <c r="I930" s="40"/>
      <c r="J930" s="40">
        <v>0</v>
      </c>
      <c r="K930" s="40">
        <v>0</v>
      </c>
      <c r="L930" s="40">
        <v>0</v>
      </c>
    </row>
    <row r="931" spans="1:12" x14ac:dyDescent="0.25">
      <c r="A931" s="40" t="s">
        <v>42</v>
      </c>
      <c r="B931" s="40" t="s">
        <v>1754</v>
      </c>
      <c r="C931" s="40" t="s">
        <v>1755</v>
      </c>
      <c r="D931" s="40" t="s">
        <v>493</v>
      </c>
      <c r="E931" s="40" t="s">
        <v>493</v>
      </c>
      <c r="F931" s="40">
        <v>0</v>
      </c>
      <c r="G931" s="40"/>
      <c r="H931" s="40" t="s">
        <v>482</v>
      </c>
      <c r="I931" s="40"/>
      <c r="J931" s="40">
        <v>0</v>
      </c>
      <c r="K931" s="40">
        <v>0</v>
      </c>
      <c r="L931" s="40">
        <v>0</v>
      </c>
    </row>
    <row r="932" spans="1:12" x14ac:dyDescent="0.25">
      <c r="A932" s="40" t="s">
        <v>42</v>
      </c>
      <c r="B932" s="40" t="s">
        <v>1756</v>
      </c>
      <c r="C932" s="40" t="s">
        <v>1757</v>
      </c>
      <c r="D932" s="40" t="s">
        <v>493</v>
      </c>
      <c r="E932" s="40" t="s">
        <v>493</v>
      </c>
      <c r="F932" s="40">
        <v>0</v>
      </c>
      <c r="G932" s="40"/>
      <c r="H932" s="40" t="s">
        <v>482</v>
      </c>
      <c r="I932" s="40"/>
      <c r="J932" s="40">
        <v>0</v>
      </c>
      <c r="K932" s="40">
        <v>0</v>
      </c>
      <c r="L932" s="40">
        <v>0</v>
      </c>
    </row>
    <row r="933" spans="1:12" x14ac:dyDescent="0.25">
      <c r="A933" s="40" t="s">
        <v>42</v>
      </c>
      <c r="B933" s="40" t="s">
        <v>1758</v>
      </c>
      <c r="C933" s="40" t="s">
        <v>1759</v>
      </c>
      <c r="D933" s="40" t="s">
        <v>493</v>
      </c>
      <c r="E933" s="40" t="s">
        <v>493</v>
      </c>
      <c r="F933" s="40">
        <v>0</v>
      </c>
      <c r="G933" s="40"/>
      <c r="H933" s="40" t="s">
        <v>482</v>
      </c>
      <c r="I933" s="40"/>
      <c r="J933" s="40">
        <v>0</v>
      </c>
      <c r="K933" s="40">
        <v>0</v>
      </c>
      <c r="L933" s="40">
        <v>0</v>
      </c>
    </row>
    <row r="934" spans="1:12" x14ac:dyDescent="0.25">
      <c r="A934" s="40" t="s">
        <v>42</v>
      </c>
      <c r="B934" s="40" t="s">
        <v>1760</v>
      </c>
      <c r="C934" s="40" t="s">
        <v>1761</v>
      </c>
      <c r="D934" s="40" t="s">
        <v>493</v>
      </c>
      <c r="E934" s="40" t="s">
        <v>493</v>
      </c>
      <c r="F934" s="40">
        <v>0</v>
      </c>
      <c r="G934" s="40"/>
      <c r="H934" s="40" t="s">
        <v>482</v>
      </c>
      <c r="I934" s="40"/>
      <c r="J934" s="40">
        <v>0</v>
      </c>
      <c r="K934" s="40">
        <v>0</v>
      </c>
      <c r="L934" s="40">
        <v>0</v>
      </c>
    </row>
    <row r="935" spans="1:12" x14ac:dyDescent="0.25">
      <c r="A935" s="40" t="s">
        <v>42</v>
      </c>
      <c r="B935" s="40" t="s">
        <v>1762</v>
      </c>
      <c r="C935" s="40" t="s">
        <v>1763</v>
      </c>
      <c r="D935" s="40" t="s">
        <v>1511</v>
      </c>
      <c r="E935" s="40" t="s">
        <v>1511</v>
      </c>
      <c r="F935" s="40">
        <v>0</v>
      </c>
      <c r="G935" s="40"/>
      <c r="H935" s="40" t="s">
        <v>482</v>
      </c>
      <c r="I935" s="40"/>
      <c r="J935" s="40">
        <v>0</v>
      </c>
      <c r="K935" s="40">
        <v>0</v>
      </c>
      <c r="L935" s="40">
        <v>0</v>
      </c>
    </row>
    <row r="936" spans="1:12" x14ac:dyDescent="0.25">
      <c r="A936" s="40" t="s">
        <v>42</v>
      </c>
      <c r="B936" s="40" t="s">
        <v>1764</v>
      </c>
      <c r="C936" s="40" t="s">
        <v>1765</v>
      </c>
      <c r="D936" s="40" t="s">
        <v>493</v>
      </c>
      <c r="E936" s="40" t="s">
        <v>493</v>
      </c>
      <c r="F936" s="40">
        <v>0</v>
      </c>
      <c r="G936" s="40"/>
      <c r="H936" s="40" t="s">
        <v>482</v>
      </c>
      <c r="I936" s="40"/>
      <c r="J936" s="40">
        <v>0</v>
      </c>
      <c r="K936" s="40">
        <v>0</v>
      </c>
      <c r="L936" s="40">
        <v>0</v>
      </c>
    </row>
    <row r="937" spans="1:12" x14ac:dyDescent="0.25">
      <c r="A937" s="40" t="s">
        <v>42</v>
      </c>
      <c r="B937" s="40" t="s">
        <v>1766</v>
      </c>
      <c r="C937" s="40" t="s">
        <v>1767</v>
      </c>
      <c r="D937" s="40" t="s">
        <v>728</v>
      </c>
      <c r="E937" s="40" t="s">
        <v>728</v>
      </c>
      <c r="F937" s="40">
        <v>0</v>
      </c>
      <c r="G937" s="40"/>
      <c r="H937" s="40" t="s">
        <v>482</v>
      </c>
      <c r="I937" s="40"/>
      <c r="J937" s="40">
        <v>0</v>
      </c>
      <c r="K937" s="40">
        <v>0</v>
      </c>
      <c r="L937" s="40">
        <v>0</v>
      </c>
    </row>
    <row r="938" spans="1:12" x14ac:dyDescent="0.25">
      <c r="A938" s="40" t="s">
        <v>42</v>
      </c>
      <c r="B938" s="40" t="s">
        <v>1768</v>
      </c>
      <c r="C938" s="40" t="s">
        <v>1769</v>
      </c>
      <c r="D938" s="40" t="s">
        <v>493</v>
      </c>
      <c r="E938" s="40" t="s">
        <v>493</v>
      </c>
      <c r="F938" s="40">
        <v>0</v>
      </c>
      <c r="G938" s="40"/>
      <c r="H938" s="40" t="s">
        <v>482</v>
      </c>
      <c r="I938" s="40"/>
      <c r="J938" s="40">
        <v>0</v>
      </c>
      <c r="K938" s="40">
        <v>0</v>
      </c>
      <c r="L938" s="40">
        <v>0</v>
      </c>
    </row>
    <row r="939" spans="1:12" x14ac:dyDescent="0.25">
      <c r="A939" s="40" t="s">
        <v>42</v>
      </c>
      <c r="B939" s="40" t="s">
        <v>1770</v>
      </c>
      <c r="C939" s="40" t="s">
        <v>1771</v>
      </c>
      <c r="D939" s="40" t="s">
        <v>1271</v>
      </c>
      <c r="E939" s="40" t="s">
        <v>1271</v>
      </c>
      <c r="F939" s="40">
        <v>0</v>
      </c>
      <c r="G939" s="40"/>
      <c r="H939" s="40" t="s">
        <v>482</v>
      </c>
      <c r="I939" s="40"/>
      <c r="J939" s="40">
        <v>0</v>
      </c>
      <c r="K939" s="40">
        <v>0</v>
      </c>
      <c r="L939" s="40">
        <v>0</v>
      </c>
    </row>
    <row r="940" spans="1:12" x14ac:dyDescent="0.25">
      <c r="A940" s="40" t="s">
        <v>42</v>
      </c>
      <c r="B940" s="40" t="s">
        <v>1772</v>
      </c>
      <c r="C940" s="40" t="s">
        <v>1773</v>
      </c>
      <c r="D940" s="40" t="s">
        <v>493</v>
      </c>
      <c r="E940" s="40" t="s">
        <v>493</v>
      </c>
      <c r="F940" s="40">
        <v>0</v>
      </c>
      <c r="G940" s="40"/>
      <c r="H940" s="40" t="s">
        <v>482</v>
      </c>
      <c r="I940" s="40"/>
      <c r="J940" s="40">
        <v>0</v>
      </c>
      <c r="K940" s="40">
        <v>0</v>
      </c>
      <c r="L940" s="40">
        <v>0</v>
      </c>
    </row>
    <row r="941" spans="1:12" x14ac:dyDescent="0.25">
      <c r="A941" s="40" t="s">
        <v>42</v>
      </c>
      <c r="B941" s="40" t="s">
        <v>1774</v>
      </c>
      <c r="C941" s="40" t="s">
        <v>1775</v>
      </c>
      <c r="D941" s="40" t="s">
        <v>493</v>
      </c>
      <c r="E941" s="40" t="s">
        <v>493</v>
      </c>
      <c r="F941" s="40">
        <v>0</v>
      </c>
      <c r="G941" s="40"/>
      <c r="H941" s="40" t="s">
        <v>482</v>
      </c>
      <c r="I941" s="40"/>
      <c r="J941" s="40">
        <v>0</v>
      </c>
      <c r="K941" s="40">
        <v>0</v>
      </c>
      <c r="L941" s="40">
        <v>0</v>
      </c>
    </row>
    <row r="942" spans="1:12" x14ac:dyDescent="0.25">
      <c r="A942" s="40" t="s">
        <v>42</v>
      </c>
      <c r="B942" s="40" t="s">
        <v>1776</v>
      </c>
      <c r="C942" s="40" t="s">
        <v>1777</v>
      </c>
      <c r="D942" s="40" t="s">
        <v>493</v>
      </c>
      <c r="E942" s="40" t="s">
        <v>493</v>
      </c>
      <c r="F942" s="40">
        <v>0</v>
      </c>
      <c r="G942" s="40"/>
      <c r="H942" s="40" t="s">
        <v>482</v>
      </c>
      <c r="I942" s="40"/>
      <c r="J942" s="40">
        <v>0</v>
      </c>
      <c r="K942" s="40">
        <v>0</v>
      </c>
      <c r="L942" s="40">
        <v>0</v>
      </c>
    </row>
    <row r="943" spans="1:12" x14ac:dyDescent="0.25">
      <c r="A943" s="40" t="s">
        <v>42</v>
      </c>
      <c r="B943" s="40" t="s">
        <v>1778</v>
      </c>
      <c r="C943" s="40" t="s">
        <v>1779</v>
      </c>
      <c r="D943" s="40" t="s">
        <v>1154</v>
      </c>
      <c r="E943" s="40" t="s">
        <v>1154</v>
      </c>
      <c r="F943" s="40">
        <v>0</v>
      </c>
      <c r="G943" s="40"/>
      <c r="H943" s="40" t="s">
        <v>482</v>
      </c>
      <c r="I943" s="40"/>
      <c r="J943" s="40">
        <v>0</v>
      </c>
      <c r="K943" s="40">
        <v>0</v>
      </c>
      <c r="L943" s="40">
        <v>0</v>
      </c>
    </row>
    <row r="944" spans="1:12" x14ac:dyDescent="0.25">
      <c r="A944" s="40" t="s">
        <v>42</v>
      </c>
      <c r="B944" s="40" t="s">
        <v>1780</v>
      </c>
      <c r="C944" s="40" t="s">
        <v>1781</v>
      </c>
      <c r="D944" s="40" t="s">
        <v>493</v>
      </c>
      <c r="E944" s="40" t="s">
        <v>493</v>
      </c>
      <c r="F944" s="40">
        <v>0</v>
      </c>
      <c r="G944" s="40"/>
      <c r="H944" s="40" t="s">
        <v>482</v>
      </c>
      <c r="I944" s="40"/>
      <c r="J944" s="40">
        <v>0</v>
      </c>
      <c r="K944" s="40">
        <v>0</v>
      </c>
      <c r="L944" s="40">
        <v>0</v>
      </c>
    </row>
    <row r="945" spans="1:12" x14ac:dyDescent="0.25">
      <c r="A945" s="40" t="s">
        <v>42</v>
      </c>
      <c r="B945" s="40" t="s">
        <v>1782</v>
      </c>
      <c r="C945" s="40" t="s">
        <v>1783</v>
      </c>
      <c r="D945" s="40" t="s">
        <v>493</v>
      </c>
      <c r="E945" s="40" t="s">
        <v>493</v>
      </c>
      <c r="F945" s="40">
        <v>0</v>
      </c>
      <c r="G945" s="40"/>
      <c r="H945" s="40" t="s">
        <v>482</v>
      </c>
      <c r="I945" s="40"/>
      <c r="J945" s="40">
        <v>0</v>
      </c>
      <c r="K945" s="40">
        <v>0</v>
      </c>
      <c r="L945" s="40">
        <v>0</v>
      </c>
    </row>
    <row r="946" spans="1:12" x14ac:dyDescent="0.25">
      <c r="A946" s="40" t="s">
        <v>42</v>
      </c>
      <c r="B946" s="40" t="s">
        <v>1784</v>
      </c>
      <c r="C946" s="40" t="s">
        <v>1785</v>
      </c>
      <c r="D946" s="40" t="s">
        <v>493</v>
      </c>
      <c r="E946" s="40" t="s">
        <v>493</v>
      </c>
      <c r="F946" s="40">
        <v>0</v>
      </c>
      <c r="G946" s="40"/>
      <c r="H946" s="40" t="s">
        <v>482</v>
      </c>
      <c r="I946" s="40"/>
      <c r="J946" s="40">
        <v>0</v>
      </c>
      <c r="K946" s="40">
        <v>0</v>
      </c>
      <c r="L946" s="40">
        <v>0</v>
      </c>
    </row>
    <row r="947" spans="1:12" x14ac:dyDescent="0.25">
      <c r="A947" s="40" t="s">
        <v>42</v>
      </c>
      <c r="B947" s="40" t="s">
        <v>1786</v>
      </c>
      <c r="C947" s="40" t="s">
        <v>1787</v>
      </c>
      <c r="D947" s="40" t="s">
        <v>493</v>
      </c>
      <c r="E947" s="40" t="s">
        <v>493</v>
      </c>
      <c r="F947" s="40">
        <v>0</v>
      </c>
      <c r="G947" s="40"/>
      <c r="H947" s="40" t="s">
        <v>482</v>
      </c>
      <c r="I947" s="40"/>
      <c r="J947" s="40">
        <v>0</v>
      </c>
      <c r="K947" s="40">
        <v>0</v>
      </c>
      <c r="L947" s="40">
        <v>0</v>
      </c>
    </row>
    <row r="948" spans="1:12" x14ac:dyDescent="0.25">
      <c r="A948" s="40" t="s">
        <v>42</v>
      </c>
      <c r="B948" s="40" t="s">
        <v>1788</v>
      </c>
      <c r="C948" s="40" t="s">
        <v>1789</v>
      </c>
      <c r="D948" s="40" t="s">
        <v>493</v>
      </c>
      <c r="E948" s="40" t="s">
        <v>493</v>
      </c>
      <c r="F948" s="40">
        <v>0</v>
      </c>
      <c r="G948" s="40"/>
      <c r="H948" s="40" t="s">
        <v>482</v>
      </c>
      <c r="I948" s="40"/>
      <c r="J948" s="40">
        <v>0</v>
      </c>
      <c r="K948" s="40">
        <v>0</v>
      </c>
      <c r="L948" s="40">
        <v>0</v>
      </c>
    </row>
    <row r="949" spans="1:12" x14ac:dyDescent="0.25">
      <c r="A949" s="40" t="s">
        <v>42</v>
      </c>
      <c r="B949" s="40" t="s">
        <v>1790</v>
      </c>
      <c r="C949" s="40" t="s">
        <v>1791</v>
      </c>
      <c r="D949" s="40" t="s">
        <v>493</v>
      </c>
      <c r="E949" s="40" t="s">
        <v>493</v>
      </c>
      <c r="F949" s="40">
        <v>0</v>
      </c>
      <c r="G949" s="40"/>
      <c r="H949" s="40" t="s">
        <v>482</v>
      </c>
      <c r="I949" s="40"/>
      <c r="J949" s="40">
        <v>0</v>
      </c>
      <c r="K949" s="40">
        <v>0</v>
      </c>
      <c r="L949" s="40">
        <v>0</v>
      </c>
    </row>
    <row r="950" spans="1:12" x14ac:dyDescent="0.25">
      <c r="A950" s="40" t="s">
        <v>42</v>
      </c>
      <c r="B950" s="40" t="s">
        <v>1792</v>
      </c>
      <c r="C950" s="40" t="s">
        <v>1793</v>
      </c>
      <c r="D950" s="40" t="s">
        <v>493</v>
      </c>
      <c r="E950" s="40" t="s">
        <v>493</v>
      </c>
      <c r="F950" s="40">
        <v>0</v>
      </c>
      <c r="G950" s="40"/>
      <c r="H950" s="40" t="s">
        <v>482</v>
      </c>
      <c r="I950" s="40"/>
      <c r="J950" s="40">
        <v>0</v>
      </c>
      <c r="K950" s="40">
        <v>0</v>
      </c>
      <c r="L950" s="40">
        <v>0</v>
      </c>
    </row>
    <row r="951" spans="1:12" x14ac:dyDescent="0.25">
      <c r="A951" s="40" t="s">
        <v>42</v>
      </c>
      <c r="B951" s="40" t="s">
        <v>1794</v>
      </c>
      <c r="C951" s="40" t="s">
        <v>1795</v>
      </c>
      <c r="D951" s="40" t="s">
        <v>493</v>
      </c>
      <c r="E951" s="40" t="s">
        <v>493</v>
      </c>
      <c r="F951" s="40">
        <v>0</v>
      </c>
      <c r="G951" s="40"/>
      <c r="H951" s="40" t="s">
        <v>482</v>
      </c>
      <c r="I951" s="40"/>
      <c r="J951" s="40">
        <v>0</v>
      </c>
      <c r="K951" s="40">
        <v>0</v>
      </c>
      <c r="L951" s="40">
        <v>0</v>
      </c>
    </row>
    <row r="952" spans="1:12" x14ac:dyDescent="0.25">
      <c r="A952" s="40" t="s">
        <v>42</v>
      </c>
      <c r="B952" s="40" t="s">
        <v>1796</v>
      </c>
      <c r="C952" s="40" t="s">
        <v>1797</v>
      </c>
      <c r="D952" s="40" t="s">
        <v>493</v>
      </c>
      <c r="E952" s="40" t="s">
        <v>493</v>
      </c>
      <c r="F952" s="40">
        <v>0</v>
      </c>
      <c r="G952" s="40"/>
      <c r="H952" s="40" t="s">
        <v>482</v>
      </c>
      <c r="I952" s="40"/>
      <c r="J952" s="40">
        <v>0</v>
      </c>
      <c r="K952" s="40">
        <v>0</v>
      </c>
      <c r="L952" s="40">
        <v>0</v>
      </c>
    </row>
    <row r="953" spans="1:12" x14ac:dyDescent="0.25">
      <c r="A953" s="40" t="s">
        <v>42</v>
      </c>
      <c r="B953" s="40" t="s">
        <v>1798</v>
      </c>
      <c r="C953" s="40" t="s">
        <v>1799</v>
      </c>
      <c r="D953" s="40" t="s">
        <v>493</v>
      </c>
      <c r="E953" s="40" t="s">
        <v>493</v>
      </c>
      <c r="F953" s="40">
        <v>0</v>
      </c>
      <c r="G953" s="40"/>
      <c r="H953" s="40" t="s">
        <v>482</v>
      </c>
      <c r="I953" s="40"/>
      <c r="J953" s="40">
        <v>0</v>
      </c>
      <c r="K953" s="40">
        <v>0</v>
      </c>
      <c r="L953" s="40">
        <v>0</v>
      </c>
    </row>
    <row r="954" spans="1:12" x14ac:dyDescent="0.25">
      <c r="A954" s="40" t="s">
        <v>42</v>
      </c>
      <c r="B954" s="40" t="s">
        <v>1800</v>
      </c>
      <c r="C954" s="40" t="s">
        <v>1801</v>
      </c>
      <c r="D954" s="40" t="s">
        <v>493</v>
      </c>
      <c r="E954" s="40" t="s">
        <v>493</v>
      </c>
      <c r="F954" s="40">
        <v>0</v>
      </c>
      <c r="G954" s="40"/>
      <c r="H954" s="40" t="s">
        <v>482</v>
      </c>
      <c r="I954" s="40"/>
      <c r="J954" s="40">
        <v>0</v>
      </c>
      <c r="K954" s="40">
        <v>0</v>
      </c>
      <c r="L954" s="40">
        <v>0</v>
      </c>
    </row>
    <row r="955" spans="1:12" x14ac:dyDescent="0.25">
      <c r="A955" s="40" t="s">
        <v>42</v>
      </c>
      <c r="B955" s="40" t="s">
        <v>1802</v>
      </c>
      <c r="C955" s="40" t="s">
        <v>1803</v>
      </c>
      <c r="D955" s="40" t="s">
        <v>493</v>
      </c>
      <c r="E955" s="40" t="s">
        <v>493</v>
      </c>
      <c r="F955" s="40">
        <v>0</v>
      </c>
      <c r="G955" s="40"/>
      <c r="H955" s="40" t="s">
        <v>482</v>
      </c>
      <c r="I955" s="40"/>
      <c r="J955" s="40">
        <v>0</v>
      </c>
      <c r="K955" s="40">
        <v>0</v>
      </c>
      <c r="L955" s="40">
        <v>0</v>
      </c>
    </row>
    <row r="956" spans="1:12" x14ac:dyDescent="0.25">
      <c r="A956" s="40" t="s">
        <v>42</v>
      </c>
      <c r="B956" s="40" t="s">
        <v>1804</v>
      </c>
      <c r="C956" s="40" t="s">
        <v>1805</v>
      </c>
      <c r="D956" s="40" t="s">
        <v>493</v>
      </c>
      <c r="E956" s="40" t="s">
        <v>493</v>
      </c>
      <c r="F956" s="40">
        <v>0</v>
      </c>
      <c r="G956" s="40"/>
      <c r="H956" s="40" t="s">
        <v>482</v>
      </c>
      <c r="I956" s="40"/>
      <c r="J956" s="40">
        <v>0</v>
      </c>
      <c r="K956" s="40">
        <v>0</v>
      </c>
      <c r="L956" s="40">
        <v>0</v>
      </c>
    </row>
    <row r="957" spans="1:12" x14ac:dyDescent="0.25">
      <c r="A957" s="40" t="s">
        <v>42</v>
      </c>
      <c r="B957" s="40" t="s">
        <v>1806</v>
      </c>
      <c r="C957" s="40" t="s">
        <v>1807</v>
      </c>
      <c r="D957" s="40" t="s">
        <v>493</v>
      </c>
      <c r="E957" s="40" t="s">
        <v>493</v>
      </c>
      <c r="F957" s="40">
        <v>0</v>
      </c>
      <c r="G957" s="40"/>
      <c r="H957" s="40" t="s">
        <v>482</v>
      </c>
      <c r="I957" s="40"/>
      <c r="J957" s="40">
        <v>0</v>
      </c>
      <c r="K957" s="40">
        <v>0</v>
      </c>
      <c r="L957" s="40">
        <v>0</v>
      </c>
    </row>
    <row r="958" spans="1:12" x14ac:dyDescent="0.25">
      <c r="A958" s="40" t="s">
        <v>42</v>
      </c>
      <c r="B958" s="40" t="s">
        <v>1808</v>
      </c>
      <c r="C958" s="40" t="s">
        <v>1809</v>
      </c>
      <c r="D958" s="40" t="s">
        <v>493</v>
      </c>
      <c r="E958" s="40" t="s">
        <v>493</v>
      </c>
      <c r="F958" s="40">
        <v>0</v>
      </c>
      <c r="G958" s="40"/>
      <c r="H958" s="40" t="s">
        <v>482</v>
      </c>
      <c r="I958" s="40"/>
      <c r="J958" s="40">
        <v>0</v>
      </c>
      <c r="K958" s="40">
        <v>0</v>
      </c>
      <c r="L958" s="40">
        <v>0</v>
      </c>
    </row>
    <row r="959" spans="1:12" x14ac:dyDescent="0.25">
      <c r="A959" s="40" t="s">
        <v>42</v>
      </c>
      <c r="B959" s="40" t="s">
        <v>1810</v>
      </c>
      <c r="C959" s="40" t="s">
        <v>1811</v>
      </c>
      <c r="D959" s="40" t="s">
        <v>493</v>
      </c>
      <c r="E959" s="40" t="s">
        <v>493</v>
      </c>
      <c r="F959" s="40">
        <v>0</v>
      </c>
      <c r="G959" s="40"/>
      <c r="H959" s="40" t="s">
        <v>482</v>
      </c>
      <c r="I959" s="40"/>
      <c r="J959" s="40">
        <v>0</v>
      </c>
      <c r="K959" s="40">
        <v>0</v>
      </c>
      <c r="L959" s="40">
        <v>0</v>
      </c>
    </row>
    <row r="960" spans="1:12" x14ac:dyDescent="0.25">
      <c r="A960" s="40" t="s">
        <v>42</v>
      </c>
      <c r="B960" s="40" t="s">
        <v>1812</v>
      </c>
      <c r="C960" s="40" t="s">
        <v>1813</v>
      </c>
      <c r="D960" s="40" t="s">
        <v>493</v>
      </c>
      <c r="E960" s="40" t="s">
        <v>493</v>
      </c>
      <c r="F960" s="40">
        <v>0</v>
      </c>
      <c r="G960" s="40"/>
      <c r="H960" s="40" t="s">
        <v>482</v>
      </c>
      <c r="I960" s="40"/>
      <c r="J960" s="40">
        <v>0</v>
      </c>
      <c r="K960" s="40">
        <v>0</v>
      </c>
      <c r="L960" s="40">
        <v>0</v>
      </c>
    </row>
    <row r="961" spans="1:12" x14ac:dyDescent="0.25">
      <c r="A961" s="40" t="s">
        <v>42</v>
      </c>
      <c r="B961" s="40" t="s">
        <v>1814</v>
      </c>
      <c r="C961" s="40" t="s">
        <v>1815</v>
      </c>
      <c r="D961" s="40" t="s">
        <v>493</v>
      </c>
      <c r="E961" s="40" t="s">
        <v>493</v>
      </c>
      <c r="F961" s="40">
        <v>0</v>
      </c>
      <c r="G961" s="40"/>
      <c r="H961" s="40" t="s">
        <v>482</v>
      </c>
      <c r="I961" s="40"/>
      <c r="J961" s="40">
        <v>0</v>
      </c>
      <c r="K961" s="40">
        <v>0</v>
      </c>
      <c r="L961" s="40">
        <v>0</v>
      </c>
    </row>
    <row r="962" spans="1:12" x14ac:dyDescent="0.25">
      <c r="A962" s="40" t="s">
        <v>42</v>
      </c>
      <c r="B962" s="40" t="s">
        <v>1816</v>
      </c>
      <c r="C962" s="40" t="s">
        <v>1817</v>
      </c>
      <c r="D962" s="40" t="s">
        <v>493</v>
      </c>
      <c r="E962" s="40" t="s">
        <v>493</v>
      </c>
      <c r="F962" s="40">
        <v>0</v>
      </c>
      <c r="G962" s="40"/>
      <c r="H962" s="40" t="s">
        <v>482</v>
      </c>
      <c r="I962" s="40"/>
      <c r="J962" s="40">
        <v>0</v>
      </c>
      <c r="K962" s="40">
        <v>0</v>
      </c>
      <c r="L962" s="40">
        <v>0</v>
      </c>
    </row>
    <row r="963" spans="1:12" x14ac:dyDescent="0.25">
      <c r="A963" s="40" t="s">
        <v>42</v>
      </c>
      <c r="B963" s="40" t="s">
        <v>1818</v>
      </c>
      <c r="C963" s="40" t="s">
        <v>1819</v>
      </c>
      <c r="D963" s="40" t="s">
        <v>493</v>
      </c>
      <c r="E963" s="40" t="s">
        <v>493</v>
      </c>
      <c r="F963" s="40">
        <v>0</v>
      </c>
      <c r="G963" s="40"/>
      <c r="H963" s="40" t="s">
        <v>482</v>
      </c>
      <c r="I963" s="40"/>
      <c r="J963" s="40">
        <v>0</v>
      </c>
      <c r="K963" s="40">
        <v>0</v>
      </c>
      <c r="L963" s="40">
        <v>0</v>
      </c>
    </row>
    <row r="964" spans="1:12" x14ac:dyDescent="0.25">
      <c r="A964" s="40" t="s">
        <v>42</v>
      </c>
      <c r="B964" s="40" t="s">
        <v>1820</v>
      </c>
      <c r="C964" s="40" t="s">
        <v>1821</v>
      </c>
      <c r="D964" s="40" t="s">
        <v>493</v>
      </c>
      <c r="E964" s="40" t="s">
        <v>493</v>
      </c>
      <c r="F964" s="40">
        <v>0</v>
      </c>
      <c r="G964" s="40"/>
      <c r="H964" s="40" t="s">
        <v>482</v>
      </c>
      <c r="I964" s="40"/>
      <c r="J964" s="40">
        <v>0</v>
      </c>
      <c r="K964" s="40">
        <v>0</v>
      </c>
      <c r="L964" s="40">
        <v>0</v>
      </c>
    </row>
    <row r="965" spans="1:12" x14ac:dyDescent="0.25">
      <c r="A965" s="40" t="s">
        <v>42</v>
      </c>
      <c r="B965" s="40" t="s">
        <v>1822</v>
      </c>
      <c r="C965" s="40" t="s">
        <v>1823</v>
      </c>
      <c r="D965" s="40" t="s">
        <v>1235</v>
      </c>
      <c r="E965" s="40" t="s">
        <v>1235</v>
      </c>
      <c r="F965" s="40">
        <v>0</v>
      </c>
      <c r="G965" s="40"/>
      <c r="H965" s="40" t="s">
        <v>482</v>
      </c>
      <c r="I965" s="40"/>
      <c r="J965" s="40">
        <v>0</v>
      </c>
      <c r="K965" s="40">
        <v>0</v>
      </c>
      <c r="L965" s="40">
        <v>0</v>
      </c>
    </row>
    <row r="966" spans="1:12" x14ac:dyDescent="0.25">
      <c r="A966" s="40" t="s">
        <v>42</v>
      </c>
      <c r="B966" s="40" t="s">
        <v>1824</v>
      </c>
      <c r="C966" s="40" t="s">
        <v>1825</v>
      </c>
      <c r="D966" s="40" t="s">
        <v>1235</v>
      </c>
      <c r="E966" s="40" t="s">
        <v>1235</v>
      </c>
      <c r="F966" s="40">
        <v>0</v>
      </c>
      <c r="G966" s="40"/>
      <c r="H966" s="40" t="s">
        <v>482</v>
      </c>
      <c r="I966" s="40"/>
      <c r="J966" s="40">
        <v>0</v>
      </c>
      <c r="K966" s="40">
        <v>0</v>
      </c>
      <c r="L966" s="40">
        <v>0</v>
      </c>
    </row>
    <row r="967" spans="1:12" x14ac:dyDescent="0.25">
      <c r="A967" s="40" t="s">
        <v>42</v>
      </c>
      <c r="B967" s="40" t="s">
        <v>1826</v>
      </c>
      <c r="C967" s="40" t="s">
        <v>1827</v>
      </c>
      <c r="D967" s="40" t="s">
        <v>1149</v>
      </c>
      <c r="E967" s="40" t="s">
        <v>1149</v>
      </c>
      <c r="F967" s="40">
        <v>0</v>
      </c>
      <c r="G967" s="40"/>
      <c r="H967" s="40" t="s">
        <v>482</v>
      </c>
      <c r="I967" s="40"/>
      <c r="J967" s="40">
        <v>0</v>
      </c>
      <c r="K967" s="40">
        <v>0</v>
      </c>
      <c r="L967" s="40">
        <v>0</v>
      </c>
    </row>
    <row r="968" spans="1:12" x14ac:dyDescent="0.25">
      <c r="A968" s="40" t="s">
        <v>42</v>
      </c>
      <c r="B968" s="40" t="s">
        <v>1828</v>
      </c>
      <c r="C968" s="40" t="s">
        <v>1829</v>
      </c>
      <c r="D968" s="40" t="s">
        <v>1149</v>
      </c>
      <c r="E968" s="40" t="s">
        <v>1149</v>
      </c>
      <c r="F968" s="40">
        <v>0</v>
      </c>
      <c r="G968" s="40"/>
      <c r="H968" s="40" t="s">
        <v>482</v>
      </c>
      <c r="I968" s="40"/>
      <c r="J968" s="40">
        <v>0</v>
      </c>
      <c r="K968" s="40">
        <v>0</v>
      </c>
      <c r="L968" s="40">
        <v>0</v>
      </c>
    </row>
    <row r="969" spans="1:12" x14ac:dyDescent="0.25">
      <c r="A969" s="40" t="s">
        <v>42</v>
      </c>
      <c r="B969" s="40" t="s">
        <v>1830</v>
      </c>
      <c r="C969" s="40" t="s">
        <v>1831</v>
      </c>
      <c r="D969" s="40" t="s">
        <v>1188</v>
      </c>
      <c r="E969" s="40" t="s">
        <v>1188</v>
      </c>
      <c r="F969" s="40">
        <v>0</v>
      </c>
      <c r="G969" s="40"/>
      <c r="H969" s="40" t="s">
        <v>482</v>
      </c>
      <c r="I969" s="40"/>
      <c r="J969" s="40">
        <v>0</v>
      </c>
      <c r="K969" s="40">
        <v>0</v>
      </c>
      <c r="L969" s="40">
        <v>0</v>
      </c>
    </row>
    <row r="970" spans="1:12" x14ac:dyDescent="0.25">
      <c r="A970" s="40" t="s">
        <v>42</v>
      </c>
      <c r="B970" s="40" t="s">
        <v>1832</v>
      </c>
      <c r="C970" s="40" t="s">
        <v>1833</v>
      </c>
      <c r="D970" s="40" t="s">
        <v>493</v>
      </c>
      <c r="E970" s="40" t="s">
        <v>493</v>
      </c>
      <c r="F970" s="40">
        <v>0</v>
      </c>
      <c r="G970" s="40"/>
      <c r="H970" s="40" t="s">
        <v>482</v>
      </c>
      <c r="I970" s="40"/>
      <c r="J970" s="40">
        <v>0</v>
      </c>
      <c r="K970" s="40">
        <v>0</v>
      </c>
      <c r="L970" s="40">
        <v>0</v>
      </c>
    </row>
    <row r="971" spans="1:12" x14ac:dyDescent="0.25">
      <c r="A971" s="40" t="s">
        <v>42</v>
      </c>
      <c r="B971" s="40" t="s">
        <v>1834</v>
      </c>
      <c r="C971" s="40" t="s">
        <v>1835</v>
      </c>
      <c r="D971" s="40" t="s">
        <v>1525</v>
      </c>
      <c r="E971" s="40" t="s">
        <v>1525</v>
      </c>
      <c r="F971" s="40">
        <v>0</v>
      </c>
      <c r="G971" s="40"/>
      <c r="H971" s="40" t="s">
        <v>482</v>
      </c>
      <c r="I971" s="40"/>
      <c r="J971" s="40">
        <v>0</v>
      </c>
      <c r="K971" s="40">
        <v>0</v>
      </c>
      <c r="L971" s="40">
        <v>0</v>
      </c>
    </row>
    <row r="972" spans="1:12" x14ac:dyDescent="0.25">
      <c r="A972" s="40" t="s">
        <v>42</v>
      </c>
      <c r="B972" s="40" t="s">
        <v>1836</v>
      </c>
      <c r="C972" s="40" t="s">
        <v>1837</v>
      </c>
      <c r="D972" s="40" t="s">
        <v>1525</v>
      </c>
      <c r="E972" s="40" t="s">
        <v>1525</v>
      </c>
      <c r="F972" s="40">
        <v>0</v>
      </c>
      <c r="G972" s="40"/>
      <c r="H972" s="40" t="s">
        <v>482</v>
      </c>
      <c r="I972" s="40"/>
      <c r="J972" s="40">
        <v>0</v>
      </c>
      <c r="K972" s="40">
        <v>0</v>
      </c>
      <c r="L972" s="40">
        <v>0</v>
      </c>
    </row>
    <row r="973" spans="1:12" x14ac:dyDescent="0.25">
      <c r="A973" s="40" t="s">
        <v>42</v>
      </c>
      <c r="B973" s="40" t="s">
        <v>1838</v>
      </c>
      <c r="C973" s="40" t="s">
        <v>1839</v>
      </c>
      <c r="D973" s="40" t="s">
        <v>1630</v>
      </c>
      <c r="E973" s="40" t="s">
        <v>1630</v>
      </c>
      <c r="F973" s="40">
        <v>0</v>
      </c>
      <c r="G973" s="40"/>
      <c r="H973" s="40" t="s">
        <v>482</v>
      </c>
      <c r="I973" s="40"/>
      <c r="J973" s="40">
        <v>0</v>
      </c>
      <c r="K973" s="40">
        <v>0</v>
      </c>
      <c r="L973" s="40">
        <v>0</v>
      </c>
    </row>
    <row r="974" spans="1:12" x14ac:dyDescent="0.25">
      <c r="A974" s="40" t="s">
        <v>42</v>
      </c>
      <c r="B974" s="40" t="s">
        <v>1840</v>
      </c>
      <c r="C974" s="40" t="s">
        <v>1841</v>
      </c>
      <c r="D974" s="40" t="s">
        <v>1630</v>
      </c>
      <c r="E974" s="40" t="s">
        <v>1630</v>
      </c>
      <c r="F974" s="40">
        <v>0</v>
      </c>
      <c r="G974" s="40"/>
      <c r="H974" s="40" t="s">
        <v>482</v>
      </c>
      <c r="I974" s="40"/>
      <c r="J974" s="40">
        <v>0</v>
      </c>
      <c r="K974" s="40">
        <v>0</v>
      </c>
      <c r="L974" s="40">
        <v>0</v>
      </c>
    </row>
    <row r="975" spans="1:12" x14ac:dyDescent="0.25">
      <c r="A975" s="40" t="s">
        <v>42</v>
      </c>
      <c r="B975" s="40" t="s">
        <v>1842</v>
      </c>
      <c r="C975" s="40" t="s">
        <v>1843</v>
      </c>
      <c r="D975" s="40" t="s">
        <v>1154</v>
      </c>
      <c r="E975" s="40" t="s">
        <v>1154</v>
      </c>
      <c r="F975" s="40">
        <v>0</v>
      </c>
      <c r="G975" s="40"/>
      <c r="H975" s="40" t="s">
        <v>482</v>
      </c>
      <c r="I975" s="40"/>
      <c r="J975" s="40">
        <v>0</v>
      </c>
      <c r="K975" s="40">
        <v>0</v>
      </c>
      <c r="L975" s="40">
        <v>0</v>
      </c>
    </row>
    <row r="976" spans="1:12" x14ac:dyDescent="0.25">
      <c r="A976" s="40" t="s">
        <v>42</v>
      </c>
      <c r="B976" s="40" t="s">
        <v>1844</v>
      </c>
      <c r="C976" s="40" t="s">
        <v>1845</v>
      </c>
      <c r="D976" s="40" t="s">
        <v>493</v>
      </c>
      <c r="E976" s="40" t="s">
        <v>493</v>
      </c>
      <c r="F976" s="40">
        <v>0</v>
      </c>
      <c r="G976" s="40"/>
      <c r="H976" s="40" t="s">
        <v>482</v>
      </c>
      <c r="I976" s="40"/>
      <c r="J976" s="40">
        <v>0</v>
      </c>
      <c r="K976" s="40">
        <v>0</v>
      </c>
      <c r="L976" s="40">
        <v>0</v>
      </c>
    </row>
    <row r="977" spans="1:12" x14ac:dyDescent="0.25">
      <c r="A977" s="40" t="s">
        <v>42</v>
      </c>
      <c r="B977" s="40" t="s">
        <v>1846</v>
      </c>
      <c r="C977" s="40" t="s">
        <v>1847</v>
      </c>
      <c r="D977" s="40" t="s">
        <v>493</v>
      </c>
      <c r="E977" s="40" t="s">
        <v>493</v>
      </c>
      <c r="F977" s="40">
        <v>0</v>
      </c>
      <c r="G977" s="40"/>
      <c r="H977" s="40" t="s">
        <v>482</v>
      </c>
      <c r="I977" s="40"/>
      <c r="J977" s="40">
        <v>0</v>
      </c>
      <c r="K977" s="40">
        <v>0</v>
      </c>
      <c r="L977" s="40">
        <v>0</v>
      </c>
    </row>
    <row r="978" spans="1:12" x14ac:dyDescent="0.25">
      <c r="A978" s="40" t="s">
        <v>42</v>
      </c>
      <c r="B978" s="40" t="s">
        <v>1848</v>
      </c>
      <c r="C978" s="40" t="s">
        <v>1849</v>
      </c>
      <c r="D978" s="40" t="s">
        <v>493</v>
      </c>
      <c r="E978" s="40" t="s">
        <v>493</v>
      </c>
      <c r="F978" s="40">
        <v>0</v>
      </c>
      <c r="G978" s="40"/>
      <c r="H978" s="40" t="s">
        <v>482</v>
      </c>
      <c r="I978" s="40"/>
      <c r="J978" s="40">
        <v>0</v>
      </c>
      <c r="K978" s="40">
        <v>0</v>
      </c>
      <c r="L978" s="40">
        <v>0</v>
      </c>
    </row>
    <row r="979" spans="1:12" x14ac:dyDescent="0.25">
      <c r="A979" s="40" t="s">
        <v>42</v>
      </c>
      <c r="B979" s="40" t="s">
        <v>1850</v>
      </c>
      <c r="C979" s="40" t="s">
        <v>1851</v>
      </c>
      <c r="D979" s="40" t="s">
        <v>493</v>
      </c>
      <c r="E979" s="40" t="s">
        <v>493</v>
      </c>
      <c r="F979" s="40">
        <v>0</v>
      </c>
      <c r="G979" s="40"/>
      <c r="H979" s="40" t="s">
        <v>482</v>
      </c>
      <c r="I979" s="40"/>
      <c r="J979" s="40">
        <v>0</v>
      </c>
      <c r="K979" s="40">
        <v>0</v>
      </c>
      <c r="L979" s="40">
        <v>0</v>
      </c>
    </row>
    <row r="980" spans="1:12" x14ac:dyDescent="0.25">
      <c r="A980" s="40" t="s">
        <v>42</v>
      </c>
      <c r="B980" s="40" t="s">
        <v>1852</v>
      </c>
      <c r="C980" s="40" t="s">
        <v>1853</v>
      </c>
      <c r="D980" s="40" t="s">
        <v>728</v>
      </c>
      <c r="E980" s="40" t="s">
        <v>728</v>
      </c>
      <c r="F980" s="40">
        <v>0</v>
      </c>
      <c r="G980" s="40"/>
      <c r="H980" s="40" t="s">
        <v>482</v>
      </c>
      <c r="I980" s="40"/>
      <c r="J980" s="40">
        <v>0</v>
      </c>
      <c r="K980" s="40">
        <v>0</v>
      </c>
      <c r="L980" s="40">
        <v>0</v>
      </c>
    </row>
    <row r="981" spans="1:12" x14ac:dyDescent="0.25">
      <c r="A981" s="40" t="s">
        <v>42</v>
      </c>
      <c r="B981" s="40" t="s">
        <v>1854</v>
      </c>
      <c r="C981" s="40" t="s">
        <v>1855</v>
      </c>
      <c r="D981" s="40" t="s">
        <v>1148</v>
      </c>
      <c r="E981" s="40" t="s">
        <v>1148</v>
      </c>
      <c r="F981" s="40">
        <v>0</v>
      </c>
      <c r="G981" s="40"/>
      <c r="H981" s="40" t="s">
        <v>482</v>
      </c>
      <c r="I981" s="40"/>
      <c r="J981" s="40">
        <v>0</v>
      </c>
      <c r="K981" s="40">
        <v>0</v>
      </c>
      <c r="L981" s="40">
        <v>0</v>
      </c>
    </row>
    <row r="982" spans="1:12" x14ac:dyDescent="0.25">
      <c r="A982" s="40" t="s">
        <v>42</v>
      </c>
      <c r="B982" s="40" t="s">
        <v>1856</v>
      </c>
      <c r="C982" s="40" t="s">
        <v>1857</v>
      </c>
      <c r="D982" s="40" t="s">
        <v>1649</v>
      </c>
      <c r="E982" s="40" t="s">
        <v>1649</v>
      </c>
      <c r="F982" s="40">
        <v>0</v>
      </c>
      <c r="G982" s="40"/>
      <c r="H982" s="40" t="s">
        <v>482</v>
      </c>
      <c r="I982" s="40"/>
      <c r="J982" s="40">
        <v>0</v>
      </c>
      <c r="K982" s="40">
        <v>0</v>
      </c>
      <c r="L982" s="40">
        <v>0</v>
      </c>
    </row>
    <row r="983" spans="1:12" x14ac:dyDescent="0.25">
      <c r="A983" s="40" t="s">
        <v>42</v>
      </c>
      <c r="B983" s="40" t="s">
        <v>1858</v>
      </c>
      <c r="C983" s="40" t="s">
        <v>1859</v>
      </c>
      <c r="D983" s="40" t="s">
        <v>493</v>
      </c>
      <c r="E983" s="40" t="s">
        <v>493</v>
      </c>
      <c r="F983" s="40">
        <v>0</v>
      </c>
      <c r="G983" s="40"/>
      <c r="H983" s="40" t="s">
        <v>482</v>
      </c>
      <c r="I983" s="40"/>
      <c r="J983" s="40">
        <v>0</v>
      </c>
      <c r="K983" s="40">
        <v>0</v>
      </c>
      <c r="L983" s="40">
        <v>0</v>
      </c>
    </row>
    <row r="984" spans="1:12" x14ac:dyDescent="0.25">
      <c r="A984" s="40" t="s">
        <v>42</v>
      </c>
      <c r="B984" s="40" t="s">
        <v>1860</v>
      </c>
      <c r="C984" s="40" t="s">
        <v>1861</v>
      </c>
      <c r="D984" s="40" t="s">
        <v>493</v>
      </c>
      <c r="E984" s="40" t="s">
        <v>493</v>
      </c>
      <c r="F984" s="40">
        <v>0</v>
      </c>
      <c r="G984" s="40"/>
      <c r="H984" s="40" t="s">
        <v>482</v>
      </c>
      <c r="I984" s="40"/>
      <c r="J984" s="40">
        <v>0</v>
      </c>
      <c r="K984" s="40">
        <v>0</v>
      </c>
      <c r="L984" s="40">
        <v>0</v>
      </c>
    </row>
    <row r="985" spans="1:12" x14ac:dyDescent="0.25">
      <c r="A985" s="40" t="s">
        <v>42</v>
      </c>
      <c r="B985" s="40" t="s">
        <v>1862</v>
      </c>
      <c r="C985" s="40" t="s">
        <v>1863</v>
      </c>
      <c r="D985" s="40" t="s">
        <v>1235</v>
      </c>
      <c r="E985" s="40" t="s">
        <v>1235</v>
      </c>
      <c r="F985" s="40">
        <v>0</v>
      </c>
      <c r="G985" s="40"/>
      <c r="H985" s="40" t="s">
        <v>482</v>
      </c>
      <c r="I985" s="40"/>
      <c r="J985" s="40">
        <v>0</v>
      </c>
      <c r="K985" s="40">
        <v>0</v>
      </c>
      <c r="L985" s="40">
        <v>0</v>
      </c>
    </row>
    <row r="986" spans="1:12" x14ac:dyDescent="0.25">
      <c r="A986" s="40" t="s">
        <v>42</v>
      </c>
      <c r="B986" s="40" t="s">
        <v>1864</v>
      </c>
      <c r="C986" s="40" t="s">
        <v>1865</v>
      </c>
      <c r="D986" s="40" t="s">
        <v>1455</v>
      </c>
      <c r="E986" s="40" t="s">
        <v>1455</v>
      </c>
      <c r="F986" s="40">
        <v>0</v>
      </c>
      <c r="G986" s="40"/>
      <c r="H986" s="40" t="s">
        <v>482</v>
      </c>
      <c r="I986" s="40"/>
      <c r="J986" s="40">
        <v>0</v>
      </c>
      <c r="K986" s="40">
        <v>0</v>
      </c>
      <c r="L986" s="40">
        <v>0</v>
      </c>
    </row>
    <row r="987" spans="1:12" x14ac:dyDescent="0.25">
      <c r="A987" s="40" t="s">
        <v>42</v>
      </c>
      <c r="B987" s="40" t="s">
        <v>1866</v>
      </c>
      <c r="C987" s="40" t="s">
        <v>1867</v>
      </c>
      <c r="D987" s="40" t="s">
        <v>493</v>
      </c>
      <c r="E987" s="40" t="s">
        <v>493</v>
      </c>
      <c r="F987" s="40">
        <v>0</v>
      </c>
      <c r="G987" s="40"/>
      <c r="H987" s="40" t="s">
        <v>482</v>
      </c>
      <c r="I987" s="40"/>
      <c r="J987" s="40">
        <v>0</v>
      </c>
      <c r="K987" s="40">
        <v>0</v>
      </c>
      <c r="L987" s="40">
        <v>0</v>
      </c>
    </row>
    <row r="988" spans="1:12" x14ac:dyDescent="0.25">
      <c r="A988" s="40" t="s">
        <v>42</v>
      </c>
      <c r="B988" s="40" t="s">
        <v>1868</v>
      </c>
      <c r="C988" s="40" t="s">
        <v>1869</v>
      </c>
      <c r="D988" s="40" t="s">
        <v>738</v>
      </c>
      <c r="E988" s="40" t="s">
        <v>738</v>
      </c>
      <c r="F988" s="40">
        <v>0</v>
      </c>
      <c r="G988" s="40"/>
      <c r="H988" s="40" t="s">
        <v>482</v>
      </c>
      <c r="I988" s="40"/>
      <c r="J988" s="40">
        <v>0</v>
      </c>
      <c r="K988" s="40">
        <v>0</v>
      </c>
      <c r="L988" s="40">
        <v>0</v>
      </c>
    </row>
    <row r="989" spans="1:12" x14ac:dyDescent="0.25">
      <c r="A989" s="40" t="s">
        <v>42</v>
      </c>
      <c r="B989" s="40" t="s">
        <v>1870</v>
      </c>
      <c r="C989" s="40" t="s">
        <v>1871</v>
      </c>
      <c r="D989" s="40" t="s">
        <v>743</v>
      </c>
      <c r="E989" s="40" t="s">
        <v>743</v>
      </c>
      <c r="F989" s="40">
        <v>0</v>
      </c>
      <c r="G989" s="40"/>
      <c r="H989" s="40" t="s">
        <v>482</v>
      </c>
      <c r="I989" s="40"/>
      <c r="J989" s="40">
        <v>0</v>
      </c>
      <c r="K989" s="40">
        <v>0</v>
      </c>
      <c r="L989" s="40">
        <v>0</v>
      </c>
    </row>
    <row r="990" spans="1:12" x14ac:dyDescent="0.25">
      <c r="A990" s="40" t="s">
        <v>42</v>
      </c>
      <c r="B990" s="40" t="s">
        <v>1872</v>
      </c>
      <c r="C990" s="40" t="s">
        <v>1873</v>
      </c>
      <c r="D990" s="40" t="s">
        <v>738</v>
      </c>
      <c r="E990" s="40" t="s">
        <v>738</v>
      </c>
      <c r="F990" s="40">
        <v>0</v>
      </c>
      <c r="G990" s="40"/>
      <c r="H990" s="40" t="s">
        <v>482</v>
      </c>
      <c r="I990" s="40"/>
      <c r="J990" s="40">
        <v>0</v>
      </c>
      <c r="K990" s="40">
        <v>0</v>
      </c>
      <c r="L990" s="40">
        <v>0</v>
      </c>
    </row>
    <row r="991" spans="1:12" x14ac:dyDescent="0.25">
      <c r="A991" s="40" t="s">
        <v>42</v>
      </c>
      <c r="B991" s="40" t="s">
        <v>1874</v>
      </c>
      <c r="C991" s="40" t="s">
        <v>1875</v>
      </c>
      <c r="D991" s="40" t="s">
        <v>1876</v>
      </c>
      <c r="E991" s="40" t="s">
        <v>1876</v>
      </c>
      <c r="F991" s="40">
        <v>0</v>
      </c>
      <c r="G991" s="40"/>
      <c r="H991" s="40" t="s">
        <v>482</v>
      </c>
      <c r="I991" s="40"/>
      <c r="J991" s="40">
        <v>0</v>
      </c>
      <c r="K991" s="40">
        <v>0</v>
      </c>
      <c r="L991" s="40">
        <v>0</v>
      </c>
    </row>
    <row r="992" spans="1:12" x14ac:dyDescent="0.25">
      <c r="A992" s="40" t="s">
        <v>42</v>
      </c>
      <c r="B992" s="40" t="s">
        <v>1877</v>
      </c>
      <c r="C992" s="40" t="s">
        <v>1878</v>
      </c>
      <c r="D992" s="40" t="s">
        <v>1876</v>
      </c>
      <c r="E992" s="40" t="s">
        <v>1876</v>
      </c>
      <c r="F992" s="40">
        <v>0</v>
      </c>
      <c r="G992" s="40"/>
      <c r="H992" s="40" t="s">
        <v>482</v>
      </c>
      <c r="I992" s="40"/>
      <c r="J992" s="40">
        <v>0</v>
      </c>
      <c r="K992" s="40">
        <v>0</v>
      </c>
      <c r="L992" s="40">
        <v>0</v>
      </c>
    </row>
    <row r="993" spans="1:12" x14ac:dyDescent="0.25">
      <c r="A993" s="40" t="s">
        <v>42</v>
      </c>
      <c r="B993" s="40" t="s">
        <v>1879</v>
      </c>
      <c r="C993" s="40" t="s">
        <v>1880</v>
      </c>
      <c r="D993" s="40" t="s">
        <v>1876</v>
      </c>
      <c r="E993" s="40" t="s">
        <v>1876</v>
      </c>
      <c r="F993" s="40">
        <v>0</v>
      </c>
      <c r="G993" s="40"/>
      <c r="H993" s="40" t="s">
        <v>482</v>
      </c>
      <c r="I993" s="40"/>
      <c r="J993" s="40">
        <v>0</v>
      </c>
      <c r="K993" s="40">
        <v>0</v>
      </c>
      <c r="L993" s="40">
        <v>0</v>
      </c>
    </row>
    <row r="994" spans="1:12" x14ac:dyDescent="0.25">
      <c r="A994" s="40" t="s">
        <v>42</v>
      </c>
      <c r="B994" s="40" t="s">
        <v>1881</v>
      </c>
      <c r="C994" s="40" t="s">
        <v>1882</v>
      </c>
      <c r="D994" s="40" t="s">
        <v>1876</v>
      </c>
      <c r="E994" s="40" t="s">
        <v>1876</v>
      </c>
      <c r="F994" s="40">
        <v>0</v>
      </c>
      <c r="G994" s="40"/>
      <c r="H994" s="40" t="s">
        <v>482</v>
      </c>
      <c r="I994" s="40"/>
      <c r="J994" s="40">
        <v>0</v>
      </c>
      <c r="K994" s="40">
        <v>0</v>
      </c>
      <c r="L994" s="40">
        <v>0</v>
      </c>
    </row>
    <row r="995" spans="1:12" x14ac:dyDescent="0.25">
      <c r="A995" s="40" t="s">
        <v>42</v>
      </c>
      <c r="B995" s="40" t="s">
        <v>1883</v>
      </c>
      <c r="C995" s="40" t="s">
        <v>1884</v>
      </c>
      <c r="D995" s="40" t="s">
        <v>1876</v>
      </c>
      <c r="E995" s="40" t="s">
        <v>1876</v>
      </c>
      <c r="F995" s="40">
        <v>0</v>
      </c>
      <c r="G995" s="40"/>
      <c r="H995" s="40" t="s">
        <v>482</v>
      </c>
      <c r="I995" s="40"/>
      <c r="J995" s="40">
        <v>0</v>
      </c>
      <c r="K995" s="40">
        <v>0</v>
      </c>
      <c r="L995" s="40">
        <v>0</v>
      </c>
    </row>
    <row r="996" spans="1:12" x14ac:dyDescent="0.25">
      <c r="A996" s="40" t="s">
        <v>42</v>
      </c>
      <c r="B996" s="40" t="s">
        <v>1885</v>
      </c>
      <c r="C996" s="40" t="s">
        <v>1886</v>
      </c>
      <c r="D996" s="40" t="s">
        <v>1876</v>
      </c>
      <c r="E996" s="40" t="s">
        <v>1876</v>
      </c>
      <c r="F996" s="40">
        <v>0</v>
      </c>
      <c r="G996" s="40"/>
      <c r="H996" s="40" t="s">
        <v>482</v>
      </c>
      <c r="I996" s="40"/>
      <c r="J996" s="40">
        <v>0</v>
      </c>
      <c r="K996" s="40">
        <v>0</v>
      </c>
      <c r="L996" s="40">
        <v>0</v>
      </c>
    </row>
    <row r="997" spans="1:12" x14ac:dyDescent="0.25">
      <c r="A997" s="40" t="s">
        <v>42</v>
      </c>
      <c r="B997" s="40" t="s">
        <v>1887</v>
      </c>
      <c r="C997" s="40" t="s">
        <v>1888</v>
      </c>
      <c r="D997" s="40" t="s">
        <v>743</v>
      </c>
      <c r="E997" s="40" t="s">
        <v>743</v>
      </c>
      <c r="F997" s="40">
        <v>0</v>
      </c>
      <c r="G997" s="40"/>
      <c r="H997" s="40" t="s">
        <v>482</v>
      </c>
      <c r="I997" s="40"/>
      <c r="J997" s="40">
        <v>0</v>
      </c>
      <c r="K997" s="40">
        <v>0</v>
      </c>
      <c r="L997" s="40">
        <v>0</v>
      </c>
    </row>
    <row r="998" spans="1:12" x14ac:dyDescent="0.25">
      <c r="A998" s="40" t="s">
        <v>42</v>
      </c>
      <c r="B998" s="40" t="s">
        <v>1889</v>
      </c>
      <c r="C998" s="40" t="s">
        <v>1890</v>
      </c>
      <c r="D998" s="40" t="s">
        <v>743</v>
      </c>
      <c r="E998" s="40" t="s">
        <v>743</v>
      </c>
      <c r="F998" s="40">
        <v>0</v>
      </c>
      <c r="G998" s="40"/>
      <c r="H998" s="40" t="s">
        <v>482</v>
      </c>
      <c r="I998" s="40"/>
      <c r="J998" s="40">
        <v>0</v>
      </c>
      <c r="K998" s="40">
        <v>0</v>
      </c>
      <c r="L998" s="40">
        <v>0</v>
      </c>
    </row>
    <row r="999" spans="1:12" x14ac:dyDescent="0.25">
      <c r="A999" s="40" t="s">
        <v>42</v>
      </c>
      <c r="B999" s="40" t="s">
        <v>1891</v>
      </c>
      <c r="C999" s="40" t="s">
        <v>1892</v>
      </c>
      <c r="D999" s="40" t="s">
        <v>1876</v>
      </c>
      <c r="E999" s="40" t="s">
        <v>1876</v>
      </c>
      <c r="F999" s="40">
        <v>0</v>
      </c>
      <c r="G999" s="40"/>
      <c r="H999" s="40" t="s">
        <v>482</v>
      </c>
      <c r="I999" s="40"/>
      <c r="J999" s="40">
        <v>0</v>
      </c>
      <c r="K999" s="40">
        <v>0</v>
      </c>
      <c r="L999" s="40">
        <v>0</v>
      </c>
    </row>
    <row r="1000" spans="1:12" x14ac:dyDescent="0.25">
      <c r="A1000" s="40" t="s">
        <v>42</v>
      </c>
      <c r="B1000" s="40" t="s">
        <v>1893</v>
      </c>
      <c r="C1000" s="40" t="s">
        <v>1894</v>
      </c>
      <c r="D1000" s="40" t="s">
        <v>1876</v>
      </c>
      <c r="E1000" s="40" t="s">
        <v>1876</v>
      </c>
      <c r="F1000" s="40">
        <v>0</v>
      </c>
      <c r="G1000" s="40"/>
      <c r="H1000" s="40" t="s">
        <v>482</v>
      </c>
      <c r="I1000" s="40"/>
      <c r="J1000" s="40">
        <v>0</v>
      </c>
      <c r="K1000" s="40">
        <v>0</v>
      </c>
      <c r="L1000" s="40">
        <v>0</v>
      </c>
    </row>
    <row r="1001" spans="1:12" x14ac:dyDescent="0.25">
      <c r="A1001" s="40" t="s">
        <v>42</v>
      </c>
      <c r="B1001" s="40" t="s">
        <v>1895</v>
      </c>
      <c r="C1001" s="40" t="s">
        <v>1896</v>
      </c>
      <c r="D1001" s="40" t="s">
        <v>1876</v>
      </c>
      <c r="E1001" s="40" t="s">
        <v>1876</v>
      </c>
      <c r="F1001" s="40">
        <v>0</v>
      </c>
      <c r="G1001" s="40"/>
      <c r="H1001" s="40" t="s">
        <v>482</v>
      </c>
      <c r="I1001" s="40"/>
      <c r="J1001" s="40">
        <v>0</v>
      </c>
      <c r="K1001" s="40">
        <v>0</v>
      </c>
      <c r="L1001" s="40">
        <v>0</v>
      </c>
    </row>
    <row r="1002" spans="1:12" x14ac:dyDescent="0.25">
      <c r="A1002" s="40" t="s">
        <v>42</v>
      </c>
      <c r="B1002" s="40" t="s">
        <v>1897</v>
      </c>
      <c r="C1002" s="40" t="s">
        <v>1898</v>
      </c>
      <c r="D1002" s="40" t="s">
        <v>738</v>
      </c>
      <c r="E1002" s="40" t="s">
        <v>738</v>
      </c>
      <c r="F1002" s="40">
        <v>0</v>
      </c>
      <c r="G1002" s="40"/>
      <c r="H1002" s="40" t="s">
        <v>482</v>
      </c>
      <c r="I1002" s="40"/>
      <c r="J1002" s="40">
        <v>0</v>
      </c>
      <c r="K1002" s="40">
        <v>0</v>
      </c>
      <c r="L1002" s="40">
        <v>0</v>
      </c>
    </row>
    <row r="1003" spans="1:12" x14ac:dyDescent="0.25">
      <c r="A1003" s="40" t="s">
        <v>42</v>
      </c>
      <c r="B1003" s="40" t="s">
        <v>1899</v>
      </c>
      <c r="C1003" s="40" t="s">
        <v>1900</v>
      </c>
      <c r="D1003" s="40" t="s">
        <v>1901</v>
      </c>
      <c r="E1003" s="40" t="s">
        <v>1901</v>
      </c>
      <c r="F1003" s="40">
        <v>0</v>
      </c>
      <c r="G1003" s="40"/>
      <c r="H1003" s="40" t="s">
        <v>482</v>
      </c>
      <c r="I1003" s="40"/>
      <c r="J1003" s="40">
        <v>0</v>
      </c>
      <c r="K1003" s="40">
        <v>0</v>
      </c>
      <c r="L1003" s="40">
        <v>0</v>
      </c>
    </row>
    <row r="1004" spans="1:12" x14ac:dyDescent="0.25">
      <c r="A1004" s="40" t="s">
        <v>42</v>
      </c>
      <c r="B1004" s="40" t="s">
        <v>1902</v>
      </c>
      <c r="C1004" s="40" t="s">
        <v>1903</v>
      </c>
      <c r="D1004" s="40" t="s">
        <v>1904</v>
      </c>
      <c r="E1004" s="40" t="s">
        <v>1904</v>
      </c>
      <c r="F1004" s="40">
        <v>0</v>
      </c>
      <c r="G1004" s="40"/>
      <c r="H1004" s="40" t="s">
        <v>482</v>
      </c>
      <c r="I1004" s="40"/>
      <c r="J1004" s="40">
        <v>0</v>
      </c>
      <c r="K1004" s="40">
        <v>0</v>
      </c>
      <c r="L1004" s="40">
        <v>0</v>
      </c>
    </row>
    <row r="1005" spans="1:12" x14ac:dyDescent="0.25">
      <c r="A1005" s="40" t="s">
        <v>42</v>
      </c>
      <c r="B1005" s="40" t="s">
        <v>1905</v>
      </c>
      <c r="C1005" s="40" t="s">
        <v>1906</v>
      </c>
      <c r="D1005" s="40" t="s">
        <v>1907</v>
      </c>
      <c r="E1005" s="40" t="s">
        <v>1907</v>
      </c>
      <c r="F1005" s="40">
        <v>0</v>
      </c>
      <c r="G1005" s="40"/>
      <c r="H1005" s="40" t="s">
        <v>482</v>
      </c>
      <c r="I1005" s="40"/>
      <c r="J1005" s="40">
        <v>0</v>
      </c>
      <c r="K1005" s="40">
        <v>0</v>
      </c>
      <c r="L1005" s="40">
        <v>0</v>
      </c>
    </row>
    <row r="1006" spans="1:12" x14ac:dyDescent="0.25">
      <c r="A1006" s="40" t="s">
        <v>42</v>
      </c>
      <c r="B1006" s="40" t="s">
        <v>1908</v>
      </c>
      <c r="C1006" s="40" t="s">
        <v>1909</v>
      </c>
      <c r="D1006" s="40" t="s">
        <v>493</v>
      </c>
      <c r="E1006" s="40" t="s">
        <v>493</v>
      </c>
      <c r="F1006" s="40">
        <v>0</v>
      </c>
      <c r="G1006" s="40"/>
      <c r="H1006" s="40" t="s">
        <v>482</v>
      </c>
      <c r="I1006" s="40"/>
      <c r="J1006" s="40">
        <v>0</v>
      </c>
      <c r="K1006" s="40">
        <v>0</v>
      </c>
      <c r="L1006" s="40">
        <v>0</v>
      </c>
    </row>
    <row r="1007" spans="1:12" x14ac:dyDescent="0.25">
      <c r="A1007" s="40" t="s">
        <v>42</v>
      </c>
      <c r="B1007" s="40" t="s">
        <v>1910</v>
      </c>
      <c r="C1007" s="40" t="s">
        <v>1911</v>
      </c>
      <c r="D1007" s="40" t="s">
        <v>1912</v>
      </c>
      <c r="E1007" s="40" t="s">
        <v>1912</v>
      </c>
      <c r="F1007" s="40">
        <v>0</v>
      </c>
      <c r="G1007" s="40"/>
      <c r="H1007" s="40" t="s">
        <v>482</v>
      </c>
      <c r="I1007" s="40"/>
      <c r="J1007" s="40">
        <v>0</v>
      </c>
      <c r="K1007" s="40">
        <v>0</v>
      </c>
      <c r="L1007" s="40">
        <v>0</v>
      </c>
    </row>
    <row r="1008" spans="1:12" x14ac:dyDescent="0.25">
      <c r="A1008" s="40" t="s">
        <v>42</v>
      </c>
      <c r="B1008" s="40" t="s">
        <v>1913</v>
      </c>
      <c r="C1008" s="40" t="s">
        <v>1914</v>
      </c>
      <c r="D1008" s="40" t="s">
        <v>1915</v>
      </c>
      <c r="E1008" s="40" t="s">
        <v>1915</v>
      </c>
      <c r="F1008" s="40">
        <v>0</v>
      </c>
      <c r="G1008" s="40"/>
      <c r="H1008" s="40" t="s">
        <v>482</v>
      </c>
      <c r="I1008" s="40"/>
      <c r="J1008" s="40">
        <v>0</v>
      </c>
      <c r="K1008" s="40">
        <v>0</v>
      </c>
      <c r="L1008" s="40">
        <v>0</v>
      </c>
    </row>
    <row r="1009" spans="1:12" x14ac:dyDescent="0.25">
      <c r="A1009" s="40" t="s">
        <v>42</v>
      </c>
      <c r="B1009" s="40" t="s">
        <v>1916</v>
      </c>
      <c r="C1009" s="40" t="s">
        <v>1917</v>
      </c>
      <c r="D1009" s="40" t="s">
        <v>1918</v>
      </c>
      <c r="E1009" s="40" t="s">
        <v>1918</v>
      </c>
      <c r="F1009" s="40">
        <v>0</v>
      </c>
      <c r="G1009" s="40"/>
      <c r="H1009" s="40" t="s">
        <v>482</v>
      </c>
      <c r="I1009" s="40"/>
      <c r="J1009" s="40">
        <v>0</v>
      </c>
      <c r="K1009" s="40">
        <v>0</v>
      </c>
      <c r="L1009" s="40">
        <v>0</v>
      </c>
    </row>
    <row r="1010" spans="1:12" x14ac:dyDescent="0.25">
      <c r="A1010" s="40" t="s">
        <v>42</v>
      </c>
      <c r="B1010" s="40" t="s">
        <v>1919</v>
      </c>
      <c r="C1010" s="40" t="s">
        <v>1920</v>
      </c>
      <c r="D1010" s="40" t="s">
        <v>1921</v>
      </c>
      <c r="E1010" s="40" t="s">
        <v>1921</v>
      </c>
      <c r="F1010" s="40">
        <v>0</v>
      </c>
      <c r="G1010" s="40"/>
      <c r="H1010" s="40" t="s">
        <v>482</v>
      </c>
      <c r="I1010" s="40"/>
      <c r="J1010" s="40">
        <v>0</v>
      </c>
      <c r="K1010" s="40">
        <v>0</v>
      </c>
      <c r="L1010" s="40">
        <v>0</v>
      </c>
    </row>
    <row r="1011" spans="1:12" x14ac:dyDescent="0.25">
      <c r="A1011" s="40" t="s">
        <v>42</v>
      </c>
      <c r="B1011" s="40" t="s">
        <v>1922</v>
      </c>
      <c r="C1011" s="40" t="s">
        <v>1923</v>
      </c>
      <c r="D1011" s="40" t="s">
        <v>1915</v>
      </c>
      <c r="E1011" s="40" t="s">
        <v>1915</v>
      </c>
      <c r="F1011" s="40">
        <v>0</v>
      </c>
      <c r="G1011" s="40"/>
      <c r="H1011" s="40" t="s">
        <v>482</v>
      </c>
      <c r="I1011" s="40"/>
      <c r="J1011" s="40">
        <v>0</v>
      </c>
      <c r="K1011" s="40">
        <v>0</v>
      </c>
      <c r="L1011" s="40">
        <v>0</v>
      </c>
    </row>
    <row r="1012" spans="1:12" x14ac:dyDescent="0.25">
      <c r="A1012" s="40" t="s">
        <v>42</v>
      </c>
      <c r="B1012" s="40" t="s">
        <v>1924</v>
      </c>
      <c r="C1012" s="40" t="s">
        <v>1925</v>
      </c>
      <c r="D1012" s="40" t="s">
        <v>1926</v>
      </c>
      <c r="E1012" s="40" t="s">
        <v>1926</v>
      </c>
      <c r="F1012" s="40">
        <v>0</v>
      </c>
      <c r="G1012" s="40"/>
      <c r="H1012" s="40" t="s">
        <v>482</v>
      </c>
      <c r="I1012" s="40"/>
      <c r="J1012" s="40">
        <v>0</v>
      </c>
      <c r="K1012" s="40">
        <v>0</v>
      </c>
      <c r="L1012" s="40">
        <v>0</v>
      </c>
    </row>
    <row r="1013" spans="1:12" x14ac:dyDescent="0.25">
      <c r="A1013" s="40" t="s">
        <v>42</v>
      </c>
      <c r="B1013" s="40" t="s">
        <v>1927</v>
      </c>
      <c r="C1013" s="40" t="s">
        <v>1928</v>
      </c>
      <c r="D1013" s="40" t="s">
        <v>1929</v>
      </c>
      <c r="E1013" s="40" t="s">
        <v>1929</v>
      </c>
      <c r="F1013" s="40">
        <v>0</v>
      </c>
      <c r="G1013" s="40"/>
      <c r="H1013" s="40" t="s">
        <v>482</v>
      </c>
      <c r="I1013" s="40"/>
      <c r="J1013" s="40">
        <v>0</v>
      </c>
      <c r="K1013" s="40">
        <v>0</v>
      </c>
      <c r="L1013" s="40">
        <v>0</v>
      </c>
    </row>
    <row r="1014" spans="1:12" x14ac:dyDescent="0.25">
      <c r="A1014" s="40" t="s">
        <v>42</v>
      </c>
      <c r="B1014" s="40" t="s">
        <v>1930</v>
      </c>
      <c r="C1014" s="40" t="s">
        <v>1931</v>
      </c>
      <c r="D1014" s="40" t="s">
        <v>1932</v>
      </c>
      <c r="E1014" s="40" t="s">
        <v>1932</v>
      </c>
      <c r="F1014" s="40">
        <v>0</v>
      </c>
      <c r="G1014" s="40"/>
      <c r="H1014" s="40" t="s">
        <v>482</v>
      </c>
      <c r="I1014" s="40"/>
      <c r="J1014" s="40">
        <v>0</v>
      </c>
      <c r="K1014" s="40">
        <v>0</v>
      </c>
      <c r="L1014" s="40">
        <v>0</v>
      </c>
    </row>
    <row r="1015" spans="1:12" x14ac:dyDescent="0.25">
      <c r="A1015" s="40" t="s">
        <v>42</v>
      </c>
      <c r="B1015" s="40" t="s">
        <v>1933</v>
      </c>
      <c r="C1015" s="40" t="s">
        <v>1934</v>
      </c>
      <c r="D1015" s="40" t="s">
        <v>1935</v>
      </c>
      <c r="E1015" s="40" t="s">
        <v>1935</v>
      </c>
      <c r="F1015" s="40">
        <v>0</v>
      </c>
      <c r="G1015" s="40"/>
      <c r="H1015" s="40" t="s">
        <v>482</v>
      </c>
      <c r="I1015" s="40"/>
      <c r="J1015" s="40">
        <v>0</v>
      </c>
      <c r="K1015" s="40">
        <v>0</v>
      </c>
      <c r="L1015" s="40">
        <v>0</v>
      </c>
    </row>
    <row r="1016" spans="1:12" x14ac:dyDescent="0.25">
      <c r="A1016" s="40" t="s">
        <v>42</v>
      </c>
      <c r="B1016" s="40" t="s">
        <v>1936</v>
      </c>
      <c r="C1016" s="40" t="s">
        <v>1937</v>
      </c>
      <c r="D1016" s="40" t="s">
        <v>1938</v>
      </c>
      <c r="E1016" s="40" t="s">
        <v>1938</v>
      </c>
      <c r="F1016" s="40">
        <v>0</v>
      </c>
      <c r="G1016" s="40"/>
      <c r="H1016" s="40" t="s">
        <v>482</v>
      </c>
      <c r="I1016" s="40"/>
      <c r="J1016" s="40">
        <v>0</v>
      </c>
      <c r="K1016" s="40">
        <v>0</v>
      </c>
      <c r="L1016" s="40">
        <v>0</v>
      </c>
    </row>
    <row r="1017" spans="1:12" x14ac:dyDescent="0.25">
      <c r="A1017" s="40" t="s">
        <v>42</v>
      </c>
      <c r="B1017" s="40" t="s">
        <v>1939</v>
      </c>
      <c r="C1017" s="40" t="s">
        <v>1940</v>
      </c>
      <c r="D1017" s="40" t="s">
        <v>1932</v>
      </c>
      <c r="E1017" s="40" t="s">
        <v>1932</v>
      </c>
      <c r="F1017" s="40">
        <v>0</v>
      </c>
      <c r="G1017" s="40"/>
      <c r="H1017" s="40" t="s">
        <v>482</v>
      </c>
      <c r="I1017" s="40"/>
      <c r="J1017" s="40">
        <v>0</v>
      </c>
      <c r="K1017" s="40">
        <v>0</v>
      </c>
      <c r="L1017" s="40">
        <v>0</v>
      </c>
    </row>
    <row r="1018" spans="1:12" x14ac:dyDescent="0.25">
      <c r="A1018" s="40" t="s">
        <v>42</v>
      </c>
      <c r="B1018" s="40" t="s">
        <v>1941</v>
      </c>
      <c r="C1018" s="40" t="s">
        <v>1942</v>
      </c>
      <c r="D1018" s="40" t="s">
        <v>1935</v>
      </c>
      <c r="E1018" s="40" t="s">
        <v>1935</v>
      </c>
      <c r="F1018" s="40">
        <v>0</v>
      </c>
      <c r="G1018" s="40"/>
      <c r="H1018" s="40" t="s">
        <v>482</v>
      </c>
      <c r="I1018" s="40"/>
      <c r="J1018" s="40">
        <v>0</v>
      </c>
      <c r="K1018" s="40">
        <v>0</v>
      </c>
      <c r="L1018" s="40">
        <v>0</v>
      </c>
    </row>
    <row r="1019" spans="1:12" x14ac:dyDescent="0.25">
      <c r="A1019" s="40" t="s">
        <v>42</v>
      </c>
      <c r="B1019" s="40" t="s">
        <v>1943</v>
      </c>
      <c r="C1019" s="40" t="s">
        <v>1944</v>
      </c>
      <c r="D1019" s="40" t="s">
        <v>1938</v>
      </c>
      <c r="E1019" s="40" t="s">
        <v>1938</v>
      </c>
      <c r="F1019" s="40">
        <v>0</v>
      </c>
      <c r="G1019" s="40"/>
      <c r="H1019" s="40" t="s">
        <v>482</v>
      </c>
      <c r="I1019" s="40"/>
      <c r="J1019" s="40">
        <v>0</v>
      </c>
      <c r="K1019" s="40">
        <v>0</v>
      </c>
      <c r="L1019" s="40">
        <v>0</v>
      </c>
    </row>
    <row r="1020" spans="1:12" x14ac:dyDescent="0.25">
      <c r="A1020" s="40" t="s">
        <v>42</v>
      </c>
      <c r="B1020" s="40" t="s">
        <v>1945</v>
      </c>
      <c r="C1020" s="40" t="s">
        <v>1946</v>
      </c>
      <c r="D1020" s="40" t="s">
        <v>1932</v>
      </c>
      <c r="E1020" s="40" t="s">
        <v>1932</v>
      </c>
      <c r="F1020" s="40">
        <v>0</v>
      </c>
      <c r="G1020" s="40"/>
      <c r="H1020" s="40" t="s">
        <v>482</v>
      </c>
      <c r="I1020" s="40"/>
      <c r="J1020" s="40">
        <v>0</v>
      </c>
      <c r="K1020" s="40">
        <v>0</v>
      </c>
      <c r="L1020" s="40">
        <v>0</v>
      </c>
    </row>
    <row r="1021" spans="1:12" x14ac:dyDescent="0.25">
      <c r="A1021" s="40" t="s">
        <v>42</v>
      </c>
      <c r="B1021" s="40" t="s">
        <v>1947</v>
      </c>
      <c r="C1021" s="40" t="s">
        <v>1948</v>
      </c>
      <c r="D1021" s="40" t="s">
        <v>1949</v>
      </c>
      <c r="E1021" s="40" t="s">
        <v>1949</v>
      </c>
      <c r="F1021" s="40">
        <v>0</v>
      </c>
      <c r="G1021" s="40"/>
      <c r="H1021" s="40" t="s">
        <v>482</v>
      </c>
      <c r="I1021" s="40"/>
      <c r="J1021" s="40">
        <v>0</v>
      </c>
      <c r="K1021" s="40">
        <v>0</v>
      </c>
      <c r="L1021" s="40">
        <v>0</v>
      </c>
    </row>
    <row r="1022" spans="1:12" x14ac:dyDescent="0.25">
      <c r="A1022" s="40" t="s">
        <v>42</v>
      </c>
      <c r="B1022" s="40" t="s">
        <v>1950</v>
      </c>
      <c r="C1022" s="40" t="s">
        <v>1951</v>
      </c>
      <c r="D1022" s="40" t="s">
        <v>1921</v>
      </c>
      <c r="E1022" s="40" t="s">
        <v>1921</v>
      </c>
      <c r="F1022" s="40">
        <v>0</v>
      </c>
      <c r="G1022" s="40"/>
      <c r="H1022" s="40" t="s">
        <v>482</v>
      </c>
      <c r="I1022" s="40"/>
      <c r="J1022" s="40">
        <v>0</v>
      </c>
      <c r="K1022" s="40">
        <v>0</v>
      </c>
      <c r="L1022" s="40">
        <v>0</v>
      </c>
    </row>
    <row r="1023" spans="1:12" x14ac:dyDescent="0.25">
      <c r="A1023" s="40" t="s">
        <v>42</v>
      </c>
      <c r="B1023" s="40" t="s">
        <v>1952</v>
      </c>
      <c r="C1023" s="40" t="s">
        <v>1953</v>
      </c>
      <c r="D1023" s="40" t="s">
        <v>1915</v>
      </c>
      <c r="E1023" s="40" t="s">
        <v>1915</v>
      </c>
      <c r="F1023" s="40">
        <v>0</v>
      </c>
      <c r="G1023" s="40"/>
      <c r="H1023" s="40" t="s">
        <v>482</v>
      </c>
      <c r="I1023" s="40"/>
      <c r="J1023" s="40">
        <v>0</v>
      </c>
      <c r="K1023" s="40">
        <v>0</v>
      </c>
      <c r="L1023" s="40">
        <v>0</v>
      </c>
    </row>
    <row r="1024" spans="1:12" x14ac:dyDescent="0.25">
      <c r="A1024" s="40" t="s">
        <v>42</v>
      </c>
      <c r="B1024" s="40" t="s">
        <v>1954</v>
      </c>
      <c r="C1024" s="40" t="s">
        <v>1955</v>
      </c>
      <c r="D1024" s="40" t="s">
        <v>1949</v>
      </c>
      <c r="E1024" s="40" t="s">
        <v>1949</v>
      </c>
      <c r="F1024" s="40">
        <v>0</v>
      </c>
      <c r="G1024" s="40"/>
      <c r="H1024" s="40" t="s">
        <v>482</v>
      </c>
      <c r="I1024" s="40"/>
      <c r="J1024" s="40">
        <v>0</v>
      </c>
      <c r="K1024" s="40">
        <v>0</v>
      </c>
      <c r="L1024" s="40">
        <v>0</v>
      </c>
    </row>
    <row r="1025" spans="1:12" x14ac:dyDescent="0.25">
      <c r="A1025" s="40" t="s">
        <v>42</v>
      </c>
      <c r="B1025" s="40" t="s">
        <v>1956</v>
      </c>
      <c r="C1025" s="40" t="s">
        <v>1957</v>
      </c>
      <c r="D1025" s="40" t="s">
        <v>1921</v>
      </c>
      <c r="E1025" s="40" t="s">
        <v>1921</v>
      </c>
      <c r="F1025" s="40">
        <v>0</v>
      </c>
      <c r="G1025" s="40"/>
      <c r="H1025" s="40" t="s">
        <v>482</v>
      </c>
      <c r="I1025" s="40"/>
      <c r="J1025" s="40">
        <v>0</v>
      </c>
      <c r="K1025" s="40">
        <v>0</v>
      </c>
      <c r="L1025" s="40">
        <v>0</v>
      </c>
    </row>
    <row r="1026" spans="1:12" x14ac:dyDescent="0.25">
      <c r="A1026" s="40" t="s">
        <v>42</v>
      </c>
      <c r="B1026" s="40" t="s">
        <v>1958</v>
      </c>
      <c r="C1026" s="40" t="s">
        <v>1959</v>
      </c>
      <c r="D1026" s="40" t="s">
        <v>1915</v>
      </c>
      <c r="E1026" s="40" t="s">
        <v>1915</v>
      </c>
      <c r="F1026" s="40">
        <v>0</v>
      </c>
      <c r="G1026" s="40"/>
      <c r="H1026" s="40" t="s">
        <v>482</v>
      </c>
      <c r="I1026" s="40"/>
      <c r="J1026" s="40">
        <v>0</v>
      </c>
      <c r="K1026" s="40">
        <v>0</v>
      </c>
      <c r="L1026" s="40">
        <v>0</v>
      </c>
    </row>
    <row r="1027" spans="1:12" x14ac:dyDescent="0.25">
      <c r="A1027" s="40" t="s">
        <v>42</v>
      </c>
      <c r="B1027" s="40" t="s">
        <v>1960</v>
      </c>
      <c r="C1027" s="40" t="s">
        <v>1961</v>
      </c>
      <c r="D1027" s="40" t="s">
        <v>1949</v>
      </c>
      <c r="E1027" s="40" t="s">
        <v>1949</v>
      </c>
      <c r="F1027" s="40">
        <v>0</v>
      </c>
      <c r="G1027" s="40"/>
      <c r="H1027" s="40" t="s">
        <v>482</v>
      </c>
      <c r="I1027" s="40"/>
      <c r="J1027" s="40">
        <v>0</v>
      </c>
      <c r="K1027" s="40">
        <v>0</v>
      </c>
      <c r="L1027" s="40">
        <v>0</v>
      </c>
    </row>
    <row r="1028" spans="1:12" x14ac:dyDescent="0.25">
      <c r="A1028" s="40" t="s">
        <v>42</v>
      </c>
      <c r="B1028" s="40" t="s">
        <v>1962</v>
      </c>
      <c r="C1028" s="40" t="s">
        <v>1963</v>
      </c>
      <c r="D1028" s="40" t="s">
        <v>1964</v>
      </c>
      <c r="E1028" s="40" t="s">
        <v>1965</v>
      </c>
      <c r="F1028" s="40">
        <v>1</v>
      </c>
      <c r="G1028" s="40"/>
      <c r="H1028" s="40" t="s">
        <v>482</v>
      </c>
      <c r="I1028" s="40"/>
      <c r="J1028" s="40">
        <v>0</v>
      </c>
      <c r="K1028" s="40">
        <v>0</v>
      </c>
      <c r="L1028" s="40">
        <v>0</v>
      </c>
    </row>
    <row r="1029" spans="1:12" x14ac:dyDescent="0.25">
      <c r="A1029" s="40" t="s">
        <v>42</v>
      </c>
      <c r="B1029" s="40" t="s">
        <v>1966</v>
      </c>
      <c r="C1029" s="40" t="s">
        <v>1967</v>
      </c>
      <c r="D1029" s="40" t="s">
        <v>1968</v>
      </c>
      <c r="E1029" s="40" t="s">
        <v>1969</v>
      </c>
      <c r="F1029" s="40">
        <v>1</v>
      </c>
      <c r="G1029" s="40"/>
      <c r="H1029" s="40" t="s">
        <v>482</v>
      </c>
      <c r="I1029" s="40"/>
      <c r="J1029" s="40">
        <v>0</v>
      </c>
      <c r="K1029" s="40">
        <v>0</v>
      </c>
      <c r="L1029" s="40">
        <v>0</v>
      </c>
    </row>
    <row r="1030" spans="1:12" x14ac:dyDescent="0.25">
      <c r="A1030" s="40" t="s">
        <v>42</v>
      </c>
      <c r="B1030" s="40" t="s">
        <v>1970</v>
      </c>
      <c r="C1030" s="40" t="s">
        <v>1971</v>
      </c>
      <c r="D1030" s="40" t="s">
        <v>1972</v>
      </c>
      <c r="E1030" s="40" t="s">
        <v>493</v>
      </c>
      <c r="F1030" s="40">
        <v>1</v>
      </c>
      <c r="G1030" s="40"/>
      <c r="H1030" s="40" t="s">
        <v>482</v>
      </c>
      <c r="I1030" s="40"/>
      <c r="J1030" s="40">
        <v>0</v>
      </c>
      <c r="K1030" s="40">
        <v>0</v>
      </c>
      <c r="L1030" s="40">
        <v>0</v>
      </c>
    </row>
    <row r="1031" spans="1:12" x14ac:dyDescent="0.25">
      <c r="A1031" s="40" t="s">
        <v>42</v>
      </c>
      <c r="B1031" s="40" t="s">
        <v>1973</v>
      </c>
      <c r="C1031" s="40" t="s">
        <v>1974</v>
      </c>
      <c r="D1031" s="40" t="s">
        <v>815</v>
      </c>
      <c r="E1031" s="40" t="s">
        <v>493</v>
      </c>
      <c r="F1031" s="40">
        <v>1</v>
      </c>
      <c r="G1031" s="40"/>
      <c r="H1031" s="40" t="s">
        <v>482</v>
      </c>
      <c r="I1031" s="40"/>
      <c r="J1031" s="40">
        <v>0</v>
      </c>
      <c r="K1031" s="40">
        <v>0</v>
      </c>
      <c r="L1031" s="40">
        <v>0</v>
      </c>
    </row>
    <row r="1032" spans="1:12" x14ac:dyDescent="0.25">
      <c r="A1032" s="40" t="s">
        <v>42</v>
      </c>
      <c r="B1032" s="40" t="s">
        <v>1975</v>
      </c>
      <c r="C1032" s="40" t="s">
        <v>1976</v>
      </c>
      <c r="D1032" s="40" t="s">
        <v>505</v>
      </c>
      <c r="E1032" s="40" t="s">
        <v>1977</v>
      </c>
      <c r="F1032" s="40">
        <v>1</v>
      </c>
      <c r="G1032" s="40"/>
      <c r="H1032" s="40" t="s">
        <v>482</v>
      </c>
      <c r="I1032" s="40"/>
      <c r="J1032" s="40">
        <v>0</v>
      </c>
      <c r="K1032" s="40">
        <v>0</v>
      </c>
      <c r="L1032" s="40">
        <v>0</v>
      </c>
    </row>
    <row r="1033" spans="1:12" x14ac:dyDescent="0.25">
      <c r="A1033" s="40" t="s">
        <v>42</v>
      </c>
      <c r="B1033" s="40" t="s">
        <v>1978</v>
      </c>
      <c r="C1033" s="40" t="s">
        <v>1979</v>
      </c>
      <c r="D1033" s="40" t="s">
        <v>493</v>
      </c>
      <c r="E1033" s="40" t="s">
        <v>493</v>
      </c>
      <c r="F1033" s="40">
        <v>0</v>
      </c>
      <c r="G1033" s="40"/>
      <c r="H1033" s="40" t="s">
        <v>482</v>
      </c>
      <c r="I1033" s="40"/>
      <c r="J1033" s="40">
        <v>0</v>
      </c>
      <c r="K1033" s="40">
        <v>0</v>
      </c>
      <c r="L1033" s="40">
        <v>0</v>
      </c>
    </row>
    <row r="1034" spans="1:12" x14ac:dyDescent="0.25">
      <c r="A1034" s="40" t="s">
        <v>42</v>
      </c>
      <c r="B1034" s="40" t="s">
        <v>1980</v>
      </c>
      <c r="C1034" s="40" t="s">
        <v>1981</v>
      </c>
      <c r="D1034" s="40" t="s">
        <v>493</v>
      </c>
      <c r="E1034" s="40" t="s">
        <v>896</v>
      </c>
      <c r="F1034" s="40">
        <v>1</v>
      </c>
      <c r="G1034" s="40"/>
      <c r="H1034" s="40" t="s">
        <v>482</v>
      </c>
      <c r="I1034" s="40"/>
      <c r="J1034" s="40">
        <v>0</v>
      </c>
      <c r="K1034" s="40">
        <v>0</v>
      </c>
      <c r="L1034" s="40">
        <v>0</v>
      </c>
    </row>
    <row r="1035" spans="1:12" x14ac:dyDescent="0.25">
      <c r="A1035" s="40" t="s">
        <v>42</v>
      </c>
      <c r="B1035" s="40" t="s">
        <v>1982</v>
      </c>
      <c r="C1035" s="40" t="s">
        <v>1983</v>
      </c>
      <c r="D1035" s="40" t="s">
        <v>1149</v>
      </c>
      <c r="E1035" s="40" t="s">
        <v>493</v>
      </c>
      <c r="F1035" s="40">
        <v>1</v>
      </c>
      <c r="G1035" s="40"/>
      <c r="H1035" s="40" t="s">
        <v>482</v>
      </c>
      <c r="I1035" s="40"/>
      <c r="J1035" s="40">
        <v>0</v>
      </c>
      <c r="K1035" s="40">
        <v>0</v>
      </c>
      <c r="L1035" s="40">
        <v>0</v>
      </c>
    </row>
    <row r="1036" spans="1:12" x14ac:dyDescent="0.25">
      <c r="A1036" s="40" t="s">
        <v>42</v>
      </c>
      <c r="B1036" s="40" t="s">
        <v>1984</v>
      </c>
      <c r="C1036" s="40" t="s">
        <v>1985</v>
      </c>
      <c r="D1036" s="40" t="s">
        <v>1355</v>
      </c>
      <c r="E1036" s="40" t="s">
        <v>493</v>
      </c>
      <c r="F1036" s="40">
        <v>1</v>
      </c>
      <c r="G1036" s="40"/>
      <c r="H1036" s="40" t="s">
        <v>482</v>
      </c>
      <c r="I1036" s="40"/>
      <c r="J1036" s="40">
        <v>0</v>
      </c>
      <c r="K1036" s="40">
        <v>0</v>
      </c>
      <c r="L1036" s="40">
        <v>0</v>
      </c>
    </row>
    <row r="1037" spans="1:12" x14ac:dyDescent="0.25">
      <c r="A1037" s="40" t="s">
        <v>42</v>
      </c>
      <c r="B1037" s="40" t="s">
        <v>1986</v>
      </c>
      <c r="C1037" s="40" t="s">
        <v>1987</v>
      </c>
      <c r="D1037" s="40" t="s">
        <v>1235</v>
      </c>
      <c r="E1037" s="40" t="s">
        <v>493</v>
      </c>
      <c r="F1037" s="40">
        <v>1</v>
      </c>
      <c r="G1037" s="40"/>
      <c r="H1037" s="40" t="s">
        <v>482</v>
      </c>
      <c r="I1037" s="40"/>
      <c r="J1037" s="40">
        <v>0</v>
      </c>
      <c r="K1037" s="40">
        <v>0</v>
      </c>
      <c r="L1037" s="40">
        <v>0</v>
      </c>
    </row>
    <row r="1038" spans="1:12" x14ac:dyDescent="0.25">
      <c r="A1038" s="40" t="s">
        <v>42</v>
      </c>
      <c r="B1038" s="40" t="s">
        <v>1988</v>
      </c>
      <c r="C1038" s="40" t="s">
        <v>1989</v>
      </c>
      <c r="D1038" s="40" t="s">
        <v>1990</v>
      </c>
      <c r="E1038" s="40" t="s">
        <v>493</v>
      </c>
      <c r="F1038" s="40">
        <v>1</v>
      </c>
      <c r="G1038" s="40"/>
      <c r="H1038" s="40" t="s">
        <v>482</v>
      </c>
      <c r="I1038" s="40"/>
      <c r="J1038" s="40">
        <v>0</v>
      </c>
      <c r="K1038" s="40">
        <v>0</v>
      </c>
      <c r="L1038" s="40">
        <v>0</v>
      </c>
    </row>
    <row r="1039" spans="1:12" x14ac:dyDescent="0.25">
      <c r="A1039" s="40" t="s">
        <v>42</v>
      </c>
      <c r="B1039" s="40" t="s">
        <v>1991</v>
      </c>
      <c r="C1039" s="40" t="s">
        <v>1992</v>
      </c>
      <c r="D1039" s="40" t="s">
        <v>493</v>
      </c>
      <c r="E1039" s="40" t="s">
        <v>493</v>
      </c>
      <c r="F1039" s="40">
        <v>0</v>
      </c>
      <c r="G1039" s="40"/>
      <c r="H1039" s="40" t="s">
        <v>482</v>
      </c>
      <c r="I1039" s="40"/>
      <c r="J1039" s="40">
        <v>0</v>
      </c>
      <c r="K1039" s="40">
        <v>0</v>
      </c>
      <c r="L1039" s="40">
        <v>0</v>
      </c>
    </row>
    <row r="1040" spans="1:12" x14ac:dyDescent="0.25">
      <c r="A1040" s="40" t="s">
        <v>42</v>
      </c>
      <c r="B1040" s="40" t="s">
        <v>1993</v>
      </c>
      <c r="C1040" s="40" t="s">
        <v>1994</v>
      </c>
      <c r="D1040" s="40" t="s">
        <v>493</v>
      </c>
      <c r="E1040" s="40" t="s">
        <v>493</v>
      </c>
      <c r="F1040" s="40">
        <v>0</v>
      </c>
      <c r="G1040" s="40"/>
      <c r="H1040" s="40" t="s">
        <v>482</v>
      </c>
      <c r="I1040" s="40"/>
      <c r="J1040" s="40">
        <v>0</v>
      </c>
      <c r="K1040" s="40">
        <v>0</v>
      </c>
      <c r="L1040" s="40">
        <v>0</v>
      </c>
    </row>
    <row r="1041" spans="1:12" x14ac:dyDescent="0.25">
      <c r="A1041" s="40" t="s">
        <v>42</v>
      </c>
      <c r="B1041" s="40" t="s">
        <v>1995</v>
      </c>
      <c r="C1041" s="40" t="s">
        <v>1996</v>
      </c>
      <c r="D1041" s="40" t="s">
        <v>622</v>
      </c>
      <c r="E1041" s="40" t="s">
        <v>493</v>
      </c>
      <c r="F1041" s="40">
        <v>1</v>
      </c>
      <c r="G1041" s="40"/>
      <c r="H1041" s="40" t="s">
        <v>482</v>
      </c>
      <c r="I1041" s="40"/>
      <c r="J1041" s="40">
        <v>0</v>
      </c>
      <c r="K1041" s="40">
        <v>0</v>
      </c>
      <c r="L1041" s="40">
        <v>0</v>
      </c>
    </row>
    <row r="1042" spans="1:12" x14ac:dyDescent="0.25">
      <c r="A1042" s="40" t="s">
        <v>42</v>
      </c>
      <c r="B1042" s="40" t="s">
        <v>1997</v>
      </c>
      <c r="C1042" s="40" t="s">
        <v>1998</v>
      </c>
      <c r="D1042" s="40" t="s">
        <v>1552</v>
      </c>
      <c r="E1042" s="40" t="s">
        <v>493</v>
      </c>
      <c r="F1042" s="40">
        <v>1</v>
      </c>
      <c r="G1042" s="40"/>
      <c r="H1042" s="40" t="s">
        <v>482</v>
      </c>
      <c r="I1042" s="40"/>
      <c r="J1042" s="40">
        <v>0</v>
      </c>
      <c r="K1042" s="40">
        <v>0</v>
      </c>
      <c r="L1042" s="40">
        <v>0</v>
      </c>
    </row>
    <row r="1043" spans="1:12" x14ac:dyDescent="0.25">
      <c r="A1043" s="40" t="s">
        <v>42</v>
      </c>
      <c r="B1043" s="40" t="s">
        <v>1999</v>
      </c>
      <c r="C1043" s="40" t="s">
        <v>2000</v>
      </c>
      <c r="D1043" s="40" t="s">
        <v>1503</v>
      </c>
      <c r="E1043" s="40" t="s">
        <v>493</v>
      </c>
      <c r="F1043" s="40">
        <v>1</v>
      </c>
      <c r="G1043" s="40"/>
      <c r="H1043" s="40" t="s">
        <v>482</v>
      </c>
      <c r="I1043" s="40"/>
      <c r="J1043" s="40">
        <v>0</v>
      </c>
      <c r="K1043" s="40">
        <v>0</v>
      </c>
      <c r="L1043" s="40">
        <v>0</v>
      </c>
    </row>
    <row r="1044" spans="1:12" x14ac:dyDescent="0.25">
      <c r="A1044" s="40" t="s">
        <v>42</v>
      </c>
      <c r="B1044" s="40" t="s">
        <v>2001</v>
      </c>
      <c r="C1044" s="40" t="s">
        <v>2002</v>
      </c>
      <c r="D1044" s="40" t="s">
        <v>1149</v>
      </c>
      <c r="E1044" s="40" t="s">
        <v>493</v>
      </c>
      <c r="F1044" s="40">
        <v>1</v>
      </c>
      <c r="G1044" s="40"/>
      <c r="H1044" s="40" t="s">
        <v>482</v>
      </c>
      <c r="I1044" s="40"/>
      <c r="J1044" s="40">
        <v>0</v>
      </c>
      <c r="K1044" s="40">
        <v>0</v>
      </c>
      <c r="L1044" s="40">
        <v>0</v>
      </c>
    </row>
    <row r="1045" spans="1:12" x14ac:dyDescent="0.25">
      <c r="A1045" s="40" t="s">
        <v>42</v>
      </c>
      <c r="B1045" s="40" t="s">
        <v>2003</v>
      </c>
      <c r="C1045" s="40" t="s">
        <v>2004</v>
      </c>
      <c r="D1045" s="40" t="s">
        <v>2005</v>
      </c>
      <c r="E1045" s="40" t="s">
        <v>493</v>
      </c>
      <c r="F1045" s="40">
        <v>1</v>
      </c>
      <c r="G1045" s="40"/>
      <c r="H1045" s="40" t="s">
        <v>482</v>
      </c>
      <c r="I1045" s="40"/>
      <c r="J1045" s="40">
        <v>0</v>
      </c>
      <c r="K1045" s="40">
        <v>0</v>
      </c>
      <c r="L1045" s="40">
        <v>0</v>
      </c>
    </row>
    <row r="1046" spans="1:12" x14ac:dyDescent="0.25">
      <c r="A1046" s="40" t="s">
        <v>42</v>
      </c>
      <c r="B1046" s="40" t="s">
        <v>2006</v>
      </c>
      <c r="C1046" s="40" t="s">
        <v>2007</v>
      </c>
      <c r="D1046" s="40" t="s">
        <v>896</v>
      </c>
      <c r="E1046" s="40" t="s">
        <v>493</v>
      </c>
      <c r="F1046" s="40">
        <v>1</v>
      </c>
      <c r="G1046" s="40"/>
      <c r="H1046" s="40" t="s">
        <v>482</v>
      </c>
      <c r="I1046" s="40"/>
      <c r="J1046" s="40">
        <v>0</v>
      </c>
      <c r="K1046" s="40">
        <v>0</v>
      </c>
      <c r="L1046" s="40">
        <v>0</v>
      </c>
    </row>
    <row r="1047" spans="1:12" x14ac:dyDescent="0.25">
      <c r="A1047" s="40" t="s">
        <v>42</v>
      </c>
      <c r="B1047" s="40" t="s">
        <v>2008</v>
      </c>
      <c r="C1047" s="40" t="s">
        <v>2009</v>
      </c>
      <c r="D1047" s="40" t="s">
        <v>622</v>
      </c>
      <c r="E1047" s="40" t="s">
        <v>493</v>
      </c>
      <c r="F1047" s="40">
        <v>1</v>
      </c>
      <c r="G1047" s="40"/>
      <c r="H1047" s="40" t="s">
        <v>482</v>
      </c>
      <c r="I1047" s="40"/>
      <c r="J1047" s="40">
        <v>0</v>
      </c>
      <c r="K1047" s="40">
        <v>0</v>
      </c>
      <c r="L1047" s="40">
        <v>0</v>
      </c>
    </row>
    <row r="1048" spans="1:12" x14ac:dyDescent="0.25">
      <c r="A1048" s="40" t="s">
        <v>42</v>
      </c>
      <c r="B1048" s="40" t="s">
        <v>2010</v>
      </c>
      <c r="C1048" s="40" t="s">
        <v>2011</v>
      </c>
      <c r="D1048" s="40" t="s">
        <v>622</v>
      </c>
      <c r="E1048" s="40" t="s">
        <v>493</v>
      </c>
      <c r="F1048" s="40">
        <v>1</v>
      </c>
      <c r="G1048" s="40"/>
      <c r="H1048" s="40" t="s">
        <v>482</v>
      </c>
      <c r="I1048" s="40"/>
      <c r="J1048" s="40">
        <v>0</v>
      </c>
      <c r="K1048" s="40">
        <v>0</v>
      </c>
      <c r="L1048" s="40">
        <v>0</v>
      </c>
    </row>
    <row r="1049" spans="1:12" x14ac:dyDescent="0.25">
      <c r="A1049" s="40" t="s">
        <v>42</v>
      </c>
      <c r="B1049" s="40" t="s">
        <v>2012</v>
      </c>
      <c r="C1049" s="40" t="s">
        <v>2013</v>
      </c>
      <c r="D1049" s="40" t="s">
        <v>493</v>
      </c>
      <c r="E1049" s="40" t="s">
        <v>493</v>
      </c>
      <c r="F1049" s="40">
        <v>0</v>
      </c>
      <c r="G1049" s="40"/>
      <c r="H1049" s="40" t="s">
        <v>482</v>
      </c>
      <c r="I1049" s="40"/>
      <c r="J1049" s="40">
        <v>0</v>
      </c>
      <c r="K1049" s="40">
        <v>0</v>
      </c>
      <c r="L1049" s="40">
        <v>0</v>
      </c>
    </row>
    <row r="1050" spans="1:12" x14ac:dyDescent="0.25">
      <c r="A1050" s="40" t="s">
        <v>42</v>
      </c>
      <c r="B1050" s="40" t="s">
        <v>2014</v>
      </c>
      <c r="C1050" s="40" t="s">
        <v>2015</v>
      </c>
      <c r="D1050" s="40" t="s">
        <v>1149</v>
      </c>
      <c r="E1050" s="40" t="s">
        <v>1149</v>
      </c>
      <c r="F1050" s="40">
        <v>0</v>
      </c>
      <c r="G1050" s="40"/>
      <c r="H1050" s="40" t="s">
        <v>482</v>
      </c>
      <c r="I1050" s="40"/>
      <c r="J1050" s="40">
        <v>0</v>
      </c>
      <c r="K1050" s="40">
        <v>0</v>
      </c>
      <c r="L1050" s="40">
        <v>0</v>
      </c>
    </row>
    <row r="1051" spans="1:12" x14ac:dyDescent="0.25">
      <c r="A1051" s="40" t="s">
        <v>42</v>
      </c>
      <c r="B1051" s="40" t="s">
        <v>2016</v>
      </c>
      <c r="C1051" s="40" t="s">
        <v>2017</v>
      </c>
      <c r="D1051" s="40" t="s">
        <v>1355</v>
      </c>
      <c r="E1051" s="40" t="s">
        <v>1355</v>
      </c>
      <c r="F1051" s="40">
        <v>0</v>
      </c>
      <c r="G1051" s="40"/>
      <c r="H1051" s="40" t="s">
        <v>482</v>
      </c>
      <c r="I1051" s="40"/>
      <c r="J1051" s="40">
        <v>0</v>
      </c>
      <c r="K1051" s="40">
        <v>0</v>
      </c>
      <c r="L1051" s="40">
        <v>0</v>
      </c>
    </row>
    <row r="1052" spans="1:12" x14ac:dyDescent="0.25">
      <c r="A1052" s="40" t="s">
        <v>42</v>
      </c>
      <c r="B1052" s="40" t="s">
        <v>2018</v>
      </c>
      <c r="C1052" s="40" t="s">
        <v>2019</v>
      </c>
      <c r="D1052" s="40" t="s">
        <v>1235</v>
      </c>
      <c r="E1052" s="40" t="s">
        <v>1235</v>
      </c>
      <c r="F1052" s="40">
        <v>0</v>
      </c>
      <c r="G1052" s="40"/>
      <c r="H1052" s="40" t="s">
        <v>482</v>
      </c>
      <c r="I1052" s="40"/>
      <c r="J1052" s="40">
        <v>0</v>
      </c>
      <c r="K1052" s="40">
        <v>0</v>
      </c>
      <c r="L1052" s="40">
        <v>0</v>
      </c>
    </row>
    <row r="1053" spans="1:12" x14ac:dyDescent="0.25">
      <c r="A1053" s="40" t="s">
        <v>42</v>
      </c>
      <c r="B1053" s="40" t="s">
        <v>2020</v>
      </c>
      <c r="C1053" s="40" t="s">
        <v>2021</v>
      </c>
      <c r="D1053" s="40" t="s">
        <v>2022</v>
      </c>
      <c r="E1053" s="40" t="s">
        <v>2022</v>
      </c>
      <c r="F1053" s="40">
        <v>0</v>
      </c>
      <c r="G1053" s="40"/>
      <c r="H1053" s="40" t="s">
        <v>482</v>
      </c>
      <c r="I1053" s="40"/>
      <c r="J1053" s="40">
        <v>0</v>
      </c>
      <c r="K1053" s="40">
        <v>0</v>
      </c>
      <c r="L1053" s="40">
        <v>0</v>
      </c>
    </row>
    <row r="1054" spans="1:12" x14ac:dyDescent="0.25">
      <c r="A1054" s="40" t="s">
        <v>42</v>
      </c>
      <c r="B1054" s="40" t="s">
        <v>2023</v>
      </c>
      <c r="C1054" s="40" t="s">
        <v>2024</v>
      </c>
      <c r="D1054" s="40" t="s">
        <v>493</v>
      </c>
      <c r="E1054" s="40" t="s">
        <v>513</v>
      </c>
      <c r="F1054" s="40">
        <v>1</v>
      </c>
      <c r="G1054" s="40"/>
      <c r="H1054" s="40" t="s">
        <v>482</v>
      </c>
      <c r="I1054" s="40"/>
      <c r="J1054" s="40">
        <v>0</v>
      </c>
      <c r="K1054" s="40">
        <v>0</v>
      </c>
      <c r="L1054" s="40">
        <v>0</v>
      </c>
    </row>
    <row r="1055" spans="1:12" x14ac:dyDescent="0.25">
      <c r="A1055" s="40" t="s">
        <v>42</v>
      </c>
      <c r="B1055" s="40" t="s">
        <v>2025</v>
      </c>
      <c r="C1055" s="40" t="s">
        <v>2026</v>
      </c>
      <c r="D1055" s="40" t="s">
        <v>493</v>
      </c>
      <c r="E1055" s="40" t="s">
        <v>2027</v>
      </c>
      <c r="F1055" s="40">
        <v>1</v>
      </c>
      <c r="G1055" s="40"/>
      <c r="H1055" s="40" t="s">
        <v>482</v>
      </c>
      <c r="I1055" s="40"/>
      <c r="J1055" s="40">
        <v>0</v>
      </c>
      <c r="K1055" s="40">
        <v>0</v>
      </c>
      <c r="L1055" s="40">
        <v>0</v>
      </c>
    </row>
    <row r="1056" spans="1:12" x14ac:dyDescent="0.25">
      <c r="A1056" s="40" t="s">
        <v>42</v>
      </c>
      <c r="B1056" s="40" t="s">
        <v>2028</v>
      </c>
      <c r="C1056" s="40" t="s">
        <v>2029</v>
      </c>
      <c r="D1056" s="40" t="s">
        <v>622</v>
      </c>
      <c r="E1056" s="40" t="s">
        <v>1154</v>
      </c>
      <c r="F1056" s="40">
        <v>1</v>
      </c>
      <c r="G1056" s="40"/>
      <c r="H1056" s="40" t="s">
        <v>482</v>
      </c>
      <c r="I1056" s="40"/>
      <c r="J1056" s="40">
        <v>0</v>
      </c>
      <c r="K1056" s="40">
        <v>0</v>
      </c>
      <c r="L1056" s="40">
        <v>0</v>
      </c>
    </row>
    <row r="1057" spans="1:12" x14ac:dyDescent="0.25">
      <c r="A1057" s="40" t="s">
        <v>42</v>
      </c>
      <c r="B1057" s="40" t="s">
        <v>2030</v>
      </c>
      <c r="C1057" s="40" t="s">
        <v>2031</v>
      </c>
      <c r="D1057" s="40" t="s">
        <v>1552</v>
      </c>
      <c r="E1057" s="40" t="s">
        <v>1552</v>
      </c>
      <c r="F1057" s="40">
        <v>0</v>
      </c>
      <c r="G1057" s="40"/>
      <c r="H1057" s="40" t="s">
        <v>482</v>
      </c>
      <c r="I1057" s="40"/>
      <c r="J1057" s="40">
        <v>0</v>
      </c>
      <c r="K1057" s="40">
        <v>0</v>
      </c>
      <c r="L1057" s="40">
        <v>0</v>
      </c>
    </row>
    <row r="1058" spans="1:12" x14ac:dyDescent="0.25">
      <c r="A1058" s="40" t="s">
        <v>42</v>
      </c>
      <c r="B1058" s="40" t="s">
        <v>2032</v>
      </c>
      <c r="C1058" s="40" t="s">
        <v>2033</v>
      </c>
      <c r="D1058" s="40" t="s">
        <v>1503</v>
      </c>
      <c r="E1058" s="40" t="s">
        <v>1503</v>
      </c>
      <c r="F1058" s="40">
        <v>0</v>
      </c>
      <c r="G1058" s="40"/>
      <c r="H1058" s="40" t="s">
        <v>482</v>
      </c>
      <c r="I1058" s="40"/>
      <c r="J1058" s="40">
        <v>0</v>
      </c>
      <c r="K1058" s="40">
        <v>0</v>
      </c>
      <c r="L1058" s="40">
        <v>0</v>
      </c>
    </row>
    <row r="1059" spans="1:12" x14ac:dyDescent="0.25">
      <c r="A1059" s="40" t="s">
        <v>42</v>
      </c>
      <c r="B1059" s="40" t="s">
        <v>2034</v>
      </c>
      <c r="C1059" s="40" t="s">
        <v>2035</v>
      </c>
      <c r="D1059" s="40" t="s">
        <v>493</v>
      </c>
      <c r="E1059" s="40" t="s">
        <v>493</v>
      </c>
      <c r="F1059" s="40">
        <v>0</v>
      </c>
      <c r="G1059" s="40"/>
      <c r="H1059" s="40" t="s">
        <v>482</v>
      </c>
      <c r="I1059" s="40"/>
      <c r="J1059" s="40">
        <v>0</v>
      </c>
      <c r="K1059" s="40">
        <v>0</v>
      </c>
      <c r="L1059" s="40">
        <v>0</v>
      </c>
    </row>
    <row r="1060" spans="1:12" x14ac:dyDescent="0.25">
      <c r="A1060" s="40" t="s">
        <v>42</v>
      </c>
      <c r="B1060" s="40" t="s">
        <v>2036</v>
      </c>
      <c r="C1060" s="40" t="s">
        <v>2037</v>
      </c>
      <c r="D1060" s="40" t="s">
        <v>2005</v>
      </c>
      <c r="E1060" s="40" t="s">
        <v>2005</v>
      </c>
      <c r="F1060" s="40">
        <v>0</v>
      </c>
      <c r="G1060" s="40"/>
      <c r="H1060" s="40" t="s">
        <v>482</v>
      </c>
      <c r="I1060" s="40"/>
      <c r="J1060" s="40">
        <v>0</v>
      </c>
      <c r="K1060" s="40">
        <v>0</v>
      </c>
      <c r="L1060" s="40">
        <v>0</v>
      </c>
    </row>
    <row r="1061" spans="1:12" x14ac:dyDescent="0.25">
      <c r="A1061" s="40" t="s">
        <v>42</v>
      </c>
      <c r="B1061" s="40" t="s">
        <v>2038</v>
      </c>
      <c r="C1061" s="40" t="s">
        <v>2039</v>
      </c>
      <c r="D1061" s="40" t="s">
        <v>896</v>
      </c>
      <c r="E1061" s="40" t="s">
        <v>896</v>
      </c>
      <c r="F1061" s="40">
        <v>0</v>
      </c>
      <c r="G1061" s="40"/>
      <c r="H1061" s="40" t="s">
        <v>482</v>
      </c>
      <c r="I1061" s="40"/>
      <c r="J1061" s="40">
        <v>0</v>
      </c>
      <c r="K1061" s="40">
        <v>0</v>
      </c>
      <c r="L1061" s="40">
        <v>0</v>
      </c>
    </row>
    <row r="1062" spans="1:12" x14ac:dyDescent="0.25">
      <c r="A1062" s="40" t="s">
        <v>42</v>
      </c>
      <c r="B1062" s="40" t="s">
        <v>2040</v>
      </c>
      <c r="C1062" s="40" t="s">
        <v>2041</v>
      </c>
      <c r="D1062" s="40" t="s">
        <v>622</v>
      </c>
      <c r="E1062" s="40" t="s">
        <v>493</v>
      </c>
      <c r="F1062" s="40">
        <v>1</v>
      </c>
      <c r="G1062" s="40"/>
      <c r="H1062" s="40" t="s">
        <v>482</v>
      </c>
      <c r="I1062" s="40"/>
      <c r="J1062" s="40">
        <v>0</v>
      </c>
      <c r="K1062" s="40">
        <v>0</v>
      </c>
      <c r="L1062" s="40">
        <v>0</v>
      </c>
    </row>
    <row r="1063" spans="1:12" x14ac:dyDescent="0.25">
      <c r="A1063" s="40" t="s">
        <v>42</v>
      </c>
      <c r="B1063" s="40" t="s">
        <v>2042</v>
      </c>
      <c r="C1063" s="40" t="s">
        <v>2043</v>
      </c>
      <c r="D1063" s="40" t="s">
        <v>622</v>
      </c>
      <c r="E1063" s="40" t="s">
        <v>493</v>
      </c>
      <c r="F1063" s="40">
        <v>1</v>
      </c>
      <c r="G1063" s="40"/>
      <c r="H1063" s="40" t="s">
        <v>482</v>
      </c>
      <c r="I1063" s="40"/>
      <c r="J1063" s="40">
        <v>0</v>
      </c>
      <c r="K1063" s="40">
        <v>0</v>
      </c>
      <c r="L1063" s="40">
        <v>0</v>
      </c>
    </row>
    <row r="1064" spans="1:12" x14ac:dyDescent="0.25">
      <c r="A1064" s="40" t="s">
        <v>42</v>
      </c>
      <c r="B1064" s="40" t="s">
        <v>2044</v>
      </c>
      <c r="C1064" s="40" t="s">
        <v>2045</v>
      </c>
      <c r="D1064" s="40" t="s">
        <v>493</v>
      </c>
      <c r="E1064" s="40" t="s">
        <v>493</v>
      </c>
      <c r="F1064" s="40">
        <v>0</v>
      </c>
      <c r="G1064" s="40"/>
      <c r="H1064" s="40" t="s">
        <v>482</v>
      </c>
      <c r="I1064" s="40"/>
      <c r="J1064" s="40">
        <v>0</v>
      </c>
      <c r="K1064" s="40">
        <v>0</v>
      </c>
      <c r="L1064" s="40">
        <v>0</v>
      </c>
    </row>
    <row r="1065" spans="1:12" x14ac:dyDescent="0.25">
      <c r="A1065" s="40" t="s">
        <v>42</v>
      </c>
      <c r="B1065" s="40" t="s">
        <v>2046</v>
      </c>
      <c r="C1065" s="40" t="s">
        <v>2047</v>
      </c>
      <c r="D1065" s="40" t="s">
        <v>1149</v>
      </c>
      <c r="E1065" s="40" t="s">
        <v>1149</v>
      </c>
      <c r="F1065" s="40">
        <v>0</v>
      </c>
      <c r="G1065" s="40"/>
      <c r="H1065" s="40" t="s">
        <v>482</v>
      </c>
      <c r="I1065" s="40"/>
      <c r="J1065" s="40">
        <v>0</v>
      </c>
      <c r="K1065" s="40">
        <v>0</v>
      </c>
      <c r="L1065" s="40">
        <v>0</v>
      </c>
    </row>
    <row r="1066" spans="1:12" x14ac:dyDescent="0.25">
      <c r="A1066" s="40" t="s">
        <v>42</v>
      </c>
      <c r="B1066" s="40" t="s">
        <v>2048</v>
      </c>
      <c r="C1066" s="40" t="s">
        <v>2049</v>
      </c>
      <c r="D1066" s="40" t="s">
        <v>1355</v>
      </c>
      <c r="E1066" s="40" t="s">
        <v>1355</v>
      </c>
      <c r="F1066" s="40">
        <v>0</v>
      </c>
      <c r="G1066" s="40"/>
      <c r="H1066" s="40" t="s">
        <v>482</v>
      </c>
      <c r="I1066" s="40"/>
      <c r="J1066" s="40">
        <v>0</v>
      </c>
      <c r="K1066" s="40">
        <v>0</v>
      </c>
      <c r="L1066" s="40">
        <v>0</v>
      </c>
    </row>
    <row r="1067" spans="1:12" x14ac:dyDescent="0.25">
      <c r="A1067" s="40" t="s">
        <v>42</v>
      </c>
      <c r="B1067" s="40" t="s">
        <v>2050</v>
      </c>
      <c r="C1067" s="40" t="s">
        <v>2051</v>
      </c>
      <c r="D1067" s="40" t="s">
        <v>1235</v>
      </c>
      <c r="E1067" s="40" t="s">
        <v>1235</v>
      </c>
      <c r="F1067" s="40">
        <v>0</v>
      </c>
      <c r="G1067" s="40"/>
      <c r="H1067" s="40" t="s">
        <v>482</v>
      </c>
      <c r="I1067" s="40"/>
      <c r="J1067" s="40">
        <v>0</v>
      </c>
      <c r="K1067" s="40">
        <v>0</v>
      </c>
      <c r="L1067" s="40">
        <v>0</v>
      </c>
    </row>
    <row r="1068" spans="1:12" x14ac:dyDescent="0.25">
      <c r="A1068" s="40" t="s">
        <v>42</v>
      </c>
      <c r="B1068" s="40" t="s">
        <v>2052</v>
      </c>
      <c r="C1068" s="40" t="s">
        <v>2053</v>
      </c>
      <c r="D1068" s="40" t="s">
        <v>2054</v>
      </c>
      <c r="E1068" s="40" t="s">
        <v>2055</v>
      </c>
      <c r="F1068" s="40">
        <v>1</v>
      </c>
      <c r="G1068" s="40"/>
      <c r="H1068" s="40" t="s">
        <v>482</v>
      </c>
      <c r="I1068" s="40"/>
      <c r="J1068" s="40">
        <v>0</v>
      </c>
      <c r="K1068" s="40">
        <v>0</v>
      </c>
      <c r="L1068" s="40">
        <v>0</v>
      </c>
    </row>
    <row r="1069" spans="1:12" x14ac:dyDescent="0.25">
      <c r="A1069" s="40" t="s">
        <v>42</v>
      </c>
      <c r="B1069" s="40" t="s">
        <v>2056</v>
      </c>
      <c r="C1069" s="40" t="s">
        <v>2057</v>
      </c>
      <c r="D1069" s="40" t="s">
        <v>493</v>
      </c>
      <c r="E1069" s="40" t="s">
        <v>493</v>
      </c>
      <c r="F1069" s="40">
        <v>0</v>
      </c>
      <c r="G1069" s="40"/>
      <c r="H1069" s="40" t="s">
        <v>482</v>
      </c>
      <c r="I1069" s="40"/>
      <c r="J1069" s="40">
        <v>0</v>
      </c>
      <c r="K1069" s="40">
        <v>0</v>
      </c>
      <c r="L1069" s="40">
        <v>0</v>
      </c>
    </row>
    <row r="1070" spans="1:12" x14ac:dyDescent="0.25">
      <c r="A1070" s="40" t="s">
        <v>42</v>
      </c>
      <c r="B1070" s="40" t="s">
        <v>2058</v>
      </c>
      <c r="C1070" s="40" t="s">
        <v>2059</v>
      </c>
      <c r="D1070" s="40" t="s">
        <v>493</v>
      </c>
      <c r="E1070" s="40" t="s">
        <v>493</v>
      </c>
      <c r="F1070" s="40">
        <v>0</v>
      </c>
      <c r="G1070" s="40"/>
      <c r="H1070" s="40" t="s">
        <v>482</v>
      </c>
      <c r="I1070" s="40"/>
      <c r="J1070" s="40">
        <v>0</v>
      </c>
      <c r="K1070" s="40">
        <v>0</v>
      </c>
      <c r="L1070" s="40">
        <v>0</v>
      </c>
    </row>
    <row r="1071" spans="1:12" x14ac:dyDescent="0.25">
      <c r="A1071" s="40" t="s">
        <v>42</v>
      </c>
      <c r="B1071" s="40" t="s">
        <v>2060</v>
      </c>
      <c r="C1071" s="40" t="s">
        <v>2061</v>
      </c>
      <c r="D1071" s="40" t="s">
        <v>493</v>
      </c>
      <c r="E1071" s="40" t="s">
        <v>622</v>
      </c>
      <c r="F1071" s="40">
        <v>1</v>
      </c>
      <c r="G1071" s="40"/>
      <c r="H1071" s="40" t="s">
        <v>482</v>
      </c>
      <c r="I1071" s="40"/>
      <c r="J1071" s="40">
        <v>0</v>
      </c>
      <c r="K1071" s="40">
        <v>0</v>
      </c>
      <c r="L1071" s="40">
        <v>0</v>
      </c>
    </row>
    <row r="1072" spans="1:12" x14ac:dyDescent="0.25">
      <c r="A1072" s="40" t="s">
        <v>42</v>
      </c>
      <c r="B1072" s="40" t="s">
        <v>2062</v>
      </c>
      <c r="C1072" s="40" t="s">
        <v>2063</v>
      </c>
      <c r="D1072" s="40" t="s">
        <v>1552</v>
      </c>
      <c r="E1072" s="40" t="s">
        <v>1552</v>
      </c>
      <c r="F1072" s="40">
        <v>0</v>
      </c>
      <c r="G1072" s="40"/>
      <c r="H1072" s="40" t="s">
        <v>482</v>
      </c>
      <c r="I1072" s="40"/>
      <c r="J1072" s="40">
        <v>0</v>
      </c>
      <c r="K1072" s="40">
        <v>0</v>
      </c>
      <c r="L1072" s="40">
        <v>0</v>
      </c>
    </row>
    <row r="1073" spans="1:12" x14ac:dyDescent="0.25">
      <c r="A1073" s="40" t="s">
        <v>42</v>
      </c>
      <c r="B1073" s="40" t="s">
        <v>2064</v>
      </c>
      <c r="C1073" s="40" t="s">
        <v>2065</v>
      </c>
      <c r="D1073" s="40" t="s">
        <v>1503</v>
      </c>
      <c r="E1073" s="40" t="s">
        <v>1503</v>
      </c>
      <c r="F1073" s="40">
        <v>0</v>
      </c>
      <c r="G1073" s="40"/>
      <c r="H1073" s="40" t="s">
        <v>482</v>
      </c>
      <c r="I1073" s="40"/>
      <c r="J1073" s="40">
        <v>0</v>
      </c>
      <c r="K1073" s="40">
        <v>0</v>
      </c>
      <c r="L1073" s="40">
        <v>0</v>
      </c>
    </row>
    <row r="1074" spans="1:12" x14ac:dyDescent="0.25">
      <c r="A1074" s="40" t="s">
        <v>42</v>
      </c>
      <c r="B1074" s="40" t="s">
        <v>2066</v>
      </c>
      <c r="C1074" s="40" t="s">
        <v>2067</v>
      </c>
      <c r="D1074" s="40" t="s">
        <v>493</v>
      </c>
      <c r="E1074" s="40" t="s">
        <v>493</v>
      </c>
      <c r="F1074" s="40">
        <v>0</v>
      </c>
      <c r="G1074" s="40"/>
      <c r="H1074" s="40" t="s">
        <v>482</v>
      </c>
      <c r="I1074" s="40"/>
      <c r="J1074" s="40">
        <v>0</v>
      </c>
      <c r="K1074" s="40">
        <v>0</v>
      </c>
      <c r="L1074" s="40">
        <v>0</v>
      </c>
    </row>
    <row r="1075" spans="1:12" x14ac:dyDescent="0.25">
      <c r="A1075" s="40" t="s">
        <v>42</v>
      </c>
      <c r="B1075" s="40" t="s">
        <v>2068</v>
      </c>
      <c r="C1075" s="40" t="s">
        <v>2069</v>
      </c>
      <c r="D1075" s="40" t="s">
        <v>2005</v>
      </c>
      <c r="E1075" s="40" t="s">
        <v>2005</v>
      </c>
      <c r="F1075" s="40">
        <v>0</v>
      </c>
      <c r="G1075" s="40"/>
      <c r="H1075" s="40" t="s">
        <v>482</v>
      </c>
      <c r="I1075" s="40"/>
      <c r="J1075" s="40">
        <v>0</v>
      </c>
      <c r="K1075" s="40">
        <v>0</v>
      </c>
      <c r="L1075" s="40">
        <v>0</v>
      </c>
    </row>
    <row r="1076" spans="1:12" x14ac:dyDescent="0.25">
      <c r="A1076" s="40" t="s">
        <v>42</v>
      </c>
      <c r="B1076" s="40" t="s">
        <v>2070</v>
      </c>
      <c r="C1076" s="40" t="s">
        <v>2071</v>
      </c>
      <c r="D1076" s="40" t="s">
        <v>896</v>
      </c>
      <c r="E1076" s="40" t="s">
        <v>896</v>
      </c>
      <c r="F1076" s="40">
        <v>0</v>
      </c>
      <c r="G1076" s="40"/>
      <c r="H1076" s="40" t="s">
        <v>482</v>
      </c>
      <c r="I1076" s="40"/>
      <c r="J1076" s="40">
        <v>0</v>
      </c>
      <c r="K1076" s="40">
        <v>0</v>
      </c>
      <c r="L1076" s="40">
        <v>0</v>
      </c>
    </row>
    <row r="1077" spans="1:12" x14ac:dyDescent="0.25">
      <c r="A1077" s="40" t="s">
        <v>42</v>
      </c>
      <c r="B1077" s="40" t="s">
        <v>2072</v>
      </c>
      <c r="C1077" s="40" t="s">
        <v>2073</v>
      </c>
      <c r="D1077" s="40" t="s">
        <v>622</v>
      </c>
      <c r="E1077" s="40" t="s">
        <v>493</v>
      </c>
      <c r="F1077" s="40">
        <v>1</v>
      </c>
      <c r="G1077" s="40"/>
      <c r="H1077" s="40" t="s">
        <v>482</v>
      </c>
      <c r="I1077" s="40"/>
      <c r="J1077" s="40">
        <v>0</v>
      </c>
      <c r="K1077" s="40">
        <v>0</v>
      </c>
      <c r="L1077" s="40">
        <v>0</v>
      </c>
    </row>
    <row r="1078" spans="1:12" x14ac:dyDescent="0.25">
      <c r="A1078" s="40" t="s">
        <v>42</v>
      </c>
      <c r="B1078" s="40" t="s">
        <v>2074</v>
      </c>
      <c r="C1078" s="40" t="s">
        <v>2075</v>
      </c>
      <c r="D1078" s="40" t="s">
        <v>622</v>
      </c>
      <c r="E1078" s="40" t="s">
        <v>493</v>
      </c>
      <c r="F1078" s="40">
        <v>1</v>
      </c>
      <c r="G1078" s="40"/>
      <c r="H1078" s="40" t="s">
        <v>482</v>
      </c>
      <c r="I1078" s="40"/>
      <c r="J1078" s="40">
        <v>0</v>
      </c>
      <c r="K1078" s="40">
        <v>0</v>
      </c>
      <c r="L1078" s="40">
        <v>0</v>
      </c>
    </row>
    <row r="1079" spans="1:12" x14ac:dyDescent="0.25">
      <c r="A1079" s="40" t="s">
        <v>42</v>
      </c>
      <c r="B1079" s="40" t="s">
        <v>2076</v>
      </c>
      <c r="C1079" s="40" t="s">
        <v>2077</v>
      </c>
      <c r="D1079" s="40" t="s">
        <v>493</v>
      </c>
      <c r="E1079" s="40" t="s">
        <v>493</v>
      </c>
      <c r="F1079" s="40">
        <v>0</v>
      </c>
      <c r="G1079" s="40"/>
      <c r="H1079" s="40" t="s">
        <v>482</v>
      </c>
      <c r="I1079" s="40"/>
      <c r="J1079" s="40">
        <v>0</v>
      </c>
      <c r="K1079" s="40">
        <v>0</v>
      </c>
      <c r="L1079" s="40">
        <v>0</v>
      </c>
    </row>
    <row r="1080" spans="1:12" x14ac:dyDescent="0.25">
      <c r="A1080" s="40" t="s">
        <v>42</v>
      </c>
      <c r="B1080" s="40" t="s">
        <v>2078</v>
      </c>
      <c r="C1080" s="40" t="s">
        <v>2079</v>
      </c>
      <c r="D1080" s="40" t="s">
        <v>1149</v>
      </c>
      <c r="E1080" s="40" t="s">
        <v>1149</v>
      </c>
      <c r="F1080" s="40">
        <v>0</v>
      </c>
      <c r="G1080" s="40"/>
      <c r="H1080" s="40" t="s">
        <v>482</v>
      </c>
      <c r="I1080" s="40"/>
      <c r="J1080" s="40">
        <v>0</v>
      </c>
      <c r="K1080" s="40">
        <v>0</v>
      </c>
      <c r="L1080" s="40">
        <v>0</v>
      </c>
    </row>
    <row r="1081" spans="1:12" x14ac:dyDescent="0.25">
      <c r="A1081" s="40" t="s">
        <v>42</v>
      </c>
      <c r="B1081" s="40" t="s">
        <v>2080</v>
      </c>
      <c r="C1081" s="40" t="s">
        <v>2081</v>
      </c>
      <c r="D1081" s="40" t="s">
        <v>493</v>
      </c>
      <c r="E1081" s="40" t="s">
        <v>493</v>
      </c>
      <c r="F1081" s="40">
        <v>0</v>
      </c>
      <c r="G1081" s="40"/>
      <c r="H1081" s="40" t="s">
        <v>482</v>
      </c>
      <c r="I1081" s="40"/>
      <c r="J1081" s="40">
        <v>0</v>
      </c>
      <c r="K1081" s="40">
        <v>0</v>
      </c>
      <c r="L1081" s="40">
        <v>0</v>
      </c>
    </row>
    <row r="1082" spans="1:12" x14ac:dyDescent="0.25">
      <c r="A1082" s="40" t="s">
        <v>42</v>
      </c>
      <c r="B1082" s="40" t="s">
        <v>2082</v>
      </c>
      <c r="C1082" s="40" t="s">
        <v>2083</v>
      </c>
      <c r="D1082" s="40" t="s">
        <v>1235</v>
      </c>
      <c r="E1082" s="40" t="s">
        <v>1235</v>
      </c>
      <c r="F1082" s="40">
        <v>0</v>
      </c>
      <c r="G1082" s="40"/>
      <c r="H1082" s="40" t="s">
        <v>482</v>
      </c>
      <c r="I1082" s="40"/>
      <c r="J1082" s="40">
        <v>0</v>
      </c>
      <c r="K1082" s="40">
        <v>0</v>
      </c>
      <c r="L1082" s="40">
        <v>0</v>
      </c>
    </row>
    <row r="1083" spans="1:12" x14ac:dyDescent="0.25">
      <c r="A1083" s="40" t="s">
        <v>42</v>
      </c>
      <c r="B1083" s="40" t="s">
        <v>2084</v>
      </c>
      <c r="C1083" s="40" t="s">
        <v>2085</v>
      </c>
      <c r="D1083" s="40" t="s">
        <v>2086</v>
      </c>
      <c r="E1083" s="40" t="s">
        <v>2086</v>
      </c>
      <c r="F1083" s="40">
        <v>0</v>
      </c>
      <c r="G1083" s="40"/>
      <c r="H1083" s="40" t="s">
        <v>482</v>
      </c>
      <c r="I1083" s="40"/>
      <c r="J1083" s="40">
        <v>0</v>
      </c>
      <c r="K1083" s="40">
        <v>0</v>
      </c>
      <c r="L1083" s="40">
        <v>0</v>
      </c>
    </row>
    <row r="1084" spans="1:12" x14ac:dyDescent="0.25">
      <c r="A1084" s="40" t="s">
        <v>42</v>
      </c>
      <c r="B1084" s="40" t="s">
        <v>2087</v>
      </c>
      <c r="C1084" s="40" t="s">
        <v>2088</v>
      </c>
      <c r="D1084" s="40" t="s">
        <v>493</v>
      </c>
      <c r="E1084" s="40" t="s">
        <v>493</v>
      </c>
      <c r="F1084" s="40">
        <v>0</v>
      </c>
      <c r="G1084" s="40"/>
      <c r="H1084" s="40" t="s">
        <v>482</v>
      </c>
      <c r="I1084" s="40"/>
      <c r="J1084" s="40">
        <v>0</v>
      </c>
      <c r="K1084" s="40">
        <v>0</v>
      </c>
      <c r="L1084" s="40">
        <v>0</v>
      </c>
    </row>
    <row r="1085" spans="1:12" x14ac:dyDescent="0.25">
      <c r="A1085" s="40" t="s">
        <v>42</v>
      </c>
      <c r="B1085" s="40" t="s">
        <v>2089</v>
      </c>
      <c r="C1085" s="40" t="s">
        <v>2090</v>
      </c>
      <c r="D1085" s="40" t="s">
        <v>493</v>
      </c>
      <c r="E1085" s="40" t="s">
        <v>493</v>
      </c>
      <c r="F1085" s="40">
        <v>0</v>
      </c>
      <c r="G1085" s="40"/>
      <c r="H1085" s="40" t="s">
        <v>482</v>
      </c>
      <c r="I1085" s="40"/>
      <c r="J1085" s="40">
        <v>0</v>
      </c>
      <c r="K1085" s="40">
        <v>0</v>
      </c>
      <c r="L1085" s="40">
        <v>0</v>
      </c>
    </row>
    <row r="1086" spans="1:12" x14ac:dyDescent="0.25">
      <c r="A1086" s="40" t="s">
        <v>42</v>
      </c>
      <c r="B1086" s="40" t="s">
        <v>2091</v>
      </c>
      <c r="C1086" s="40" t="s">
        <v>2092</v>
      </c>
      <c r="D1086" s="40" t="s">
        <v>622</v>
      </c>
      <c r="E1086" s="40" t="s">
        <v>622</v>
      </c>
      <c r="F1086" s="40">
        <v>0</v>
      </c>
      <c r="G1086" s="40"/>
      <c r="H1086" s="40" t="s">
        <v>482</v>
      </c>
      <c r="I1086" s="40"/>
      <c r="J1086" s="40">
        <v>0</v>
      </c>
      <c r="K1086" s="40">
        <v>0</v>
      </c>
      <c r="L1086" s="40">
        <v>0</v>
      </c>
    </row>
    <row r="1087" spans="1:12" x14ac:dyDescent="0.25">
      <c r="A1087" s="40" t="s">
        <v>42</v>
      </c>
      <c r="B1087" s="40" t="s">
        <v>2093</v>
      </c>
      <c r="C1087" s="40" t="s">
        <v>2094</v>
      </c>
      <c r="D1087" s="40" t="s">
        <v>1552</v>
      </c>
      <c r="E1087" s="40" t="s">
        <v>1552</v>
      </c>
      <c r="F1087" s="40">
        <v>0</v>
      </c>
      <c r="G1087" s="40"/>
      <c r="H1087" s="40" t="s">
        <v>482</v>
      </c>
      <c r="I1087" s="40"/>
      <c r="J1087" s="40">
        <v>0</v>
      </c>
      <c r="K1087" s="40">
        <v>0</v>
      </c>
      <c r="L1087" s="40">
        <v>0</v>
      </c>
    </row>
    <row r="1088" spans="1:12" x14ac:dyDescent="0.25">
      <c r="A1088" s="40" t="s">
        <v>42</v>
      </c>
      <c r="B1088" s="40" t="s">
        <v>2095</v>
      </c>
      <c r="C1088" s="40" t="s">
        <v>2096</v>
      </c>
      <c r="D1088" s="40" t="s">
        <v>1503</v>
      </c>
      <c r="E1088" s="40" t="s">
        <v>1503</v>
      </c>
      <c r="F1088" s="40">
        <v>0</v>
      </c>
      <c r="G1088" s="40"/>
      <c r="H1088" s="40" t="s">
        <v>482</v>
      </c>
      <c r="I1088" s="40"/>
      <c r="J1088" s="40">
        <v>0</v>
      </c>
      <c r="K1088" s="40">
        <v>0</v>
      </c>
      <c r="L1088" s="40">
        <v>0</v>
      </c>
    </row>
    <row r="1089" spans="1:12" x14ac:dyDescent="0.25">
      <c r="A1089" s="40" t="s">
        <v>42</v>
      </c>
      <c r="B1089" s="40" t="s">
        <v>2097</v>
      </c>
      <c r="C1089" s="40" t="s">
        <v>2098</v>
      </c>
      <c r="D1089" s="40" t="s">
        <v>1149</v>
      </c>
      <c r="E1089" s="40" t="s">
        <v>1149</v>
      </c>
      <c r="F1089" s="40">
        <v>0</v>
      </c>
      <c r="G1089" s="40"/>
      <c r="H1089" s="40" t="s">
        <v>482</v>
      </c>
      <c r="I1089" s="40"/>
      <c r="J1089" s="40">
        <v>0</v>
      </c>
      <c r="K1089" s="40">
        <v>0</v>
      </c>
      <c r="L1089" s="40">
        <v>0</v>
      </c>
    </row>
    <row r="1090" spans="1:12" x14ac:dyDescent="0.25">
      <c r="A1090" s="40" t="s">
        <v>42</v>
      </c>
      <c r="B1090" s="40" t="s">
        <v>2099</v>
      </c>
      <c r="C1090" s="40" t="s">
        <v>2100</v>
      </c>
      <c r="D1090" s="40" t="s">
        <v>2005</v>
      </c>
      <c r="E1090" s="40" t="s">
        <v>2005</v>
      </c>
      <c r="F1090" s="40">
        <v>0</v>
      </c>
      <c r="G1090" s="40"/>
      <c r="H1090" s="40" t="s">
        <v>482</v>
      </c>
      <c r="I1090" s="40"/>
      <c r="J1090" s="40">
        <v>0</v>
      </c>
      <c r="K1090" s="40">
        <v>0</v>
      </c>
      <c r="L1090" s="40">
        <v>0</v>
      </c>
    </row>
    <row r="1091" spans="1:12" x14ac:dyDescent="0.25">
      <c r="A1091" s="40" t="s">
        <v>42</v>
      </c>
      <c r="B1091" s="40" t="s">
        <v>2101</v>
      </c>
      <c r="C1091" s="40" t="s">
        <v>2102</v>
      </c>
      <c r="D1091" s="40" t="s">
        <v>896</v>
      </c>
      <c r="E1091" s="40" t="s">
        <v>896</v>
      </c>
      <c r="F1091" s="40">
        <v>0</v>
      </c>
      <c r="G1091" s="40"/>
      <c r="H1091" s="40" t="s">
        <v>482</v>
      </c>
      <c r="I1091" s="40"/>
      <c r="J1091" s="40">
        <v>0</v>
      </c>
      <c r="K1091" s="40">
        <v>0</v>
      </c>
      <c r="L1091" s="40">
        <v>0</v>
      </c>
    </row>
    <row r="1092" spans="1:12" x14ac:dyDescent="0.25">
      <c r="A1092" s="40" t="s">
        <v>42</v>
      </c>
      <c r="B1092" s="40" t="s">
        <v>2103</v>
      </c>
      <c r="C1092" s="40" t="s">
        <v>2104</v>
      </c>
      <c r="D1092" s="40" t="s">
        <v>622</v>
      </c>
      <c r="E1092" s="40" t="s">
        <v>493</v>
      </c>
      <c r="F1092" s="40">
        <v>1</v>
      </c>
      <c r="G1092" s="40"/>
      <c r="H1092" s="40" t="s">
        <v>482</v>
      </c>
      <c r="I1092" s="40"/>
      <c r="J1092" s="40">
        <v>0</v>
      </c>
      <c r="K1092" s="40">
        <v>0</v>
      </c>
      <c r="L1092" s="40">
        <v>0</v>
      </c>
    </row>
    <row r="1093" spans="1:12" x14ac:dyDescent="0.25">
      <c r="A1093" s="40" t="s">
        <v>42</v>
      </c>
      <c r="B1093" s="40" t="s">
        <v>2105</v>
      </c>
      <c r="C1093" s="40" t="s">
        <v>2106</v>
      </c>
      <c r="D1093" s="40" t="s">
        <v>622</v>
      </c>
      <c r="E1093" s="40" t="s">
        <v>493</v>
      </c>
      <c r="F1093" s="40">
        <v>1</v>
      </c>
      <c r="G1093" s="40"/>
      <c r="H1093" s="40" t="s">
        <v>482</v>
      </c>
      <c r="I1093" s="40"/>
      <c r="J1093" s="40">
        <v>0</v>
      </c>
      <c r="K1093" s="40">
        <v>0</v>
      </c>
      <c r="L1093" s="40">
        <v>0</v>
      </c>
    </row>
    <row r="1094" spans="1:12" x14ac:dyDescent="0.25">
      <c r="A1094" s="40" t="s">
        <v>42</v>
      </c>
      <c r="B1094" s="40" t="s">
        <v>2107</v>
      </c>
      <c r="C1094" s="40" t="s">
        <v>2108</v>
      </c>
      <c r="D1094" s="40" t="s">
        <v>493</v>
      </c>
      <c r="E1094" s="40" t="s">
        <v>493</v>
      </c>
      <c r="F1094" s="40">
        <v>0</v>
      </c>
      <c r="G1094" s="40"/>
      <c r="H1094" s="40" t="s">
        <v>482</v>
      </c>
      <c r="I1094" s="40"/>
      <c r="J1094" s="40">
        <v>0</v>
      </c>
      <c r="K1094" s="40">
        <v>0</v>
      </c>
      <c r="L1094" s="40">
        <v>0</v>
      </c>
    </row>
    <row r="1095" spans="1:12" x14ac:dyDescent="0.25">
      <c r="A1095" s="40" t="s">
        <v>42</v>
      </c>
      <c r="B1095" s="40" t="s">
        <v>2109</v>
      </c>
      <c r="C1095" s="40" t="s">
        <v>2110</v>
      </c>
      <c r="D1095" s="40" t="s">
        <v>1149</v>
      </c>
      <c r="E1095" s="40" t="s">
        <v>1149</v>
      </c>
      <c r="F1095" s="40">
        <v>0</v>
      </c>
      <c r="G1095" s="40"/>
      <c r="H1095" s="40" t="s">
        <v>482</v>
      </c>
      <c r="I1095" s="40"/>
      <c r="J1095" s="40">
        <v>0</v>
      </c>
      <c r="K1095" s="40">
        <v>0</v>
      </c>
      <c r="L1095" s="40">
        <v>0</v>
      </c>
    </row>
    <row r="1096" spans="1:12" x14ac:dyDescent="0.25">
      <c r="A1096" s="40" t="s">
        <v>42</v>
      </c>
      <c r="B1096" s="40" t="s">
        <v>2111</v>
      </c>
      <c r="C1096" s="40" t="s">
        <v>2112</v>
      </c>
      <c r="D1096" s="40" t="s">
        <v>493</v>
      </c>
      <c r="E1096" s="40" t="s">
        <v>493</v>
      </c>
      <c r="F1096" s="40">
        <v>0</v>
      </c>
      <c r="G1096" s="40"/>
      <c r="H1096" s="40" t="s">
        <v>482</v>
      </c>
      <c r="I1096" s="40"/>
      <c r="J1096" s="40">
        <v>0</v>
      </c>
      <c r="K1096" s="40">
        <v>0</v>
      </c>
      <c r="L1096" s="40">
        <v>0</v>
      </c>
    </row>
    <row r="1097" spans="1:12" x14ac:dyDescent="0.25">
      <c r="A1097" s="40" t="s">
        <v>42</v>
      </c>
      <c r="B1097" s="40" t="s">
        <v>2113</v>
      </c>
      <c r="C1097" s="40" t="s">
        <v>2114</v>
      </c>
      <c r="D1097" s="40" t="s">
        <v>1235</v>
      </c>
      <c r="E1097" s="40" t="s">
        <v>1235</v>
      </c>
      <c r="F1097" s="40">
        <v>0</v>
      </c>
      <c r="G1097" s="40"/>
      <c r="H1097" s="40" t="s">
        <v>482</v>
      </c>
      <c r="I1097" s="40"/>
      <c r="J1097" s="40">
        <v>0</v>
      </c>
      <c r="K1097" s="40">
        <v>0</v>
      </c>
      <c r="L1097" s="40">
        <v>0</v>
      </c>
    </row>
    <row r="1098" spans="1:12" x14ac:dyDescent="0.25">
      <c r="A1098" s="40" t="s">
        <v>42</v>
      </c>
      <c r="B1098" s="40" t="s">
        <v>2115</v>
      </c>
      <c r="C1098" s="40" t="s">
        <v>2116</v>
      </c>
      <c r="D1098" s="40" t="s">
        <v>2117</v>
      </c>
      <c r="E1098" s="40" t="s">
        <v>2117</v>
      </c>
      <c r="F1098" s="40">
        <v>0</v>
      </c>
      <c r="G1098" s="40"/>
      <c r="H1098" s="40" t="s">
        <v>482</v>
      </c>
      <c r="I1098" s="40"/>
      <c r="J1098" s="40">
        <v>0</v>
      </c>
      <c r="K1098" s="40">
        <v>0</v>
      </c>
      <c r="L1098" s="40">
        <v>0</v>
      </c>
    </row>
    <row r="1099" spans="1:12" x14ac:dyDescent="0.25">
      <c r="A1099" s="40" t="s">
        <v>42</v>
      </c>
      <c r="B1099" s="40" t="s">
        <v>2118</v>
      </c>
      <c r="C1099" s="40" t="s">
        <v>2119</v>
      </c>
      <c r="D1099" s="40" t="s">
        <v>493</v>
      </c>
      <c r="E1099" s="40" t="s">
        <v>493</v>
      </c>
      <c r="F1099" s="40">
        <v>0</v>
      </c>
      <c r="G1099" s="40"/>
      <c r="H1099" s="40" t="s">
        <v>482</v>
      </c>
      <c r="I1099" s="40"/>
      <c r="J1099" s="40">
        <v>0</v>
      </c>
      <c r="K1099" s="40">
        <v>0</v>
      </c>
      <c r="L1099" s="40">
        <v>0</v>
      </c>
    </row>
    <row r="1100" spans="1:12" x14ac:dyDescent="0.25">
      <c r="A1100" s="40" t="s">
        <v>42</v>
      </c>
      <c r="B1100" s="40" t="s">
        <v>2120</v>
      </c>
      <c r="C1100" s="40" t="s">
        <v>2121</v>
      </c>
      <c r="D1100" s="40" t="s">
        <v>493</v>
      </c>
      <c r="E1100" s="40" t="s">
        <v>493</v>
      </c>
      <c r="F1100" s="40">
        <v>0</v>
      </c>
      <c r="G1100" s="40"/>
      <c r="H1100" s="40" t="s">
        <v>482</v>
      </c>
      <c r="I1100" s="40"/>
      <c r="J1100" s="40">
        <v>0</v>
      </c>
      <c r="K1100" s="40">
        <v>0</v>
      </c>
      <c r="L1100" s="40">
        <v>0</v>
      </c>
    </row>
    <row r="1101" spans="1:12" x14ac:dyDescent="0.25">
      <c r="A1101" s="40" t="s">
        <v>42</v>
      </c>
      <c r="B1101" s="40" t="s">
        <v>2122</v>
      </c>
      <c r="C1101" s="40" t="s">
        <v>2123</v>
      </c>
      <c r="D1101" s="40" t="s">
        <v>1154</v>
      </c>
      <c r="E1101" s="40" t="s">
        <v>1154</v>
      </c>
      <c r="F1101" s="40">
        <v>0</v>
      </c>
      <c r="G1101" s="40"/>
      <c r="H1101" s="40" t="s">
        <v>482</v>
      </c>
      <c r="I1101" s="40"/>
      <c r="J1101" s="40">
        <v>0</v>
      </c>
      <c r="K1101" s="40">
        <v>0</v>
      </c>
      <c r="L1101" s="40">
        <v>0</v>
      </c>
    </row>
    <row r="1102" spans="1:12" x14ac:dyDescent="0.25">
      <c r="A1102" s="40" t="s">
        <v>42</v>
      </c>
      <c r="B1102" s="40" t="s">
        <v>2124</v>
      </c>
      <c r="C1102" s="40" t="s">
        <v>2125</v>
      </c>
      <c r="D1102" s="40" t="s">
        <v>1552</v>
      </c>
      <c r="E1102" s="40" t="s">
        <v>1552</v>
      </c>
      <c r="F1102" s="40">
        <v>0</v>
      </c>
      <c r="G1102" s="40"/>
      <c r="H1102" s="40" t="s">
        <v>482</v>
      </c>
      <c r="I1102" s="40"/>
      <c r="J1102" s="40">
        <v>0</v>
      </c>
      <c r="K1102" s="40">
        <v>0</v>
      </c>
      <c r="L1102" s="40">
        <v>0</v>
      </c>
    </row>
    <row r="1103" spans="1:12" x14ac:dyDescent="0.25">
      <c r="A1103" s="40" t="s">
        <v>42</v>
      </c>
      <c r="B1103" s="40" t="s">
        <v>2126</v>
      </c>
      <c r="C1103" s="40" t="s">
        <v>2127</v>
      </c>
      <c r="D1103" s="40" t="s">
        <v>1503</v>
      </c>
      <c r="E1103" s="40" t="s">
        <v>1503</v>
      </c>
      <c r="F1103" s="40">
        <v>0</v>
      </c>
      <c r="G1103" s="40"/>
      <c r="H1103" s="40" t="s">
        <v>482</v>
      </c>
      <c r="I1103" s="40"/>
      <c r="J1103" s="40">
        <v>0</v>
      </c>
      <c r="K1103" s="40">
        <v>0</v>
      </c>
      <c r="L1103" s="40">
        <v>0</v>
      </c>
    </row>
    <row r="1104" spans="1:12" x14ac:dyDescent="0.25">
      <c r="A1104" s="40" t="s">
        <v>42</v>
      </c>
      <c r="B1104" s="40" t="s">
        <v>2128</v>
      </c>
      <c r="C1104" s="40" t="s">
        <v>2129</v>
      </c>
      <c r="D1104" s="40" t="s">
        <v>493</v>
      </c>
      <c r="E1104" s="40" t="s">
        <v>493</v>
      </c>
      <c r="F1104" s="40">
        <v>0</v>
      </c>
      <c r="G1104" s="40"/>
      <c r="H1104" s="40" t="s">
        <v>482</v>
      </c>
      <c r="I1104" s="40"/>
      <c r="J1104" s="40">
        <v>0</v>
      </c>
      <c r="K1104" s="40">
        <v>0</v>
      </c>
      <c r="L1104" s="40">
        <v>0</v>
      </c>
    </row>
    <row r="1105" spans="1:12" x14ac:dyDescent="0.25">
      <c r="A1105" s="40" t="s">
        <v>42</v>
      </c>
      <c r="B1105" s="40" t="s">
        <v>2130</v>
      </c>
      <c r="C1105" s="40" t="s">
        <v>2131</v>
      </c>
      <c r="D1105" s="40" t="s">
        <v>2005</v>
      </c>
      <c r="E1105" s="40" t="s">
        <v>2005</v>
      </c>
      <c r="F1105" s="40">
        <v>0</v>
      </c>
      <c r="G1105" s="40"/>
      <c r="H1105" s="40" t="s">
        <v>482</v>
      </c>
      <c r="I1105" s="40"/>
      <c r="J1105" s="40">
        <v>0</v>
      </c>
      <c r="K1105" s="40">
        <v>0</v>
      </c>
      <c r="L1105" s="40">
        <v>0</v>
      </c>
    </row>
    <row r="1106" spans="1:12" x14ac:dyDescent="0.25">
      <c r="A1106" s="40" t="s">
        <v>42</v>
      </c>
      <c r="B1106" s="40" t="s">
        <v>2132</v>
      </c>
      <c r="C1106" s="40" t="s">
        <v>2133</v>
      </c>
      <c r="D1106" s="40" t="s">
        <v>896</v>
      </c>
      <c r="E1106" s="40" t="s">
        <v>896</v>
      </c>
      <c r="F1106" s="40">
        <v>0</v>
      </c>
      <c r="G1106" s="40"/>
      <c r="H1106" s="40" t="s">
        <v>482</v>
      </c>
      <c r="I1106" s="40"/>
      <c r="J1106" s="40">
        <v>0</v>
      </c>
      <c r="K1106" s="40">
        <v>0</v>
      </c>
      <c r="L1106" s="40">
        <v>0</v>
      </c>
    </row>
    <row r="1107" spans="1:12" x14ac:dyDescent="0.25">
      <c r="A1107" s="40" t="s">
        <v>42</v>
      </c>
      <c r="B1107" s="40" t="s">
        <v>2134</v>
      </c>
      <c r="C1107" s="40" t="s">
        <v>2135</v>
      </c>
      <c r="D1107" s="40" t="s">
        <v>493</v>
      </c>
      <c r="E1107" s="40" t="s">
        <v>493</v>
      </c>
      <c r="F1107" s="40">
        <v>0</v>
      </c>
      <c r="G1107" s="40"/>
      <c r="H1107" s="40" t="s">
        <v>482</v>
      </c>
      <c r="I1107" s="40"/>
      <c r="J1107" s="40">
        <v>0</v>
      </c>
      <c r="K1107" s="40">
        <v>0</v>
      </c>
      <c r="L1107" s="40">
        <v>0</v>
      </c>
    </row>
    <row r="1108" spans="1:12" x14ac:dyDescent="0.25">
      <c r="A1108" s="40" t="s">
        <v>42</v>
      </c>
      <c r="B1108" s="40" t="s">
        <v>2136</v>
      </c>
      <c r="C1108" s="40" t="s">
        <v>2137</v>
      </c>
      <c r="D1108" s="40" t="s">
        <v>493</v>
      </c>
      <c r="E1108" s="40" t="s">
        <v>493</v>
      </c>
      <c r="F1108" s="40">
        <v>0</v>
      </c>
      <c r="G1108" s="40"/>
      <c r="H1108" s="40" t="s">
        <v>482</v>
      </c>
      <c r="I1108" s="40"/>
      <c r="J1108" s="40">
        <v>0</v>
      </c>
      <c r="K1108" s="40">
        <v>0</v>
      </c>
      <c r="L1108" s="40">
        <v>0</v>
      </c>
    </row>
    <row r="1109" spans="1:12" x14ac:dyDescent="0.25">
      <c r="A1109" s="40" t="s">
        <v>42</v>
      </c>
      <c r="B1109" s="40" t="s">
        <v>2138</v>
      </c>
      <c r="C1109" s="40" t="s">
        <v>2139</v>
      </c>
      <c r="D1109" s="40" t="s">
        <v>493</v>
      </c>
      <c r="E1109" s="40" t="s">
        <v>493</v>
      </c>
      <c r="F1109" s="40">
        <v>0</v>
      </c>
      <c r="G1109" s="40"/>
      <c r="H1109" s="40" t="s">
        <v>482</v>
      </c>
      <c r="I1109" s="40"/>
      <c r="J1109" s="40">
        <v>0</v>
      </c>
      <c r="K1109" s="40">
        <v>0</v>
      </c>
      <c r="L1109" s="40">
        <v>0</v>
      </c>
    </row>
    <row r="1110" spans="1:12" x14ac:dyDescent="0.25">
      <c r="A1110" s="40" t="s">
        <v>42</v>
      </c>
      <c r="B1110" s="40" t="s">
        <v>2140</v>
      </c>
      <c r="C1110" s="40" t="s">
        <v>2141</v>
      </c>
      <c r="D1110" s="40" t="s">
        <v>1149</v>
      </c>
      <c r="E1110" s="40" t="s">
        <v>1149</v>
      </c>
      <c r="F1110" s="40">
        <v>0</v>
      </c>
      <c r="G1110" s="40"/>
      <c r="H1110" s="40" t="s">
        <v>482</v>
      </c>
      <c r="I1110" s="40"/>
      <c r="J1110" s="40">
        <v>0</v>
      </c>
      <c r="K1110" s="40">
        <v>0</v>
      </c>
      <c r="L1110" s="40">
        <v>0</v>
      </c>
    </row>
    <row r="1111" spans="1:12" x14ac:dyDescent="0.25">
      <c r="A1111" s="40" t="s">
        <v>42</v>
      </c>
      <c r="B1111" s="40" t="s">
        <v>2142</v>
      </c>
      <c r="C1111" s="40" t="s">
        <v>2143</v>
      </c>
      <c r="D1111" s="40" t="s">
        <v>493</v>
      </c>
      <c r="E1111" s="40" t="s">
        <v>493</v>
      </c>
      <c r="F1111" s="40">
        <v>0</v>
      </c>
      <c r="G1111" s="40"/>
      <c r="H1111" s="40" t="s">
        <v>482</v>
      </c>
      <c r="I1111" s="40"/>
      <c r="J1111" s="40">
        <v>0</v>
      </c>
      <c r="K1111" s="40">
        <v>0</v>
      </c>
      <c r="L1111" s="40">
        <v>0</v>
      </c>
    </row>
    <row r="1112" spans="1:12" x14ac:dyDescent="0.25">
      <c r="A1112" s="40" t="s">
        <v>42</v>
      </c>
      <c r="B1112" s="40" t="s">
        <v>2144</v>
      </c>
      <c r="C1112" s="40" t="s">
        <v>2145</v>
      </c>
      <c r="D1112" s="40" t="s">
        <v>1235</v>
      </c>
      <c r="E1112" s="40" t="s">
        <v>1235</v>
      </c>
      <c r="F1112" s="40">
        <v>0</v>
      </c>
      <c r="G1112" s="40"/>
      <c r="H1112" s="40" t="s">
        <v>482</v>
      </c>
      <c r="I1112" s="40"/>
      <c r="J1112" s="40">
        <v>0</v>
      </c>
      <c r="K1112" s="40">
        <v>0</v>
      </c>
      <c r="L1112" s="40">
        <v>0</v>
      </c>
    </row>
    <row r="1113" spans="1:12" x14ac:dyDescent="0.25">
      <c r="A1113" s="40" t="s">
        <v>42</v>
      </c>
      <c r="B1113" s="40" t="s">
        <v>2146</v>
      </c>
      <c r="C1113" s="40" t="s">
        <v>2147</v>
      </c>
      <c r="D1113" s="40" t="s">
        <v>2022</v>
      </c>
      <c r="E1113" s="40" t="s">
        <v>2054</v>
      </c>
      <c r="F1113" s="40">
        <v>1</v>
      </c>
      <c r="G1113" s="40"/>
      <c r="H1113" s="40" t="s">
        <v>482</v>
      </c>
      <c r="I1113" s="40"/>
      <c r="J1113" s="40">
        <v>0</v>
      </c>
      <c r="K1113" s="40">
        <v>0</v>
      </c>
      <c r="L1113" s="40">
        <v>0</v>
      </c>
    </row>
    <row r="1114" spans="1:12" x14ac:dyDescent="0.25">
      <c r="A1114" s="40" t="s">
        <v>42</v>
      </c>
      <c r="B1114" s="40" t="s">
        <v>2148</v>
      </c>
      <c r="C1114" s="40" t="s">
        <v>2149</v>
      </c>
      <c r="D1114" s="40" t="s">
        <v>493</v>
      </c>
      <c r="E1114" s="40" t="s">
        <v>493</v>
      </c>
      <c r="F1114" s="40">
        <v>0</v>
      </c>
      <c r="G1114" s="40"/>
      <c r="H1114" s="40" t="s">
        <v>482</v>
      </c>
      <c r="I1114" s="40"/>
      <c r="J1114" s="40">
        <v>0</v>
      </c>
      <c r="K1114" s="40">
        <v>0</v>
      </c>
      <c r="L1114" s="40">
        <v>0</v>
      </c>
    </row>
    <row r="1115" spans="1:12" x14ac:dyDescent="0.25">
      <c r="A1115" s="40" t="s">
        <v>42</v>
      </c>
      <c r="B1115" s="40" t="s">
        <v>2150</v>
      </c>
      <c r="C1115" s="40" t="s">
        <v>2151</v>
      </c>
      <c r="D1115" s="40" t="s">
        <v>493</v>
      </c>
      <c r="E1115" s="40" t="s">
        <v>493</v>
      </c>
      <c r="F1115" s="40">
        <v>0</v>
      </c>
      <c r="G1115" s="40"/>
      <c r="H1115" s="40" t="s">
        <v>482</v>
      </c>
      <c r="I1115" s="40"/>
      <c r="J1115" s="40">
        <v>0</v>
      </c>
      <c r="K1115" s="40">
        <v>0</v>
      </c>
      <c r="L1115" s="40">
        <v>0</v>
      </c>
    </row>
    <row r="1116" spans="1:12" x14ac:dyDescent="0.25">
      <c r="A1116" s="40" t="s">
        <v>42</v>
      </c>
      <c r="B1116" s="40" t="s">
        <v>2152</v>
      </c>
      <c r="C1116" s="40" t="s">
        <v>2153</v>
      </c>
      <c r="D1116" s="40" t="s">
        <v>1064</v>
      </c>
      <c r="E1116" s="40" t="s">
        <v>622</v>
      </c>
      <c r="F1116" s="40">
        <v>1</v>
      </c>
      <c r="G1116" s="40"/>
      <c r="H1116" s="40" t="s">
        <v>482</v>
      </c>
      <c r="I1116" s="40"/>
      <c r="J1116" s="40">
        <v>0</v>
      </c>
      <c r="K1116" s="40">
        <v>0</v>
      </c>
      <c r="L1116" s="40">
        <v>0</v>
      </c>
    </row>
    <row r="1117" spans="1:12" x14ac:dyDescent="0.25">
      <c r="A1117" s="40" t="s">
        <v>42</v>
      </c>
      <c r="B1117" s="40" t="s">
        <v>2154</v>
      </c>
      <c r="C1117" s="40" t="s">
        <v>2155</v>
      </c>
      <c r="D1117" s="40" t="s">
        <v>1552</v>
      </c>
      <c r="E1117" s="40" t="s">
        <v>1552</v>
      </c>
      <c r="F1117" s="40">
        <v>0</v>
      </c>
      <c r="G1117" s="40"/>
      <c r="H1117" s="40" t="s">
        <v>482</v>
      </c>
      <c r="I1117" s="40"/>
      <c r="J1117" s="40">
        <v>0</v>
      </c>
      <c r="K1117" s="40">
        <v>0</v>
      </c>
      <c r="L1117" s="40">
        <v>0</v>
      </c>
    </row>
    <row r="1118" spans="1:12" x14ac:dyDescent="0.25">
      <c r="A1118" s="40" t="s">
        <v>42</v>
      </c>
      <c r="B1118" s="40" t="s">
        <v>2156</v>
      </c>
      <c r="C1118" s="40" t="s">
        <v>2157</v>
      </c>
      <c r="D1118" s="40" t="s">
        <v>1503</v>
      </c>
      <c r="E1118" s="40" t="s">
        <v>1503</v>
      </c>
      <c r="F1118" s="40">
        <v>0</v>
      </c>
      <c r="G1118" s="40"/>
      <c r="H1118" s="40" t="s">
        <v>482</v>
      </c>
      <c r="I1118" s="40"/>
      <c r="J1118" s="40">
        <v>0</v>
      </c>
      <c r="K1118" s="40">
        <v>0</v>
      </c>
      <c r="L1118" s="40">
        <v>0</v>
      </c>
    </row>
    <row r="1119" spans="1:12" x14ac:dyDescent="0.25">
      <c r="A1119" s="40" t="s">
        <v>42</v>
      </c>
      <c r="B1119" s="40" t="s">
        <v>2158</v>
      </c>
      <c r="C1119" s="40" t="s">
        <v>2159</v>
      </c>
      <c r="D1119" s="40" t="s">
        <v>493</v>
      </c>
      <c r="E1119" s="40" t="s">
        <v>493</v>
      </c>
      <c r="F1119" s="40">
        <v>0</v>
      </c>
      <c r="G1119" s="40"/>
      <c r="H1119" s="40" t="s">
        <v>482</v>
      </c>
      <c r="I1119" s="40"/>
      <c r="J1119" s="40">
        <v>0</v>
      </c>
      <c r="K1119" s="40">
        <v>0</v>
      </c>
      <c r="L1119" s="40">
        <v>0</v>
      </c>
    </row>
    <row r="1120" spans="1:12" x14ac:dyDescent="0.25">
      <c r="A1120" s="40" t="s">
        <v>42</v>
      </c>
      <c r="B1120" s="40" t="s">
        <v>2160</v>
      </c>
      <c r="C1120" s="40" t="s">
        <v>2161</v>
      </c>
      <c r="D1120" s="40" t="s">
        <v>2005</v>
      </c>
      <c r="E1120" s="40" t="s">
        <v>2005</v>
      </c>
      <c r="F1120" s="40">
        <v>0</v>
      </c>
      <c r="G1120" s="40"/>
      <c r="H1120" s="40" t="s">
        <v>482</v>
      </c>
      <c r="I1120" s="40"/>
      <c r="J1120" s="40">
        <v>0</v>
      </c>
      <c r="K1120" s="40">
        <v>0</v>
      </c>
      <c r="L1120" s="40">
        <v>0</v>
      </c>
    </row>
    <row r="1121" spans="1:12" x14ac:dyDescent="0.25">
      <c r="A1121" s="40" t="s">
        <v>42</v>
      </c>
      <c r="B1121" s="40" t="s">
        <v>2162</v>
      </c>
      <c r="C1121" s="40" t="s">
        <v>2163</v>
      </c>
      <c r="D1121" s="40" t="s">
        <v>896</v>
      </c>
      <c r="E1121" s="40" t="s">
        <v>896</v>
      </c>
      <c r="F1121" s="40">
        <v>0</v>
      </c>
      <c r="G1121" s="40"/>
      <c r="H1121" s="40" t="s">
        <v>482</v>
      </c>
      <c r="I1121" s="40"/>
      <c r="J1121" s="40">
        <v>0</v>
      </c>
      <c r="K1121" s="40">
        <v>0</v>
      </c>
      <c r="L1121" s="40">
        <v>0</v>
      </c>
    </row>
    <row r="1122" spans="1:12" x14ac:dyDescent="0.25">
      <c r="A1122" s="40" t="s">
        <v>42</v>
      </c>
      <c r="B1122" s="40" t="s">
        <v>2164</v>
      </c>
      <c r="C1122" s="40" t="s">
        <v>2165</v>
      </c>
      <c r="D1122" s="40" t="s">
        <v>493</v>
      </c>
      <c r="E1122" s="40" t="s">
        <v>493</v>
      </c>
      <c r="F1122" s="40">
        <v>0</v>
      </c>
      <c r="G1122" s="40"/>
      <c r="H1122" s="40" t="s">
        <v>482</v>
      </c>
      <c r="I1122" s="40"/>
      <c r="J1122" s="40">
        <v>0</v>
      </c>
      <c r="K1122" s="40">
        <v>0</v>
      </c>
      <c r="L1122" s="40">
        <v>0</v>
      </c>
    </row>
    <row r="1123" spans="1:12" x14ac:dyDescent="0.25">
      <c r="A1123" s="40" t="s">
        <v>42</v>
      </c>
      <c r="B1123" s="40" t="s">
        <v>2166</v>
      </c>
      <c r="C1123" s="40" t="s">
        <v>2167</v>
      </c>
      <c r="D1123" s="40" t="s">
        <v>493</v>
      </c>
      <c r="E1123" s="40" t="s">
        <v>493</v>
      </c>
      <c r="F1123" s="40">
        <v>0</v>
      </c>
      <c r="G1123" s="40"/>
      <c r="H1123" s="40" t="s">
        <v>482</v>
      </c>
      <c r="I1123" s="40"/>
      <c r="J1123" s="40">
        <v>0</v>
      </c>
      <c r="K1123" s="40">
        <v>0</v>
      </c>
      <c r="L1123" s="40">
        <v>0</v>
      </c>
    </row>
    <row r="1124" spans="1:12" x14ac:dyDescent="0.25">
      <c r="A1124" s="40" t="s">
        <v>42</v>
      </c>
      <c r="B1124" s="40" t="s">
        <v>2168</v>
      </c>
      <c r="C1124" s="40" t="s">
        <v>2169</v>
      </c>
      <c r="D1124" s="40" t="s">
        <v>493</v>
      </c>
      <c r="E1124" s="40" t="s">
        <v>493</v>
      </c>
      <c r="F1124" s="40">
        <v>0</v>
      </c>
      <c r="G1124" s="40"/>
      <c r="H1124" s="40" t="s">
        <v>482</v>
      </c>
      <c r="I1124" s="40"/>
      <c r="J1124" s="40">
        <v>0</v>
      </c>
      <c r="K1124" s="40">
        <v>0</v>
      </c>
      <c r="L1124" s="40">
        <v>0</v>
      </c>
    </row>
    <row r="1125" spans="1:12" x14ac:dyDescent="0.25">
      <c r="A1125" s="40" t="s">
        <v>42</v>
      </c>
      <c r="B1125" s="40" t="s">
        <v>2170</v>
      </c>
      <c r="C1125" s="40" t="s">
        <v>2171</v>
      </c>
      <c r="D1125" s="40" t="s">
        <v>1149</v>
      </c>
      <c r="E1125" s="40" t="s">
        <v>1149</v>
      </c>
      <c r="F1125" s="40">
        <v>0</v>
      </c>
      <c r="G1125" s="40"/>
      <c r="H1125" s="40" t="s">
        <v>482</v>
      </c>
      <c r="I1125" s="40"/>
      <c r="J1125" s="40">
        <v>0</v>
      </c>
      <c r="K1125" s="40">
        <v>0</v>
      </c>
      <c r="L1125" s="40">
        <v>0</v>
      </c>
    </row>
    <row r="1126" spans="1:12" x14ac:dyDescent="0.25">
      <c r="A1126" s="40" t="s">
        <v>42</v>
      </c>
      <c r="B1126" s="40" t="s">
        <v>2172</v>
      </c>
      <c r="C1126" s="40" t="s">
        <v>2173</v>
      </c>
      <c r="D1126" s="40" t="s">
        <v>493</v>
      </c>
      <c r="E1126" s="40" t="s">
        <v>493</v>
      </c>
      <c r="F1126" s="40">
        <v>0</v>
      </c>
      <c r="G1126" s="40"/>
      <c r="H1126" s="40" t="s">
        <v>482</v>
      </c>
      <c r="I1126" s="40"/>
      <c r="J1126" s="40">
        <v>0</v>
      </c>
      <c r="K1126" s="40">
        <v>0</v>
      </c>
      <c r="L1126" s="40">
        <v>0</v>
      </c>
    </row>
    <row r="1127" spans="1:12" x14ac:dyDescent="0.25">
      <c r="A1127" s="40" t="s">
        <v>42</v>
      </c>
      <c r="B1127" s="40" t="s">
        <v>2174</v>
      </c>
      <c r="C1127" s="40" t="s">
        <v>2175</v>
      </c>
      <c r="D1127" s="40" t="s">
        <v>1235</v>
      </c>
      <c r="E1127" s="40" t="s">
        <v>1235</v>
      </c>
      <c r="F1127" s="40">
        <v>0</v>
      </c>
      <c r="G1127" s="40"/>
      <c r="H1127" s="40" t="s">
        <v>482</v>
      </c>
      <c r="I1127" s="40"/>
      <c r="J1127" s="40">
        <v>0</v>
      </c>
      <c r="K1127" s="40">
        <v>0</v>
      </c>
      <c r="L1127" s="40">
        <v>0</v>
      </c>
    </row>
    <row r="1128" spans="1:12" x14ac:dyDescent="0.25">
      <c r="A1128" s="40" t="s">
        <v>42</v>
      </c>
      <c r="B1128" s="40" t="s">
        <v>2176</v>
      </c>
      <c r="C1128" s="40" t="s">
        <v>2177</v>
      </c>
      <c r="D1128" s="40" t="s">
        <v>2054</v>
      </c>
      <c r="E1128" s="40" t="s">
        <v>2178</v>
      </c>
      <c r="F1128" s="40">
        <v>1</v>
      </c>
      <c r="G1128" s="40"/>
      <c r="H1128" s="40" t="s">
        <v>482</v>
      </c>
      <c r="I1128" s="40"/>
      <c r="J1128" s="40">
        <v>0</v>
      </c>
      <c r="K1128" s="40">
        <v>0</v>
      </c>
      <c r="L1128" s="40">
        <v>0</v>
      </c>
    </row>
    <row r="1129" spans="1:12" x14ac:dyDescent="0.25">
      <c r="A1129" s="40" t="s">
        <v>42</v>
      </c>
      <c r="B1129" s="40" t="s">
        <v>2179</v>
      </c>
      <c r="C1129" s="40" t="s">
        <v>2180</v>
      </c>
      <c r="D1129" s="40" t="s">
        <v>493</v>
      </c>
      <c r="E1129" s="40" t="s">
        <v>493</v>
      </c>
      <c r="F1129" s="40">
        <v>0</v>
      </c>
      <c r="G1129" s="40"/>
      <c r="H1129" s="40" t="s">
        <v>482</v>
      </c>
      <c r="I1129" s="40"/>
      <c r="J1129" s="40">
        <v>0</v>
      </c>
      <c r="K1129" s="40">
        <v>0</v>
      </c>
      <c r="L1129" s="40">
        <v>0</v>
      </c>
    </row>
    <row r="1130" spans="1:12" x14ac:dyDescent="0.25">
      <c r="A1130" s="40" t="s">
        <v>42</v>
      </c>
      <c r="B1130" s="40" t="s">
        <v>2181</v>
      </c>
      <c r="C1130" s="40" t="s">
        <v>2182</v>
      </c>
      <c r="D1130" s="40" t="s">
        <v>493</v>
      </c>
      <c r="E1130" s="40" t="s">
        <v>493</v>
      </c>
      <c r="F1130" s="40">
        <v>0</v>
      </c>
      <c r="G1130" s="40"/>
      <c r="H1130" s="40" t="s">
        <v>482</v>
      </c>
      <c r="I1130" s="40"/>
      <c r="J1130" s="40">
        <v>0</v>
      </c>
      <c r="K1130" s="40">
        <v>0</v>
      </c>
      <c r="L1130" s="40">
        <v>0</v>
      </c>
    </row>
    <row r="1131" spans="1:12" x14ac:dyDescent="0.25">
      <c r="A1131" s="40" t="s">
        <v>42</v>
      </c>
      <c r="B1131" s="40" t="s">
        <v>2183</v>
      </c>
      <c r="C1131" s="40" t="s">
        <v>2184</v>
      </c>
      <c r="D1131" s="40" t="s">
        <v>622</v>
      </c>
      <c r="E1131" s="40" t="s">
        <v>493</v>
      </c>
      <c r="F1131" s="40">
        <v>1</v>
      </c>
      <c r="G1131" s="40"/>
      <c r="H1131" s="40" t="s">
        <v>482</v>
      </c>
      <c r="I1131" s="40"/>
      <c r="J1131" s="40">
        <v>0</v>
      </c>
      <c r="K1131" s="40">
        <v>0</v>
      </c>
      <c r="L1131" s="40">
        <v>0</v>
      </c>
    </row>
    <row r="1132" spans="1:12" x14ac:dyDescent="0.25">
      <c r="A1132" s="40" t="s">
        <v>42</v>
      </c>
      <c r="B1132" s="40" t="s">
        <v>2185</v>
      </c>
      <c r="C1132" s="40" t="s">
        <v>2186</v>
      </c>
      <c r="D1132" s="40" t="s">
        <v>1552</v>
      </c>
      <c r="E1132" s="40" t="s">
        <v>1552</v>
      </c>
      <c r="F1132" s="40">
        <v>0</v>
      </c>
      <c r="G1132" s="40"/>
      <c r="H1132" s="40" t="s">
        <v>482</v>
      </c>
      <c r="I1132" s="40"/>
      <c r="J1132" s="40">
        <v>0</v>
      </c>
      <c r="K1132" s="40">
        <v>0</v>
      </c>
      <c r="L1132" s="40">
        <v>0</v>
      </c>
    </row>
    <row r="1133" spans="1:12" x14ac:dyDescent="0.25">
      <c r="A1133" s="40" t="s">
        <v>42</v>
      </c>
      <c r="B1133" s="40" t="s">
        <v>2187</v>
      </c>
      <c r="C1133" s="40" t="s">
        <v>2188</v>
      </c>
      <c r="D1133" s="40" t="s">
        <v>1503</v>
      </c>
      <c r="E1133" s="40" t="s">
        <v>1503</v>
      </c>
      <c r="F1133" s="40">
        <v>0</v>
      </c>
      <c r="G1133" s="40"/>
      <c r="H1133" s="40" t="s">
        <v>482</v>
      </c>
      <c r="I1133" s="40"/>
      <c r="J1133" s="40">
        <v>0</v>
      </c>
      <c r="K1133" s="40">
        <v>0</v>
      </c>
      <c r="L1133" s="40">
        <v>0</v>
      </c>
    </row>
    <row r="1134" spans="1:12" x14ac:dyDescent="0.25">
      <c r="A1134" s="40" t="s">
        <v>42</v>
      </c>
      <c r="B1134" s="40" t="s">
        <v>2189</v>
      </c>
      <c r="C1134" s="40" t="s">
        <v>2190</v>
      </c>
      <c r="D1134" s="40" t="s">
        <v>493</v>
      </c>
      <c r="E1134" s="40" t="s">
        <v>493</v>
      </c>
      <c r="F1134" s="40">
        <v>0</v>
      </c>
      <c r="G1134" s="40"/>
      <c r="H1134" s="40" t="s">
        <v>482</v>
      </c>
      <c r="I1134" s="40"/>
      <c r="J1134" s="40">
        <v>0</v>
      </c>
      <c r="K1134" s="40">
        <v>0</v>
      </c>
      <c r="L1134" s="40">
        <v>0</v>
      </c>
    </row>
    <row r="1135" spans="1:12" x14ac:dyDescent="0.25">
      <c r="A1135" s="40" t="s">
        <v>42</v>
      </c>
      <c r="B1135" s="40" t="s">
        <v>2191</v>
      </c>
      <c r="C1135" s="40" t="s">
        <v>2192</v>
      </c>
      <c r="D1135" s="40" t="s">
        <v>2005</v>
      </c>
      <c r="E1135" s="40" t="s">
        <v>2005</v>
      </c>
      <c r="F1135" s="40">
        <v>0</v>
      </c>
      <c r="G1135" s="40"/>
      <c r="H1135" s="40" t="s">
        <v>482</v>
      </c>
      <c r="I1135" s="40"/>
      <c r="J1135" s="40">
        <v>0</v>
      </c>
      <c r="K1135" s="40">
        <v>0</v>
      </c>
      <c r="L1135" s="40">
        <v>0</v>
      </c>
    </row>
    <row r="1136" spans="1:12" x14ac:dyDescent="0.25">
      <c r="A1136" s="40" t="s">
        <v>42</v>
      </c>
      <c r="B1136" s="40" t="s">
        <v>2193</v>
      </c>
      <c r="C1136" s="40" t="s">
        <v>2194</v>
      </c>
      <c r="D1136" s="40" t="s">
        <v>896</v>
      </c>
      <c r="E1136" s="40" t="s">
        <v>896</v>
      </c>
      <c r="F1136" s="40">
        <v>0</v>
      </c>
      <c r="G1136" s="40"/>
      <c r="H1136" s="40" t="s">
        <v>482</v>
      </c>
      <c r="I1136" s="40"/>
      <c r="J1136" s="40">
        <v>0</v>
      </c>
      <c r="K1136" s="40">
        <v>0</v>
      </c>
      <c r="L1136" s="40">
        <v>0</v>
      </c>
    </row>
    <row r="1137" spans="1:12" x14ac:dyDescent="0.25">
      <c r="A1137" s="40" t="s">
        <v>42</v>
      </c>
      <c r="B1137" s="40" t="s">
        <v>2195</v>
      </c>
      <c r="C1137" s="40" t="s">
        <v>2196</v>
      </c>
      <c r="D1137" s="40" t="s">
        <v>493</v>
      </c>
      <c r="E1137" s="40" t="s">
        <v>493</v>
      </c>
      <c r="F1137" s="40">
        <v>0</v>
      </c>
      <c r="G1137" s="40"/>
      <c r="H1137" s="40" t="s">
        <v>482</v>
      </c>
      <c r="I1137" s="40"/>
      <c r="J1137" s="40">
        <v>0</v>
      </c>
      <c r="K1137" s="40">
        <v>0</v>
      </c>
      <c r="L1137" s="40">
        <v>0</v>
      </c>
    </row>
    <row r="1138" spans="1:12" x14ac:dyDescent="0.25">
      <c r="A1138" s="40" t="s">
        <v>42</v>
      </c>
      <c r="B1138" s="40" t="s">
        <v>2197</v>
      </c>
      <c r="C1138" s="40" t="s">
        <v>2198</v>
      </c>
      <c r="D1138" s="40" t="s">
        <v>493</v>
      </c>
      <c r="E1138" s="40" t="s">
        <v>493</v>
      </c>
      <c r="F1138" s="40">
        <v>0</v>
      </c>
      <c r="G1138" s="40"/>
      <c r="H1138" s="40" t="s">
        <v>482</v>
      </c>
      <c r="I1138" s="40"/>
      <c r="J1138" s="40">
        <v>0</v>
      </c>
      <c r="K1138" s="40">
        <v>0</v>
      </c>
      <c r="L1138" s="40">
        <v>0</v>
      </c>
    </row>
    <row r="1139" spans="1:12" x14ac:dyDescent="0.25">
      <c r="A1139" s="40" t="s">
        <v>42</v>
      </c>
      <c r="B1139" s="40" t="s">
        <v>2199</v>
      </c>
      <c r="C1139" s="40" t="s">
        <v>2200</v>
      </c>
      <c r="D1139" s="40" t="s">
        <v>493</v>
      </c>
      <c r="E1139" s="40" t="s">
        <v>493</v>
      </c>
      <c r="F1139" s="40">
        <v>0</v>
      </c>
      <c r="G1139" s="40"/>
      <c r="H1139" s="40" t="s">
        <v>482</v>
      </c>
      <c r="I1139" s="40"/>
      <c r="J1139" s="40">
        <v>0</v>
      </c>
      <c r="K1139" s="40">
        <v>0</v>
      </c>
      <c r="L1139" s="40">
        <v>0</v>
      </c>
    </row>
    <row r="1140" spans="1:12" x14ac:dyDescent="0.25">
      <c r="A1140" s="40" t="s">
        <v>42</v>
      </c>
      <c r="B1140" s="40" t="s">
        <v>2201</v>
      </c>
      <c r="C1140" s="40" t="s">
        <v>2202</v>
      </c>
      <c r="D1140" s="40" t="s">
        <v>1149</v>
      </c>
      <c r="E1140" s="40" t="s">
        <v>1149</v>
      </c>
      <c r="F1140" s="40">
        <v>0</v>
      </c>
      <c r="G1140" s="40"/>
      <c r="H1140" s="40" t="s">
        <v>482</v>
      </c>
      <c r="I1140" s="40"/>
      <c r="J1140" s="40">
        <v>0</v>
      </c>
      <c r="K1140" s="40">
        <v>0</v>
      </c>
      <c r="L1140" s="40">
        <v>0</v>
      </c>
    </row>
    <row r="1141" spans="1:12" x14ac:dyDescent="0.25">
      <c r="A1141" s="40" t="s">
        <v>42</v>
      </c>
      <c r="B1141" s="40" t="s">
        <v>2203</v>
      </c>
      <c r="C1141" s="40" t="s">
        <v>2204</v>
      </c>
      <c r="D1141" s="40" t="s">
        <v>493</v>
      </c>
      <c r="E1141" s="40" t="s">
        <v>493</v>
      </c>
      <c r="F1141" s="40">
        <v>0</v>
      </c>
      <c r="G1141" s="40"/>
      <c r="H1141" s="40" t="s">
        <v>482</v>
      </c>
      <c r="I1141" s="40"/>
      <c r="J1141" s="40">
        <v>0</v>
      </c>
      <c r="K1141" s="40">
        <v>0</v>
      </c>
      <c r="L1141" s="40">
        <v>0</v>
      </c>
    </row>
    <row r="1142" spans="1:12" x14ac:dyDescent="0.25">
      <c r="A1142" s="40" t="s">
        <v>42</v>
      </c>
      <c r="B1142" s="40" t="s">
        <v>2205</v>
      </c>
      <c r="C1142" s="40" t="s">
        <v>2206</v>
      </c>
      <c r="D1142" s="40" t="s">
        <v>1235</v>
      </c>
      <c r="E1142" s="40" t="s">
        <v>1235</v>
      </c>
      <c r="F1142" s="40">
        <v>0</v>
      </c>
      <c r="G1142" s="40"/>
      <c r="H1142" s="40" t="s">
        <v>482</v>
      </c>
      <c r="I1142" s="40"/>
      <c r="J1142" s="40">
        <v>0</v>
      </c>
      <c r="K1142" s="40">
        <v>0</v>
      </c>
      <c r="L1142" s="40">
        <v>0</v>
      </c>
    </row>
    <row r="1143" spans="1:12" x14ac:dyDescent="0.25">
      <c r="A1143" s="40" t="s">
        <v>42</v>
      </c>
      <c r="B1143" s="40" t="s">
        <v>2207</v>
      </c>
      <c r="C1143" s="40" t="s">
        <v>2208</v>
      </c>
      <c r="D1143" s="40" t="s">
        <v>2209</v>
      </c>
      <c r="E1143" s="40" t="s">
        <v>1558</v>
      </c>
      <c r="F1143" s="40">
        <v>1</v>
      </c>
      <c r="G1143" s="40"/>
      <c r="H1143" s="40" t="s">
        <v>482</v>
      </c>
      <c r="I1143" s="40"/>
      <c r="J1143" s="40">
        <v>0</v>
      </c>
      <c r="K1143" s="40">
        <v>0</v>
      </c>
      <c r="L1143" s="40">
        <v>0</v>
      </c>
    </row>
    <row r="1144" spans="1:12" x14ac:dyDescent="0.25">
      <c r="A1144" s="40" t="s">
        <v>42</v>
      </c>
      <c r="B1144" s="40" t="s">
        <v>2210</v>
      </c>
      <c r="C1144" s="40" t="s">
        <v>2211</v>
      </c>
      <c r="D1144" s="40" t="s">
        <v>493</v>
      </c>
      <c r="E1144" s="40" t="s">
        <v>493</v>
      </c>
      <c r="F1144" s="40">
        <v>0</v>
      </c>
      <c r="G1144" s="40"/>
      <c r="H1144" s="40" t="s">
        <v>482</v>
      </c>
      <c r="I1144" s="40"/>
      <c r="J1144" s="40">
        <v>0</v>
      </c>
      <c r="K1144" s="40">
        <v>0</v>
      </c>
      <c r="L1144" s="40">
        <v>0</v>
      </c>
    </row>
    <row r="1145" spans="1:12" x14ac:dyDescent="0.25">
      <c r="A1145" s="40" t="s">
        <v>42</v>
      </c>
      <c r="B1145" s="40" t="s">
        <v>2212</v>
      </c>
      <c r="C1145" s="40" t="s">
        <v>2213</v>
      </c>
      <c r="D1145" s="40" t="s">
        <v>493</v>
      </c>
      <c r="E1145" s="40" t="s">
        <v>493</v>
      </c>
      <c r="F1145" s="40">
        <v>0</v>
      </c>
      <c r="G1145" s="40"/>
      <c r="H1145" s="40" t="s">
        <v>482</v>
      </c>
      <c r="I1145" s="40"/>
      <c r="J1145" s="40">
        <v>0</v>
      </c>
      <c r="K1145" s="40">
        <v>0</v>
      </c>
      <c r="L1145" s="40">
        <v>0</v>
      </c>
    </row>
    <row r="1146" spans="1:12" x14ac:dyDescent="0.25">
      <c r="A1146" s="40" t="s">
        <v>42</v>
      </c>
      <c r="B1146" s="40" t="s">
        <v>2214</v>
      </c>
      <c r="C1146" s="40" t="s">
        <v>2215</v>
      </c>
      <c r="D1146" s="40" t="s">
        <v>493</v>
      </c>
      <c r="E1146" s="40" t="s">
        <v>622</v>
      </c>
      <c r="F1146" s="40">
        <v>1</v>
      </c>
      <c r="G1146" s="40"/>
      <c r="H1146" s="40" t="s">
        <v>482</v>
      </c>
      <c r="I1146" s="40"/>
      <c r="J1146" s="40">
        <v>0</v>
      </c>
      <c r="K1146" s="40">
        <v>0</v>
      </c>
      <c r="L1146" s="40">
        <v>0</v>
      </c>
    </row>
    <row r="1147" spans="1:12" x14ac:dyDescent="0.25">
      <c r="A1147" s="40" t="s">
        <v>42</v>
      </c>
      <c r="B1147" s="40" t="s">
        <v>2216</v>
      </c>
      <c r="C1147" s="40" t="s">
        <v>2217</v>
      </c>
      <c r="D1147" s="40" t="s">
        <v>1552</v>
      </c>
      <c r="E1147" s="40" t="s">
        <v>1552</v>
      </c>
      <c r="F1147" s="40">
        <v>0</v>
      </c>
      <c r="G1147" s="40"/>
      <c r="H1147" s="40" t="s">
        <v>482</v>
      </c>
      <c r="I1147" s="40"/>
      <c r="J1147" s="40">
        <v>0</v>
      </c>
      <c r="K1147" s="40">
        <v>0</v>
      </c>
      <c r="L1147" s="40">
        <v>0</v>
      </c>
    </row>
    <row r="1148" spans="1:12" x14ac:dyDescent="0.25">
      <c r="A1148" s="40" t="s">
        <v>42</v>
      </c>
      <c r="B1148" s="40" t="s">
        <v>2218</v>
      </c>
      <c r="C1148" s="40" t="s">
        <v>2219</v>
      </c>
      <c r="D1148" s="40" t="s">
        <v>1503</v>
      </c>
      <c r="E1148" s="40" t="s">
        <v>1503</v>
      </c>
      <c r="F1148" s="40">
        <v>0</v>
      </c>
      <c r="G1148" s="40"/>
      <c r="H1148" s="40" t="s">
        <v>482</v>
      </c>
      <c r="I1148" s="40"/>
      <c r="J1148" s="40">
        <v>0</v>
      </c>
      <c r="K1148" s="40">
        <v>0</v>
      </c>
      <c r="L1148" s="40">
        <v>0</v>
      </c>
    </row>
    <row r="1149" spans="1:12" x14ac:dyDescent="0.25">
      <c r="A1149" s="40" t="s">
        <v>42</v>
      </c>
      <c r="B1149" s="40" t="s">
        <v>2220</v>
      </c>
      <c r="C1149" s="40" t="s">
        <v>2221</v>
      </c>
      <c r="D1149" s="40" t="s">
        <v>493</v>
      </c>
      <c r="E1149" s="40" t="s">
        <v>493</v>
      </c>
      <c r="F1149" s="40">
        <v>0</v>
      </c>
      <c r="G1149" s="40"/>
      <c r="H1149" s="40" t="s">
        <v>482</v>
      </c>
      <c r="I1149" s="40"/>
      <c r="J1149" s="40">
        <v>0</v>
      </c>
      <c r="K1149" s="40">
        <v>0</v>
      </c>
      <c r="L1149" s="40">
        <v>0</v>
      </c>
    </row>
    <row r="1150" spans="1:12" x14ac:dyDescent="0.25">
      <c r="A1150" s="40" t="s">
        <v>42</v>
      </c>
      <c r="B1150" s="40" t="s">
        <v>2222</v>
      </c>
      <c r="C1150" s="40" t="s">
        <v>2223</v>
      </c>
      <c r="D1150" s="40" t="s">
        <v>2005</v>
      </c>
      <c r="E1150" s="40" t="s">
        <v>2005</v>
      </c>
      <c r="F1150" s="40">
        <v>0</v>
      </c>
      <c r="G1150" s="40"/>
      <c r="H1150" s="40" t="s">
        <v>482</v>
      </c>
      <c r="I1150" s="40"/>
      <c r="J1150" s="40">
        <v>0</v>
      </c>
      <c r="K1150" s="40">
        <v>0</v>
      </c>
      <c r="L1150" s="40">
        <v>0</v>
      </c>
    </row>
    <row r="1151" spans="1:12" x14ac:dyDescent="0.25">
      <c r="A1151" s="40" t="s">
        <v>42</v>
      </c>
      <c r="B1151" s="40" t="s">
        <v>2224</v>
      </c>
      <c r="C1151" s="40" t="s">
        <v>2225</v>
      </c>
      <c r="D1151" s="40" t="s">
        <v>896</v>
      </c>
      <c r="E1151" s="40" t="s">
        <v>896</v>
      </c>
      <c r="F1151" s="40">
        <v>0</v>
      </c>
      <c r="G1151" s="40"/>
      <c r="H1151" s="40" t="s">
        <v>482</v>
      </c>
      <c r="I1151" s="40"/>
      <c r="J1151" s="40">
        <v>0</v>
      </c>
      <c r="K1151" s="40">
        <v>0</v>
      </c>
      <c r="L1151" s="40">
        <v>0</v>
      </c>
    </row>
    <row r="1152" spans="1:12" x14ac:dyDescent="0.25">
      <c r="A1152" s="40" t="s">
        <v>42</v>
      </c>
      <c r="B1152" s="40" t="s">
        <v>2226</v>
      </c>
      <c r="C1152" s="40" t="s">
        <v>2227</v>
      </c>
      <c r="D1152" s="40" t="s">
        <v>493</v>
      </c>
      <c r="E1152" s="40" t="s">
        <v>493</v>
      </c>
      <c r="F1152" s="40">
        <v>0</v>
      </c>
      <c r="G1152" s="40"/>
      <c r="H1152" s="40" t="s">
        <v>482</v>
      </c>
      <c r="I1152" s="40"/>
      <c r="J1152" s="40">
        <v>0</v>
      </c>
      <c r="K1152" s="40">
        <v>0</v>
      </c>
      <c r="L1152" s="40">
        <v>0</v>
      </c>
    </row>
    <row r="1153" spans="1:12" x14ac:dyDescent="0.25">
      <c r="A1153" s="40" t="s">
        <v>42</v>
      </c>
      <c r="B1153" s="40" t="s">
        <v>2228</v>
      </c>
      <c r="C1153" s="40" t="s">
        <v>2229</v>
      </c>
      <c r="D1153" s="40" t="s">
        <v>493</v>
      </c>
      <c r="E1153" s="40" t="s">
        <v>493</v>
      </c>
      <c r="F1153" s="40">
        <v>0</v>
      </c>
      <c r="G1153" s="40"/>
      <c r="H1153" s="40" t="s">
        <v>482</v>
      </c>
      <c r="I1153" s="40"/>
      <c r="J1153" s="40">
        <v>0</v>
      </c>
      <c r="K1153" s="40">
        <v>0</v>
      </c>
      <c r="L1153" s="40">
        <v>0</v>
      </c>
    </row>
    <row r="1154" spans="1:12" x14ac:dyDescent="0.25">
      <c r="A1154" s="40" t="s">
        <v>42</v>
      </c>
      <c r="B1154" s="40" t="s">
        <v>2230</v>
      </c>
      <c r="C1154" s="40" t="s">
        <v>2231</v>
      </c>
      <c r="D1154" s="40" t="s">
        <v>493</v>
      </c>
      <c r="E1154" s="40" t="s">
        <v>493</v>
      </c>
      <c r="F1154" s="40">
        <v>0</v>
      </c>
      <c r="G1154" s="40"/>
      <c r="H1154" s="40" t="s">
        <v>482</v>
      </c>
      <c r="I1154" s="40"/>
      <c r="J1154" s="40">
        <v>0</v>
      </c>
      <c r="K1154" s="40">
        <v>0</v>
      </c>
      <c r="L1154" s="40">
        <v>0</v>
      </c>
    </row>
    <row r="1155" spans="1:12" x14ac:dyDescent="0.25">
      <c r="A1155" s="40" t="s">
        <v>46</v>
      </c>
      <c r="B1155" s="40" t="s">
        <v>496</v>
      </c>
      <c r="C1155" s="40" t="s">
        <v>2232</v>
      </c>
      <c r="D1155" s="40" t="s">
        <v>2233</v>
      </c>
      <c r="E1155" s="40" t="s">
        <v>2233</v>
      </c>
      <c r="F1155" s="40">
        <v>1</v>
      </c>
      <c r="G1155" s="40"/>
      <c r="H1155" s="40" t="s">
        <v>2234</v>
      </c>
      <c r="I1155" s="40"/>
      <c r="J1155" s="40" t="s">
        <v>195</v>
      </c>
      <c r="K1155" s="40" t="s">
        <v>195</v>
      </c>
      <c r="L1155" s="40" t="s">
        <v>97</v>
      </c>
    </row>
    <row r="1156" spans="1:12" x14ac:dyDescent="0.25">
      <c r="A1156" s="40" t="s">
        <v>46</v>
      </c>
      <c r="B1156" s="40" t="s">
        <v>1304</v>
      </c>
      <c r="C1156" s="40" t="s">
        <v>2235</v>
      </c>
      <c r="D1156" s="40" t="s">
        <v>2236</v>
      </c>
      <c r="E1156" s="40" t="s">
        <v>2236</v>
      </c>
      <c r="F1156" s="40">
        <v>1</v>
      </c>
      <c r="G1156" s="40"/>
      <c r="H1156" s="40" t="s">
        <v>2234</v>
      </c>
      <c r="I1156" s="40"/>
      <c r="J1156" s="40" t="s">
        <v>195</v>
      </c>
      <c r="K1156" s="40" t="s">
        <v>195</v>
      </c>
      <c r="L1156" s="40" t="s">
        <v>97</v>
      </c>
    </row>
    <row r="1157" spans="1:12" x14ac:dyDescent="0.25">
      <c r="A1157" s="40" t="s">
        <v>46</v>
      </c>
      <c r="B1157" s="40" t="s">
        <v>498</v>
      </c>
      <c r="C1157" s="40" t="s">
        <v>2237</v>
      </c>
      <c r="D1157" s="40" t="s">
        <v>2238</v>
      </c>
      <c r="E1157" s="40" t="s">
        <v>483</v>
      </c>
      <c r="F1157" s="40">
        <v>0</v>
      </c>
      <c r="G1157" s="40"/>
      <c r="H1157" s="40" t="s">
        <v>2234</v>
      </c>
      <c r="I1157" s="40"/>
      <c r="J1157" s="40" t="s">
        <v>195</v>
      </c>
      <c r="K1157" s="40" t="s">
        <v>195</v>
      </c>
      <c r="L1157" s="40" t="s">
        <v>97</v>
      </c>
    </row>
    <row r="1158" spans="1:12" x14ac:dyDescent="0.25">
      <c r="A1158" s="40" t="s">
        <v>46</v>
      </c>
      <c r="B1158" s="40" t="s">
        <v>2239</v>
      </c>
      <c r="C1158" s="40" t="s">
        <v>2240</v>
      </c>
      <c r="D1158" s="40" t="s">
        <v>2238</v>
      </c>
      <c r="E1158" s="40" t="s">
        <v>483</v>
      </c>
      <c r="F1158" s="40">
        <v>0</v>
      </c>
      <c r="G1158" s="40"/>
      <c r="H1158" s="40" t="s">
        <v>2234</v>
      </c>
      <c r="I1158" s="40"/>
      <c r="J1158" s="40" t="s">
        <v>195</v>
      </c>
      <c r="K1158" s="40" t="s">
        <v>195</v>
      </c>
      <c r="L1158" s="40" t="s">
        <v>97</v>
      </c>
    </row>
    <row r="1159" spans="1:12" x14ac:dyDescent="0.25">
      <c r="A1159" s="40" t="s">
        <v>46</v>
      </c>
      <c r="B1159" s="40" t="s">
        <v>502</v>
      </c>
      <c r="C1159" s="40" t="s">
        <v>2241</v>
      </c>
      <c r="D1159" s="40" t="s">
        <v>2238</v>
      </c>
      <c r="E1159" s="40" t="s">
        <v>483</v>
      </c>
      <c r="F1159" s="40">
        <v>0</v>
      </c>
      <c r="G1159" s="40"/>
      <c r="H1159" s="40" t="s">
        <v>2234</v>
      </c>
      <c r="I1159" s="40"/>
      <c r="J1159" s="40" t="s">
        <v>195</v>
      </c>
      <c r="K1159" s="40" t="s">
        <v>195</v>
      </c>
      <c r="L1159" s="40" t="s">
        <v>97</v>
      </c>
    </row>
    <row r="1160" spans="1:12" x14ac:dyDescent="0.25">
      <c r="A1160" s="40" t="s">
        <v>46</v>
      </c>
      <c r="B1160" s="40" t="s">
        <v>510</v>
      </c>
      <c r="C1160" s="40" t="s">
        <v>2242</v>
      </c>
      <c r="D1160" s="40" t="s">
        <v>2238</v>
      </c>
      <c r="E1160" s="40" t="s">
        <v>483</v>
      </c>
      <c r="F1160" s="40">
        <v>0</v>
      </c>
      <c r="G1160" s="40"/>
      <c r="H1160" s="40" t="s">
        <v>2234</v>
      </c>
      <c r="I1160" s="40"/>
      <c r="J1160" s="40" t="s">
        <v>195</v>
      </c>
      <c r="K1160" s="40" t="s">
        <v>195</v>
      </c>
      <c r="L1160" s="40" t="s">
        <v>97</v>
      </c>
    </row>
    <row r="1161" spans="1:12" x14ac:dyDescent="0.25">
      <c r="A1161" s="40" t="s">
        <v>46</v>
      </c>
      <c r="B1161" s="40" t="s">
        <v>535</v>
      </c>
      <c r="C1161" s="40" t="s">
        <v>2243</v>
      </c>
      <c r="D1161" s="40" t="s">
        <v>775</v>
      </c>
      <c r="E1161" s="40" t="s">
        <v>2233</v>
      </c>
      <c r="F1161" s="40">
        <v>0</v>
      </c>
      <c r="G1161" s="40"/>
      <c r="H1161" s="40" t="s">
        <v>2234</v>
      </c>
      <c r="I1161" s="40"/>
      <c r="J1161" s="40" t="s">
        <v>195</v>
      </c>
      <c r="K1161" s="40" t="s">
        <v>195</v>
      </c>
      <c r="L1161" s="40" t="s">
        <v>97</v>
      </c>
    </row>
    <row r="1162" spans="1:12" x14ac:dyDescent="0.25">
      <c r="A1162" s="40" t="s">
        <v>46</v>
      </c>
      <c r="B1162" s="40" t="s">
        <v>537</v>
      </c>
      <c r="C1162" s="40" t="s">
        <v>2244</v>
      </c>
      <c r="D1162" s="40" t="s">
        <v>775</v>
      </c>
      <c r="E1162" s="40" t="s">
        <v>2233</v>
      </c>
      <c r="F1162" s="40">
        <v>0</v>
      </c>
      <c r="G1162" s="40"/>
      <c r="H1162" s="40" t="s">
        <v>2234</v>
      </c>
      <c r="I1162" s="40"/>
      <c r="J1162" s="40" t="s">
        <v>195</v>
      </c>
      <c r="K1162" s="40" t="s">
        <v>195</v>
      </c>
      <c r="L1162" s="40" t="s">
        <v>97</v>
      </c>
    </row>
    <row r="1163" spans="1:12" x14ac:dyDescent="0.25">
      <c r="A1163" s="40" t="s">
        <v>46</v>
      </c>
      <c r="B1163" s="40" t="s">
        <v>540</v>
      </c>
      <c r="C1163" s="40" t="s">
        <v>2245</v>
      </c>
      <c r="D1163" s="40" t="s">
        <v>775</v>
      </c>
      <c r="E1163" s="40" t="s">
        <v>2233</v>
      </c>
      <c r="F1163" s="40">
        <v>0</v>
      </c>
      <c r="G1163" s="40"/>
      <c r="H1163" s="40" t="s">
        <v>2234</v>
      </c>
      <c r="I1163" s="40"/>
      <c r="J1163" s="40" t="s">
        <v>195</v>
      </c>
      <c r="K1163" s="40" t="s">
        <v>195</v>
      </c>
      <c r="L1163" s="40" t="s">
        <v>97</v>
      </c>
    </row>
    <row r="1164" spans="1:12" x14ac:dyDescent="0.25">
      <c r="A1164" s="40" t="s">
        <v>46</v>
      </c>
      <c r="B1164" s="40" t="s">
        <v>542</v>
      </c>
      <c r="C1164" s="40" t="s">
        <v>2246</v>
      </c>
      <c r="D1164" s="40" t="s">
        <v>775</v>
      </c>
      <c r="E1164" s="40" t="s">
        <v>2233</v>
      </c>
      <c r="F1164" s="40">
        <v>0</v>
      </c>
      <c r="G1164" s="40"/>
      <c r="H1164" s="40" t="s">
        <v>2234</v>
      </c>
      <c r="I1164" s="40"/>
      <c r="J1164" s="40" t="s">
        <v>195</v>
      </c>
      <c r="K1164" s="40" t="s">
        <v>195</v>
      </c>
      <c r="L1164" s="40" t="s">
        <v>97</v>
      </c>
    </row>
    <row r="1165" spans="1:12" x14ac:dyDescent="0.25">
      <c r="A1165" s="40" t="s">
        <v>46</v>
      </c>
      <c r="B1165" s="40" t="s">
        <v>550</v>
      </c>
      <c r="C1165" s="40" t="s">
        <v>2247</v>
      </c>
      <c r="D1165" s="40" t="s">
        <v>2248</v>
      </c>
      <c r="E1165" s="40" t="s">
        <v>2233</v>
      </c>
      <c r="F1165" s="40">
        <v>0</v>
      </c>
      <c r="G1165" s="40"/>
      <c r="H1165" s="40" t="s">
        <v>2234</v>
      </c>
      <c r="I1165" s="40"/>
      <c r="J1165" s="40" t="s">
        <v>195</v>
      </c>
      <c r="K1165" s="40" t="s">
        <v>195</v>
      </c>
      <c r="L1165" s="40" t="s">
        <v>97</v>
      </c>
    </row>
    <row r="1166" spans="1:12" x14ac:dyDescent="0.25">
      <c r="A1166" s="40" t="s">
        <v>46</v>
      </c>
      <c r="B1166" s="40" t="s">
        <v>561</v>
      </c>
      <c r="C1166" s="40" t="s">
        <v>2249</v>
      </c>
      <c r="D1166" s="40" t="s">
        <v>2233</v>
      </c>
      <c r="E1166" s="40" t="s">
        <v>2233</v>
      </c>
      <c r="F1166" s="40">
        <v>1</v>
      </c>
      <c r="G1166" s="40"/>
      <c r="H1166" s="40" t="s">
        <v>2234</v>
      </c>
      <c r="I1166" s="40"/>
      <c r="J1166" s="40" t="s">
        <v>195</v>
      </c>
      <c r="K1166" s="40" t="s">
        <v>195</v>
      </c>
      <c r="L1166" s="40" t="s">
        <v>97</v>
      </c>
    </row>
    <row r="1167" spans="1:12" x14ac:dyDescent="0.25">
      <c r="A1167" s="40" t="s">
        <v>46</v>
      </c>
      <c r="B1167" s="40" t="s">
        <v>1349</v>
      </c>
      <c r="C1167" s="40" t="s">
        <v>2250</v>
      </c>
      <c r="D1167" s="40" t="s">
        <v>1236</v>
      </c>
      <c r="E1167" s="40" t="s">
        <v>1236</v>
      </c>
      <c r="F1167" s="40">
        <v>1</v>
      </c>
      <c r="G1167" s="40"/>
      <c r="H1167" s="40" t="s">
        <v>2251</v>
      </c>
      <c r="I1167" s="40"/>
      <c r="J1167" s="40" t="s">
        <v>195</v>
      </c>
      <c r="K1167" s="40" t="s">
        <v>195</v>
      </c>
      <c r="L1167" s="40" t="s">
        <v>97</v>
      </c>
    </row>
    <row r="1168" spans="1:12" x14ac:dyDescent="0.25">
      <c r="A1168" s="40" t="s">
        <v>46</v>
      </c>
      <c r="B1168" s="40" t="s">
        <v>2252</v>
      </c>
      <c r="C1168" s="40" t="s">
        <v>2253</v>
      </c>
      <c r="D1168" s="40" t="s">
        <v>1236</v>
      </c>
      <c r="E1168" s="40" t="s">
        <v>1236</v>
      </c>
      <c r="F1168" s="40">
        <v>1</v>
      </c>
      <c r="G1168" s="40"/>
      <c r="H1168" s="40" t="s">
        <v>2251</v>
      </c>
      <c r="I1168" s="40"/>
      <c r="J1168" s="40" t="s">
        <v>195</v>
      </c>
      <c r="K1168" s="40" t="s">
        <v>195</v>
      </c>
      <c r="L1168" s="40" t="s">
        <v>97</v>
      </c>
    </row>
    <row r="1169" spans="1:12" x14ac:dyDescent="0.25">
      <c r="A1169" s="40" t="s">
        <v>46</v>
      </c>
      <c r="B1169" s="40" t="s">
        <v>2254</v>
      </c>
      <c r="C1169" s="40" t="s">
        <v>2255</v>
      </c>
      <c r="D1169" s="40" t="s">
        <v>1236</v>
      </c>
      <c r="E1169" s="40" t="s">
        <v>1236</v>
      </c>
      <c r="F1169" s="40">
        <v>1</v>
      </c>
      <c r="G1169" s="40"/>
      <c r="H1169" s="40" t="s">
        <v>2251</v>
      </c>
      <c r="I1169" s="40"/>
      <c r="J1169" s="40" t="s">
        <v>195</v>
      </c>
      <c r="K1169" s="40" t="s">
        <v>195</v>
      </c>
      <c r="L1169" s="40" t="s">
        <v>97</v>
      </c>
    </row>
    <row r="1170" spans="1:12" x14ac:dyDescent="0.25">
      <c r="A1170" s="40" t="s">
        <v>46</v>
      </c>
      <c r="B1170" s="40" t="s">
        <v>2256</v>
      </c>
      <c r="C1170" s="40" t="s">
        <v>2257</v>
      </c>
      <c r="D1170" s="40" t="s">
        <v>1236</v>
      </c>
      <c r="E1170" s="40" t="s">
        <v>1236</v>
      </c>
      <c r="F1170" s="40">
        <v>1</v>
      </c>
      <c r="G1170" s="40"/>
      <c r="H1170" s="40" t="s">
        <v>2251</v>
      </c>
      <c r="I1170" s="40"/>
      <c r="J1170" s="40" t="s">
        <v>195</v>
      </c>
      <c r="K1170" s="40" t="s">
        <v>195</v>
      </c>
      <c r="L1170" s="40" t="s">
        <v>97</v>
      </c>
    </row>
    <row r="1171" spans="1:12" x14ac:dyDescent="0.25">
      <c r="A1171" s="40" t="s">
        <v>46</v>
      </c>
      <c r="B1171" s="40" t="s">
        <v>565</v>
      </c>
      <c r="C1171" s="40" t="s">
        <v>2258</v>
      </c>
      <c r="D1171" s="40" t="s">
        <v>1236</v>
      </c>
      <c r="E1171" s="40" t="s">
        <v>1236</v>
      </c>
      <c r="F1171" s="40">
        <v>1</v>
      </c>
      <c r="G1171" s="40"/>
      <c r="H1171" s="40" t="s">
        <v>2251</v>
      </c>
      <c r="I1171" s="40"/>
      <c r="J1171" s="40" t="s">
        <v>195</v>
      </c>
      <c r="K1171" s="40" t="s">
        <v>195</v>
      </c>
      <c r="L1171" s="40" t="s">
        <v>97</v>
      </c>
    </row>
    <row r="1172" spans="1:12" x14ac:dyDescent="0.25">
      <c r="A1172" s="40" t="s">
        <v>46</v>
      </c>
      <c r="B1172" s="40" t="s">
        <v>567</v>
      </c>
      <c r="C1172" s="40" t="s">
        <v>2259</v>
      </c>
      <c r="D1172" s="40" t="s">
        <v>1236</v>
      </c>
      <c r="E1172" s="40" t="s">
        <v>1236</v>
      </c>
      <c r="F1172" s="40">
        <v>1</v>
      </c>
      <c r="G1172" s="40"/>
      <c r="H1172" s="40" t="s">
        <v>2251</v>
      </c>
      <c r="I1172" s="40"/>
      <c r="J1172" s="40" t="s">
        <v>195</v>
      </c>
      <c r="K1172" s="40" t="s">
        <v>195</v>
      </c>
      <c r="L1172" s="40" t="s">
        <v>97</v>
      </c>
    </row>
    <row r="1173" spans="1:12" x14ac:dyDescent="0.25">
      <c r="A1173" s="40" t="s">
        <v>46</v>
      </c>
      <c r="B1173" s="40" t="s">
        <v>570</v>
      </c>
      <c r="C1173" s="40" t="s">
        <v>2260</v>
      </c>
      <c r="D1173" s="40" t="s">
        <v>1236</v>
      </c>
      <c r="E1173" s="40" t="s">
        <v>1236</v>
      </c>
      <c r="F1173" s="40">
        <v>1</v>
      </c>
      <c r="G1173" s="40"/>
      <c r="H1173" s="40" t="s">
        <v>2251</v>
      </c>
      <c r="I1173" s="40"/>
      <c r="J1173" s="40" t="s">
        <v>195</v>
      </c>
      <c r="K1173" s="40" t="s">
        <v>195</v>
      </c>
      <c r="L1173" s="40" t="s">
        <v>97</v>
      </c>
    </row>
    <row r="1174" spans="1:12" x14ac:dyDescent="0.25">
      <c r="A1174" s="40" t="s">
        <v>46</v>
      </c>
      <c r="B1174" s="40" t="s">
        <v>574</v>
      </c>
      <c r="C1174" s="40" t="s">
        <v>2261</v>
      </c>
      <c r="D1174" s="40" t="s">
        <v>1236</v>
      </c>
      <c r="E1174" s="40" t="s">
        <v>1236</v>
      </c>
      <c r="F1174" s="40">
        <v>1</v>
      </c>
      <c r="G1174" s="40"/>
      <c r="H1174" s="40" t="s">
        <v>2251</v>
      </c>
      <c r="I1174" s="40"/>
      <c r="J1174" s="40" t="s">
        <v>195</v>
      </c>
      <c r="K1174" s="40" t="s">
        <v>195</v>
      </c>
      <c r="L1174" s="40" t="s">
        <v>97</v>
      </c>
    </row>
    <row r="1175" spans="1:12" x14ac:dyDescent="0.25">
      <c r="A1175" s="40" t="s">
        <v>46</v>
      </c>
      <c r="B1175" s="40" t="s">
        <v>593</v>
      </c>
      <c r="C1175" s="40" t="s">
        <v>2262</v>
      </c>
      <c r="D1175" s="40" t="s">
        <v>2233</v>
      </c>
      <c r="E1175" s="40" t="s">
        <v>2263</v>
      </c>
      <c r="F1175" s="40">
        <v>0</v>
      </c>
      <c r="G1175" s="40"/>
      <c r="H1175" s="40" t="s">
        <v>2234</v>
      </c>
      <c r="I1175" s="40"/>
      <c r="J1175" s="40" t="s">
        <v>195</v>
      </c>
      <c r="K1175" s="40" t="s">
        <v>195</v>
      </c>
      <c r="L1175" s="40" t="s">
        <v>97</v>
      </c>
    </row>
    <row r="1176" spans="1:12" x14ac:dyDescent="0.25">
      <c r="A1176" s="40" t="s">
        <v>46</v>
      </c>
      <c r="B1176" s="40" t="s">
        <v>595</v>
      </c>
      <c r="C1176" s="40" t="s">
        <v>2264</v>
      </c>
      <c r="D1176" s="40" t="s">
        <v>2233</v>
      </c>
      <c r="E1176" s="40" t="s">
        <v>2263</v>
      </c>
      <c r="F1176" s="40">
        <v>0</v>
      </c>
      <c r="G1176" s="40"/>
      <c r="H1176" s="40" t="s">
        <v>2234</v>
      </c>
      <c r="I1176" s="40"/>
      <c r="J1176" s="40" t="s">
        <v>195</v>
      </c>
      <c r="K1176" s="40" t="s">
        <v>195</v>
      </c>
      <c r="L1176" s="40" t="s">
        <v>97</v>
      </c>
    </row>
    <row r="1177" spans="1:12" x14ac:dyDescent="0.25">
      <c r="A1177" s="40" t="s">
        <v>46</v>
      </c>
      <c r="B1177" s="40" t="s">
        <v>598</v>
      </c>
      <c r="C1177" s="40" t="s">
        <v>2265</v>
      </c>
      <c r="D1177" s="40" t="s">
        <v>2233</v>
      </c>
      <c r="E1177" s="40" t="s">
        <v>2263</v>
      </c>
      <c r="F1177" s="40">
        <v>0</v>
      </c>
      <c r="G1177" s="40"/>
      <c r="H1177" s="40" t="s">
        <v>2234</v>
      </c>
      <c r="I1177" s="40"/>
      <c r="J1177" s="40" t="s">
        <v>195</v>
      </c>
      <c r="K1177" s="40" t="s">
        <v>195</v>
      </c>
      <c r="L1177" s="40" t="s">
        <v>97</v>
      </c>
    </row>
    <row r="1178" spans="1:12" x14ac:dyDescent="0.25">
      <c r="A1178" s="40" t="s">
        <v>46</v>
      </c>
      <c r="B1178" s="40" t="s">
        <v>2266</v>
      </c>
      <c r="C1178" s="40" t="s">
        <v>2267</v>
      </c>
      <c r="D1178" s="40" t="s">
        <v>2233</v>
      </c>
      <c r="E1178" s="40" t="s">
        <v>2263</v>
      </c>
      <c r="F1178" s="40">
        <v>0</v>
      </c>
      <c r="G1178" s="40"/>
      <c r="H1178" s="40" t="s">
        <v>2234</v>
      </c>
      <c r="I1178" s="40"/>
      <c r="J1178" s="40" t="s">
        <v>195</v>
      </c>
      <c r="K1178" s="40" t="s">
        <v>195</v>
      </c>
      <c r="L1178" s="40" t="s">
        <v>97</v>
      </c>
    </row>
    <row r="1179" spans="1:12" x14ac:dyDescent="0.25">
      <c r="A1179" s="40" t="s">
        <v>46</v>
      </c>
      <c r="B1179" s="40" t="s">
        <v>2268</v>
      </c>
      <c r="C1179" s="40" t="s">
        <v>2269</v>
      </c>
      <c r="D1179" s="40" t="s">
        <v>765</v>
      </c>
      <c r="E1179" s="40" t="s">
        <v>2233</v>
      </c>
      <c r="F1179" s="40">
        <v>0</v>
      </c>
      <c r="G1179" s="40"/>
      <c r="H1179" s="40" t="s">
        <v>2234</v>
      </c>
      <c r="I1179" s="40"/>
      <c r="J1179" s="40" t="s">
        <v>195</v>
      </c>
      <c r="K1179" s="40" t="s">
        <v>195</v>
      </c>
      <c r="L1179" s="40" t="s">
        <v>97</v>
      </c>
    </row>
    <row r="1180" spans="1:12" x14ac:dyDescent="0.25">
      <c r="A1180" s="40" t="s">
        <v>46</v>
      </c>
      <c r="B1180" s="40" t="s">
        <v>2270</v>
      </c>
      <c r="C1180" s="40" t="s">
        <v>2271</v>
      </c>
      <c r="D1180" s="40" t="s">
        <v>2272</v>
      </c>
      <c r="E1180" s="40" t="s">
        <v>2273</v>
      </c>
      <c r="F1180" s="40">
        <v>0</v>
      </c>
      <c r="G1180" s="40"/>
      <c r="H1180" s="40" t="s">
        <v>2234</v>
      </c>
      <c r="I1180" s="40"/>
      <c r="J1180" s="40" t="s">
        <v>195</v>
      </c>
      <c r="K1180" s="40" t="s">
        <v>195</v>
      </c>
      <c r="L1180" s="40" t="s">
        <v>97</v>
      </c>
    </row>
    <row r="1181" spans="1:12" x14ac:dyDescent="0.25">
      <c r="A1181" s="40" t="s">
        <v>46</v>
      </c>
      <c r="B1181" s="40" t="s">
        <v>2274</v>
      </c>
      <c r="C1181" s="40" t="s">
        <v>2275</v>
      </c>
      <c r="D1181" s="40" t="s">
        <v>2276</v>
      </c>
      <c r="E1181" s="40" t="s">
        <v>2276</v>
      </c>
      <c r="F1181" s="40">
        <v>1</v>
      </c>
      <c r="G1181" s="40"/>
      <c r="H1181" s="40" t="s">
        <v>2234</v>
      </c>
      <c r="I1181" s="40"/>
      <c r="J1181" s="40" t="s">
        <v>195</v>
      </c>
      <c r="K1181" s="40" t="s">
        <v>195</v>
      </c>
      <c r="L1181" s="40" t="s">
        <v>97</v>
      </c>
    </row>
    <row r="1182" spans="1:12" x14ac:dyDescent="0.25">
      <c r="A1182" s="40" t="s">
        <v>46</v>
      </c>
      <c r="B1182" s="40" t="s">
        <v>2277</v>
      </c>
      <c r="C1182" s="40" t="s">
        <v>2278</v>
      </c>
      <c r="D1182" s="40" t="s">
        <v>2233</v>
      </c>
      <c r="E1182" s="40" t="s">
        <v>2233</v>
      </c>
      <c r="F1182" s="40">
        <v>1</v>
      </c>
      <c r="G1182" s="40"/>
      <c r="H1182" s="40" t="s">
        <v>2234</v>
      </c>
      <c r="I1182" s="40"/>
      <c r="J1182" s="40" t="s">
        <v>97</v>
      </c>
      <c r="K1182" s="40" t="s">
        <v>97</v>
      </c>
      <c r="L1182" s="40" t="s">
        <v>97</v>
      </c>
    </row>
    <row r="1183" spans="1:12" x14ac:dyDescent="0.25">
      <c r="A1183" s="40" t="s">
        <v>46</v>
      </c>
      <c r="B1183" s="40" t="s">
        <v>2279</v>
      </c>
      <c r="C1183" s="40" t="s">
        <v>2280</v>
      </c>
      <c r="D1183" s="40" t="s">
        <v>2281</v>
      </c>
      <c r="E1183" s="40" t="s">
        <v>2233</v>
      </c>
      <c r="F1183" s="40">
        <v>0</v>
      </c>
      <c r="G1183" s="40"/>
      <c r="H1183" s="40" t="s">
        <v>2234</v>
      </c>
      <c r="I1183" s="40"/>
      <c r="J1183" s="40" t="s">
        <v>195</v>
      </c>
      <c r="K1183" s="40" t="s">
        <v>195</v>
      </c>
      <c r="L1183" s="40" t="s">
        <v>97</v>
      </c>
    </row>
    <row r="1184" spans="1:12" x14ac:dyDescent="0.25">
      <c r="A1184" s="40" t="s">
        <v>46</v>
      </c>
      <c r="B1184" s="40" t="s">
        <v>858</v>
      </c>
      <c r="C1184" s="40" t="s">
        <v>2282</v>
      </c>
      <c r="D1184" s="40" t="s">
        <v>2283</v>
      </c>
      <c r="E1184" s="40" t="s">
        <v>2283</v>
      </c>
      <c r="F1184" s="40">
        <v>1</v>
      </c>
      <c r="G1184" s="40"/>
      <c r="H1184" s="40" t="s">
        <v>97</v>
      </c>
      <c r="I1184" s="40"/>
      <c r="J1184" s="40" t="s">
        <v>195</v>
      </c>
      <c r="K1184" s="40" t="s">
        <v>82</v>
      </c>
      <c r="L1184" s="40" t="s">
        <v>97</v>
      </c>
    </row>
    <row r="1185" spans="1:12" x14ac:dyDescent="0.25">
      <c r="A1185" s="40" t="s">
        <v>46</v>
      </c>
      <c r="B1185" s="40" t="s">
        <v>860</v>
      </c>
      <c r="C1185" s="40" t="s">
        <v>2284</v>
      </c>
      <c r="D1185" s="40" t="s">
        <v>2233</v>
      </c>
      <c r="E1185" s="40" t="s">
        <v>2233</v>
      </c>
      <c r="F1185" s="40">
        <v>1</v>
      </c>
      <c r="G1185" s="40"/>
      <c r="H1185" s="40" t="s">
        <v>97</v>
      </c>
      <c r="I1185" s="40"/>
      <c r="J1185" s="40" t="s">
        <v>195</v>
      </c>
      <c r="K1185" s="40" t="s">
        <v>82</v>
      </c>
      <c r="L1185" s="40" t="s">
        <v>97</v>
      </c>
    </row>
    <row r="1186" spans="1:12" x14ac:dyDescent="0.25">
      <c r="A1186" s="40" t="s">
        <v>46</v>
      </c>
      <c r="B1186" s="40" t="s">
        <v>862</v>
      </c>
      <c r="C1186" s="40" t="s">
        <v>2285</v>
      </c>
      <c r="D1186" s="40" t="s">
        <v>2233</v>
      </c>
      <c r="E1186" s="40" t="s">
        <v>2233</v>
      </c>
      <c r="F1186" s="40">
        <v>1</v>
      </c>
      <c r="G1186" s="40"/>
      <c r="H1186" s="40" t="s">
        <v>97</v>
      </c>
      <c r="I1186" s="40"/>
      <c r="J1186" s="40" t="s">
        <v>82</v>
      </c>
      <c r="K1186" s="40" t="s">
        <v>82</v>
      </c>
      <c r="L1186" s="40" t="s">
        <v>97</v>
      </c>
    </row>
    <row r="1187" spans="1:12" x14ac:dyDescent="0.25">
      <c r="A1187" s="40" t="s">
        <v>46</v>
      </c>
      <c r="B1187" s="40" t="s">
        <v>864</v>
      </c>
      <c r="C1187" s="40" t="s">
        <v>2286</v>
      </c>
      <c r="D1187" s="40" t="s">
        <v>2287</v>
      </c>
      <c r="E1187" s="40" t="s">
        <v>2287</v>
      </c>
      <c r="F1187" s="40">
        <v>1</v>
      </c>
      <c r="G1187" s="40"/>
      <c r="H1187" s="40" t="s">
        <v>97</v>
      </c>
      <c r="I1187" s="40"/>
      <c r="J1187" s="40" t="s">
        <v>82</v>
      </c>
      <c r="K1187" s="40" t="s">
        <v>82</v>
      </c>
      <c r="L1187" s="40" t="s">
        <v>97</v>
      </c>
    </row>
    <row r="1188" spans="1:12" x14ac:dyDescent="0.25">
      <c r="A1188" s="40" t="s">
        <v>46</v>
      </c>
      <c r="B1188" s="40" t="s">
        <v>867</v>
      </c>
      <c r="C1188" s="40" t="s">
        <v>2288</v>
      </c>
      <c r="D1188" s="40" t="s">
        <v>2289</v>
      </c>
      <c r="E1188" s="40" t="s">
        <v>2289</v>
      </c>
      <c r="F1188" s="40">
        <v>1</v>
      </c>
      <c r="G1188" s="40"/>
      <c r="H1188" s="40" t="s">
        <v>97</v>
      </c>
      <c r="I1188" s="40"/>
      <c r="J1188" s="40" t="s">
        <v>82</v>
      </c>
      <c r="K1188" s="40" t="s">
        <v>82</v>
      </c>
      <c r="L1188" s="40" t="s">
        <v>97</v>
      </c>
    </row>
    <row r="1189" spans="1:12" x14ac:dyDescent="0.25">
      <c r="A1189" s="40" t="s">
        <v>20</v>
      </c>
      <c r="B1189" s="40" t="s">
        <v>498</v>
      </c>
      <c r="C1189" s="40" t="s">
        <v>2290</v>
      </c>
      <c r="D1189" s="40" t="s">
        <v>2233</v>
      </c>
      <c r="E1189" s="40" t="s">
        <v>2233</v>
      </c>
      <c r="F1189" s="40">
        <v>1</v>
      </c>
      <c r="G1189" s="40"/>
      <c r="H1189" s="40" t="s">
        <v>2234</v>
      </c>
      <c r="I1189" s="40"/>
      <c r="J1189" s="40" t="s">
        <v>195</v>
      </c>
      <c r="K1189" s="40" t="s">
        <v>195</v>
      </c>
      <c r="L1189" s="40" t="s">
        <v>97</v>
      </c>
    </row>
    <row r="1190" spans="1:12" x14ac:dyDescent="0.25">
      <c r="A1190" s="40" t="s">
        <v>20</v>
      </c>
      <c r="B1190" s="40" t="s">
        <v>500</v>
      </c>
      <c r="C1190" s="40" t="s">
        <v>2291</v>
      </c>
      <c r="D1190" s="40" t="s">
        <v>2233</v>
      </c>
      <c r="E1190" s="40" t="s">
        <v>2233</v>
      </c>
      <c r="F1190" s="40">
        <v>1</v>
      </c>
      <c r="G1190" s="40"/>
      <c r="H1190" s="40" t="s">
        <v>2234</v>
      </c>
      <c r="I1190" s="40"/>
      <c r="J1190" s="40" t="s">
        <v>195</v>
      </c>
      <c r="K1190" s="40" t="s">
        <v>195</v>
      </c>
      <c r="L1190" s="40" t="s">
        <v>97</v>
      </c>
    </row>
    <row r="1191" spans="1:12" x14ac:dyDescent="0.25">
      <c r="A1191" s="40" t="s">
        <v>20</v>
      </c>
      <c r="B1191" s="40" t="s">
        <v>502</v>
      </c>
      <c r="C1191" s="40" t="s">
        <v>2292</v>
      </c>
      <c r="D1191" s="40" t="s">
        <v>2263</v>
      </c>
      <c r="E1191" s="40" t="s">
        <v>2233</v>
      </c>
      <c r="F1191" s="40">
        <v>1</v>
      </c>
      <c r="G1191" s="40"/>
      <c r="H1191" s="40" t="s">
        <v>2234</v>
      </c>
      <c r="I1191" s="40"/>
      <c r="J1191" s="40" t="s">
        <v>195</v>
      </c>
      <c r="K1191" s="40" t="s">
        <v>195</v>
      </c>
      <c r="L1191" s="40" t="s">
        <v>97</v>
      </c>
    </row>
    <row r="1192" spans="1:12" x14ac:dyDescent="0.25">
      <c r="A1192" s="40" t="s">
        <v>20</v>
      </c>
      <c r="B1192" s="40" t="s">
        <v>506</v>
      </c>
      <c r="C1192" s="40" t="s">
        <v>2293</v>
      </c>
      <c r="D1192" s="40" t="s">
        <v>2263</v>
      </c>
      <c r="E1192" s="40" t="s">
        <v>2233</v>
      </c>
      <c r="F1192" s="40">
        <v>1</v>
      </c>
      <c r="G1192" s="40"/>
      <c r="H1192" s="40" t="s">
        <v>2234</v>
      </c>
      <c r="I1192" s="40"/>
      <c r="J1192" s="40" t="s">
        <v>195</v>
      </c>
      <c r="K1192" s="40" t="s">
        <v>195</v>
      </c>
      <c r="L1192" s="40" t="s">
        <v>97</v>
      </c>
    </row>
    <row r="1193" spans="1:12" x14ac:dyDescent="0.25">
      <c r="A1193" s="40" t="s">
        <v>20</v>
      </c>
      <c r="B1193" s="40" t="s">
        <v>518</v>
      </c>
      <c r="C1193" s="40" t="s">
        <v>2294</v>
      </c>
      <c r="D1193" s="40" t="s">
        <v>2233</v>
      </c>
      <c r="E1193" s="40" t="s">
        <v>2233</v>
      </c>
      <c r="F1193" s="40">
        <v>1</v>
      </c>
      <c r="G1193" s="40"/>
      <c r="H1193" s="40" t="s">
        <v>2234</v>
      </c>
      <c r="I1193" s="40"/>
      <c r="J1193" s="40" t="s">
        <v>195</v>
      </c>
      <c r="K1193" s="40" t="s">
        <v>195</v>
      </c>
      <c r="L1193" s="40" t="s">
        <v>97</v>
      </c>
    </row>
    <row r="1194" spans="1:12" x14ac:dyDescent="0.25">
      <c r="A1194" s="40" t="s">
        <v>20</v>
      </c>
      <c r="B1194" s="40" t="s">
        <v>521</v>
      </c>
      <c r="C1194" s="40" t="s">
        <v>2295</v>
      </c>
      <c r="D1194" s="40" t="s">
        <v>2233</v>
      </c>
      <c r="E1194" s="40" t="s">
        <v>2233</v>
      </c>
      <c r="F1194" s="40">
        <v>1</v>
      </c>
      <c r="G1194" s="40"/>
      <c r="H1194" s="40" t="s">
        <v>2234</v>
      </c>
      <c r="I1194" s="40"/>
      <c r="J1194" s="40" t="s">
        <v>195</v>
      </c>
      <c r="K1194" s="40" t="s">
        <v>195</v>
      </c>
      <c r="L1194" s="40" t="s">
        <v>97</v>
      </c>
    </row>
    <row r="1195" spans="1:12" x14ac:dyDescent="0.25">
      <c r="A1195" s="40" t="s">
        <v>41</v>
      </c>
      <c r="B1195" s="40" t="s">
        <v>2233</v>
      </c>
      <c r="C1195" s="40" t="s">
        <v>2296</v>
      </c>
      <c r="D1195" s="40" t="s">
        <v>2297</v>
      </c>
      <c r="E1195" s="40" t="s">
        <v>2297</v>
      </c>
      <c r="F1195" s="40">
        <v>1</v>
      </c>
      <c r="G1195" s="40"/>
      <c r="H1195" s="40" t="s">
        <v>97</v>
      </c>
      <c r="I1195" s="40"/>
      <c r="J1195" s="40" t="s">
        <v>195</v>
      </c>
      <c r="K1195" s="40" t="s">
        <v>195</v>
      </c>
      <c r="L1195" s="40" t="s">
        <v>97</v>
      </c>
    </row>
    <row r="1196" spans="1:12" x14ac:dyDescent="0.25">
      <c r="A1196" s="40" t="s">
        <v>41</v>
      </c>
      <c r="B1196" s="40" t="s">
        <v>2298</v>
      </c>
      <c r="C1196" s="40" t="s">
        <v>2299</v>
      </c>
      <c r="D1196" s="40" t="s">
        <v>2233</v>
      </c>
      <c r="E1196" s="40" t="s">
        <v>2233</v>
      </c>
      <c r="F1196" s="40">
        <v>1</v>
      </c>
      <c r="G1196" s="40"/>
      <c r="H1196" s="40" t="s">
        <v>97</v>
      </c>
      <c r="I1196" s="40"/>
      <c r="J1196" s="40" t="s">
        <v>195</v>
      </c>
      <c r="K1196" s="40" t="s">
        <v>195</v>
      </c>
      <c r="L1196" s="40" t="s">
        <v>97</v>
      </c>
    </row>
    <row r="1197" spans="1:12" x14ac:dyDescent="0.25">
      <c r="A1197" s="40" t="s">
        <v>41</v>
      </c>
      <c r="B1197" s="40" t="s">
        <v>2300</v>
      </c>
      <c r="C1197" s="40" t="s">
        <v>2301</v>
      </c>
      <c r="D1197" s="40" t="s">
        <v>2302</v>
      </c>
      <c r="E1197" s="40" t="s">
        <v>2303</v>
      </c>
      <c r="F1197" s="40">
        <v>0</v>
      </c>
      <c r="G1197" s="40"/>
      <c r="H1197" s="40" t="s">
        <v>97</v>
      </c>
      <c r="I1197" s="40"/>
      <c r="J1197" s="40" t="s">
        <v>195</v>
      </c>
      <c r="K1197" s="40" t="s">
        <v>195</v>
      </c>
      <c r="L1197" s="40" t="s">
        <v>97</v>
      </c>
    </row>
    <row r="1198" spans="1:12" x14ac:dyDescent="0.25">
      <c r="A1198" s="40" t="s">
        <v>41</v>
      </c>
      <c r="B1198" s="40" t="s">
        <v>496</v>
      </c>
      <c r="C1198" s="40" t="s">
        <v>2304</v>
      </c>
      <c r="D1198" s="40" t="s">
        <v>2233</v>
      </c>
      <c r="E1198" s="40" t="s">
        <v>2233</v>
      </c>
      <c r="F1198" s="40">
        <v>1</v>
      </c>
      <c r="G1198" s="40"/>
      <c r="H1198" s="40" t="s">
        <v>2234</v>
      </c>
      <c r="I1198" s="40"/>
      <c r="J1198" s="40" t="s">
        <v>195</v>
      </c>
      <c r="K1198" s="40" t="s">
        <v>195</v>
      </c>
      <c r="L1198" s="40" t="s">
        <v>97</v>
      </c>
    </row>
    <row r="1199" spans="1:12" x14ac:dyDescent="0.25">
      <c r="A1199" s="40" t="s">
        <v>41</v>
      </c>
      <c r="B1199" s="40" t="s">
        <v>1304</v>
      </c>
      <c r="C1199" s="40" t="s">
        <v>2305</v>
      </c>
      <c r="D1199" s="40" t="s">
        <v>2306</v>
      </c>
      <c r="E1199" s="40" t="s">
        <v>2306</v>
      </c>
      <c r="F1199" s="40">
        <v>1</v>
      </c>
      <c r="G1199" s="40"/>
      <c r="H1199" s="40" t="s">
        <v>97</v>
      </c>
      <c r="I1199" s="40"/>
      <c r="J1199" s="40" t="s">
        <v>195</v>
      </c>
      <c r="K1199" s="40" t="s">
        <v>195</v>
      </c>
      <c r="L1199" s="40" t="s">
        <v>97</v>
      </c>
    </row>
    <row r="1200" spans="1:12" x14ac:dyDescent="0.25">
      <c r="A1200" s="40" t="s">
        <v>41</v>
      </c>
      <c r="B1200" s="40" t="s">
        <v>1307</v>
      </c>
      <c r="C1200" s="40" t="s">
        <v>2307</v>
      </c>
      <c r="D1200" s="40" t="s">
        <v>2308</v>
      </c>
      <c r="E1200" s="40" t="s">
        <v>2308</v>
      </c>
      <c r="F1200" s="40">
        <v>1</v>
      </c>
      <c r="G1200" s="40"/>
      <c r="H1200" s="40" t="s">
        <v>97</v>
      </c>
      <c r="I1200" s="40"/>
      <c r="J1200" s="40" t="s">
        <v>195</v>
      </c>
      <c r="K1200" s="40" t="s">
        <v>195</v>
      </c>
      <c r="L1200" s="40" t="s">
        <v>97</v>
      </c>
    </row>
    <row r="1201" spans="1:12" x14ac:dyDescent="0.25">
      <c r="A1201" s="40" t="s">
        <v>41</v>
      </c>
      <c r="B1201" s="40" t="s">
        <v>1309</v>
      </c>
      <c r="C1201" s="40" t="s">
        <v>2309</v>
      </c>
      <c r="D1201" s="40" t="s">
        <v>2310</v>
      </c>
      <c r="E1201" s="40" t="s">
        <v>2310</v>
      </c>
      <c r="F1201" s="40">
        <v>1</v>
      </c>
      <c r="G1201" s="40"/>
      <c r="H1201" s="40" t="s">
        <v>97</v>
      </c>
      <c r="I1201" s="40"/>
      <c r="J1201" s="40" t="s">
        <v>195</v>
      </c>
      <c r="K1201" s="40" t="s">
        <v>195</v>
      </c>
      <c r="L1201" s="40" t="s">
        <v>97</v>
      </c>
    </row>
    <row r="1202" spans="1:12" x14ac:dyDescent="0.25">
      <c r="A1202" s="40" t="s">
        <v>41</v>
      </c>
      <c r="B1202" s="40" t="s">
        <v>2311</v>
      </c>
      <c r="C1202" s="40" t="s">
        <v>2312</v>
      </c>
      <c r="D1202" s="40" t="s">
        <v>2313</v>
      </c>
      <c r="E1202" s="40" t="s">
        <v>2314</v>
      </c>
      <c r="F1202" s="40">
        <v>0</v>
      </c>
      <c r="G1202" s="40"/>
      <c r="H1202" s="40" t="s">
        <v>97</v>
      </c>
      <c r="I1202" s="40"/>
      <c r="J1202" s="40" t="s">
        <v>195</v>
      </c>
      <c r="K1202" s="40" t="s">
        <v>195</v>
      </c>
      <c r="L1202" s="40" t="s">
        <v>97</v>
      </c>
    </row>
    <row r="1203" spans="1:12" x14ac:dyDescent="0.25">
      <c r="A1203" s="40" t="s">
        <v>41</v>
      </c>
      <c r="B1203" s="40" t="s">
        <v>498</v>
      </c>
      <c r="C1203" s="40" t="s">
        <v>2315</v>
      </c>
      <c r="D1203" s="40" t="s">
        <v>2316</v>
      </c>
      <c r="E1203" s="40" t="s">
        <v>2316</v>
      </c>
      <c r="F1203" s="40">
        <v>1</v>
      </c>
      <c r="G1203" s="40"/>
      <c r="H1203" s="40" t="s">
        <v>97</v>
      </c>
      <c r="I1203" s="40"/>
      <c r="J1203" s="40" t="s">
        <v>195</v>
      </c>
      <c r="K1203" s="40" t="s">
        <v>195</v>
      </c>
      <c r="L1203" s="40" t="s">
        <v>97</v>
      </c>
    </row>
    <row r="1204" spans="1:12" x14ac:dyDescent="0.25">
      <c r="A1204" s="40" t="s">
        <v>41</v>
      </c>
      <c r="B1204" s="40" t="s">
        <v>500</v>
      </c>
      <c r="C1204" s="40" t="s">
        <v>2317</v>
      </c>
      <c r="D1204" s="40" t="s">
        <v>2318</v>
      </c>
      <c r="E1204" s="40" t="s">
        <v>2318</v>
      </c>
      <c r="F1204" s="40">
        <v>1</v>
      </c>
      <c r="G1204" s="40"/>
      <c r="H1204" s="40" t="s">
        <v>97</v>
      </c>
      <c r="I1204" s="40"/>
      <c r="J1204" s="40" t="s">
        <v>82</v>
      </c>
      <c r="K1204" s="40" t="s">
        <v>195</v>
      </c>
      <c r="L1204" s="40" t="s">
        <v>97</v>
      </c>
    </row>
    <row r="1205" spans="1:12" x14ac:dyDescent="0.25">
      <c r="A1205" s="40" t="s">
        <v>41</v>
      </c>
      <c r="B1205" s="40" t="s">
        <v>527</v>
      </c>
      <c r="C1205" s="40" t="s">
        <v>2319</v>
      </c>
      <c r="D1205" s="40" t="s">
        <v>2320</v>
      </c>
      <c r="E1205" s="40" t="s">
        <v>2320</v>
      </c>
      <c r="F1205" s="40">
        <v>1</v>
      </c>
      <c r="G1205" s="40"/>
      <c r="H1205" s="40" t="s">
        <v>2234</v>
      </c>
      <c r="I1205" s="40"/>
      <c r="J1205" s="40" t="s">
        <v>195</v>
      </c>
      <c r="K1205" s="40" t="s">
        <v>195</v>
      </c>
      <c r="L1205" s="40" t="s">
        <v>97</v>
      </c>
    </row>
    <row r="1206" spans="1:12" x14ac:dyDescent="0.25">
      <c r="A1206" s="40" t="s">
        <v>41</v>
      </c>
      <c r="B1206" s="40" t="s">
        <v>535</v>
      </c>
      <c r="C1206" s="40" t="s">
        <v>2321</v>
      </c>
      <c r="D1206" s="40" t="s">
        <v>2322</v>
      </c>
      <c r="E1206" s="40" t="s">
        <v>2322</v>
      </c>
      <c r="F1206" s="40">
        <v>1</v>
      </c>
      <c r="G1206" s="40"/>
      <c r="H1206" s="40" t="s">
        <v>2234</v>
      </c>
      <c r="I1206" s="40"/>
      <c r="J1206" s="40" t="s">
        <v>195</v>
      </c>
      <c r="K1206" s="40" t="s">
        <v>195</v>
      </c>
      <c r="L1206" s="40" t="s">
        <v>97</v>
      </c>
    </row>
    <row r="1207" spans="1:12" x14ac:dyDescent="0.25">
      <c r="A1207" s="40" t="s">
        <v>41</v>
      </c>
      <c r="B1207" s="40" t="s">
        <v>544</v>
      </c>
      <c r="C1207" s="40" t="s">
        <v>2323</v>
      </c>
      <c r="D1207" s="40" t="s">
        <v>2233</v>
      </c>
      <c r="E1207" s="40" t="s">
        <v>2233</v>
      </c>
      <c r="F1207" s="40">
        <v>1</v>
      </c>
      <c r="G1207" s="40"/>
      <c r="H1207" s="40" t="s">
        <v>2234</v>
      </c>
      <c r="I1207" s="40"/>
      <c r="J1207" s="40" t="s">
        <v>195</v>
      </c>
      <c r="K1207" s="40" t="s">
        <v>195</v>
      </c>
      <c r="L1207" s="40" t="s">
        <v>97</v>
      </c>
    </row>
    <row r="1208" spans="1:12" x14ac:dyDescent="0.25">
      <c r="A1208" s="40" t="s">
        <v>41</v>
      </c>
      <c r="B1208" s="40" t="s">
        <v>1339</v>
      </c>
      <c r="C1208" s="40" t="s">
        <v>2324</v>
      </c>
      <c r="D1208" s="40" t="s">
        <v>676</v>
      </c>
      <c r="E1208" s="40" t="s">
        <v>676</v>
      </c>
      <c r="F1208" s="40">
        <v>1</v>
      </c>
      <c r="G1208" s="40"/>
      <c r="H1208" s="40" t="s">
        <v>2234</v>
      </c>
      <c r="I1208" s="40"/>
      <c r="J1208" s="40" t="s">
        <v>195</v>
      </c>
      <c r="K1208" s="40" t="s">
        <v>195</v>
      </c>
      <c r="L1208" s="40" t="s">
        <v>97</v>
      </c>
    </row>
    <row r="1209" spans="1:12" x14ac:dyDescent="0.25">
      <c r="A1209" s="40" t="s">
        <v>41</v>
      </c>
      <c r="B1209" s="40" t="s">
        <v>577</v>
      </c>
      <c r="C1209" s="40" t="s">
        <v>2325</v>
      </c>
      <c r="D1209" s="40" t="s">
        <v>2281</v>
      </c>
      <c r="E1209" s="40" t="s">
        <v>2233</v>
      </c>
      <c r="F1209" s="40">
        <v>0</v>
      </c>
      <c r="G1209" s="40"/>
      <c r="H1209" s="40" t="s">
        <v>2234</v>
      </c>
      <c r="I1209" s="40"/>
      <c r="J1209" s="40" t="s">
        <v>195</v>
      </c>
      <c r="K1209" s="40" t="s">
        <v>195</v>
      </c>
      <c r="L1209" s="40" t="s">
        <v>97</v>
      </c>
    </row>
    <row r="1210" spans="1:12" x14ac:dyDescent="0.25">
      <c r="A1210" s="40" t="s">
        <v>41</v>
      </c>
      <c r="B1210" s="40" t="s">
        <v>582</v>
      </c>
      <c r="C1210" s="40" t="s">
        <v>2326</v>
      </c>
      <c r="D1210" s="40" t="s">
        <v>2327</v>
      </c>
      <c r="E1210" s="40" t="s">
        <v>2233</v>
      </c>
      <c r="F1210" s="40">
        <v>0</v>
      </c>
      <c r="G1210" s="40"/>
      <c r="H1210" s="40" t="s">
        <v>2234</v>
      </c>
      <c r="I1210" s="40"/>
      <c r="J1210" s="40" t="s">
        <v>195</v>
      </c>
      <c r="K1210" s="40" t="s">
        <v>195</v>
      </c>
      <c r="L1210" s="40" t="s">
        <v>97</v>
      </c>
    </row>
    <row r="1211" spans="1:12" x14ac:dyDescent="0.25">
      <c r="A1211" s="40" t="s">
        <v>41</v>
      </c>
      <c r="B1211" s="40" t="s">
        <v>588</v>
      </c>
      <c r="C1211" s="40" t="s">
        <v>2328</v>
      </c>
      <c r="D1211" s="40" t="s">
        <v>2329</v>
      </c>
      <c r="E1211" s="40" t="s">
        <v>2233</v>
      </c>
      <c r="F1211" s="40">
        <v>0</v>
      </c>
      <c r="G1211" s="40"/>
      <c r="H1211" s="40" t="s">
        <v>2234</v>
      </c>
      <c r="I1211" s="40"/>
      <c r="J1211" s="40" t="s">
        <v>195</v>
      </c>
      <c r="K1211" s="40" t="s">
        <v>195</v>
      </c>
      <c r="L1211" s="40" t="s">
        <v>97</v>
      </c>
    </row>
    <row r="1212" spans="1:12" x14ac:dyDescent="0.25">
      <c r="A1212" s="40" t="s">
        <v>41</v>
      </c>
      <c r="B1212" s="40" t="s">
        <v>1353</v>
      </c>
      <c r="C1212" s="40" t="s">
        <v>2330</v>
      </c>
      <c r="D1212" s="40" t="s">
        <v>2329</v>
      </c>
      <c r="E1212" s="40" t="s">
        <v>2233</v>
      </c>
      <c r="F1212" s="40">
        <v>0</v>
      </c>
      <c r="G1212" s="40"/>
      <c r="H1212" s="40" t="s">
        <v>2234</v>
      </c>
      <c r="I1212" s="40"/>
      <c r="J1212" s="40" t="s">
        <v>195</v>
      </c>
      <c r="K1212" s="40" t="s">
        <v>195</v>
      </c>
      <c r="L1212" s="40" t="s">
        <v>97</v>
      </c>
    </row>
    <row r="1213" spans="1:12" x14ac:dyDescent="0.25">
      <c r="A1213" s="40" t="s">
        <v>41</v>
      </c>
      <c r="B1213" s="40" t="s">
        <v>2331</v>
      </c>
      <c r="C1213" s="40" t="s">
        <v>2332</v>
      </c>
      <c r="D1213" s="40" t="s">
        <v>2329</v>
      </c>
      <c r="E1213" s="40" t="s">
        <v>2233</v>
      </c>
      <c r="F1213" s="40">
        <v>0</v>
      </c>
      <c r="G1213" s="40"/>
      <c r="H1213" s="40" t="s">
        <v>2234</v>
      </c>
      <c r="I1213" s="40"/>
      <c r="J1213" s="40" t="s">
        <v>195</v>
      </c>
      <c r="K1213" s="40" t="s">
        <v>195</v>
      </c>
      <c r="L1213" s="40" t="s">
        <v>97</v>
      </c>
    </row>
    <row r="1214" spans="1:12" x14ac:dyDescent="0.25">
      <c r="A1214" s="40" t="s">
        <v>41</v>
      </c>
      <c r="B1214" s="40" t="s">
        <v>590</v>
      </c>
      <c r="C1214" s="40" t="s">
        <v>2333</v>
      </c>
      <c r="D1214" s="40" t="s">
        <v>2329</v>
      </c>
      <c r="E1214" s="40" t="s">
        <v>2233</v>
      </c>
      <c r="F1214" s="40">
        <v>0</v>
      </c>
      <c r="G1214" s="40"/>
      <c r="H1214" s="40" t="s">
        <v>2234</v>
      </c>
      <c r="I1214" s="40"/>
      <c r="J1214" s="40" t="s">
        <v>195</v>
      </c>
      <c r="K1214" s="40" t="s">
        <v>195</v>
      </c>
      <c r="L1214" s="40" t="s">
        <v>97</v>
      </c>
    </row>
    <row r="1215" spans="1:12" x14ac:dyDescent="0.25">
      <c r="A1215" s="40" t="s">
        <v>41</v>
      </c>
      <c r="B1215" s="40" t="s">
        <v>765</v>
      </c>
      <c r="C1215" s="40" t="s">
        <v>2334</v>
      </c>
      <c r="D1215" s="40" t="s">
        <v>2233</v>
      </c>
      <c r="E1215" s="40" t="s">
        <v>2233</v>
      </c>
      <c r="F1215" s="40">
        <v>1</v>
      </c>
      <c r="G1215" s="40"/>
      <c r="H1215" s="40" t="s">
        <v>2234</v>
      </c>
      <c r="I1215" s="40"/>
      <c r="J1215" s="40" t="s">
        <v>195</v>
      </c>
      <c r="K1215" s="40" t="s">
        <v>195</v>
      </c>
      <c r="L1215" s="40" t="s">
        <v>97</v>
      </c>
    </row>
    <row r="1216" spans="1:12" x14ac:dyDescent="0.25">
      <c r="A1216" s="40" t="s">
        <v>41</v>
      </c>
      <c r="B1216" s="40" t="s">
        <v>2279</v>
      </c>
      <c r="C1216" s="40" t="s">
        <v>2335</v>
      </c>
      <c r="D1216" s="40" t="s">
        <v>2233</v>
      </c>
      <c r="E1216" s="40" t="s">
        <v>2233</v>
      </c>
      <c r="F1216" s="40">
        <v>1</v>
      </c>
      <c r="G1216" s="40"/>
      <c r="H1216" s="40" t="s">
        <v>2234</v>
      </c>
      <c r="I1216" s="40"/>
      <c r="J1216" s="40" t="s">
        <v>195</v>
      </c>
      <c r="K1216" s="40" t="s">
        <v>195</v>
      </c>
      <c r="L1216" s="40" t="s">
        <v>97</v>
      </c>
    </row>
    <row r="1217" spans="1:12" x14ac:dyDescent="0.25">
      <c r="A1217" s="40" t="s">
        <v>41</v>
      </c>
      <c r="B1217" s="40" t="s">
        <v>858</v>
      </c>
      <c r="C1217" s="40" t="s">
        <v>2336</v>
      </c>
      <c r="D1217" s="40" t="s">
        <v>2337</v>
      </c>
      <c r="E1217" s="40" t="s">
        <v>2337</v>
      </c>
      <c r="F1217" s="40">
        <v>1</v>
      </c>
      <c r="G1217" s="40"/>
      <c r="H1217" s="40" t="s">
        <v>97</v>
      </c>
      <c r="I1217" s="40"/>
      <c r="J1217" s="40" t="s">
        <v>89</v>
      </c>
      <c r="K1217" s="40" t="s">
        <v>89</v>
      </c>
      <c r="L1217" s="40" t="s">
        <v>97</v>
      </c>
    </row>
    <row r="1218" spans="1:12" x14ac:dyDescent="0.25">
      <c r="A1218" s="40" t="s">
        <v>41</v>
      </c>
      <c r="B1218" s="40" t="s">
        <v>860</v>
      </c>
      <c r="C1218" s="40" t="s">
        <v>2338</v>
      </c>
      <c r="D1218" s="40" t="s">
        <v>2339</v>
      </c>
      <c r="E1218" s="40" t="s">
        <v>2339</v>
      </c>
      <c r="F1218" s="40">
        <v>1</v>
      </c>
      <c r="G1218" s="40"/>
      <c r="H1218" s="40" t="s">
        <v>97</v>
      </c>
      <c r="I1218" s="40"/>
      <c r="J1218" s="40" t="s">
        <v>89</v>
      </c>
      <c r="K1218" s="40" t="s">
        <v>89</v>
      </c>
      <c r="L1218" s="40" t="s">
        <v>97</v>
      </c>
    </row>
    <row r="1219" spans="1:12" x14ac:dyDescent="0.25">
      <c r="A1219" s="40" t="s">
        <v>41</v>
      </c>
      <c r="B1219" s="40" t="s">
        <v>867</v>
      </c>
      <c r="C1219" s="40" t="s">
        <v>2340</v>
      </c>
      <c r="D1219" s="40" t="s">
        <v>2341</v>
      </c>
      <c r="E1219" s="40" t="s">
        <v>2341</v>
      </c>
      <c r="F1219" s="40">
        <v>1</v>
      </c>
      <c r="G1219" s="40"/>
      <c r="H1219" s="40" t="s">
        <v>97</v>
      </c>
      <c r="I1219" s="40"/>
      <c r="J1219" s="40" t="s">
        <v>82</v>
      </c>
      <c r="K1219" s="40" t="s">
        <v>89</v>
      </c>
      <c r="L1219" s="40" t="s">
        <v>97</v>
      </c>
    </row>
    <row r="1220" spans="1:12" x14ac:dyDescent="0.25">
      <c r="A1220" s="40" t="s">
        <v>41</v>
      </c>
      <c r="B1220" s="40" t="s">
        <v>869</v>
      </c>
      <c r="C1220" s="40" t="s">
        <v>2342</v>
      </c>
      <c r="D1220" s="40" t="s">
        <v>2343</v>
      </c>
      <c r="E1220" s="40" t="s">
        <v>2343</v>
      </c>
      <c r="F1220" s="40">
        <v>1</v>
      </c>
      <c r="G1220" s="40"/>
      <c r="H1220" s="40" t="s">
        <v>97</v>
      </c>
      <c r="I1220" s="40"/>
      <c r="J1220" s="40" t="s">
        <v>82</v>
      </c>
      <c r="K1220" s="40" t="s">
        <v>89</v>
      </c>
      <c r="L1220" s="40" t="s">
        <v>97</v>
      </c>
    </row>
    <row r="1221" spans="1:12" x14ac:dyDescent="0.25">
      <c r="A1221" s="40" t="s">
        <v>41</v>
      </c>
      <c r="B1221" s="40" t="s">
        <v>871</v>
      </c>
      <c r="C1221" s="40" t="s">
        <v>2344</v>
      </c>
      <c r="D1221" s="40" t="s">
        <v>2281</v>
      </c>
      <c r="E1221" s="40" t="s">
        <v>2281</v>
      </c>
      <c r="F1221" s="40">
        <v>1</v>
      </c>
      <c r="G1221" s="40"/>
      <c r="H1221" s="40" t="s">
        <v>97</v>
      </c>
      <c r="I1221" s="40"/>
      <c r="J1221" s="40" t="s">
        <v>82</v>
      </c>
      <c r="K1221" s="40" t="s">
        <v>89</v>
      </c>
      <c r="L1221" s="40" t="s">
        <v>97</v>
      </c>
    </row>
    <row r="1222" spans="1:12" x14ac:dyDescent="0.25">
      <c r="A1222" s="40" t="s">
        <v>41</v>
      </c>
      <c r="B1222" s="40" t="s">
        <v>875</v>
      </c>
      <c r="C1222" s="40" t="s">
        <v>2345</v>
      </c>
      <c r="D1222" s="40" t="s">
        <v>2233</v>
      </c>
      <c r="E1222" s="40" t="s">
        <v>2233</v>
      </c>
      <c r="F1222" s="40">
        <v>1</v>
      </c>
      <c r="G1222" s="40"/>
      <c r="H1222" s="40" t="s">
        <v>97</v>
      </c>
      <c r="I1222" s="40"/>
      <c r="J1222" s="40" t="s">
        <v>82</v>
      </c>
      <c r="K1222" s="40" t="s">
        <v>89</v>
      </c>
      <c r="L1222" s="40" t="s">
        <v>97</v>
      </c>
    </row>
    <row r="1223" spans="1:12" x14ac:dyDescent="0.25">
      <c r="A1223" s="40" t="s">
        <v>41</v>
      </c>
      <c r="B1223" s="40" t="s">
        <v>2346</v>
      </c>
      <c r="C1223" s="40" t="s">
        <v>2347</v>
      </c>
      <c r="D1223" s="40" t="s">
        <v>2233</v>
      </c>
      <c r="E1223" s="40" t="s">
        <v>2233</v>
      </c>
      <c r="F1223" s="40">
        <v>1</v>
      </c>
      <c r="G1223" s="40"/>
      <c r="H1223" s="40" t="s">
        <v>97</v>
      </c>
      <c r="I1223" s="40"/>
      <c r="J1223" s="40" t="s">
        <v>82</v>
      </c>
      <c r="K1223" s="40" t="s">
        <v>89</v>
      </c>
      <c r="L1223" s="40" t="s">
        <v>97</v>
      </c>
    </row>
    <row r="1224" spans="1:12" x14ac:dyDescent="0.25">
      <c r="A1224" s="40" t="s">
        <v>41</v>
      </c>
      <c r="B1224" s="40" t="s">
        <v>2348</v>
      </c>
      <c r="C1224" s="40" t="s">
        <v>2349</v>
      </c>
      <c r="D1224" s="40" t="s">
        <v>2281</v>
      </c>
      <c r="E1224" s="40" t="s">
        <v>2281</v>
      </c>
      <c r="F1224" s="40">
        <v>1</v>
      </c>
      <c r="G1224" s="40"/>
      <c r="H1224" s="40" t="s">
        <v>97</v>
      </c>
      <c r="I1224" s="40"/>
      <c r="J1224" s="40" t="s">
        <v>82</v>
      </c>
      <c r="K1224" s="40" t="s">
        <v>89</v>
      </c>
      <c r="L1224" s="40" t="s">
        <v>97</v>
      </c>
    </row>
    <row r="1225" spans="1:12" x14ac:dyDescent="0.25">
      <c r="A1225" s="40" t="s">
        <v>41</v>
      </c>
      <c r="B1225" s="40" t="s">
        <v>2350</v>
      </c>
      <c r="C1225" s="40" t="s">
        <v>2351</v>
      </c>
      <c r="D1225" s="40" t="s">
        <v>2233</v>
      </c>
      <c r="E1225" s="40" t="s">
        <v>2233</v>
      </c>
      <c r="F1225" s="40">
        <v>1</v>
      </c>
      <c r="G1225" s="40"/>
      <c r="H1225" s="40" t="s">
        <v>97</v>
      </c>
      <c r="I1225" s="40"/>
      <c r="J1225" s="40" t="s">
        <v>82</v>
      </c>
      <c r="K1225" s="40" t="s">
        <v>89</v>
      </c>
      <c r="L1225" s="40" t="s">
        <v>97</v>
      </c>
    </row>
    <row r="1226" spans="1:12" x14ac:dyDescent="0.25">
      <c r="A1226" s="40" t="s">
        <v>41</v>
      </c>
      <c r="B1226" s="40" t="s">
        <v>2352</v>
      </c>
      <c r="C1226" s="40" t="s">
        <v>2353</v>
      </c>
      <c r="D1226" s="40" t="s">
        <v>2233</v>
      </c>
      <c r="E1226" s="40" t="s">
        <v>2233</v>
      </c>
      <c r="F1226" s="40">
        <v>1</v>
      </c>
      <c r="G1226" s="40"/>
      <c r="H1226" s="40" t="s">
        <v>97</v>
      </c>
      <c r="I1226" s="40"/>
      <c r="J1226" s="40" t="s">
        <v>82</v>
      </c>
      <c r="K1226" s="40" t="s">
        <v>89</v>
      </c>
      <c r="L1226" s="40" t="s">
        <v>97</v>
      </c>
    </row>
    <row r="1227" spans="1:12" x14ac:dyDescent="0.25">
      <c r="A1227" s="40" t="s">
        <v>41</v>
      </c>
      <c r="B1227" s="40" t="s">
        <v>1387</v>
      </c>
      <c r="C1227" s="40" t="s">
        <v>2354</v>
      </c>
      <c r="D1227" s="40" t="s">
        <v>2341</v>
      </c>
      <c r="E1227" s="40" t="s">
        <v>2341</v>
      </c>
      <c r="F1227" s="40">
        <v>1</v>
      </c>
      <c r="G1227" s="40"/>
      <c r="H1227" s="40" t="s">
        <v>97</v>
      </c>
      <c r="I1227" s="40"/>
      <c r="J1227" s="40" t="s">
        <v>89</v>
      </c>
      <c r="K1227" s="40" t="s">
        <v>82</v>
      </c>
      <c r="L1227" s="40" t="s">
        <v>97</v>
      </c>
    </row>
    <row r="1228" spans="1:12" x14ac:dyDescent="0.25">
      <c r="A1228" s="40" t="s">
        <v>41</v>
      </c>
      <c r="B1228" s="40" t="s">
        <v>930</v>
      </c>
      <c r="C1228" s="40" t="s">
        <v>2355</v>
      </c>
      <c r="D1228" s="40" t="s">
        <v>2356</v>
      </c>
      <c r="E1228" s="40" t="s">
        <v>2356</v>
      </c>
      <c r="F1228" s="40">
        <v>1</v>
      </c>
      <c r="G1228" s="40"/>
      <c r="H1228" s="40" t="s">
        <v>97</v>
      </c>
      <c r="I1228" s="40"/>
      <c r="J1228" s="40" t="s">
        <v>89</v>
      </c>
      <c r="K1228" s="40" t="s">
        <v>82</v>
      </c>
      <c r="L1228" s="40" t="s">
        <v>97</v>
      </c>
    </row>
    <row r="1229" spans="1:12" x14ac:dyDescent="0.25">
      <c r="A1229" s="40" t="s">
        <v>41</v>
      </c>
      <c r="B1229" s="40" t="s">
        <v>933</v>
      </c>
      <c r="C1229" s="40" t="s">
        <v>2357</v>
      </c>
      <c r="D1229" s="40" t="s">
        <v>2233</v>
      </c>
      <c r="E1229" s="40" t="s">
        <v>2233</v>
      </c>
      <c r="F1229" s="40">
        <v>1</v>
      </c>
      <c r="G1229" s="40"/>
      <c r="H1229" s="40" t="s">
        <v>97</v>
      </c>
      <c r="I1229" s="40"/>
      <c r="J1229" s="40" t="s">
        <v>89</v>
      </c>
      <c r="K1229" s="40" t="s">
        <v>82</v>
      </c>
      <c r="L1229" s="40" t="s">
        <v>97</v>
      </c>
    </row>
    <row r="1230" spans="1:12" x14ac:dyDescent="0.25">
      <c r="A1230" s="40" t="s">
        <v>41</v>
      </c>
      <c r="B1230" s="40" t="s">
        <v>936</v>
      </c>
      <c r="C1230" s="40" t="s">
        <v>2358</v>
      </c>
      <c r="D1230" s="40" t="s">
        <v>2318</v>
      </c>
      <c r="E1230" s="40" t="s">
        <v>2318</v>
      </c>
      <c r="F1230" s="40">
        <v>1</v>
      </c>
      <c r="G1230" s="40"/>
      <c r="H1230" s="40" t="s">
        <v>97</v>
      </c>
      <c r="I1230" s="40"/>
      <c r="J1230" s="40" t="s">
        <v>89</v>
      </c>
      <c r="K1230" s="40" t="s">
        <v>82</v>
      </c>
      <c r="L1230" s="40" t="s">
        <v>97</v>
      </c>
    </row>
    <row r="1231" spans="1:12" x14ac:dyDescent="0.25">
      <c r="A1231" s="40" t="s">
        <v>41</v>
      </c>
      <c r="B1231" s="40" t="s">
        <v>939</v>
      </c>
      <c r="C1231" s="40" t="s">
        <v>2359</v>
      </c>
      <c r="D1231" s="40" t="s">
        <v>2233</v>
      </c>
      <c r="E1231" s="40" t="s">
        <v>2233</v>
      </c>
      <c r="F1231" s="40">
        <v>1</v>
      </c>
      <c r="G1231" s="40"/>
      <c r="H1231" s="40" t="s">
        <v>97</v>
      </c>
      <c r="I1231" s="40"/>
      <c r="J1231" s="40" t="s">
        <v>97</v>
      </c>
      <c r="K1231" s="40" t="s">
        <v>97</v>
      </c>
      <c r="L1231" s="40" t="s">
        <v>97</v>
      </c>
    </row>
    <row r="1232" spans="1:12" x14ac:dyDescent="0.25">
      <c r="A1232" s="40" t="s">
        <v>41</v>
      </c>
      <c r="B1232" s="40" t="s">
        <v>1403</v>
      </c>
      <c r="C1232" s="40" t="s">
        <v>2360</v>
      </c>
      <c r="D1232" s="40" t="s">
        <v>2233</v>
      </c>
      <c r="E1232" s="40" t="s">
        <v>2233</v>
      </c>
      <c r="F1232" s="40">
        <v>1</v>
      </c>
      <c r="G1232" s="40"/>
      <c r="H1232" s="40" t="s">
        <v>97</v>
      </c>
      <c r="I1232" s="40"/>
      <c r="J1232" s="40" t="s">
        <v>89</v>
      </c>
      <c r="K1232" s="40" t="s">
        <v>82</v>
      </c>
      <c r="L1232" s="40" t="s">
        <v>97</v>
      </c>
    </row>
    <row r="1233" spans="1:12" x14ac:dyDescent="0.25">
      <c r="A1233" s="40" t="s">
        <v>41</v>
      </c>
      <c r="B1233" s="40" t="s">
        <v>1405</v>
      </c>
      <c r="C1233" s="40" t="s">
        <v>2361</v>
      </c>
      <c r="D1233" s="40" t="s">
        <v>2362</v>
      </c>
      <c r="E1233" s="40" t="s">
        <v>2362</v>
      </c>
      <c r="F1233" s="40">
        <v>1</v>
      </c>
      <c r="G1233" s="40"/>
      <c r="H1233" s="40" t="s">
        <v>97</v>
      </c>
      <c r="I1233" s="40"/>
      <c r="J1233" s="40" t="s">
        <v>82</v>
      </c>
      <c r="K1233" s="40" t="s">
        <v>82</v>
      </c>
      <c r="L1233" s="40" t="s">
        <v>97</v>
      </c>
    </row>
    <row r="1234" spans="1:12" x14ac:dyDescent="0.25">
      <c r="A1234" s="40" t="s">
        <v>41</v>
      </c>
      <c r="B1234" s="40" t="s">
        <v>1411</v>
      </c>
      <c r="C1234" s="40" t="s">
        <v>2363</v>
      </c>
      <c r="D1234" s="40" t="s">
        <v>2233</v>
      </c>
      <c r="E1234" s="40" t="s">
        <v>2233</v>
      </c>
      <c r="F1234" s="40">
        <v>1</v>
      </c>
      <c r="G1234" s="40"/>
      <c r="H1234" s="40" t="s">
        <v>97</v>
      </c>
      <c r="I1234" s="40"/>
      <c r="J1234" s="40" t="s">
        <v>82</v>
      </c>
      <c r="K1234" s="40" t="s">
        <v>82</v>
      </c>
      <c r="L1234" s="40" t="s">
        <v>97</v>
      </c>
    </row>
    <row r="1235" spans="1:12" x14ac:dyDescent="0.25">
      <c r="A1235" s="40" t="s">
        <v>47</v>
      </c>
      <c r="B1235" s="40" t="s">
        <v>496</v>
      </c>
      <c r="C1235" s="40" t="s">
        <v>2364</v>
      </c>
      <c r="D1235" s="40" t="s">
        <v>2233</v>
      </c>
      <c r="E1235" s="40" t="s">
        <v>2233</v>
      </c>
      <c r="F1235" s="40">
        <v>1</v>
      </c>
      <c r="G1235" s="40"/>
      <c r="H1235" s="40" t="s">
        <v>2234</v>
      </c>
      <c r="I1235" s="40"/>
      <c r="J1235" s="40" t="s">
        <v>195</v>
      </c>
      <c r="K1235" s="40" t="s">
        <v>195</v>
      </c>
      <c r="L1235" s="40" t="s">
        <v>97</v>
      </c>
    </row>
    <row r="1236" spans="1:12" x14ac:dyDescent="0.25">
      <c r="A1236" s="40" t="s">
        <v>47</v>
      </c>
      <c r="B1236" s="40" t="s">
        <v>1304</v>
      </c>
      <c r="C1236" s="40" t="s">
        <v>2365</v>
      </c>
      <c r="D1236" s="40" t="s">
        <v>2366</v>
      </c>
      <c r="E1236" s="40" t="s">
        <v>2366</v>
      </c>
      <c r="F1236" s="40">
        <v>1</v>
      </c>
      <c r="G1236" s="40"/>
      <c r="H1236" s="40" t="s">
        <v>2234</v>
      </c>
      <c r="I1236" s="40"/>
      <c r="J1236" s="40" t="s">
        <v>195</v>
      </c>
      <c r="K1236" s="40" t="s">
        <v>195</v>
      </c>
      <c r="L1236" s="40" t="s">
        <v>97</v>
      </c>
    </row>
    <row r="1237" spans="1:12" x14ac:dyDescent="0.25">
      <c r="A1237" s="40" t="s">
        <v>47</v>
      </c>
      <c r="B1237" s="40" t="s">
        <v>506</v>
      </c>
      <c r="C1237" s="40" t="s">
        <v>2367</v>
      </c>
      <c r="D1237" s="40" t="s">
        <v>2300</v>
      </c>
      <c r="E1237" s="40" t="s">
        <v>2300</v>
      </c>
      <c r="F1237" s="40">
        <v>1</v>
      </c>
      <c r="G1237" s="40"/>
      <c r="H1237" s="40" t="s">
        <v>2234</v>
      </c>
      <c r="I1237" s="40"/>
      <c r="J1237" s="40" t="s">
        <v>195</v>
      </c>
      <c r="K1237" s="40" t="s">
        <v>195</v>
      </c>
      <c r="L1237" s="40" t="s">
        <v>97</v>
      </c>
    </row>
    <row r="1238" spans="1:12" x14ac:dyDescent="0.25">
      <c r="A1238" s="40" t="s">
        <v>47</v>
      </c>
      <c r="B1238" s="40" t="s">
        <v>518</v>
      </c>
      <c r="C1238" s="40" t="s">
        <v>2368</v>
      </c>
      <c r="D1238" s="40" t="s">
        <v>2233</v>
      </c>
      <c r="E1238" s="40" t="s">
        <v>2233</v>
      </c>
      <c r="F1238" s="40">
        <v>1</v>
      </c>
      <c r="G1238" s="40"/>
      <c r="H1238" s="40" t="s">
        <v>2234</v>
      </c>
      <c r="I1238" s="40"/>
      <c r="J1238" s="40" t="s">
        <v>195</v>
      </c>
      <c r="K1238" s="40" t="s">
        <v>195</v>
      </c>
      <c r="L1238" s="40" t="s">
        <v>97</v>
      </c>
    </row>
    <row r="1239" spans="1:12" x14ac:dyDescent="0.25">
      <c r="A1239" s="40" t="s">
        <v>47</v>
      </c>
      <c r="B1239" s="40" t="s">
        <v>521</v>
      </c>
      <c r="C1239" s="40" t="s">
        <v>2369</v>
      </c>
      <c r="D1239" s="40" t="s">
        <v>2233</v>
      </c>
      <c r="E1239" s="40" t="s">
        <v>2233</v>
      </c>
      <c r="F1239" s="40">
        <v>1</v>
      </c>
      <c r="G1239" s="40"/>
      <c r="H1239" s="40" t="s">
        <v>2234</v>
      </c>
      <c r="I1239" s="40"/>
      <c r="J1239" s="40" t="s">
        <v>195</v>
      </c>
      <c r="K1239" s="40" t="s">
        <v>195</v>
      </c>
      <c r="L1239" s="40" t="s">
        <v>97</v>
      </c>
    </row>
    <row r="1240" spans="1:12" x14ac:dyDescent="0.25">
      <c r="A1240" s="40" t="s">
        <v>47</v>
      </c>
      <c r="B1240" s="40" t="s">
        <v>523</v>
      </c>
      <c r="C1240" s="40" t="s">
        <v>2370</v>
      </c>
      <c r="D1240" s="40" t="s">
        <v>2371</v>
      </c>
      <c r="E1240" s="40" t="s">
        <v>2371</v>
      </c>
      <c r="F1240" s="40">
        <v>1</v>
      </c>
      <c r="G1240" s="40"/>
      <c r="H1240" s="40" t="s">
        <v>2234</v>
      </c>
      <c r="I1240" s="40"/>
      <c r="J1240" s="40" t="s">
        <v>195</v>
      </c>
      <c r="K1240" s="40" t="s">
        <v>195</v>
      </c>
      <c r="L1240" s="40" t="s">
        <v>97</v>
      </c>
    </row>
    <row r="1241" spans="1:12" x14ac:dyDescent="0.25">
      <c r="A1241" s="40" t="s">
        <v>47</v>
      </c>
      <c r="B1241" s="40" t="s">
        <v>527</v>
      </c>
      <c r="C1241" s="40" t="s">
        <v>2372</v>
      </c>
      <c r="D1241" s="40" t="s">
        <v>2233</v>
      </c>
      <c r="E1241" s="40" t="s">
        <v>2233</v>
      </c>
      <c r="F1241" s="40">
        <v>1</v>
      </c>
      <c r="G1241" s="40"/>
      <c r="H1241" s="40" t="s">
        <v>2234</v>
      </c>
      <c r="I1241" s="40"/>
      <c r="J1241" s="40" t="s">
        <v>195</v>
      </c>
      <c r="K1241" s="40" t="s">
        <v>195</v>
      </c>
      <c r="L1241" s="40" t="s">
        <v>97</v>
      </c>
    </row>
    <row r="1242" spans="1:12" x14ac:dyDescent="0.25">
      <c r="A1242" s="40" t="s">
        <v>47</v>
      </c>
      <c r="B1242" s="40" t="s">
        <v>529</v>
      </c>
      <c r="C1242" s="40" t="s">
        <v>2373</v>
      </c>
      <c r="D1242" s="40" t="s">
        <v>2233</v>
      </c>
      <c r="E1242" s="40" t="s">
        <v>2233</v>
      </c>
      <c r="F1242" s="40">
        <v>1</v>
      </c>
      <c r="G1242" s="40"/>
      <c r="H1242" s="40" t="s">
        <v>2234</v>
      </c>
      <c r="I1242" s="40"/>
      <c r="J1242" s="40" t="s">
        <v>195</v>
      </c>
      <c r="K1242" s="40" t="s">
        <v>195</v>
      </c>
      <c r="L1242" s="40" t="s">
        <v>97</v>
      </c>
    </row>
    <row r="1243" spans="1:12" x14ac:dyDescent="0.25">
      <c r="A1243" s="40" t="s">
        <v>47</v>
      </c>
      <c r="B1243" s="40" t="s">
        <v>531</v>
      </c>
      <c r="C1243" s="40" t="s">
        <v>2374</v>
      </c>
      <c r="D1243" s="40" t="s">
        <v>2371</v>
      </c>
      <c r="E1243" s="40" t="s">
        <v>2371</v>
      </c>
      <c r="F1243" s="40">
        <v>1</v>
      </c>
      <c r="G1243" s="40"/>
      <c r="H1243" s="40" t="s">
        <v>2234</v>
      </c>
      <c r="I1243" s="40"/>
      <c r="J1243" s="40" t="s">
        <v>195</v>
      </c>
      <c r="K1243" s="40" t="s">
        <v>195</v>
      </c>
      <c r="L1243" s="40" t="s">
        <v>97</v>
      </c>
    </row>
    <row r="1244" spans="1:12" x14ac:dyDescent="0.25">
      <c r="A1244" s="40" t="s">
        <v>47</v>
      </c>
      <c r="B1244" s="40" t="s">
        <v>535</v>
      </c>
      <c r="C1244" s="40" t="s">
        <v>2375</v>
      </c>
      <c r="D1244" s="40" t="s">
        <v>2233</v>
      </c>
      <c r="E1244" s="40" t="s">
        <v>2233</v>
      </c>
      <c r="F1244" s="40">
        <v>1</v>
      </c>
      <c r="G1244" s="40"/>
      <c r="H1244" s="40" t="s">
        <v>2234</v>
      </c>
      <c r="I1244" s="40"/>
      <c r="J1244" s="40" t="s">
        <v>195</v>
      </c>
      <c r="K1244" s="40" t="s">
        <v>195</v>
      </c>
      <c r="L1244" s="40" t="s">
        <v>97</v>
      </c>
    </row>
    <row r="1245" spans="1:12" x14ac:dyDescent="0.25">
      <c r="A1245" s="40" t="s">
        <v>47</v>
      </c>
      <c r="B1245" s="40" t="s">
        <v>537</v>
      </c>
      <c r="C1245" s="40" t="s">
        <v>2376</v>
      </c>
      <c r="D1245" s="40" t="s">
        <v>2233</v>
      </c>
      <c r="E1245" s="40" t="s">
        <v>2233</v>
      </c>
      <c r="F1245" s="40">
        <v>1</v>
      </c>
      <c r="G1245" s="40"/>
      <c r="H1245" s="40" t="s">
        <v>2234</v>
      </c>
      <c r="I1245" s="40"/>
      <c r="J1245" s="40" t="s">
        <v>195</v>
      </c>
      <c r="K1245" s="40" t="s">
        <v>195</v>
      </c>
      <c r="L1245" s="40" t="s">
        <v>97</v>
      </c>
    </row>
    <row r="1246" spans="1:12" x14ac:dyDescent="0.25">
      <c r="A1246" s="40" t="s">
        <v>47</v>
      </c>
      <c r="B1246" s="40" t="s">
        <v>540</v>
      </c>
      <c r="C1246" s="40" t="s">
        <v>2377</v>
      </c>
      <c r="D1246" s="40" t="s">
        <v>2371</v>
      </c>
      <c r="E1246" s="40" t="s">
        <v>2371</v>
      </c>
      <c r="F1246" s="40">
        <v>1</v>
      </c>
      <c r="G1246" s="40"/>
      <c r="H1246" s="40" t="s">
        <v>2234</v>
      </c>
      <c r="I1246" s="40"/>
      <c r="J1246" s="40" t="s">
        <v>195</v>
      </c>
      <c r="K1246" s="40" t="s">
        <v>195</v>
      </c>
      <c r="L1246" s="40" t="s">
        <v>97</v>
      </c>
    </row>
    <row r="1247" spans="1:12" x14ac:dyDescent="0.25">
      <c r="A1247" s="40" t="s">
        <v>47</v>
      </c>
      <c r="B1247" s="40" t="s">
        <v>544</v>
      </c>
      <c r="C1247" s="40" t="s">
        <v>2378</v>
      </c>
      <c r="D1247" s="40" t="s">
        <v>2233</v>
      </c>
      <c r="E1247" s="40" t="s">
        <v>2233</v>
      </c>
      <c r="F1247" s="40">
        <v>1</v>
      </c>
      <c r="G1247" s="40"/>
      <c r="H1247" s="40" t="s">
        <v>2234</v>
      </c>
      <c r="I1247" s="40"/>
      <c r="J1247" s="40" t="s">
        <v>195</v>
      </c>
      <c r="K1247" s="40" t="s">
        <v>195</v>
      </c>
      <c r="L1247" s="40" t="s">
        <v>97</v>
      </c>
    </row>
    <row r="1248" spans="1:12" x14ac:dyDescent="0.25">
      <c r="A1248" s="40" t="s">
        <v>47</v>
      </c>
      <c r="B1248" s="40" t="s">
        <v>1337</v>
      </c>
      <c r="C1248" s="40" t="s">
        <v>2379</v>
      </c>
      <c r="D1248" s="40" t="s">
        <v>2233</v>
      </c>
      <c r="E1248" s="40" t="s">
        <v>2233</v>
      </c>
      <c r="F1248" s="40">
        <v>1</v>
      </c>
      <c r="G1248" s="40"/>
      <c r="H1248" s="40" t="s">
        <v>2234</v>
      </c>
      <c r="I1248" s="40"/>
      <c r="J1248" s="40" t="s">
        <v>195</v>
      </c>
      <c r="K1248" s="40" t="s">
        <v>195</v>
      </c>
      <c r="L1248" s="40" t="s">
        <v>97</v>
      </c>
    </row>
    <row r="1249" spans="1:12" x14ac:dyDescent="0.25">
      <c r="A1249" s="40" t="s">
        <v>47</v>
      </c>
      <c r="B1249" s="40" t="s">
        <v>548</v>
      </c>
      <c r="C1249" s="40" t="s">
        <v>2380</v>
      </c>
      <c r="D1249" s="40" t="s">
        <v>2371</v>
      </c>
      <c r="E1249" s="40" t="s">
        <v>2371</v>
      </c>
      <c r="F1249" s="40">
        <v>1</v>
      </c>
      <c r="G1249" s="40"/>
      <c r="H1249" s="40" t="s">
        <v>2234</v>
      </c>
      <c r="I1249" s="40"/>
      <c r="J1249" s="40" t="s">
        <v>195</v>
      </c>
      <c r="K1249" s="40" t="s">
        <v>195</v>
      </c>
      <c r="L1249" s="40" t="s">
        <v>97</v>
      </c>
    </row>
    <row r="1250" spans="1:12" x14ac:dyDescent="0.25">
      <c r="A1250" s="40" t="s">
        <v>47</v>
      </c>
      <c r="B1250" s="40" t="s">
        <v>577</v>
      </c>
      <c r="C1250" s="40" t="s">
        <v>2381</v>
      </c>
      <c r="D1250" s="40" t="s">
        <v>2233</v>
      </c>
      <c r="E1250" s="40" t="s">
        <v>2233</v>
      </c>
      <c r="F1250" s="40">
        <v>1</v>
      </c>
      <c r="G1250" s="40"/>
      <c r="H1250" s="40" t="s">
        <v>2234</v>
      </c>
      <c r="I1250" s="40"/>
      <c r="J1250" s="40" t="s">
        <v>195</v>
      </c>
      <c r="K1250" s="40" t="s">
        <v>195</v>
      </c>
      <c r="L1250" s="40" t="s">
        <v>97</v>
      </c>
    </row>
    <row r="1251" spans="1:12" x14ac:dyDescent="0.25">
      <c r="A1251" s="40" t="s">
        <v>47</v>
      </c>
      <c r="B1251" s="40" t="s">
        <v>2279</v>
      </c>
      <c r="C1251" s="40" t="s">
        <v>2382</v>
      </c>
      <c r="D1251" s="40" t="s">
        <v>2233</v>
      </c>
      <c r="E1251" s="40" t="s">
        <v>2233</v>
      </c>
      <c r="F1251" s="40">
        <v>1</v>
      </c>
      <c r="G1251" s="40"/>
      <c r="H1251" s="40" t="s">
        <v>2234</v>
      </c>
      <c r="I1251" s="40"/>
      <c r="J1251" s="40" t="s">
        <v>195</v>
      </c>
      <c r="K1251" s="40" t="s">
        <v>195</v>
      </c>
      <c r="L1251" s="40" t="s">
        <v>97</v>
      </c>
    </row>
    <row r="1252" spans="1:12" x14ac:dyDescent="0.25">
      <c r="A1252" s="40" t="s">
        <v>47</v>
      </c>
      <c r="B1252" s="40" t="s">
        <v>858</v>
      </c>
      <c r="C1252" s="40" t="s">
        <v>2383</v>
      </c>
      <c r="D1252" s="40" t="s">
        <v>2283</v>
      </c>
      <c r="E1252" s="40" t="s">
        <v>2283</v>
      </c>
      <c r="F1252" s="40">
        <v>1</v>
      </c>
      <c r="G1252" s="40"/>
      <c r="H1252" s="40" t="s">
        <v>97</v>
      </c>
      <c r="I1252" s="40"/>
      <c r="J1252" s="40" t="s">
        <v>195</v>
      </c>
      <c r="K1252" s="40" t="s">
        <v>89</v>
      </c>
      <c r="L1252" s="40" t="s">
        <v>97</v>
      </c>
    </row>
    <row r="1253" spans="1:12" x14ac:dyDescent="0.25">
      <c r="A1253" s="40" t="s">
        <v>47</v>
      </c>
      <c r="B1253" s="40" t="s">
        <v>860</v>
      </c>
      <c r="C1253" s="40" t="s">
        <v>2384</v>
      </c>
      <c r="D1253" s="40" t="s">
        <v>2233</v>
      </c>
      <c r="E1253" s="40" t="s">
        <v>2233</v>
      </c>
      <c r="F1253" s="40">
        <v>1</v>
      </c>
      <c r="G1253" s="40"/>
      <c r="H1253" s="40" t="s">
        <v>97</v>
      </c>
      <c r="I1253" s="40"/>
      <c r="J1253" s="40" t="s">
        <v>195</v>
      </c>
      <c r="K1253" s="40" t="s">
        <v>89</v>
      </c>
      <c r="L1253" s="40" t="s">
        <v>97</v>
      </c>
    </row>
    <row r="1254" spans="1:12" x14ac:dyDescent="0.25">
      <c r="A1254" s="40" t="s">
        <v>47</v>
      </c>
      <c r="B1254" s="40" t="s">
        <v>867</v>
      </c>
      <c r="C1254" s="40" t="s">
        <v>2385</v>
      </c>
      <c r="D1254" s="40" t="s">
        <v>2341</v>
      </c>
      <c r="E1254" s="40" t="s">
        <v>2341</v>
      </c>
      <c r="F1254" s="40">
        <v>1</v>
      </c>
      <c r="G1254" s="40"/>
      <c r="H1254" s="40" t="s">
        <v>97</v>
      </c>
      <c r="I1254" s="40"/>
      <c r="J1254" s="40" t="s">
        <v>195</v>
      </c>
      <c r="K1254" s="40" t="s">
        <v>195</v>
      </c>
      <c r="L1254" s="40" t="s">
        <v>97</v>
      </c>
    </row>
    <row r="1255" spans="1:12" x14ac:dyDescent="0.25">
      <c r="A1255" s="40" t="s">
        <v>47</v>
      </c>
      <c r="B1255" s="40" t="s">
        <v>869</v>
      </c>
      <c r="C1255" s="40" t="s">
        <v>2386</v>
      </c>
      <c r="D1255" s="40" t="s">
        <v>2343</v>
      </c>
      <c r="E1255" s="40" t="s">
        <v>2343</v>
      </c>
      <c r="F1255" s="40">
        <v>1</v>
      </c>
      <c r="G1255" s="40"/>
      <c r="H1255" s="40" t="s">
        <v>97</v>
      </c>
      <c r="I1255" s="40"/>
      <c r="J1255" s="40" t="s">
        <v>195</v>
      </c>
      <c r="K1255" s="40" t="s">
        <v>195</v>
      </c>
      <c r="L1255" s="40" t="s">
        <v>97</v>
      </c>
    </row>
    <row r="1256" spans="1:12" x14ac:dyDescent="0.25">
      <c r="A1256" s="40" t="s">
        <v>47</v>
      </c>
      <c r="B1256" s="40" t="s">
        <v>871</v>
      </c>
      <c r="C1256" s="40" t="s">
        <v>2387</v>
      </c>
      <c r="D1256" s="40" t="s">
        <v>2281</v>
      </c>
      <c r="E1256" s="40" t="s">
        <v>2281</v>
      </c>
      <c r="F1256" s="40">
        <v>1</v>
      </c>
      <c r="G1256" s="40"/>
      <c r="H1256" s="40" t="s">
        <v>97</v>
      </c>
      <c r="I1256" s="40"/>
      <c r="J1256" s="40" t="s">
        <v>195</v>
      </c>
      <c r="K1256" s="40" t="s">
        <v>195</v>
      </c>
      <c r="L1256" s="40" t="s">
        <v>97</v>
      </c>
    </row>
    <row r="1257" spans="1:12" x14ac:dyDescent="0.25">
      <c r="A1257" s="40" t="s">
        <v>47</v>
      </c>
      <c r="B1257" s="40" t="s">
        <v>875</v>
      </c>
      <c r="C1257" s="40" t="s">
        <v>2388</v>
      </c>
      <c r="D1257" s="40" t="s">
        <v>2233</v>
      </c>
      <c r="E1257" s="40" t="s">
        <v>2233</v>
      </c>
      <c r="F1257" s="40">
        <v>1</v>
      </c>
      <c r="G1257" s="40"/>
      <c r="H1257" s="40" t="s">
        <v>97</v>
      </c>
      <c r="I1257" s="40"/>
      <c r="J1257" s="40" t="s">
        <v>195</v>
      </c>
      <c r="K1257" s="40" t="s">
        <v>195</v>
      </c>
      <c r="L1257" s="40" t="s">
        <v>97</v>
      </c>
    </row>
    <row r="1258" spans="1:12" x14ac:dyDescent="0.25">
      <c r="A1258" s="40" t="s">
        <v>47</v>
      </c>
      <c r="B1258" s="40" t="s">
        <v>2346</v>
      </c>
      <c r="C1258" s="40" t="s">
        <v>2389</v>
      </c>
      <c r="D1258" s="40" t="s">
        <v>2233</v>
      </c>
      <c r="E1258" s="40" t="s">
        <v>2233</v>
      </c>
      <c r="F1258" s="40">
        <v>1</v>
      </c>
      <c r="G1258" s="40"/>
      <c r="H1258" s="40" t="s">
        <v>97</v>
      </c>
      <c r="I1258" s="40"/>
      <c r="J1258" s="40" t="s">
        <v>195</v>
      </c>
      <c r="K1258" s="40" t="s">
        <v>195</v>
      </c>
      <c r="L1258" s="40" t="s">
        <v>97</v>
      </c>
    </row>
    <row r="1259" spans="1:12" x14ac:dyDescent="0.25">
      <c r="A1259" s="40" t="s">
        <v>47</v>
      </c>
      <c r="B1259" s="40" t="s">
        <v>2348</v>
      </c>
      <c r="C1259" s="40" t="s">
        <v>2390</v>
      </c>
      <c r="D1259" s="40" t="s">
        <v>2281</v>
      </c>
      <c r="E1259" s="40" t="s">
        <v>2281</v>
      </c>
      <c r="F1259" s="40">
        <v>1</v>
      </c>
      <c r="G1259" s="40"/>
      <c r="H1259" s="40" t="s">
        <v>97</v>
      </c>
      <c r="I1259" s="40"/>
      <c r="J1259" s="40" t="s">
        <v>195</v>
      </c>
      <c r="K1259" s="40" t="s">
        <v>195</v>
      </c>
      <c r="L1259" s="40" t="s">
        <v>97</v>
      </c>
    </row>
    <row r="1260" spans="1:12" x14ac:dyDescent="0.25">
      <c r="A1260" s="40" t="s">
        <v>47</v>
      </c>
      <c r="B1260" s="40" t="s">
        <v>2350</v>
      </c>
      <c r="C1260" s="40" t="s">
        <v>2391</v>
      </c>
      <c r="D1260" s="40" t="s">
        <v>2233</v>
      </c>
      <c r="E1260" s="40" t="s">
        <v>2233</v>
      </c>
      <c r="F1260" s="40">
        <v>1</v>
      </c>
      <c r="G1260" s="40"/>
      <c r="H1260" s="40" t="s">
        <v>97</v>
      </c>
      <c r="I1260" s="40"/>
      <c r="J1260" s="40" t="s">
        <v>195</v>
      </c>
      <c r="K1260" s="40" t="s">
        <v>82</v>
      </c>
      <c r="L1260" s="40" t="s">
        <v>97</v>
      </c>
    </row>
    <row r="1261" spans="1:12" x14ac:dyDescent="0.25">
      <c r="A1261" s="40" t="s">
        <v>37</v>
      </c>
      <c r="B1261" s="40" t="s">
        <v>496</v>
      </c>
      <c r="C1261" s="40" t="s">
        <v>2392</v>
      </c>
      <c r="D1261" s="40" t="s">
        <v>2233</v>
      </c>
      <c r="E1261" s="40" t="s">
        <v>2233</v>
      </c>
      <c r="F1261" s="40">
        <v>1</v>
      </c>
      <c r="G1261" s="40"/>
      <c r="H1261" s="40" t="s">
        <v>2234</v>
      </c>
      <c r="I1261" s="40"/>
      <c r="J1261" s="40" t="s">
        <v>195</v>
      </c>
      <c r="K1261" s="40" t="s">
        <v>195</v>
      </c>
      <c r="L1261" s="40" t="s">
        <v>97</v>
      </c>
    </row>
    <row r="1262" spans="1:12" x14ac:dyDescent="0.25">
      <c r="A1262" s="40" t="s">
        <v>37</v>
      </c>
      <c r="B1262" s="40" t="s">
        <v>1304</v>
      </c>
      <c r="C1262" s="40" t="s">
        <v>2393</v>
      </c>
      <c r="D1262" s="40" t="s">
        <v>2394</v>
      </c>
      <c r="E1262" s="40" t="s">
        <v>2394</v>
      </c>
      <c r="F1262" s="40">
        <v>1</v>
      </c>
      <c r="G1262" s="40"/>
      <c r="H1262" s="40" t="s">
        <v>2234</v>
      </c>
      <c r="I1262" s="40"/>
      <c r="J1262" s="40" t="s">
        <v>195</v>
      </c>
      <c r="K1262" s="40" t="s">
        <v>195</v>
      </c>
      <c r="L1262" s="40" t="s">
        <v>97</v>
      </c>
    </row>
    <row r="1263" spans="1:12" x14ac:dyDescent="0.25">
      <c r="A1263" s="40" t="s">
        <v>37</v>
      </c>
      <c r="B1263" s="40" t="s">
        <v>498</v>
      </c>
      <c r="C1263" s="40" t="s">
        <v>2395</v>
      </c>
      <c r="D1263" s="40" t="s">
        <v>483</v>
      </c>
      <c r="E1263" s="40" t="s">
        <v>483</v>
      </c>
      <c r="F1263" s="40">
        <v>1</v>
      </c>
      <c r="G1263" s="40"/>
      <c r="H1263" s="40" t="s">
        <v>2234</v>
      </c>
      <c r="I1263" s="40"/>
      <c r="J1263" s="40" t="s">
        <v>195</v>
      </c>
      <c r="K1263" s="40" t="s">
        <v>195</v>
      </c>
      <c r="L1263" s="40" t="s">
        <v>97</v>
      </c>
    </row>
    <row r="1264" spans="1:12" x14ac:dyDescent="0.25">
      <c r="A1264" s="40" t="s">
        <v>37</v>
      </c>
      <c r="B1264" s="40" t="s">
        <v>500</v>
      </c>
      <c r="C1264" s="40" t="s">
        <v>2396</v>
      </c>
      <c r="D1264" s="40" t="s">
        <v>2397</v>
      </c>
      <c r="E1264" s="40" t="s">
        <v>2398</v>
      </c>
      <c r="F1264" s="40">
        <v>0</v>
      </c>
      <c r="G1264" s="40"/>
      <c r="H1264" s="40" t="s">
        <v>97</v>
      </c>
      <c r="I1264" s="40"/>
      <c r="J1264" s="40" t="s">
        <v>195</v>
      </c>
      <c r="K1264" s="40" t="s">
        <v>195</v>
      </c>
      <c r="L1264" s="40" t="s">
        <v>97</v>
      </c>
    </row>
    <row r="1265" spans="1:12" x14ac:dyDescent="0.25">
      <c r="A1265" s="40" t="s">
        <v>37</v>
      </c>
      <c r="B1265" s="40" t="s">
        <v>2239</v>
      </c>
      <c r="C1265" s="40" t="s">
        <v>2399</v>
      </c>
      <c r="D1265" s="40" t="s">
        <v>2400</v>
      </c>
      <c r="E1265" s="40" t="s">
        <v>2401</v>
      </c>
      <c r="F1265" s="40">
        <v>0</v>
      </c>
      <c r="G1265" s="40"/>
      <c r="H1265" s="40" t="s">
        <v>97</v>
      </c>
      <c r="I1265" s="40"/>
      <c r="J1265" s="40" t="s">
        <v>195</v>
      </c>
      <c r="K1265" s="40" t="s">
        <v>195</v>
      </c>
      <c r="L1265" s="40" t="s">
        <v>97</v>
      </c>
    </row>
    <row r="1266" spans="1:12" x14ac:dyDescent="0.25">
      <c r="A1266" s="40" t="s">
        <v>37</v>
      </c>
      <c r="B1266" s="40" t="s">
        <v>502</v>
      </c>
      <c r="C1266" s="40" t="s">
        <v>2402</v>
      </c>
      <c r="D1266" s="40" t="s">
        <v>483</v>
      </c>
      <c r="E1266" s="40" t="s">
        <v>483</v>
      </c>
      <c r="F1266" s="40">
        <v>1</v>
      </c>
      <c r="G1266" s="40"/>
      <c r="H1266" s="40" t="s">
        <v>2234</v>
      </c>
      <c r="I1266" s="40"/>
      <c r="J1266" s="40" t="s">
        <v>195</v>
      </c>
      <c r="K1266" s="40" t="s">
        <v>195</v>
      </c>
      <c r="L1266" s="40" t="s">
        <v>97</v>
      </c>
    </row>
    <row r="1267" spans="1:12" x14ac:dyDescent="0.25">
      <c r="A1267" s="40" t="s">
        <v>37</v>
      </c>
      <c r="B1267" s="40" t="s">
        <v>506</v>
      </c>
      <c r="C1267" s="40" t="s">
        <v>2403</v>
      </c>
      <c r="D1267" s="40" t="s">
        <v>2397</v>
      </c>
      <c r="E1267" s="40" t="s">
        <v>2398</v>
      </c>
      <c r="F1267" s="40">
        <v>0</v>
      </c>
      <c r="G1267" s="40"/>
      <c r="H1267" s="40" t="s">
        <v>97</v>
      </c>
      <c r="I1267" s="40"/>
      <c r="J1267" s="40" t="s">
        <v>195</v>
      </c>
      <c r="K1267" s="40" t="s">
        <v>195</v>
      </c>
      <c r="L1267" s="40" t="s">
        <v>97</v>
      </c>
    </row>
    <row r="1268" spans="1:12" x14ac:dyDescent="0.25">
      <c r="A1268" s="40" t="s">
        <v>37</v>
      </c>
      <c r="B1268" s="40" t="s">
        <v>510</v>
      </c>
      <c r="C1268" s="40" t="s">
        <v>2404</v>
      </c>
      <c r="D1268" s="40" t="s">
        <v>2400</v>
      </c>
      <c r="E1268" s="40" t="s">
        <v>2401</v>
      </c>
      <c r="F1268" s="40">
        <v>0</v>
      </c>
      <c r="G1268" s="40"/>
      <c r="H1268" s="40" t="s">
        <v>97</v>
      </c>
      <c r="I1268" s="40"/>
      <c r="J1268" s="40" t="s">
        <v>195</v>
      </c>
      <c r="K1268" s="40" t="s">
        <v>195</v>
      </c>
      <c r="L1268" s="40" t="s">
        <v>97</v>
      </c>
    </row>
    <row r="1269" spans="1:12" x14ac:dyDescent="0.25">
      <c r="A1269" s="40" t="s">
        <v>37</v>
      </c>
      <c r="B1269" s="40" t="s">
        <v>518</v>
      </c>
      <c r="C1269" s="40" t="s">
        <v>2405</v>
      </c>
      <c r="D1269" s="40" t="s">
        <v>483</v>
      </c>
      <c r="E1269" s="40" t="s">
        <v>483</v>
      </c>
      <c r="F1269" s="40">
        <v>1</v>
      </c>
      <c r="G1269" s="40"/>
      <c r="H1269" s="40" t="s">
        <v>2234</v>
      </c>
      <c r="I1269" s="40"/>
      <c r="J1269" s="40" t="s">
        <v>195</v>
      </c>
      <c r="K1269" s="40" t="s">
        <v>195</v>
      </c>
      <c r="L1269" s="40" t="s">
        <v>97</v>
      </c>
    </row>
    <row r="1270" spans="1:12" x14ac:dyDescent="0.25">
      <c r="A1270" s="40" t="s">
        <v>37</v>
      </c>
      <c r="B1270" s="40" t="s">
        <v>521</v>
      </c>
      <c r="C1270" s="40" t="s">
        <v>2406</v>
      </c>
      <c r="D1270" s="40" t="s">
        <v>2397</v>
      </c>
      <c r="E1270" s="40" t="s">
        <v>2398</v>
      </c>
      <c r="F1270" s="40">
        <v>0</v>
      </c>
      <c r="G1270" s="40"/>
      <c r="H1270" s="40" t="s">
        <v>97</v>
      </c>
      <c r="I1270" s="40"/>
      <c r="J1270" s="40" t="s">
        <v>195</v>
      </c>
      <c r="K1270" s="40" t="s">
        <v>195</v>
      </c>
      <c r="L1270" s="40" t="s">
        <v>97</v>
      </c>
    </row>
    <row r="1271" spans="1:12" x14ac:dyDescent="0.25">
      <c r="A1271" s="40" t="s">
        <v>37</v>
      </c>
      <c r="B1271" s="40" t="s">
        <v>523</v>
      </c>
      <c r="C1271" s="40" t="s">
        <v>2407</v>
      </c>
      <c r="D1271" s="40" t="s">
        <v>2400</v>
      </c>
      <c r="E1271" s="40" t="s">
        <v>2401</v>
      </c>
      <c r="F1271" s="40">
        <v>0</v>
      </c>
      <c r="G1271" s="40"/>
      <c r="H1271" s="40" t="s">
        <v>97</v>
      </c>
      <c r="I1271" s="40"/>
      <c r="J1271" s="40" t="s">
        <v>195</v>
      </c>
      <c r="K1271" s="40" t="s">
        <v>195</v>
      </c>
      <c r="L1271" s="40" t="s">
        <v>97</v>
      </c>
    </row>
    <row r="1272" spans="1:12" x14ac:dyDescent="0.25">
      <c r="A1272" s="40" t="s">
        <v>37</v>
      </c>
      <c r="B1272" s="40" t="s">
        <v>527</v>
      </c>
      <c r="C1272" s="40" t="s">
        <v>2408</v>
      </c>
      <c r="D1272" s="40" t="s">
        <v>483</v>
      </c>
      <c r="E1272" s="40" t="s">
        <v>483</v>
      </c>
      <c r="F1272" s="40">
        <v>1</v>
      </c>
      <c r="G1272" s="40"/>
      <c r="H1272" s="40" t="s">
        <v>2234</v>
      </c>
      <c r="I1272" s="40"/>
      <c r="J1272" s="40" t="s">
        <v>195</v>
      </c>
      <c r="K1272" s="40" t="s">
        <v>195</v>
      </c>
      <c r="L1272" s="40" t="s">
        <v>97</v>
      </c>
    </row>
    <row r="1273" spans="1:12" x14ac:dyDescent="0.25">
      <c r="A1273" s="40" t="s">
        <v>37</v>
      </c>
      <c r="B1273" s="40" t="s">
        <v>529</v>
      </c>
      <c r="C1273" s="40" t="s">
        <v>2409</v>
      </c>
      <c r="D1273" s="40" t="s">
        <v>2397</v>
      </c>
      <c r="E1273" s="40" t="s">
        <v>2398</v>
      </c>
      <c r="F1273" s="40">
        <v>0</v>
      </c>
      <c r="G1273" s="40"/>
      <c r="H1273" s="40" t="s">
        <v>97</v>
      </c>
      <c r="I1273" s="40"/>
      <c r="J1273" s="40" t="s">
        <v>195</v>
      </c>
      <c r="K1273" s="40" t="s">
        <v>195</v>
      </c>
      <c r="L1273" s="40" t="s">
        <v>97</v>
      </c>
    </row>
    <row r="1274" spans="1:12" x14ac:dyDescent="0.25">
      <c r="A1274" s="40" t="s">
        <v>37</v>
      </c>
      <c r="B1274" s="40" t="s">
        <v>531</v>
      </c>
      <c r="C1274" s="40" t="s">
        <v>2410</v>
      </c>
      <c r="D1274" s="40" t="s">
        <v>2400</v>
      </c>
      <c r="E1274" s="40" t="s">
        <v>2401</v>
      </c>
      <c r="F1274" s="40">
        <v>0</v>
      </c>
      <c r="G1274" s="40"/>
      <c r="H1274" s="40" t="s">
        <v>97</v>
      </c>
      <c r="I1274" s="40"/>
      <c r="J1274" s="40" t="s">
        <v>195</v>
      </c>
      <c r="K1274" s="40" t="s">
        <v>195</v>
      </c>
      <c r="L1274" s="40" t="s">
        <v>97</v>
      </c>
    </row>
    <row r="1275" spans="1:12" x14ac:dyDescent="0.25">
      <c r="A1275" s="40" t="s">
        <v>37</v>
      </c>
      <c r="B1275" s="40" t="s">
        <v>550</v>
      </c>
      <c r="C1275" s="40" t="s">
        <v>2411</v>
      </c>
      <c r="D1275" s="40" t="s">
        <v>2281</v>
      </c>
      <c r="E1275" s="40" t="s">
        <v>2412</v>
      </c>
      <c r="F1275" s="40">
        <v>0</v>
      </c>
      <c r="G1275" s="40"/>
      <c r="H1275" s="40" t="s">
        <v>2234</v>
      </c>
      <c r="I1275" s="40"/>
      <c r="J1275" s="40" t="s">
        <v>195</v>
      </c>
      <c r="K1275" s="40" t="s">
        <v>195</v>
      </c>
      <c r="L1275" s="40" t="s">
        <v>97</v>
      </c>
    </row>
    <row r="1276" spans="1:12" x14ac:dyDescent="0.25">
      <c r="A1276" s="40" t="s">
        <v>37</v>
      </c>
      <c r="B1276" s="40" t="s">
        <v>553</v>
      </c>
      <c r="C1276" s="40" t="s">
        <v>2413</v>
      </c>
      <c r="D1276" s="40" t="s">
        <v>2234</v>
      </c>
      <c r="E1276" s="40" t="s">
        <v>2398</v>
      </c>
      <c r="F1276" s="40">
        <v>0</v>
      </c>
      <c r="G1276" s="40"/>
      <c r="H1276" s="40" t="s">
        <v>2234</v>
      </c>
      <c r="I1276" s="40"/>
      <c r="J1276" s="40" t="s">
        <v>195</v>
      </c>
      <c r="K1276" s="40" t="s">
        <v>195</v>
      </c>
      <c r="L1276" s="40" t="s">
        <v>97</v>
      </c>
    </row>
    <row r="1277" spans="1:12" x14ac:dyDescent="0.25">
      <c r="A1277" s="40" t="s">
        <v>37</v>
      </c>
      <c r="B1277" s="40" t="s">
        <v>555</v>
      </c>
      <c r="C1277" s="40" t="s">
        <v>2414</v>
      </c>
      <c r="D1277" s="40" t="s">
        <v>2234</v>
      </c>
      <c r="E1277" s="40" t="s">
        <v>2401</v>
      </c>
      <c r="F1277" s="40">
        <v>0</v>
      </c>
      <c r="G1277" s="40"/>
      <c r="H1277" s="40" t="s">
        <v>2234</v>
      </c>
      <c r="I1277" s="40"/>
      <c r="J1277" s="40" t="s">
        <v>195</v>
      </c>
      <c r="K1277" s="40" t="s">
        <v>195</v>
      </c>
      <c r="L1277" s="40" t="s">
        <v>97</v>
      </c>
    </row>
    <row r="1278" spans="1:12" x14ac:dyDescent="0.25">
      <c r="A1278" s="40" t="s">
        <v>37</v>
      </c>
      <c r="B1278" s="40" t="s">
        <v>561</v>
      </c>
      <c r="C1278" s="40" t="s">
        <v>2415</v>
      </c>
      <c r="D1278" s="40" t="s">
        <v>2281</v>
      </c>
      <c r="E1278" s="40" t="s">
        <v>2412</v>
      </c>
      <c r="F1278" s="40">
        <v>0</v>
      </c>
      <c r="G1278" s="40"/>
      <c r="H1278" s="40" t="s">
        <v>2234</v>
      </c>
      <c r="I1278" s="40"/>
      <c r="J1278" s="40" t="s">
        <v>195</v>
      </c>
      <c r="K1278" s="40" t="s">
        <v>195</v>
      </c>
      <c r="L1278" s="40" t="s">
        <v>97</v>
      </c>
    </row>
    <row r="1279" spans="1:12" x14ac:dyDescent="0.25">
      <c r="A1279" s="40" t="s">
        <v>37</v>
      </c>
      <c r="B1279" s="40" t="s">
        <v>2416</v>
      </c>
      <c r="C1279" s="40" t="s">
        <v>2417</v>
      </c>
      <c r="D1279" s="40" t="s">
        <v>2234</v>
      </c>
      <c r="E1279" s="40" t="s">
        <v>2398</v>
      </c>
      <c r="F1279" s="40">
        <v>0</v>
      </c>
      <c r="G1279" s="40"/>
      <c r="H1279" s="40" t="s">
        <v>2234</v>
      </c>
      <c r="I1279" s="40"/>
      <c r="J1279" s="40" t="s">
        <v>195</v>
      </c>
      <c r="K1279" s="40" t="s">
        <v>195</v>
      </c>
      <c r="L1279" s="40" t="s">
        <v>97</v>
      </c>
    </row>
    <row r="1280" spans="1:12" x14ac:dyDescent="0.25">
      <c r="A1280" s="40" t="s">
        <v>37</v>
      </c>
      <c r="B1280" s="40" t="s">
        <v>1345</v>
      </c>
      <c r="C1280" s="40" t="s">
        <v>2418</v>
      </c>
      <c r="D1280" s="40" t="s">
        <v>2234</v>
      </c>
      <c r="E1280" s="40" t="s">
        <v>2401</v>
      </c>
      <c r="F1280" s="40">
        <v>0</v>
      </c>
      <c r="G1280" s="40"/>
      <c r="H1280" s="40" t="s">
        <v>2234</v>
      </c>
      <c r="I1280" s="40"/>
      <c r="J1280" s="40" t="s">
        <v>195</v>
      </c>
      <c r="K1280" s="40" t="s">
        <v>195</v>
      </c>
      <c r="L1280" s="40" t="s">
        <v>97</v>
      </c>
    </row>
    <row r="1281" spans="1:12" x14ac:dyDescent="0.25">
      <c r="A1281" s="40" t="s">
        <v>37</v>
      </c>
      <c r="B1281" s="40" t="s">
        <v>1349</v>
      </c>
      <c r="C1281" s="40" t="s">
        <v>2419</v>
      </c>
      <c r="D1281" s="40" t="s">
        <v>2281</v>
      </c>
      <c r="E1281" s="40" t="s">
        <v>2412</v>
      </c>
      <c r="F1281" s="40">
        <v>0</v>
      </c>
      <c r="G1281" s="40"/>
      <c r="H1281" s="40" t="s">
        <v>2234</v>
      </c>
      <c r="I1281" s="40"/>
      <c r="J1281" s="40" t="s">
        <v>195</v>
      </c>
      <c r="K1281" s="40" t="s">
        <v>195</v>
      </c>
      <c r="L1281" s="40" t="s">
        <v>97</v>
      </c>
    </row>
    <row r="1282" spans="1:12" x14ac:dyDescent="0.25">
      <c r="A1282" s="40" t="s">
        <v>37</v>
      </c>
      <c r="B1282" s="40" t="s">
        <v>2252</v>
      </c>
      <c r="C1282" s="40" t="s">
        <v>2420</v>
      </c>
      <c r="D1282" s="40" t="s">
        <v>2234</v>
      </c>
      <c r="E1282" s="40" t="s">
        <v>2398</v>
      </c>
      <c r="F1282" s="40">
        <v>0</v>
      </c>
      <c r="G1282" s="40"/>
      <c r="H1282" s="40" t="s">
        <v>2234</v>
      </c>
      <c r="I1282" s="40"/>
      <c r="J1282" s="40" t="s">
        <v>195</v>
      </c>
      <c r="K1282" s="40" t="s">
        <v>195</v>
      </c>
      <c r="L1282" s="40" t="s">
        <v>97</v>
      </c>
    </row>
    <row r="1283" spans="1:12" x14ac:dyDescent="0.25">
      <c r="A1283" s="40" t="s">
        <v>37</v>
      </c>
      <c r="B1283" s="40" t="s">
        <v>2254</v>
      </c>
      <c r="C1283" s="40" t="s">
        <v>2421</v>
      </c>
      <c r="D1283" s="40" t="s">
        <v>2234</v>
      </c>
      <c r="E1283" s="40" t="s">
        <v>2401</v>
      </c>
      <c r="F1283" s="40">
        <v>0</v>
      </c>
      <c r="G1283" s="40"/>
      <c r="H1283" s="40" t="s">
        <v>2234</v>
      </c>
      <c r="I1283" s="40"/>
      <c r="J1283" s="40" t="s">
        <v>195</v>
      </c>
      <c r="K1283" s="40" t="s">
        <v>195</v>
      </c>
      <c r="L1283" s="40" t="s">
        <v>97</v>
      </c>
    </row>
    <row r="1284" spans="1:12" x14ac:dyDescent="0.25">
      <c r="A1284" s="40" t="s">
        <v>37</v>
      </c>
      <c r="B1284" s="40" t="s">
        <v>565</v>
      </c>
      <c r="C1284" s="40" t="s">
        <v>2422</v>
      </c>
      <c r="D1284" s="40" t="s">
        <v>2281</v>
      </c>
      <c r="E1284" s="40" t="s">
        <v>2412</v>
      </c>
      <c r="F1284" s="40">
        <v>0</v>
      </c>
      <c r="G1284" s="40"/>
      <c r="H1284" s="40" t="s">
        <v>2234</v>
      </c>
      <c r="I1284" s="40"/>
      <c r="J1284" s="40" t="s">
        <v>195</v>
      </c>
      <c r="K1284" s="40" t="s">
        <v>195</v>
      </c>
      <c r="L1284" s="40" t="s">
        <v>97</v>
      </c>
    </row>
    <row r="1285" spans="1:12" x14ac:dyDescent="0.25">
      <c r="A1285" s="40" t="s">
        <v>37</v>
      </c>
      <c r="B1285" s="40" t="s">
        <v>567</v>
      </c>
      <c r="C1285" s="40" t="s">
        <v>2423</v>
      </c>
      <c r="D1285" s="40" t="s">
        <v>2234</v>
      </c>
      <c r="E1285" s="40" t="s">
        <v>2398</v>
      </c>
      <c r="F1285" s="40">
        <v>0</v>
      </c>
      <c r="G1285" s="40"/>
      <c r="H1285" s="40" t="s">
        <v>2234</v>
      </c>
      <c r="I1285" s="40"/>
      <c r="J1285" s="40" t="s">
        <v>195</v>
      </c>
      <c r="K1285" s="40" t="s">
        <v>195</v>
      </c>
      <c r="L1285" s="40" t="s">
        <v>97</v>
      </c>
    </row>
    <row r="1286" spans="1:12" x14ac:dyDescent="0.25">
      <c r="A1286" s="40" t="s">
        <v>37</v>
      </c>
      <c r="B1286" s="40" t="s">
        <v>570</v>
      </c>
      <c r="C1286" s="40" t="s">
        <v>2424</v>
      </c>
      <c r="D1286" s="40" t="s">
        <v>2234</v>
      </c>
      <c r="E1286" s="40" t="s">
        <v>2401</v>
      </c>
      <c r="F1286" s="40">
        <v>0</v>
      </c>
      <c r="G1286" s="40"/>
      <c r="H1286" s="40" t="s">
        <v>2234</v>
      </c>
      <c r="I1286" s="40"/>
      <c r="J1286" s="40" t="s">
        <v>195</v>
      </c>
      <c r="K1286" s="40" t="s">
        <v>195</v>
      </c>
      <c r="L1286" s="40" t="s">
        <v>97</v>
      </c>
    </row>
    <row r="1287" spans="1:12" x14ac:dyDescent="0.25">
      <c r="A1287" s="40" t="s">
        <v>37</v>
      </c>
      <c r="B1287" s="40" t="s">
        <v>601</v>
      </c>
      <c r="C1287" s="40" t="s">
        <v>2425</v>
      </c>
      <c r="D1287" s="40" t="s">
        <v>2426</v>
      </c>
      <c r="E1287" s="40" t="s">
        <v>2427</v>
      </c>
      <c r="F1287" s="40">
        <v>0</v>
      </c>
      <c r="G1287" s="40"/>
      <c r="H1287" s="40" t="s">
        <v>2234</v>
      </c>
      <c r="I1287" s="40"/>
      <c r="J1287" s="40" t="s">
        <v>195</v>
      </c>
      <c r="K1287" s="40" t="s">
        <v>195</v>
      </c>
      <c r="L1287" s="40" t="s">
        <v>97</v>
      </c>
    </row>
    <row r="1288" spans="1:12" x14ac:dyDescent="0.25">
      <c r="A1288" s="40" t="s">
        <v>37</v>
      </c>
      <c r="B1288" s="40" t="s">
        <v>603</v>
      </c>
      <c r="C1288" s="40" t="s">
        <v>2428</v>
      </c>
      <c r="D1288" s="40" t="s">
        <v>2426</v>
      </c>
      <c r="E1288" s="40" t="s">
        <v>2427</v>
      </c>
      <c r="F1288" s="40">
        <v>0</v>
      </c>
      <c r="G1288" s="40"/>
      <c r="H1288" s="40" t="s">
        <v>2234</v>
      </c>
      <c r="I1288" s="40"/>
      <c r="J1288" s="40" t="s">
        <v>195</v>
      </c>
      <c r="K1288" s="40" t="s">
        <v>195</v>
      </c>
      <c r="L1288" s="40" t="s">
        <v>97</v>
      </c>
    </row>
    <row r="1289" spans="1:12" x14ac:dyDescent="0.25">
      <c r="A1289" s="40" t="s">
        <v>37</v>
      </c>
      <c r="B1289" s="40" t="s">
        <v>606</v>
      </c>
      <c r="C1289" s="40" t="s">
        <v>2429</v>
      </c>
      <c r="D1289" s="40" t="s">
        <v>2248</v>
      </c>
      <c r="E1289" s="40" t="s">
        <v>535</v>
      </c>
      <c r="F1289" s="40">
        <v>0</v>
      </c>
      <c r="G1289" s="40"/>
      <c r="H1289" s="40" t="s">
        <v>2430</v>
      </c>
      <c r="I1289" s="40"/>
      <c r="J1289" s="40" t="s">
        <v>195</v>
      </c>
      <c r="K1289" s="40" t="s">
        <v>195</v>
      </c>
      <c r="L1289" s="40" t="s">
        <v>97</v>
      </c>
    </row>
    <row r="1290" spans="1:12" x14ac:dyDescent="0.25">
      <c r="A1290" s="40" t="s">
        <v>37</v>
      </c>
      <c r="B1290" s="40" t="s">
        <v>2268</v>
      </c>
      <c r="C1290" s="40" t="s">
        <v>2431</v>
      </c>
      <c r="D1290" s="40" t="s">
        <v>2426</v>
      </c>
      <c r="E1290" s="40" t="s">
        <v>2427</v>
      </c>
      <c r="F1290" s="40">
        <v>0</v>
      </c>
      <c r="G1290" s="40"/>
      <c r="H1290" s="40" t="s">
        <v>2234</v>
      </c>
      <c r="I1290" s="40"/>
      <c r="J1290" s="40" t="s">
        <v>195</v>
      </c>
      <c r="K1290" s="40" t="s">
        <v>195</v>
      </c>
      <c r="L1290" s="40" t="s">
        <v>97</v>
      </c>
    </row>
    <row r="1291" spans="1:12" x14ac:dyDescent="0.25">
      <c r="A1291" s="40" t="s">
        <v>37</v>
      </c>
      <c r="B1291" s="40" t="s">
        <v>2270</v>
      </c>
      <c r="C1291" s="40" t="s">
        <v>2432</v>
      </c>
      <c r="D1291" s="40" t="s">
        <v>2426</v>
      </c>
      <c r="E1291" s="40" t="s">
        <v>2427</v>
      </c>
      <c r="F1291" s="40">
        <v>0</v>
      </c>
      <c r="G1291" s="40"/>
      <c r="H1291" s="40" t="s">
        <v>2234</v>
      </c>
      <c r="I1291" s="40"/>
      <c r="J1291" s="40" t="s">
        <v>195</v>
      </c>
      <c r="K1291" s="40" t="s">
        <v>195</v>
      </c>
      <c r="L1291" s="40" t="s">
        <v>97</v>
      </c>
    </row>
    <row r="1292" spans="1:12" x14ac:dyDescent="0.25">
      <c r="A1292" s="40" t="s">
        <v>37</v>
      </c>
      <c r="B1292" s="40" t="s">
        <v>2274</v>
      </c>
      <c r="C1292" s="40" t="s">
        <v>2433</v>
      </c>
      <c r="D1292" s="40" t="s">
        <v>2248</v>
      </c>
      <c r="E1292" s="40" t="s">
        <v>535</v>
      </c>
      <c r="F1292" s="40">
        <v>0</v>
      </c>
      <c r="G1292" s="40"/>
      <c r="H1292" s="40" t="s">
        <v>2430</v>
      </c>
      <c r="I1292" s="40"/>
      <c r="J1292" s="40" t="s">
        <v>195</v>
      </c>
      <c r="K1292" s="40" t="s">
        <v>195</v>
      </c>
      <c r="L1292" s="40" t="s">
        <v>97</v>
      </c>
    </row>
    <row r="1293" spans="1:12" x14ac:dyDescent="0.25">
      <c r="A1293" s="40" t="s">
        <v>37</v>
      </c>
      <c r="B1293" s="40" t="s">
        <v>2434</v>
      </c>
      <c r="C1293" s="40" t="s">
        <v>2435</v>
      </c>
      <c r="D1293" s="40" t="s">
        <v>2426</v>
      </c>
      <c r="E1293" s="40" t="s">
        <v>2427</v>
      </c>
      <c r="F1293" s="40">
        <v>0</v>
      </c>
      <c r="G1293" s="40"/>
      <c r="H1293" s="40" t="s">
        <v>2234</v>
      </c>
      <c r="I1293" s="40"/>
      <c r="J1293" s="40" t="s">
        <v>195</v>
      </c>
      <c r="K1293" s="40" t="s">
        <v>195</v>
      </c>
      <c r="L1293" s="40" t="s">
        <v>97</v>
      </c>
    </row>
    <row r="1294" spans="1:12" x14ac:dyDescent="0.25">
      <c r="A1294" s="40" t="s">
        <v>37</v>
      </c>
      <c r="B1294" s="40" t="s">
        <v>2436</v>
      </c>
      <c r="C1294" s="40" t="s">
        <v>2437</v>
      </c>
      <c r="D1294" s="40" t="s">
        <v>2426</v>
      </c>
      <c r="E1294" s="40" t="s">
        <v>2427</v>
      </c>
      <c r="F1294" s="40">
        <v>0</v>
      </c>
      <c r="G1294" s="40"/>
      <c r="H1294" s="40" t="s">
        <v>2234</v>
      </c>
      <c r="I1294" s="40"/>
      <c r="J1294" s="40" t="s">
        <v>195</v>
      </c>
      <c r="K1294" s="40" t="s">
        <v>195</v>
      </c>
      <c r="L1294" s="40" t="s">
        <v>97</v>
      </c>
    </row>
    <row r="1295" spans="1:12" x14ac:dyDescent="0.25">
      <c r="A1295" s="40" t="s">
        <v>37</v>
      </c>
      <c r="B1295" s="40" t="s">
        <v>610</v>
      </c>
      <c r="C1295" s="40" t="s">
        <v>2438</v>
      </c>
      <c r="D1295" s="40" t="s">
        <v>2248</v>
      </c>
      <c r="E1295" s="40" t="s">
        <v>535</v>
      </c>
      <c r="F1295" s="40">
        <v>0</v>
      </c>
      <c r="G1295" s="40"/>
      <c r="H1295" s="40" t="s">
        <v>2430</v>
      </c>
      <c r="I1295" s="40"/>
      <c r="J1295" s="40" t="s">
        <v>195</v>
      </c>
      <c r="K1295" s="40" t="s">
        <v>195</v>
      </c>
      <c r="L1295" s="40" t="s">
        <v>97</v>
      </c>
    </row>
    <row r="1296" spans="1:12" x14ac:dyDescent="0.25">
      <c r="A1296" s="40" t="s">
        <v>37</v>
      </c>
      <c r="B1296" s="40" t="s">
        <v>614</v>
      </c>
      <c r="C1296" s="40" t="s">
        <v>2439</v>
      </c>
      <c r="D1296" s="40" t="s">
        <v>2426</v>
      </c>
      <c r="E1296" s="40" t="s">
        <v>2427</v>
      </c>
      <c r="F1296" s="40">
        <v>0</v>
      </c>
      <c r="G1296" s="40"/>
      <c r="H1296" s="40" t="s">
        <v>2234</v>
      </c>
      <c r="I1296" s="40"/>
      <c r="J1296" s="40" t="s">
        <v>195</v>
      </c>
      <c r="K1296" s="40" t="s">
        <v>195</v>
      </c>
      <c r="L1296" s="40" t="s">
        <v>97</v>
      </c>
    </row>
    <row r="1297" spans="1:12" x14ac:dyDescent="0.25">
      <c r="A1297" s="40" t="s">
        <v>37</v>
      </c>
      <c r="B1297" s="40" t="s">
        <v>2440</v>
      </c>
      <c r="C1297" s="40" t="s">
        <v>2441</v>
      </c>
      <c r="D1297" s="40" t="s">
        <v>2426</v>
      </c>
      <c r="E1297" s="40" t="s">
        <v>2427</v>
      </c>
      <c r="F1297" s="40">
        <v>0</v>
      </c>
      <c r="G1297" s="40"/>
      <c r="H1297" s="40" t="s">
        <v>2234</v>
      </c>
      <c r="I1297" s="40"/>
      <c r="J1297" s="40" t="s">
        <v>195</v>
      </c>
      <c r="K1297" s="40" t="s">
        <v>195</v>
      </c>
      <c r="L1297" s="40" t="s">
        <v>97</v>
      </c>
    </row>
    <row r="1298" spans="1:12" x14ac:dyDescent="0.25">
      <c r="A1298" s="40" t="s">
        <v>37</v>
      </c>
      <c r="B1298" s="40" t="s">
        <v>1359</v>
      </c>
      <c r="C1298" s="40" t="s">
        <v>2442</v>
      </c>
      <c r="D1298" s="40" t="s">
        <v>2248</v>
      </c>
      <c r="E1298" s="40" t="s">
        <v>535</v>
      </c>
      <c r="F1298" s="40">
        <v>0</v>
      </c>
      <c r="G1298" s="40"/>
      <c r="H1298" s="40" t="s">
        <v>2430</v>
      </c>
      <c r="I1298" s="40"/>
      <c r="J1298" s="40" t="s">
        <v>195</v>
      </c>
      <c r="K1298" s="40" t="s">
        <v>195</v>
      </c>
      <c r="L1298" s="40" t="s">
        <v>97</v>
      </c>
    </row>
    <row r="1299" spans="1:12" x14ac:dyDescent="0.25">
      <c r="A1299" s="40" t="s">
        <v>37</v>
      </c>
      <c r="B1299" s="40" t="s">
        <v>650</v>
      </c>
      <c r="C1299" s="40" t="s">
        <v>2443</v>
      </c>
      <c r="D1299" s="40" t="s">
        <v>2444</v>
      </c>
      <c r="E1299" s="40" t="s">
        <v>2445</v>
      </c>
      <c r="F1299" s="40">
        <v>0</v>
      </c>
      <c r="G1299" s="40"/>
      <c r="H1299" s="40" t="s">
        <v>97</v>
      </c>
      <c r="I1299" s="40"/>
      <c r="J1299" s="40" t="s">
        <v>195</v>
      </c>
      <c r="K1299" s="40" t="s">
        <v>195</v>
      </c>
      <c r="L1299" s="40" t="s">
        <v>97</v>
      </c>
    </row>
    <row r="1300" spans="1:12" x14ac:dyDescent="0.25">
      <c r="A1300" s="40" t="s">
        <v>37</v>
      </c>
      <c r="B1300" s="40" t="s">
        <v>653</v>
      </c>
      <c r="C1300" s="40" t="s">
        <v>2446</v>
      </c>
      <c r="D1300" s="40" t="s">
        <v>2447</v>
      </c>
      <c r="E1300" s="40" t="s">
        <v>2448</v>
      </c>
      <c r="F1300" s="40">
        <v>0</v>
      </c>
      <c r="G1300" s="40"/>
      <c r="H1300" s="40" t="s">
        <v>97</v>
      </c>
      <c r="I1300" s="40"/>
      <c r="J1300" s="40" t="s">
        <v>195</v>
      </c>
      <c r="K1300" s="40" t="s">
        <v>195</v>
      </c>
      <c r="L1300" s="40" t="s">
        <v>97</v>
      </c>
    </row>
    <row r="1301" spans="1:12" x14ac:dyDescent="0.25">
      <c r="A1301" s="40" t="s">
        <v>37</v>
      </c>
      <c r="B1301" s="40" t="s">
        <v>655</v>
      </c>
      <c r="C1301" s="40" t="s">
        <v>2449</v>
      </c>
      <c r="D1301" s="40" t="s">
        <v>2450</v>
      </c>
      <c r="E1301" s="40" t="s">
        <v>2451</v>
      </c>
      <c r="F1301" s="40">
        <v>0</v>
      </c>
      <c r="G1301" s="40"/>
      <c r="H1301" s="40" t="s">
        <v>2234</v>
      </c>
      <c r="I1301" s="40"/>
      <c r="J1301" s="40" t="s">
        <v>195</v>
      </c>
      <c r="K1301" s="40" t="s">
        <v>195</v>
      </c>
      <c r="L1301" s="40" t="s">
        <v>97</v>
      </c>
    </row>
    <row r="1302" spans="1:12" x14ac:dyDescent="0.25">
      <c r="A1302" s="40" t="s">
        <v>37</v>
      </c>
      <c r="B1302" s="40" t="s">
        <v>657</v>
      </c>
      <c r="C1302" s="40" t="s">
        <v>2452</v>
      </c>
      <c r="D1302" s="40" t="s">
        <v>2341</v>
      </c>
      <c r="E1302" s="40" t="s">
        <v>588</v>
      </c>
      <c r="F1302" s="40">
        <v>0</v>
      </c>
      <c r="G1302" s="40"/>
      <c r="H1302" s="40" t="s">
        <v>2234</v>
      </c>
      <c r="I1302" s="40"/>
      <c r="J1302" s="40" t="s">
        <v>195</v>
      </c>
      <c r="K1302" s="40" t="s">
        <v>195</v>
      </c>
      <c r="L1302" s="40" t="s">
        <v>97</v>
      </c>
    </row>
    <row r="1303" spans="1:12" x14ac:dyDescent="0.25">
      <c r="A1303" s="40" t="s">
        <v>37</v>
      </c>
      <c r="B1303" s="40" t="s">
        <v>659</v>
      </c>
      <c r="C1303" s="40" t="s">
        <v>2453</v>
      </c>
      <c r="D1303" s="40" t="s">
        <v>2444</v>
      </c>
      <c r="E1303" s="40" t="s">
        <v>2445</v>
      </c>
      <c r="F1303" s="40">
        <v>0</v>
      </c>
      <c r="G1303" s="40"/>
      <c r="H1303" s="40" t="s">
        <v>97</v>
      </c>
      <c r="I1303" s="40"/>
      <c r="J1303" s="40" t="s">
        <v>195</v>
      </c>
      <c r="K1303" s="40" t="s">
        <v>195</v>
      </c>
      <c r="L1303" s="40" t="s">
        <v>97</v>
      </c>
    </row>
    <row r="1304" spans="1:12" x14ac:dyDescent="0.25">
      <c r="A1304" s="40" t="s">
        <v>37</v>
      </c>
      <c r="B1304" s="40" t="s">
        <v>661</v>
      </c>
      <c r="C1304" s="40" t="s">
        <v>2454</v>
      </c>
      <c r="D1304" s="40" t="s">
        <v>2447</v>
      </c>
      <c r="E1304" s="40" t="s">
        <v>2448</v>
      </c>
      <c r="F1304" s="40">
        <v>0</v>
      </c>
      <c r="G1304" s="40"/>
      <c r="H1304" s="40" t="s">
        <v>97</v>
      </c>
      <c r="I1304" s="40"/>
      <c r="J1304" s="40" t="s">
        <v>195</v>
      </c>
      <c r="K1304" s="40" t="s">
        <v>195</v>
      </c>
      <c r="L1304" s="40" t="s">
        <v>97</v>
      </c>
    </row>
    <row r="1305" spans="1:12" x14ac:dyDescent="0.25">
      <c r="A1305" s="40" t="s">
        <v>37</v>
      </c>
      <c r="B1305" s="40" t="s">
        <v>663</v>
      </c>
      <c r="C1305" s="40" t="s">
        <v>2455</v>
      </c>
      <c r="D1305" s="40" t="s">
        <v>2450</v>
      </c>
      <c r="E1305" s="40" t="s">
        <v>2451</v>
      </c>
      <c r="F1305" s="40">
        <v>0</v>
      </c>
      <c r="G1305" s="40"/>
      <c r="H1305" s="40" t="s">
        <v>2234</v>
      </c>
      <c r="I1305" s="40"/>
      <c r="J1305" s="40" t="s">
        <v>195</v>
      </c>
      <c r="K1305" s="40" t="s">
        <v>195</v>
      </c>
      <c r="L1305" s="40" t="s">
        <v>97</v>
      </c>
    </row>
    <row r="1306" spans="1:12" x14ac:dyDescent="0.25">
      <c r="A1306" s="40" t="s">
        <v>37</v>
      </c>
      <c r="B1306" s="40" t="s">
        <v>665</v>
      </c>
      <c r="C1306" s="40" t="s">
        <v>2456</v>
      </c>
      <c r="D1306" s="40" t="s">
        <v>2341</v>
      </c>
      <c r="E1306" s="40" t="s">
        <v>588</v>
      </c>
      <c r="F1306" s="40">
        <v>0</v>
      </c>
      <c r="G1306" s="40"/>
      <c r="H1306" s="40" t="s">
        <v>2234</v>
      </c>
      <c r="I1306" s="40"/>
      <c r="J1306" s="40" t="s">
        <v>195</v>
      </c>
      <c r="K1306" s="40" t="s">
        <v>195</v>
      </c>
      <c r="L1306" s="40" t="s">
        <v>97</v>
      </c>
    </row>
    <row r="1307" spans="1:12" x14ac:dyDescent="0.25">
      <c r="A1307" s="40" t="s">
        <v>37</v>
      </c>
      <c r="B1307" s="40" t="s">
        <v>667</v>
      </c>
      <c r="C1307" s="40" t="s">
        <v>2457</v>
      </c>
      <c r="D1307" s="40" t="s">
        <v>2444</v>
      </c>
      <c r="E1307" s="40" t="s">
        <v>2445</v>
      </c>
      <c r="F1307" s="40">
        <v>0</v>
      </c>
      <c r="G1307" s="40"/>
      <c r="H1307" s="40" t="s">
        <v>97</v>
      </c>
      <c r="I1307" s="40"/>
      <c r="J1307" s="40" t="s">
        <v>195</v>
      </c>
      <c r="K1307" s="40" t="s">
        <v>195</v>
      </c>
      <c r="L1307" s="40" t="s">
        <v>97</v>
      </c>
    </row>
    <row r="1308" spans="1:12" x14ac:dyDescent="0.25">
      <c r="A1308" s="40" t="s">
        <v>37</v>
      </c>
      <c r="B1308" s="40" t="s">
        <v>669</v>
      </c>
      <c r="C1308" s="40" t="s">
        <v>2458</v>
      </c>
      <c r="D1308" s="40" t="s">
        <v>2447</v>
      </c>
      <c r="E1308" s="40" t="s">
        <v>2448</v>
      </c>
      <c r="F1308" s="40">
        <v>0</v>
      </c>
      <c r="G1308" s="40"/>
      <c r="H1308" s="40" t="s">
        <v>97</v>
      </c>
      <c r="I1308" s="40"/>
      <c r="J1308" s="40" t="s">
        <v>195</v>
      </c>
      <c r="K1308" s="40" t="s">
        <v>195</v>
      </c>
      <c r="L1308" s="40" t="s">
        <v>97</v>
      </c>
    </row>
    <row r="1309" spans="1:12" x14ac:dyDescent="0.25">
      <c r="A1309" s="40" t="s">
        <v>37</v>
      </c>
      <c r="B1309" s="40" t="s">
        <v>671</v>
      </c>
      <c r="C1309" s="40" t="s">
        <v>2459</v>
      </c>
      <c r="D1309" s="40" t="s">
        <v>2450</v>
      </c>
      <c r="E1309" s="40" t="s">
        <v>2451</v>
      </c>
      <c r="F1309" s="40">
        <v>0</v>
      </c>
      <c r="G1309" s="40"/>
      <c r="H1309" s="40" t="s">
        <v>2234</v>
      </c>
      <c r="I1309" s="40"/>
      <c r="J1309" s="40" t="s">
        <v>195</v>
      </c>
      <c r="K1309" s="40" t="s">
        <v>195</v>
      </c>
      <c r="L1309" s="40" t="s">
        <v>97</v>
      </c>
    </row>
    <row r="1310" spans="1:12" x14ac:dyDescent="0.25">
      <c r="A1310" s="40" t="s">
        <v>37</v>
      </c>
      <c r="B1310" s="40" t="s">
        <v>2460</v>
      </c>
      <c r="C1310" s="40" t="s">
        <v>2461</v>
      </c>
      <c r="D1310" s="40" t="s">
        <v>2341</v>
      </c>
      <c r="E1310" s="40" t="s">
        <v>588</v>
      </c>
      <c r="F1310" s="40">
        <v>0</v>
      </c>
      <c r="G1310" s="40"/>
      <c r="H1310" s="40" t="s">
        <v>2234</v>
      </c>
      <c r="I1310" s="40"/>
      <c r="J1310" s="40" t="s">
        <v>195</v>
      </c>
      <c r="K1310" s="40" t="s">
        <v>195</v>
      </c>
      <c r="L1310" s="40" t="s">
        <v>97</v>
      </c>
    </row>
    <row r="1311" spans="1:12" x14ac:dyDescent="0.25">
      <c r="A1311" s="40" t="s">
        <v>37</v>
      </c>
      <c r="B1311" s="40" t="s">
        <v>2462</v>
      </c>
      <c r="C1311" s="40" t="s">
        <v>2463</v>
      </c>
      <c r="D1311" s="40" t="s">
        <v>2444</v>
      </c>
      <c r="E1311" s="40" t="s">
        <v>2445</v>
      </c>
      <c r="F1311" s="40">
        <v>0</v>
      </c>
      <c r="G1311" s="40"/>
      <c r="H1311" s="40" t="s">
        <v>97</v>
      </c>
      <c r="I1311" s="40"/>
      <c r="J1311" s="40" t="s">
        <v>195</v>
      </c>
      <c r="K1311" s="40" t="s">
        <v>195</v>
      </c>
      <c r="L1311" s="40" t="s">
        <v>97</v>
      </c>
    </row>
    <row r="1312" spans="1:12" x14ac:dyDescent="0.25">
      <c r="A1312" s="40" t="s">
        <v>37</v>
      </c>
      <c r="B1312" s="40" t="s">
        <v>2464</v>
      </c>
      <c r="C1312" s="40" t="s">
        <v>2465</v>
      </c>
      <c r="D1312" s="40" t="s">
        <v>2447</v>
      </c>
      <c r="E1312" s="40" t="s">
        <v>2448</v>
      </c>
      <c r="F1312" s="40">
        <v>0</v>
      </c>
      <c r="G1312" s="40"/>
      <c r="H1312" s="40" t="s">
        <v>97</v>
      </c>
      <c r="I1312" s="40"/>
      <c r="J1312" s="40" t="s">
        <v>195</v>
      </c>
      <c r="K1312" s="40" t="s">
        <v>195</v>
      </c>
      <c r="L1312" s="40" t="s">
        <v>97</v>
      </c>
    </row>
    <row r="1313" spans="1:12" x14ac:dyDescent="0.25">
      <c r="A1313" s="40" t="s">
        <v>37</v>
      </c>
      <c r="B1313" s="40" t="s">
        <v>2466</v>
      </c>
      <c r="C1313" s="40" t="s">
        <v>2467</v>
      </c>
      <c r="D1313" s="40" t="s">
        <v>2450</v>
      </c>
      <c r="E1313" s="40" t="s">
        <v>2451</v>
      </c>
      <c r="F1313" s="40">
        <v>0</v>
      </c>
      <c r="G1313" s="40"/>
      <c r="H1313" s="40" t="s">
        <v>2234</v>
      </c>
      <c r="I1313" s="40"/>
      <c r="J1313" s="40" t="s">
        <v>195</v>
      </c>
      <c r="K1313" s="40" t="s">
        <v>195</v>
      </c>
      <c r="L1313" s="40" t="s">
        <v>97</v>
      </c>
    </row>
    <row r="1314" spans="1:12" x14ac:dyDescent="0.25">
      <c r="A1314" s="40" t="s">
        <v>37</v>
      </c>
      <c r="B1314" s="40" t="s">
        <v>2468</v>
      </c>
      <c r="C1314" s="40" t="s">
        <v>2469</v>
      </c>
      <c r="D1314" s="40" t="s">
        <v>2341</v>
      </c>
      <c r="E1314" s="40" t="s">
        <v>588</v>
      </c>
      <c r="F1314" s="40">
        <v>0</v>
      </c>
      <c r="G1314" s="40"/>
      <c r="H1314" s="40" t="s">
        <v>2234</v>
      </c>
      <c r="I1314" s="40"/>
      <c r="J1314" s="40" t="s">
        <v>195</v>
      </c>
      <c r="K1314" s="40" t="s">
        <v>195</v>
      </c>
      <c r="L1314" s="40" t="s">
        <v>97</v>
      </c>
    </row>
    <row r="1315" spans="1:12" x14ac:dyDescent="0.25">
      <c r="A1315" s="40" t="s">
        <v>37</v>
      </c>
      <c r="B1315" s="40" t="s">
        <v>2470</v>
      </c>
      <c r="C1315" s="40" t="s">
        <v>2471</v>
      </c>
      <c r="D1315" s="40" t="s">
        <v>2472</v>
      </c>
      <c r="E1315" s="40" t="s">
        <v>2473</v>
      </c>
      <c r="F1315" s="40">
        <v>1</v>
      </c>
      <c r="G1315" s="40"/>
      <c r="H1315" s="40" t="s">
        <v>2474</v>
      </c>
      <c r="I1315" s="40"/>
      <c r="J1315" s="40" t="s">
        <v>195</v>
      </c>
      <c r="K1315" s="40" t="s">
        <v>195</v>
      </c>
      <c r="L1315" s="40" t="s">
        <v>97</v>
      </c>
    </row>
    <row r="1316" spans="1:12" x14ac:dyDescent="0.25">
      <c r="A1316" s="40" t="s">
        <v>37</v>
      </c>
      <c r="B1316" s="40" t="s">
        <v>2475</v>
      </c>
      <c r="C1316" s="40" t="s">
        <v>2476</v>
      </c>
      <c r="D1316" s="40" t="s">
        <v>2472</v>
      </c>
      <c r="E1316" s="40" t="s">
        <v>2473</v>
      </c>
      <c r="F1316" s="40">
        <v>1</v>
      </c>
      <c r="G1316" s="40"/>
      <c r="H1316" s="40" t="s">
        <v>2474</v>
      </c>
      <c r="I1316" s="40"/>
      <c r="J1316" s="40" t="s">
        <v>195</v>
      </c>
      <c r="K1316" s="40" t="s">
        <v>195</v>
      </c>
      <c r="L1316" s="40" t="s">
        <v>97</v>
      </c>
    </row>
    <row r="1317" spans="1:12" x14ac:dyDescent="0.25">
      <c r="A1317" s="40" t="s">
        <v>37</v>
      </c>
      <c r="B1317" s="40" t="s">
        <v>2477</v>
      </c>
      <c r="C1317" s="40" t="s">
        <v>2478</v>
      </c>
      <c r="D1317" s="40" t="s">
        <v>2472</v>
      </c>
      <c r="E1317" s="40" t="s">
        <v>2473</v>
      </c>
      <c r="F1317" s="40">
        <v>1</v>
      </c>
      <c r="G1317" s="40"/>
      <c r="H1317" s="40" t="s">
        <v>2474</v>
      </c>
      <c r="I1317" s="40"/>
      <c r="J1317" s="40" t="s">
        <v>195</v>
      </c>
      <c r="K1317" s="40" t="s">
        <v>195</v>
      </c>
      <c r="L1317" s="40" t="s">
        <v>97</v>
      </c>
    </row>
    <row r="1318" spans="1:12" x14ac:dyDescent="0.25">
      <c r="A1318" s="40" t="s">
        <v>37</v>
      </c>
      <c r="B1318" s="40" t="s">
        <v>2479</v>
      </c>
      <c r="C1318" s="40" t="s">
        <v>2480</v>
      </c>
      <c r="D1318" s="40" t="s">
        <v>2472</v>
      </c>
      <c r="E1318" s="40" t="s">
        <v>2473</v>
      </c>
      <c r="F1318" s="40">
        <v>1</v>
      </c>
      <c r="G1318" s="40"/>
      <c r="H1318" s="40" t="s">
        <v>2474</v>
      </c>
      <c r="I1318" s="40"/>
      <c r="J1318" s="40" t="s">
        <v>195</v>
      </c>
      <c r="K1318" s="40" t="s">
        <v>195</v>
      </c>
      <c r="L1318" s="40" t="s">
        <v>97</v>
      </c>
    </row>
    <row r="1319" spans="1:12" x14ac:dyDescent="0.25">
      <c r="A1319" s="40" t="s">
        <v>37</v>
      </c>
      <c r="B1319" s="40" t="s">
        <v>697</v>
      </c>
      <c r="C1319" s="40" t="s">
        <v>2481</v>
      </c>
      <c r="D1319" s="40" t="s">
        <v>2482</v>
      </c>
      <c r="E1319" s="40" t="s">
        <v>2482</v>
      </c>
      <c r="F1319" s="40">
        <v>1</v>
      </c>
      <c r="G1319" s="40"/>
      <c r="H1319" s="40" t="s">
        <v>2234</v>
      </c>
      <c r="I1319" s="40"/>
      <c r="J1319" s="40" t="s">
        <v>195</v>
      </c>
      <c r="K1319" s="40" t="s">
        <v>195</v>
      </c>
      <c r="L1319" s="40" t="s">
        <v>97</v>
      </c>
    </row>
    <row r="1320" spans="1:12" x14ac:dyDescent="0.25">
      <c r="A1320" s="40" t="s">
        <v>37</v>
      </c>
      <c r="B1320" s="40" t="s">
        <v>2483</v>
      </c>
      <c r="C1320" s="40" t="s">
        <v>2484</v>
      </c>
      <c r="D1320" s="40" t="s">
        <v>2482</v>
      </c>
      <c r="E1320" s="40" t="s">
        <v>2482</v>
      </c>
      <c r="F1320" s="40">
        <v>1</v>
      </c>
      <c r="G1320" s="40"/>
      <c r="H1320" s="40" t="s">
        <v>2234</v>
      </c>
      <c r="I1320" s="40"/>
      <c r="J1320" s="40" t="s">
        <v>195</v>
      </c>
      <c r="K1320" s="40" t="s">
        <v>195</v>
      </c>
      <c r="L1320" s="40" t="s">
        <v>97</v>
      </c>
    </row>
    <row r="1321" spans="1:12" x14ac:dyDescent="0.25">
      <c r="A1321" s="40" t="s">
        <v>37</v>
      </c>
      <c r="B1321" s="40" t="s">
        <v>2485</v>
      </c>
      <c r="C1321" s="40" t="s">
        <v>2486</v>
      </c>
      <c r="D1321" s="40" t="s">
        <v>2482</v>
      </c>
      <c r="E1321" s="40" t="s">
        <v>2482</v>
      </c>
      <c r="F1321" s="40">
        <v>1</v>
      </c>
      <c r="G1321" s="40"/>
      <c r="H1321" s="40" t="s">
        <v>2234</v>
      </c>
      <c r="I1321" s="40"/>
      <c r="J1321" s="40" t="s">
        <v>195</v>
      </c>
      <c r="K1321" s="40" t="s">
        <v>195</v>
      </c>
      <c r="L1321" s="40" t="s">
        <v>97</v>
      </c>
    </row>
    <row r="1322" spans="1:12" x14ac:dyDescent="0.25">
      <c r="A1322" s="40" t="s">
        <v>37</v>
      </c>
      <c r="B1322" s="40" t="s">
        <v>2487</v>
      </c>
      <c r="C1322" s="40" t="s">
        <v>2488</v>
      </c>
      <c r="D1322" s="40" t="s">
        <v>2482</v>
      </c>
      <c r="E1322" s="40" t="s">
        <v>2482</v>
      </c>
      <c r="F1322" s="40">
        <v>1</v>
      </c>
      <c r="G1322" s="40"/>
      <c r="H1322" s="40" t="s">
        <v>2234</v>
      </c>
      <c r="I1322" s="40"/>
      <c r="J1322" s="40" t="s">
        <v>195</v>
      </c>
      <c r="K1322" s="40" t="s">
        <v>195</v>
      </c>
      <c r="L1322" s="40" t="s">
        <v>97</v>
      </c>
    </row>
    <row r="1323" spans="1:12" x14ac:dyDescent="0.25">
      <c r="A1323" s="40" t="s">
        <v>37</v>
      </c>
      <c r="B1323" s="40" t="s">
        <v>765</v>
      </c>
      <c r="C1323" s="40" t="s">
        <v>2489</v>
      </c>
      <c r="D1323" s="40" t="s">
        <v>2233</v>
      </c>
      <c r="E1323" s="40" t="s">
        <v>2233</v>
      </c>
      <c r="F1323" s="40">
        <v>1</v>
      </c>
      <c r="G1323" s="40"/>
      <c r="H1323" s="40" t="s">
        <v>2234</v>
      </c>
      <c r="I1323" s="40"/>
      <c r="J1323" s="40" t="s">
        <v>195</v>
      </c>
      <c r="K1323" s="40" t="s">
        <v>195</v>
      </c>
      <c r="L1323" s="40" t="s">
        <v>97</v>
      </c>
    </row>
    <row r="1324" spans="1:12" x14ac:dyDescent="0.25">
      <c r="A1324" s="40" t="s">
        <v>37</v>
      </c>
      <c r="B1324" s="40" t="s">
        <v>858</v>
      </c>
      <c r="C1324" s="40" t="s">
        <v>2490</v>
      </c>
      <c r="D1324" s="40" t="s">
        <v>2283</v>
      </c>
      <c r="E1324" s="40" t="s">
        <v>2283</v>
      </c>
      <c r="F1324" s="40">
        <v>1</v>
      </c>
      <c r="G1324" s="40"/>
      <c r="H1324" s="40" t="s">
        <v>97</v>
      </c>
      <c r="I1324" s="40"/>
      <c r="J1324" s="40" t="s">
        <v>195</v>
      </c>
      <c r="K1324" s="40" t="s">
        <v>82</v>
      </c>
      <c r="L1324" s="40" t="s">
        <v>97</v>
      </c>
    </row>
    <row r="1325" spans="1:12" x14ac:dyDescent="0.25">
      <c r="A1325" s="40" t="s">
        <v>37</v>
      </c>
      <c r="B1325" s="40" t="s">
        <v>860</v>
      </c>
      <c r="C1325" s="40" t="s">
        <v>2491</v>
      </c>
      <c r="D1325" s="40" t="s">
        <v>2233</v>
      </c>
      <c r="E1325" s="40" t="s">
        <v>2233</v>
      </c>
      <c r="F1325" s="40">
        <v>1</v>
      </c>
      <c r="G1325" s="40"/>
      <c r="H1325" s="40" t="s">
        <v>97</v>
      </c>
      <c r="I1325" s="40"/>
      <c r="J1325" s="40" t="s">
        <v>195</v>
      </c>
      <c r="K1325" s="40" t="s">
        <v>82</v>
      </c>
      <c r="L1325" s="40" t="s">
        <v>97</v>
      </c>
    </row>
    <row r="1326" spans="1:12" x14ac:dyDescent="0.25">
      <c r="A1326" s="40" t="s">
        <v>37</v>
      </c>
      <c r="B1326" s="40" t="s">
        <v>867</v>
      </c>
      <c r="C1326" s="40" t="s">
        <v>2492</v>
      </c>
      <c r="D1326" s="40" t="s">
        <v>2233</v>
      </c>
      <c r="E1326" s="40" t="s">
        <v>2233</v>
      </c>
      <c r="F1326" s="40">
        <v>1</v>
      </c>
      <c r="G1326" s="40"/>
      <c r="H1326" s="40" t="s">
        <v>97</v>
      </c>
      <c r="I1326" s="40"/>
      <c r="J1326" s="40" t="s">
        <v>195</v>
      </c>
      <c r="K1326" s="40" t="s">
        <v>82</v>
      </c>
      <c r="L1326" s="40" t="s">
        <v>97</v>
      </c>
    </row>
    <row r="1327" spans="1:12" x14ac:dyDescent="0.25">
      <c r="A1327" s="40" t="s">
        <v>37</v>
      </c>
      <c r="B1327" s="40" t="s">
        <v>871</v>
      </c>
      <c r="C1327" s="40" t="s">
        <v>2493</v>
      </c>
      <c r="D1327" s="40" t="s">
        <v>2233</v>
      </c>
      <c r="E1327" s="40" t="s">
        <v>2233</v>
      </c>
      <c r="F1327" s="40">
        <v>1</v>
      </c>
      <c r="G1327" s="40"/>
      <c r="H1327" s="40" t="s">
        <v>97</v>
      </c>
      <c r="I1327" s="40"/>
      <c r="J1327" s="40" t="s">
        <v>195</v>
      </c>
      <c r="K1327" s="40" t="s">
        <v>82</v>
      </c>
      <c r="L1327" s="40" t="s">
        <v>97</v>
      </c>
    </row>
    <row r="1328" spans="1:12" x14ac:dyDescent="0.25">
      <c r="A1328" s="40" t="s">
        <v>44</v>
      </c>
      <c r="B1328" s="40" t="s">
        <v>2233</v>
      </c>
      <c r="C1328" s="40" t="s">
        <v>2494</v>
      </c>
      <c r="D1328" s="40" t="s">
        <v>2233</v>
      </c>
      <c r="E1328" s="40" t="s">
        <v>2233</v>
      </c>
      <c r="F1328" s="40">
        <v>1</v>
      </c>
      <c r="G1328" s="40"/>
      <c r="H1328" s="40" t="s">
        <v>2234</v>
      </c>
      <c r="I1328" s="40"/>
      <c r="J1328" s="40" t="s">
        <v>195</v>
      </c>
      <c r="K1328" s="40" t="s">
        <v>195</v>
      </c>
      <c r="L1328" s="40" t="s">
        <v>97</v>
      </c>
    </row>
    <row r="1329" spans="1:12" x14ac:dyDescent="0.25">
      <c r="A1329" s="40" t="s">
        <v>44</v>
      </c>
      <c r="B1329" s="40" t="s">
        <v>2298</v>
      </c>
      <c r="C1329" s="40" t="s">
        <v>2495</v>
      </c>
      <c r="D1329" s="40" t="s">
        <v>2233</v>
      </c>
      <c r="E1329" s="40" t="s">
        <v>2233</v>
      </c>
      <c r="F1329" s="40">
        <v>1</v>
      </c>
      <c r="G1329" s="40"/>
      <c r="H1329" s="40" t="s">
        <v>2234</v>
      </c>
      <c r="I1329" s="40"/>
      <c r="J1329" s="40" t="s">
        <v>195</v>
      </c>
      <c r="K1329" s="40" t="s">
        <v>195</v>
      </c>
      <c r="L1329" s="40" t="s">
        <v>97</v>
      </c>
    </row>
    <row r="1330" spans="1:12" x14ac:dyDescent="0.25">
      <c r="A1330" s="40" t="s">
        <v>44</v>
      </c>
      <c r="B1330" s="40" t="s">
        <v>2300</v>
      </c>
      <c r="C1330" s="40" t="s">
        <v>2496</v>
      </c>
      <c r="D1330" s="40" t="s">
        <v>2497</v>
      </c>
      <c r="E1330" s="40" t="s">
        <v>2497</v>
      </c>
      <c r="F1330" s="40">
        <v>1</v>
      </c>
      <c r="G1330" s="40"/>
      <c r="H1330" s="40" t="s">
        <v>2234</v>
      </c>
      <c r="I1330" s="40"/>
      <c r="J1330" s="40" t="s">
        <v>195</v>
      </c>
      <c r="K1330" s="40" t="s">
        <v>195</v>
      </c>
      <c r="L1330" s="40" t="s">
        <v>97</v>
      </c>
    </row>
    <row r="1331" spans="1:12" x14ac:dyDescent="0.25">
      <c r="A1331" s="40" t="s">
        <v>44</v>
      </c>
      <c r="B1331" s="40" t="s">
        <v>1304</v>
      </c>
      <c r="C1331" s="40" t="s">
        <v>2498</v>
      </c>
      <c r="D1331" s="40" t="s">
        <v>2499</v>
      </c>
      <c r="E1331" s="40" t="s">
        <v>2499</v>
      </c>
      <c r="F1331" s="40">
        <v>1</v>
      </c>
      <c r="G1331" s="40"/>
      <c r="H1331" s="40" t="s">
        <v>2234</v>
      </c>
      <c r="I1331" s="40"/>
      <c r="J1331" s="40" t="s">
        <v>195</v>
      </c>
      <c r="K1331" s="40" t="s">
        <v>195</v>
      </c>
      <c r="L1331" s="40" t="s">
        <v>97</v>
      </c>
    </row>
    <row r="1332" spans="1:12" x14ac:dyDescent="0.25">
      <c r="A1332" s="40" t="s">
        <v>44</v>
      </c>
      <c r="B1332" s="40" t="s">
        <v>577</v>
      </c>
      <c r="C1332" s="40" t="s">
        <v>2500</v>
      </c>
      <c r="D1332" s="40" t="s">
        <v>2501</v>
      </c>
      <c r="E1332" s="40" t="s">
        <v>2501</v>
      </c>
      <c r="F1332" s="40">
        <v>1</v>
      </c>
      <c r="G1332" s="40"/>
      <c r="H1332" s="40" t="s">
        <v>97</v>
      </c>
      <c r="I1332" s="40"/>
      <c r="J1332" s="40" t="s">
        <v>195</v>
      </c>
      <c r="K1332" s="40" t="s">
        <v>195</v>
      </c>
      <c r="L1332" s="40" t="s">
        <v>97</v>
      </c>
    </row>
    <row r="1333" spans="1:12" x14ac:dyDescent="0.25">
      <c r="A1333" s="40" t="s">
        <v>44</v>
      </c>
      <c r="B1333" s="40" t="s">
        <v>580</v>
      </c>
      <c r="C1333" s="40" t="s">
        <v>2502</v>
      </c>
      <c r="D1333" s="40" t="s">
        <v>2503</v>
      </c>
      <c r="E1333" s="40" t="s">
        <v>2503</v>
      </c>
      <c r="F1333" s="40">
        <v>1</v>
      </c>
      <c r="G1333" s="40"/>
      <c r="H1333" s="40" t="s">
        <v>97</v>
      </c>
      <c r="I1333" s="40"/>
      <c r="J1333" s="40" t="s">
        <v>195</v>
      </c>
      <c r="K1333" s="40" t="s">
        <v>195</v>
      </c>
      <c r="L1333" s="40" t="s">
        <v>97</v>
      </c>
    </row>
    <row r="1334" spans="1:12" x14ac:dyDescent="0.25">
      <c r="A1334" s="40" t="s">
        <v>44</v>
      </c>
      <c r="B1334" s="40" t="s">
        <v>582</v>
      </c>
      <c r="C1334" s="40" t="s">
        <v>2504</v>
      </c>
      <c r="D1334" s="40" t="s">
        <v>2505</v>
      </c>
      <c r="E1334" s="40" t="s">
        <v>2503</v>
      </c>
      <c r="F1334" s="40">
        <v>0</v>
      </c>
      <c r="G1334" s="40"/>
      <c r="H1334" s="40" t="s">
        <v>97</v>
      </c>
      <c r="I1334" s="40"/>
      <c r="J1334" s="40" t="s">
        <v>195</v>
      </c>
      <c r="K1334" s="40" t="s">
        <v>195</v>
      </c>
      <c r="L1334" s="40" t="s">
        <v>97</v>
      </c>
    </row>
    <row r="1335" spans="1:12" x14ac:dyDescent="0.25">
      <c r="A1335" s="40" t="s">
        <v>44</v>
      </c>
      <c r="B1335" s="40" t="s">
        <v>586</v>
      </c>
      <c r="C1335" s="40" t="s">
        <v>2506</v>
      </c>
      <c r="D1335" s="40" t="s">
        <v>2507</v>
      </c>
      <c r="E1335" s="40" t="s">
        <v>2503</v>
      </c>
      <c r="F1335" s="40">
        <v>0</v>
      </c>
      <c r="G1335" s="40"/>
      <c r="H1335" s="40" t="s">
        <v>97</v>
      </c>
      <c r="I1335" s="40"/>
      <c r="J1335" s="40" t="s">
        <v>195</v>
      </c>
      <c r="K1335" s="40" t="s">
        <v>195</v>
      </c>
      <c r="L1335" s="40" t="s">
        <v>97</v>
      </c>
    </row>
    <row r="1336" spans="1:12" x14ac:dyDescent="0.25">
      <c r="A1336" s="40" t="s">
        <v>44</v>
      </c>
      <c r="B1336" s="40" t="s">
        <v>588</v>
      </c>
      <c r="C1336" s="40" t="s">
        <v>2508</v>
      </c>
      <c r="D1336" s="40" t="s">
        <v>2509</v>
      </c>
      <c r="E1336" s="40" t="s">
        <v>2509</v>
      </c>
      <c r="F1336" s="40">
        <v>1</v>
      </c>
      <c r="G1336" s="40"/>
      <c r="H1336" s="40" t="s">
        <v>97</v>
      </c>
      <c r="I1336" s="40"/>
      <c r="J1336" s="40" t="s">
        <v>195</v>
      </c>
      <c r="K1336" s="40" t="s">
        <v>195</v>
      </c>
      <c r="L1336" s="40" t="s">
        <v>97</v>
      </c>
    </row>
    <row r="1337" spans="1:12" x14ac:dyDescent="0.25">
      <c r="A1337" s="40" t="s">
        <v>44</v>
      </c>
      <c r="B1337" s="40" t="s">
        <v>1353</v>
      </c>
      <c r="C1337" s="40" t="s">
        <v>2510</v>
      </c>
      <c r="D1337" s="40" t="s">
        <v>2511</v>
      </c>
      <c r="E1337" s="40" t="s">
        <v>2512</v>
      </c>
      <c r="F1337" s="40">
        <v>0</v>
      </c>
      <c r="G1337" s="40"/>
      <c r="H1337" s="40" t="s">
        <v>2234</v>
      </c>
      <c r="I1337" s="40"/>
      <c r="J1337" s="40" t="s">
        <v>195</v>
      </c>
      <c r="K1337" s="40" t="s">
        <v>195</v>
      </c>
      <c r="L1337" s="40" t="s">
        <v>97</v>
      </c>
    </row>
    <row r="1338" spans="1:12" x14ac:dyDescent="0.25">
      <c r="A1338" s="40" t="s">
        <v>44</v>
      </c>
      <c r="B1338" s="40" t="s">
        <v>2331</v>
      </c>
      <c r="C1338" s="40" t="s">
        <v>2513</v>
      </c>
      <c r="D1338" s="40" t="s">
        <v>2511</v>
      </c>
      <c r="E1338" s="40" t="s">
        <v>2512</v>
      </c>
      <c r="F1338" s="40">
        <v>0</v>
      </c>
      <c r="G1338" s="40"/>
      <c r="H1338" s="40" t="s">
        <v>2234</v>
      </c>
      <c r="I1338" s="40"/>
      <c r="J1338" s="40" t="s">
        <v>195</v>
      </c>
      <c r="K1338" s="40" t="s">
        <v>195</v>
      </c>
      <c r="L1338" s="40" t="s">
        <v>97</v>
      </c>
    </row>
    <row r="1339" spans="1:12" x14ac:dyDescent="0.25">
      <c r="A1339" s="40" t="s">
        <v>44</v>
      </c>
      <c r="B1339" s="40" t="s">
        <v>595</v>
      </c>
      <c r="C1339" s="40" t="s">
        <v>2514</v>
      </c>
      <c r="D1339" s="40" t="s">
        <v>2515</v>
      </c>
      <c r="E1339" s="40" t="s">
        <v>2515</v>
      </c>
      <c r="F1339" s="40">
        <v>1</v>
      </c>
      <c r="G1339" s="40"/>
      <c r="H1339" s="40" t="s">
        <v>2234</v>
      </c>
      <c r="I1339" s="40"/>
      <c r="J1339" s="40" t="s">
        <v>195</v>
      </c>
      <c r="K1339" s="40" t="s">
        <v>195</v>
      </c>
      <c r="L1339" s="40" t="s">
        <v>97</v>
      </c>
    </row>
    <row r="1340" spans="1:12" x14ac:dyDescent="0.25">
      <c r="A1340" s="40" t="s">
        <v>44</v>
      </c>
      <c r="B1340" s="40" t="s">
        <v>598</v>
      </c>
      <c r="C1340" s="40" t="s">
        <v>2516</v>
      </c>
      <c r="D1340" s="40" t="s">
        <v>2515</v>
      </c>
      <c r="E1340" s="40" t="s">
        <v>2515</v>
      </c>
      <c r="F1340" s="40">
        <v>1</v>
      </c>
      <c r="G1340" s="40"/>
      <c r="H1340" s="40" t="s">
        <v>2234</v>
      </c>
      <c r="I1340" s="40"/>
      <c r="J1340" s="40" t="s">
        <v>195</v>
      </c>
      <c r="K1340" s="40" t="s">
        <v>195</v>
      </c>
      <c r="L1340" s="40" t="s">
        <v>97</v>
      </c>
    </row>
    <row r="1341" spans="1:12" x14ac:dyDescent="0.25">
      <c r="A1341" s="40" t="s">
        <v>44</v>
      </c>
      <c r="B1341" s="40" t="s">
        <v>603</v>
      </c>
      <c r="C1341" s="40" t="s">
        <v>2517</v>
      </c>
      <c r="D1341" s="40" t="s">
        <v>2518</v>
      </c>
      <c r="E1341" s="40" t="s">
        <v>2518</v>
      </c>
      <c r="F1341" s="40">
        <v>1</v>
      </c>
      <c r="G1341" s="40"/>
      <c r="H1341" s="40" t="s">
        <v>97</v>
      </c>
      <c r="I1341" s="40"/>
      <c r="J1341" s="40" t="s">
        <v>195</v>
      </c>
      <c r="K1341" s="40" t="s">
        <v>195</v>
      </c>
      <c r="L1341" s="40" t="s">
        <v>97</v>
      </c>
    </row>
    <row r="1342" spans="1:12" x14ac:dyDescent="0.25">
      <c r="A1342" s="40" t="s">
        <v>44</v>
      </c>
      <c r="B1342" s="40" t="s">
        <v>606</v>
      </c>
      <c r="C1342" s="40" t="s">
        <v>2519</v>
      </c>
      <c r="D1342" s="40" t="s">
        <v>2520</v>
      </c>
      <c r="E1342" s="40" t="s">
        <v>2520</v>
      </c>
      <c r="F1342" s="40">
        <v>1</v>
      </c>
      <c r="G1342" s="40"/>
      <c r="H1342" s="40" t="s">
        <v>97</v>
      </c>
      <c r="I1342" s="40"/>
      <c r="J1342" s="40" t="s">
        <v>195</v>
      </c>
      <c r="K1342" s="40" t="s">
        <v>195</v>
      </c>
      <c r="L1342" s="40" t="s">
        <v>97</v>
      </c>
    </row>
    <row r="1343" spans="1:12" x14ac:dyDescent="0.25">
      <c r="A1343" s="40" t="s">
        <v>44</v>
      </c>
      <c r="B1343" s="40" t="s">
        <v>2521</v>
      </c>
      <c r="C1343" s="40" t="s">
        <v>2522</v>
      </c>
      <c r="D1343" s="40" t="s">
        <v>2523</v>
      </c>
      <c r="E1343" s="40" t="s">
        <v>2523</v>
      </c>
      <c r="F1343" s="40">
        <v>1</v>
      </c>
      <c r="G1343" s="40"/>
      <c r="H1343" s="40" t="s">
        <v>97</v>
      </c>
      <c r="I1343" s="40"/>
      <c r="J1343" s="40" t="s">
        <v>195</v>
      </c>
      <c r="K1343" s="40" t="s">
        <v>195</v>
      </c>
      <c r="L1343" s="40" t="s">
        <v>97</v>
      </c>
    </row>
    <row r="1344" spans="1:12" x14ac:dyDescent="0.25">
      <c r="A1344" s="40" t="s">
        <v>44</v>
      </c>
      <c r="B1344" s="40" t="s">
        <v>2268</v>
      </c>
      <c r="C1344" s="40" t="s">
        <v>2524</v>
      </c>
      <c r="D1344" s="40" t="s">
        <v>2525</v>
      </c>
      <c r="E1344" s="40" t="s">
        <v>2525</v>
      </c>
      <c r="F1344" s="40">
        <v>1</v>
      </c>
      <c r="G1344" s="40"/>
      <c r="H1344" s="40" t="s">
        <v>97</v>
      </c>
      <c r="I1344" s="40"/>
      <c r="J1344" s="40" t="s">
        <v>195</v>
      </c>
      <c r="K1344" s="40" t="s">
        <v>195</v>
      </c>
      <c r="L1344" s="40" t="s">
        <v>97</v>
      </c>
    </row>
    <row r="1345" spans="1:12" x14ac:dyDescent="0.25">
      <c r="A1345" s="40" t="s">
        <v>44</v>
      </c>
      <c r="B1345" s="40" t="s">
        <v>2270</v>
      </c>
      <c r="C1345" s="40" t="s">
        <v>2526</v>
      </c>
      <c r="D1345" s="40" t="s">
        <v>2527</v>
      </c>
      <c r="E1345" s="40" t="s">
        <v>2527</v>
      </c>
      <c r="F1345" s="40">
        <v>1</v>
      </c>
      <c r="G1345" s="40"/>
      <c r="H1345" s="40" t="s">
        <v>97</v>
      </c>
      <c r="I1345" s="40"/>
      <c r="J1345" s="40" t="s">
        <v>195</v>
      </c>
      <c r="K1345" s="40" t="s">
        <v>195</v>
      </c>
      <c r="L1345" s="40" t="s">
        <v>97</v>
      </c>
    </row>
    <row r="1346" spans="1:12" x14ac:dyDescent="0.25">
      <c r="A1346" s="40" t="s">
        <v>44</v>
      </c>
      <c r="B1346" s="40" t="s">
        <v>676</v>
      </c>
      <c r="C1346" s="40" t="s">
        <v>2528</v>
      </c>
      <c r="D1346" s="40" t="s">
        <v>2529</v>
      </c>
      <c r="E1346" s="40" t="s">
        <v>2530</v>
      </c>
      <c r="F1346" s="40">
        <v>0</v>
      </c>
      <c r="G1346" s="40"/>
      <c r="H1346" s="40" t="s">
        <v>2234</v>
      </c>
      <c r="I1346" s="40"/>
      <c r="J1346" s="40" t="s">
        <v>195</v>
      </c>
      <c r="K1346" s="40" t="s">
        <v>195</v>
      </c>
      <c r="L1346" s="40" t="s">
        <v>97</v>
      </c>
    </row>
    <row r="1347" spans="1:12" x14ac:dyDescent="0.25">
      <c r="A1347" s="40" t="s">
        <v>44</v>
      </c>
      <c r="B1347" s="40" t="s">
        <v>678</v>
      </c>
      <c r="C1347" s="40" t="s">
        <v>2531</v>
      </c>
      <c r="D1347" s="40" t="s">
        <v>2532</v>
      </c>
      <c r="E1347" s="40" t="s">
        <v>2533</v>
      </c>
      <c r="F1347" s="40">
        <v>0</v>
      </c>
      <c r="G1347" s="40"/>
      <c r="H1347" s="40" t="s">
        <v>2234</v>
      </c>
      <c r="I1347" s="40"/>
      <c r="J1347" s="40" t="s">
        <v>195</v>
      </c>
      <c r="K1347" s="40" t="s">
        <v>195</v>
      </c>
      <c r="L1347" s="40" t="s">
        <v>97</v>
      </c>
    </row>
    <row r="1348" spans="1:12" x14ac:dyDescent="0.25">
      <c r="A1348" s="40" t="s">
        <v>44</v>
      </c>
      <c r="B1348" s="40" t="s">
        <v>681</v>
      </c>
      <c r="C1348" s="40" t="s">
        <v>2534</v>
      </c>
      <c r="D1348" s="40" t="s">
        <v>2535</v>
      </c>
      <c r="E1348" s="40" t="s">
        <v>2535</v>
      </c>
      <c r="F1348" s="40">
        <v>1</v>
      </c>
      <c r="G1348" s="40"/>
      <c r="H1348" s="40" t="s">
        <v>97</v>
      </c>
      <c r="I1348" s="40"/>
      <c r="J1348" s="40" t="s">
        <v>195</v>
      </c>
      <c r="K1348" s="40" t="s">
        <v>195</v>
      </c>
      <c r="L1348" s="40" t="s">
        <v>97</v>
      </c>
    </row>
    <row r="1349" spans="1:12" x14ac:dyDescent="0.25">
      <c r="A1349" s="40" t="s">
        <v>44</v>
      </c>
      <c r="B1349" s="40" t="s">
        <v>684</v>
      </c>
      <c r="C1349" s="40" t="s">
        <v>2536</v>
      </c>
      <c r="D1349" s="40" t="s">
        <v>2537</v>
      </c>
      <c r="E1349" s="40" t="s">
        <v>2537</v>
      </c>
      <c r="F1349" s="40">
        <v>1</v>
      </c>
      <c r="G1349" s="40"/>
      <c r="H1349" s="40" t="s">
        <v>97</v>
      </c>
      <c r="I1349" s="40"/>
      <c r="J1349" s="40" t="s">
        <v>195</v>
      </c>
      <c r="K1349" s="40" t="s">
        <v>195</v>
      </c>
      <c r="L1349" s="40" t="s">
        <v>97</v>
      </c>
    </row>
    <row r="1350" spans="1:12" x14ac:dyDescent="0.25">
      <c r="A1350" s="40" t="s">
        <v>44</v>
      </c>
      <c r="B1350" s="40" t="s">
        <v>2538</v>
      </c>
      <c r="C1350" s="40" t="s">
        <v>2539</v>
      </c>
      <c r="D1350" s="40" t="s">
        <v>2537</v>
      </c>
      <c r="E1350" s="40" t="s">
        <v>2537</v>
      </c>
      <c r="F1350" s="40">
        <v>1</v>
      </c>
      <c r="G1350" s="40"/>
      <c r="H1350" s="40" t="s">
        <v>97</v>
      </c>
      <c r="I1350" s="40"/>
      <c r="J1350" s="40" t="s">
        <v>195</v>
      </c>
      <c r="K1350" s="40" t="s">
        <v>195</v>
      </c>
      <c r="L1350" s="40" t="s">
        <v>97</v>
      </c>
    </row>
    <row r="1351" spans="1:12" x14ac:dyDescent="0.25">
      <c r="A1351" s="40" t="s">
        <v>44</v>
      </c>
      <c r="B1351" s="40" t="s">
        <v>2540</v>
      </c>
      <c r="C1351" s="40" t="s">
        <v>2541</v>
      </c>
      <c r="D1351" s="40" t="s">
        <v>2542</v>
      </c>
      <c r="E1351" s="40" t="s">
        <v>2542</v>
      </c>
      <c r="F1351" s="40">
        <v>1</v>
      </c>
      <c r="G1351" s="40"/>
      <c r="H1351" s="40" t="s">
        <v>97</v>
      </c>
      <c r="I1351" s="40"/>
      <c r="J1351" s="40" t="s">
        <v>195</v>
      </c>
      <c r="K1351" s="40" t="s">
        <v>195</v>
      </c>
      <c r="L1351" s="40" t="s">
        <v>97</v>
      </c>
    </row>
    <row r="1352" spans="1:12" x14ac:dyDescent="0.25">
      <c r="A1352" s="40" t="s">
        <v>44</v>
      </c>
      <c r="B1352" s="40" t="s">
        <v>2543</v>
      </c>
      <c r="C1352" s="40" t="s">
        <v>2544</v>
      </c>
      <c r="D1352" s="40" t="s">
        <v>2545</v>
      </c>
      <c r="E1352" s="40" t="s">
        <v>2545</v>
      </c>
      <c r="F1352" s="40">
        <v>1</v>
      </c>
      <c r="G1352" s="40"/>
      <c r="H1352" s="40" t="s">
        <v>2234</v>
      </c>
      <c r="I1352" s="40"/>
      <c r="J1352" s="40" t="s">
        <v>195</v>
      </c>
      <c r="K1352" s="40" t="s">
        <v>195</v>
      </c>
      <c r="L1352" s="40" t="s">
        <v>97</v>
      </c>
    </row>
    <row r="1353" spans="1:12" x14ac:dyDescent="0.25">
      <c r="A1353" s="40" t="s">
        <v>44</v>
      </c>
      <c r="B1353" s="40" t="s">
        <v>765</v>
      </c>
      <c r="C1353" s="40" t="s">
        <v>2546</v>
      </c>
      <c r="D1353" s="40" t="s">
        <v>2547</v>
      </c>
      <c r="E1353" s="40" t="s">
        <v>2548</v>
      </c>
      <c r="F1353" s="40">
        <v>0</v>
      </c>
      <c r="G1353" s="40"/>
      <c r="H1353" s="40" t="s">
        <v>2234</v>
      </c>
      <c r="I1353" s="40"/>
      <c r="J1353" s="40" t="s">
        <v>195</v>
      </c>
      <c r="K1353" s="40" t="s">
        <v>195</v>
      </c>
      <c r="L1353" s="40" t="s">
        <v>97</v>
      </c>
    </row>
    <row r="1354" spans="1:12" x14ac:dyDescent="0.25">
      <c r="A1354" s="40" t="s">
        <v>44</v>
      </c>
      <c r="B1354" s="40" t="s">
        <v>768</v>
      </c>
      <c r="C1354" s="40" t="s">
        <v>2549</v>
      </c>
      <c r="D1354" s="40" t="s">
        <v>2550</v>
      </c>
      <c r="E1354" s="40" t="s">
        <v>2547</v>
      </c>
      <c r="F1354" s="40">
        <v>0</v>
      </c>
      <c r="G1354" s="40"/>
      <c r="H1354" s="40" t="s">
        <v>2234</v>
      </c>
      <c r="I1354" s="40"/>
      <c r="J1354" s="40" t="s">
        <v>195</v>
      </c>
      <c r="K1354" s="40" t="s">
        <v>195</v>
      </c>
      <c r="L1354" s="40" t="s">
        <v>97</v>
      </c>
    </row>
    <row r="1355" spans="1:12" x14ac:dyDescent="0.25">
      <c r="A1355" s="40" t="s">
        <v>44</v>
      </c>
      <c r="B1355" s="40" t="s">
        <v>771</v>
      </c>
      <c r="C1355" s="40" t="s">
        <v>2551</v>
      </c>
      <c r="D1355" s="40" t="s">
        <v>2552</v>
      </c>
      <c r="E1355" s="40" t="s">
        <v>2233</v>
      </c>
      <c r="F1355" s="40">
        <v>0</v>
      </c>
      <c r="G1355" s="40"/>
      <c r="H1355" s="40" t="s">
        <v>2234</v>
      </c>
      <c r="I1355" s="40"/>
      <c r="J1355" s="40" t="s">
        <v>195</v>
      </c>
      <c r="K1355" s="40" t="s">
        <v>195</v>
      </c>
      <c r="L1355" s="40" t="s">
        <v>97</v>
      </c>
    </row>
    <row r="1356" spans="1:12" x14ac:dyDescent="0.25">
      <c r="A1356" s="40" t="s">
        <v>44</v>
      </c>
      <c r="B1356" s="40" t="s">
        <v>773</v>
      </c>
      <c r="C1356" s="40" t="s">
        <v>2553</v>
      </c>
      <c r="D1356" s="40" t="s">
        <v>2554</v>
      </c>
      <c r="E1356" s="40" t="s">
        <v>2533</v>
      </c>
      <c r="F1356" s="40">
        <v>0</v>
      </c>
      <c r="G1356" s="40"/>
      <c r="H1356" s="40" t="s">
        <v>2234</v>
      </c>
      <c r="I1356" s="40"/>
      <c r="J1356" s="40" t="s">
        <v>195</v>
      </c>
      <c r="K1356" s="40" t="s">
        <v>195</v>
      </c>
      <c r="L1356" s="40" t="s">
        <v>97</v>
      </c>
    </row>
    <row r="1357" spans="1:12" x14ac:dyDescent="0.25">
      <c r="A1357" s="40" t="s">
        <v>44</v>
      </c>
      <c r="B1357" s="40" t="s">
        <v>775</v>
      </c>
      <c r="C1357" s="40" t="s">
        <v>2555</v>
      </c>
      <c r="D1357" s="40" t="s">
        <v>2556</v>
      </c>
      <c r="E1357" s="40" t="s">
        <v>2556</v>
      </c>
      <c r="F1357" s="40">
        <v>1</v>
      </c>
      <c r="G1357" s="40"/>
      <c r="H1357" s="40" t="s">
        <v>97</v>
      </c>
      <c r="I1357" s="40"/>
      <c r="J1357" s="40" t="s">
        <v>195</v>
      </c>
      <c r="K1357" s="40" t="s">
        <v>195</v>
      </c>
      <c r="L1357" s="40" t="s">
        <v>97</v>
      </c>
    </row>
    <row r="1358" spans="1:12" x14ac:dyDescent="0.25">
      <c r="A1358" s="40" t="s">
        <v>44</v>
      </c>
      <c r="B1358" s="40" t="s">
        <v>777</v>
      </c>
      <c r="C1358" s="40" t="s">
        <v>2557</v>
      </c>
      <c r="D1358" s="40" t="s">
        <v>2558</v>
      </c>
      <c r="E1358" s="40" t="s">
        <v>2558</v>
      </c>
      <c r="F1358" s="40">
        <v>1</v>
      </c>
      <c r="G1358" s="40"/>
      <c r="H1358" s="40" t="s">
        <v>97</v>
      </c>
      <c r="I1358" s="40"/>
      <c r="J1358" s="40" t="s">
        <v>195</v>
      </c>
      <c r="K1358" s="40" t="s">
        <v>195</v>
      </c>
      <c r="L1358" s="40" t="s">
        <v>97</v>
      </c>
    </row>
    <row r="1359" spans="1:12" x14ac:dyDescent="0.25">
      <c r="A1359" s="40" t="s">
        <v>44</v>
      </c>
      <c r="B1359" s="40" t="s">
        <v>780</v>
      </c>
      <c r="C1359" s="40" t="s">
        <v>2559</v>
      </c>
      <c r="D1359" s="40" t="s">
        <v>2560</v>
      </c>
      <c r="E1359" s="40" t="s">
        <v>2560</v>
      </c>
      <c r="F1359" s="40">
        <v>1</v>
      </c>
      <c r="G1359" s="40"/>
      <c r="H1359" s="40" t="s">
        <v>97</v>
      </c>
      <c r="I1359" s="40"/>
      <c r="J1359" s="40" t="s">
        <v>195</v>
      </c>
      <c r="K1359" s="40" t="s">
        <v>195</v>
      </c>
      <c r="L1359" s="40" t="s">
        <v>97</v>
      </c>
    </row>
    <row r="1360" spans="1:12" x14ac:dyDescent="0.25">
      <c r="A1360" s="40" t="s">
        <v>44</v>
      </c>
      <c r="B1360" s="40" t="s">
        <v>2561</v>
      </c>
      <c r="C1360" s="40" t="s">
        <v>2562</v>
      </c>
      <c r="D1360" s="40" t="s">
        <v>2563</v>
      </c>
      <c r="E1360" s="40" t="s">
        <v>2563</v>
      </c>
      <c r="F1360" s="40">
        <v>1</v>
      </c>
      <c r="G1360" s="40"/>
      <c r="H1360" s="40" t="s">
        <v>97</v>
      </c>
      <c r="I1360" s="40"/>
      <c r="J1360" s="40" t="s">
        <v>195</v>
      </c>
      <c r="K1360" s="40" t="s">
        <v>195</v>
      </c>
      <c r="L1360" s="40" t="s">
        <v>97</v>
      </c>
    </row>
    <row r="1361" spans="1:12" x14ac:dyDescent="0.25">
      <c r="A1361" s="40" t="s">
        <v>44</v>
      </c>
      <c r="B1361" s="40" t="s">
        <v>2564</v>
      </c>
      <c r="C1361" s="40" t="s">
        <v>2565</v>
      </c>
      <c r="D1361" s="40" t="s">
        <v>2566</v>
      </c>
      <c r="E1361" s="40" t="s">
        <v>2566</v>
      </c>
      <c r="F1361" s="40">
        <v>1</v>
      </c>
      <c r="G1361" s="40"/>
      <c r="H1361" s="40" t="s">
        <v>97</v>
      </c>
      <c r="I1361" s="40"/>
      <c r="J1361" s="40" t="s">
        <v>195</v>
      </c>
      <c r="K1361" s="40" t="s">
        <v>195</v>
      </c>
      <c r="L1361" s="40" t="s">
        <v>97</v>
      </c>
    </row>
    <row r="1362" spans="1:12" x14ac:dyDescent="0.25">
      <c r="A1362" s="40" t="s">
        <v>44</v>
      </c>
      <c r="B1362" s="40" t="s">
        <v>2567</v>
      </c>
      <c r="C1362" s="40" t="s">
        <v>2568</v>
      </c>
      <c r="D1362" s="40" t="s">
        <v>2560</v>
      </c>
      <c r="E1362" s="40" t="s">
        <v>2560</v>
      </c>
      <c r="F1362" s="40">
        <v>1</v>
      </c>
      <c r="G1362" s="40"/>
      <c r="H1362" s="40" t="s">
        <v>97</v>
      </c>
      <c r="I1362" s="40"/>
      <c r="J1362" s="40" t="s">
        <v>195</v>
      </c>
      <c r="K1362" s="40" t="s">
        <v>195</v>
      </c>
      <c r="L1362" s="40" t="s">
        <v>97</v>
      </c>
    </row>
    <row r="1363" spans="1:12" x14ac:dyDescent="0.25">
      <c r="A1363" s="40" t="s">
        <v>44</v>
      </c>
      <c r="B1363" s="40" t="s">
        <v>2569</v>
      </c>
      <c r="C1363" s="40" t="s">
        <v>2570</v>
      </c>
      <c r="D1363" s="40" t="s">
        <v>2563</v>
      </c>
      <c r="E1363" s="40" t="s">
        <v>2563</v>
      </c>
      <c r="F1363" s="40">
        <v>1</v>
      </c>
      <c r="G1363" s="40"/>
      <c r="H1363" s="40" t="s">
        <v>97</v>
      </c>
      <c r="I1363" s="40"/>
      <c r="J1363" s="40" t="s">
        <v>195</v>
      </c>
      <c r="K1363" s="40" t="s">
        <v>195</v>
      </c>
      <c r="L1363" s="40" t="s">
        <v>97</v>
      </c>
    </row>
    <row r="1364" spans="1:12" x14ac:dyDescent="0.25">
      <c r="A1364" s="40" t="s">
        <v>44</v>
      </c>
      <c r="B1364" s="40" t="s">
        <v>2571</v>
      </c>
      <c r="C1364" s="40" t="s">
        <v>2572</v>
      </c>
      <c r="D1364" s="40" t="s">
        <v>2560</v>
      </c>
      <c r="E1364" s="40" t="s">
        <v>2560</v>
      </c>
      <c r="F1364" s="40">
        <v>1</v>
      </c>
      <c r="G1364" s="40"/>
      <c r="H1364" s="40" t="s">
        <v>97</v>
      </c>
      <c r="I1364" s="40"/>
      <c r="J1364" s="40" t="s">
        <v>195</v>
      </c>
      <c r="K1364" s="40" t="s">
        <v>195</v>
      </c>
      <c r="L1364" s="40" t="s">
        <v>97</v>
      </c>
    </row>
    <row r="1365" spans="1:12" x14ac:dyDescent="0.25">
      <c r="A1365" s="40" t="s">
        <v>44</v>
      </c>
      <c r="B1365" s="40" t="s">
        <v>2573</v>
      </c>
      <c r="C1365" s="40" t="s">
        <v>2574</v>
      </c>
      <c r="D1365" s="40" t="s">
        <v>2563</v>
      </c>
      <c r="E1365" s="40" t="s">
        <v>2563</v>
      </c>
      <c r="F1365" s="40">
        <v>1</v>
      </c>
      <c r="G1365" s="40"/>
      <c r="H1365" s="40" t="s">
        <v>97</v>
      </c>
      <c r="I1365" s="40"/>
      <c r="J1365" s="40" t="s">
        <v>195</v>
      </c>
      <c r="K1365" s="40" t="s">
        <v>195</v>
      </c>
      <c r="L1365" s="40" t="s">
        <v>97</v>
      </c>
    </row>
    <row r="1366" spans="1:12" x14ac:dyDescent="0.25">
      <c r="A1366" s="40" t="s">
        <v>44</v>
      </c>
      <c r="B1366" s="40" t="s">
        <v>2575</v>
      </c>
      <c r="C1366" s="40" t="s">
        <v>2576</v>
      </c>
      <c r="D1366" s="40" t="s">
        <v>2233</v>
      </c>
      <c r="E1366" s="40" t="s">
        <v>2233</v>
      </c>
      <c r="F1366" s="40">
        <v>1</v>
      </c>
      <c r="G1366" s="40"/>
      <c r="H1366" s="40" t="s">
        <v>97</v>
      </c>
      <c r="I1366" s="40"/>
      <c r="J1366" s="40" t="s">
        <v>195</v>
      </c>
      <c r="K1366" s="40" t="s">
        <v>195</v>
      </c>
      <c r="L1366" s="40" t="s">
        <v>97</v>
      </c>
    </row>
    <row r="1367" spans="1:12" x14ac:dyDescent="0.25">
      <c r="A1367" s="40" t="s">
        <v>44</v>
      </c>
      <c r="B1367" s="40" t="s">
        <v>2577</v>
      </c>
      <c r="C1367" s="40" t="s">
        <v>2578</v>
      </c>
      <c r="D1367" s="40" t="s">
        <v>2233</v>
      </c>
      <c r="E1367" s="40" t="s">
        <v>2233</v>
      </c>
      <c r="F1367" s="40">
        <v>1</v>
      </c>
      <c r="G1367" s="40"/>
      <c r="H1367" s="40" t="s">
        <v>97</v>
      </c>
      <c r="I1367" s="40"/>
      <c r="J1367" s="40" t="s">
        <v>195</v>
      </c>
      <c r="K1367" s="40" t="s">
        <v>195</v>
      </c>
      <c r="L1367" s="40" t="s">
        <v>97</v>
      </c>
    </row>
    <row r="1368" spans="1:12" x14ac:dyDescent="0.25">
      <c r="A1368" s="40" t="s">
        <v>44</v>
      </c>
      <c r="B1368" s="40" t="s">
        <v>2579</v>
      </c>
      <c r="C1368" s="40" t="s">
        <v>2580</v>
      </c>
      <c r="D1368" s="40" t="s">
        <v>2581</v>
      </c>
      <c r="E1368" s="40" t="s">
        <v>2581</v>
      </c>
      <c r="F1368" s="40">
        <v>1</v>
      </c>
      <c r="G1368" s="40"/>
      <c r="H1368" s="40" t="s">
        <v>97</v>
      </c>
      <c r="I1368" s="40"/>
      <c r="J1368" s="40" t="s">
        <v>195</v>
      </c>
      <c r="K1368" s="40" t="s">
        <v>195</v>
      </c>
      <c r="L1368" s="40" t="s">
        <v>97</v>
      </c>
    </row>
    <row r="1369" spans="1:12" x14ac:dyDescent="0.25">
      <c r="A1369" s="40" t="s">
        <v>44</v>
      </c>
      <c r="B1369" s="40" t="s">
        <v>2582</v>
      </c>
      <c r="C1369" s="40" t="s">
        <v>2583</v>
      </c>
      <c r="D1369" s="40" t="s">
        <v>2584</v>
      </c>
      <c r="E1369" s="40" t="s">
        <v>2581</v>
      </c>
      <c r="F1369" s="40">
        <v>1</v>
      </c>
      <c r="G1369" s="40"/>
      <c r="H1369" s="40" t="s">
        <v>97</v>
      </c>
      <c r="I1369" s="40"/>
      <c r="J1369" s="40" t="s">
        <v>195</v>
      </c>
      <c r="K1369" s="40" t="s">
        <v>195</v>
      </c>
      <c r="L1369" s="40" t="s">
        <v>97</v>
      </c>
    </row>
    <row r="1370" spans="1:12" x14ac:dyDescent="0.25">
      <c r="A1370" s="40" t="s">
        <v>44</v>
      </c>
      <c r="B1370" s="40" t="s">
        <v>2585</v>
      </c>
      <c r="C1370" s="40" t="s">
        <v>2586</v>
      </c>
      <c r="D1370" s="40" t="s">
        <v>2542</v>
      </c>
      <c r="E1370" s="40" t="s">
        <v>2542</v>
      </c>
      <c r="F1370" s="40">
        <v>1</v>
      </c>
      <c r="G1370" s="40"/>
      <c r="H1370" s="40" t="s">
        <v>97</v>
      </c>
      <c r="I1370" s="40"/>
      <c r="J1370" s="40" t="s">
        <v>195</v>
      </c>
      <c r="K1370" s="40" t="s">
        <v>195</v>
      </c>
      <c r="L1370" s="40" t="s">
        <v>97</v>
      </c>
    </row>
    <row r="1371" spans="1:12" x14ac:dyDescent="0.25">
      <c r="A1371" s="40" t="s">
        <v>44</v>
      </c>
      <c r="B1371" s="40" t="s">
        <v>2587</v>
      </c>
      <c r="C1371" s="40" t="s">
        <v>2588</v>
      </c>
      <c r="D1371" s="40" t="s">
        <v>2542</v>
      </c>
      <c r="E1371" s="40" t="s">
        <v>2542</v>
      </c>
      <c r="F1371" s="40">
        <v>1</v>
      </c>
      <c r="G1371" s="40"/>
      <c r="H1371" s="40" t="s">
        <v>97</v>
      </c>
      <c r="I1371" s="40"/>
      <c r="J1371" s="40" t="s">
        <v>195</v>
      </c>
      <c r="K1371" s="40" t="s">
        <v>195</v>
      </c>
      <c r="L1371" s="40" t="s">
        <v>97</v>
      </c>
    </row>
    <row r="1372" spans="1:12" x14ac:dyDescent="0.25">
      <c r="A1372" s="40" t="s">
        <v>44</v>
      </c>
      <c r="B1372" s="40" t="s">
        <v>2589</v>
      </c>
      <c r="C1372" s="40" t="s">
        <v>2590</v>
      </c>
      <c r="D1372" s="40" t="s">
        <v>2233</v>
      </c>
      <c r="E1372" s="40" t="s">
        <v>2233</v>
      </c>
      <c r="F1372" s="40">
        <v>1</v>
      </c>
      <c r="G1372" s="40"/>
      <c r="H1372" s="40" t="s">
        <v>97</v>
      </c>
      <c r="I1372" s="40"/>
      <c r="J1372" s="40" t="s">
        <v>195</v>
      </c>
      <c r="K1372" s="40" t="s">
        <v>195</v>
      </c>
      <c r="L1372" s="40" t="s">
        <v>97</v>
      </c>
    </row>
    <row r="1373" spans="1:12" x14ac:dyDescent="0.25">
      <c r="A1373" s="40" t="s">
        <v>44</v>
      </c>
      <c r="B1373" s="40" t="s">
        <v>783</v>
      </c>
      <c r="C1373" s="40" t="s">
        <v>2591</v>
      </c>
      <c r="D1373" s="40" t="s">
        <v>2233</v>
      </c>
      <c r="E1373" s="40" t="s">
        <v>2233</v>
      </c>
      <c r="F1373" s="40">
        <v>1</v>
      </c>
      <c r="G1373" s="40"/>
      <c r="H1373" s="40" t="s">
        <v>97</v>
      </c>
      <c r="I1373" s="40"/>
      <c r="J1373" s="40" t="s">
        <v>195</v>
      </c>
      <c r="K1373" s="40" t="s">
        <v>195</v>
      </c>
      <c r="L1373" s="40" t="s">
        <v>97</v>
      </c>
    </row>
    <row r="1374" spans="1:12" x14ac:dyDescent="0.25">
      <c r="A1374" s="40" t="s">
        <v>44</v>
      </c>
      <c r="B1374" s="40" t="s">
        <v>2592</v>
      </c>
      <c r="C1374" s="40" t="s">
        <v>2593</v>
      </c>
      <c r="D1374" s="40" t="s">
        <v>2581</v>
      </c>
      <c r="E1374" s="40" t="s">
        <v>2581</v>
      </c>
      <c r="F1374" s="40">
        <v>1</v>
      </c>
      <c r="G1374" s="40"/>
      <c r="H1374" s="40" t="s">
        <v>97</v>
      </c>
      <c r="I1374" s="40"/>
      <c r="J1374" s="40" t="s">
        <v>195</v>
      </c>
      <c r="K1374" s="40" t="s">
        <v>195</v>
      </c>
      <c r="L1374" s="40" t="s">
        <v>97</v>
      </c>
    </row>
    <row r="1375" spans="1:12" x14ac:dyDescent="0.25">
      <c r="A1375" s="40" t="s">
        <v>44</v>
      </c>
      <c r="B1375" s="40" t="s">
        <v>786</v>
      </c>
      <c r="C1375" s="40" t="s">
        <v>2594</v>
      </c>
      <c r="D1375" s="40" t="s">
        <v>2566</v>
      </c>
      <c r="E1375" s="40" t="s">
        <v>2581</v>
      </c>
      <c r="F1375" s="40">
        <v>1</v>
      </c>
      <c r="G1375" s="40"/>
      <c r="H1375" s="40" t="s">
        <v>97</v>
      </c>
      <c r="I1375" s="40"/>
      <c r="J1375" s="40" t="s">
        <v>195</v>
      </c>
      <c r="K1375" s="40" t="s">
        <v>195</v>
      </c>
      <c r="L1375" s="40" t="s">
        <v>97</v>
      </c>
    </row>
    <row r="1376" spans="1:12" x14ac:dyDescent="0.25">
      <c r="A1376" s="40" t="s">
        <v>44</v>
      </c>
      <c r="B1376" s="40" t="s">
        <v>2595</v>
      </c>
      <c r="C1376" s="40" t="s">
        <v>2596</v>
      </c>
      <c r="D1376" s="40" t="s">
        <v>2542</v>
      </c>
      <c r="E1376" s="40" t="s">
        <v>2542</v>
      </c>
      <c r="F1376" s="40">
        <v>1</v>
      </c>
      <c r="G1376" s="40"/>
      <c r="H1376" s="40" t="s">
        <v>97</v>
      </c>
      <c r="I1376" s="40"/>
      <c r="J1376" s="40" t="s">
        <v>195</v>
      </c>
      <c r="K1376" s="40" t="s">
        <v>195</v>
      </c>
      <c r="L1376" s="40" t="s">
        <v>97</v>
      </c>
    </row>
    <row r="1377" spans="1:12" x14ac:dyDescent="0.25">
      <c r="A1377" s="40" t="s">
        <v>44</v>
      </c>
      <c r="B1377" s="40" t="s">
        <v>789</v>
      </c>
      <c r="C1377" s="40" t="s">
        <v>2597</v>
      </c>
      <c r="D1377" s="40" t="s">
        <v>2542</v>
      </c>
      <c r="E1377" s="40" t="s">
        <v>2542</v>
      </c>
      <c r="F1377" s="40">
        <v>1</v>
      </c>
      <c r="G1377" s="40"/>
      <c r="H1377" s="40" t="s">
        <v>97</v>
      </c>
      <c r="I1377" s="40"/>
      <c r="J1377" s="40" t="s">
        <v>195</v>
      </c>
      <c r="K1377" s="40" t="s">
        <v>195</v>
      </c>
      <c r="L1377" s="40" t="s">
        <v>97</v>
      </c>
    </row>
    <row r="1378" spans="1:12" x14ac:dyDescent="0.25">
      <c r="A1378" s="40" t="s">
        <v>44</v>
      </c>
      <c r="B1378" s="40" t="s">
        <v>2598</v>
      </c>
      <c r="C1378" s="40" t="s">
        <v>2599</v>
      </c>
      <c r="D1378" s="40" t="s">
        <v>2600</v>
      </c>
      <c r="E1378" s="40" t="s">
        <v>2600</v>
      </c>
      <c r="F1378" s="40">
        <v>1</v>
      </c>
      <c r="G1378" s="40"/>
      <c r="H1378" s="40" t="s">
        <v>2234</v>
      </c>
      <c r="I1378" s="40"/>
      <c r="J1378" s="40" t="s">
        <v>195</v>
      </c>
      <c r="K1378" s="40" t="s">
        <v>195</v>
      </c>
      <c r="L1378" s="40" t="s">
        <v>97</v>
      </c>
    </row>
    <row r="1379" spans="1:12" x14ac:dyDescent="0.25">
      <c r="A1379" s="40" t="s">
        <v>44</v>
      </c>
      <c r="B1379" s="40" t="s">
        <v>792</v>
      </c>
      <c r="C1379" s="40" t="s">
        <v>2601</v>
      </c>
      <c r="D1379" s="40" t="s">
        <v>2602</v>
      </c>
      <c r="E1379" s="40" t="s">
        <v>2603</v>
      </c>
      <c r="F1379" s="40">
        <v>0</v>
      </c>
      <c r="G1379" s="40"/>
      <c r="H1379" s="40" t="s">
        <v>2234</v>
      </c>
      <c r="I1379" s="40"/>
      <c r="J1379" s="40" t="s">
        <v>195</v>
      </c>
      <c r="K1379" s="40" t="s">
        <v>195</v>
      </c>
      <c r="L1379" s="40" t="s">
        <v>97</v>
      </c>
    </row>
    <row r="1380" spans="1:12" x14ac:dyDescent="0.25">
      <c r="A1380" s="40" t="s">
        <v>44</v>
      </c>
      <c r="B1380" s="40" t="s">
        <v>858</v>
      </c>
      <c r="C1380" s="40" t="s">
        <v>2604</v>
      </c>
      <c r="D1380" s="40" t="s">
        <v>2605</v>
      </c>
      <c r="E1380" s="40" t="s">
        <v>2606</v>
      </c>
      <c r="F1380" s="40">
        <v>0</v>
      </c>
      <c r="G1380" s="40"/>
      <c r="H1380" s="40" t="s">
        <v>97</v>
      </c>
      <c r="I1380" s="40"/>
      <c r="J1380" s="40" t="s">
        <v>195</v>
      </c>
      <c r="K1380" s="40" t="s">
        <v>195</v>
      </c>
      <c r="L1380" s="40" t="s">
        <v>97</v>
      </c>
    </row>
    <row r="1381" spans="1:12" x14ac:dyDescent="0.25">
      <c r="A1381" s="40" t="s">
        <v>44</v>
      </c>
      <c r="B1381" s="40" t="s">
        <v>860</v>
      </c>
      <c r="C1381" s="40" t="s">
        <v>2607</v>
      </c>
      <c r="D1381" s="40" t="s">
        <v>2608</v>
      </c>
      <c r="E1381" s="40" t="s">
        <v>2608</v>
      </c>
      <c r="F1381" s="40">
        <v>1</v>
      </c>
      <c r="G1381" s="40"/>
      <c r="H1381" s="40" t="s">
        <v>97</v>
      </c>
      <c r="I1381" s="40"/>
      <c r="J1381" s="40" t="s">
        <v>195</v>
      </c>
      <c r="K1381" s="40" t="s">
        <v>195</v>
      </c>
      <c r="L1381" s="40" t="s">
        <v>97</v>
      </c>
    </row>
    <row r="1382" spans="1:12" x14ac:dyDescent="0.25">
      <c r="A1382" s="40" t="s">
        <v>44</v>
      </c>
      <c r="B1382" s="40" t="s">
        <v>862</v>
      </c>
      <c r="C1382" s="40" t="s">
        <v>2609</v>
      </c>
      <c r="D1382" s="40" t="s">
        <v>2610</v>
      </c>
      <c r="E1382" s="40" t="s">
        <v>2610</v>
      </c>
      <c r="F1382" s="40">
        <v>1</v>
      </c>
      <c r="G1382" s="40"/>
      <c r="H1382" s="40" t="s">
        <v>97</v>
      </c>
      <c r="I1382" s="40"/>
      <c r="J1382" s="40" t="s">
        <v>195</v>
      </c>
      <c r="K1382" s="40" t="s">
        <v>195</v>
      </c>
      <c r="L1382" s="40" t="s">
        <v>97</v>
      </c>
    </row>
    <row r="1383" spans="1:12" x14ac:dyDescent="0.25">
      <c r="A1383" s="40" t="s">
        <v>44</v>
      </c>
      <c r="B1383" s="40" t="s">
        <v>864</v>
      </c>
      <c r="C1383" s="40" t="s">
        <v>2611</v>
      </c>
      <c r="D1383" s="40" t="s">
        <v>2606</v>
      </c>
      <c r="E1383" s="40" t="s">
        <v>2606</v>
      </c>
      <c r="F1383" s="40">
        <v>1</v>
      </c>
      <c r="G1383" s="40"/>
      <c r="H1383" s="40" t="s">
        <v>97</v>
      </c>
      <c r="I1383" s="40"/>
      <c r="J1383" s="40" t="s">
        <v>195</v>
      </c>
      <c r="K1383" s="40" t="s">
        <v>195</v>
      </c>
      <c r="L1383" s="40" t="s">
        <v>97</v>
      </c>
    </row>
    <row r="1384" spans="1:12" x14ac:dyDescent="0.25">
      <c r="A1384" s="40" t="s">
        <v>44</v>
      </c>
      <c r="B1384" s="40" t="s">
        <v>867</v>
      </c>
      <c r="C1384" s="40" t="s">
        <v>2612</v>
      </c>
      <c r="D1384" s="40" t="s">
        <v>2503</v>
      </c>
      <c r="E1384" s="40" t="s">
        <v>2503</v>
      </c>
      <c r="F1384" s="40">
        <v>1</v>
      </c>
      <c r="G1384" s="40"/>
      <c r="H1384" s="40" t="s">
        <v>97</v>
      </c>
      <c r="I1384" s="40"/>
      <c r="J1384" s="40" t="s">
        <v>195</v>
      </c>
      <c r="K1384" s="40" t="s">
        <v>195</v>
      </c>
      <c r="L1384" s="40" t="s">
        <v>97</v>
      </c>
    </row>
    <row r="1385" spans="1:12" x14ac:dyDescent="0.25">
      <c r="A1385" s="40" t="s">
        <v>44</v>
      </c>
      <c r="B1385" s="40" t="s">
        <v>869</v>
      </c>
      <c r="C1385" s="40" t="s">
        <v>2613</v>
      </c>
      <c r="D1385" s="40" t="s">
        <v>2233</v>
      </c>
      <c r="E1385" s="40" t="s">
        <v>2233</v>
      </c>
      <c r="F1385" s="40">
        <v>1</v>
      </c>
      <c r="G1385" s="40"/>
      <c r="H1385" s="40" t="s">
        <v>97</v>
      </c>
      <c r="I1385" s="40"/>
      <c r="J1385" s="40" t="s">
        <v>195</v>
      </c>
      <c r="K1385" s="40" t="s">
        <v>195</v>
      </c>
      <c r="L1385" s="40" t="s">
        <v>97</v>
      </c>
    </row>
    <row r="1386" spans="1:12" x14ac:dyDescent="0.25">
      <c r="A1386" s="40" t="s">
        <v>44</v>
      </c>
      <c r="B1386" s="40" t="s">
        <v>871</v>
      </c>
      <c r="C1386" s="40" t="s">
        <v>2614</v>
      </c>
      <c r="D1386" s="40" t="s">
        <v>2233</v>
      </c>
      <c r="E1386" s="40" t="s">
        <v>2233</v>
      </c>
      <c r="F1386" s="40">
        <v>1</v>
      </c>
      <c r="G1386" s="40"/>
      <c r="H1386" s="40" t="s">
        <v>97</v>
      </c>
      <c r="I1386" s="40"/>
      <c r="J1386" s="40" t="s">
        <v>195</v>
      </c>
      <c r="K1386" s="40" t="s">
        <v>195</v>
      </c>
      <c r="L1386" s="40" t="s">
        <v>97</v>
      </c>
    </row>
    <row r="1387" spans="1:12" x14ac:dyDescent="0.25">
      <c r="A1387" s="40" t="s">
        <v>44</v>
      </c>
      <c r="B1387" s="40" t="s">
        <v>873</v>
      </c>
      <c r="C1387" s="40" t="s">
        <v>2615</v>
      </c>
      <c r="D1387" s="40" t="s">
        <v>2610</v>
      </c>
      <c r="E1387" s="40" t="s">
        <v>2610</v>
      </c>
      <c r="F1387" s="40">
        <v>1</v>
      </c>
      <c r="G1387" s="40"/>
      <c r="H1387" s="40" t="s">
        <v>97</v>
      </c>
      <c r="I1387" s="40"/>
      <c r="J1387" s="40" t="s">
        <v>195</v>
      </c>
      <c r="K1387" s="40" t="s">
        <v>195</v>
      </c>
      <c r="L1387" s="40" t="s">
        <v>97</v>
      </c>
    </row>
    <row r="1388" spans="1:12" x14ac:dyDescent="0.25">
      <c r="A1388" s="40" t="s">
        <v>44</v>
      </c>
      <c r="B1388" s="40" t="s">
        <v>965</v>
      </c>
      <c r="C1388" s="40" t="s">
        <v>2616</v>
      </c>
      <c r="D1388" s="40" t="s">
        <v>2617</v>
      </c>
      <c r="E1388" s="40" t="s">
        <v>2617</v>
      </c>
      <c r="F1388" s="40">
        <v>1</v>
      </c>
      <c r="G1388" s="40"/>
      <c r="H1388" s="40" t="s">
        <v>97</v>
      </c>
      <c r="I1388" s="40"/>
      <c r="J1388" s="40" t="s">
        <v>195</v>
      </c>
      <c r="K1388" s="40" t="s">
        <v>195</v>
      </c>
      <c r="L1388" s="40" t="s">
        <v>97</v>
      </c>
    </row>
    <row r="1389" spans="1:12" x14ac:dyDescent="0.25">
      <c r="A1389" s="40" t="s">
        <v>44</v>
      </c>
      <c r="B1389" s="40" t="s">
        <v>968</v>
      </c>
      <c r="C1389" s="40" t="s">
        <v>2618</v>
      </c>
      <c r="D1389" s="40" t="s">
        <v>2619</v>
      </c>
      <c r="E1389" s="40" t="s">
        <v>2619</v>
      </c>
      <c r="F1389" s="40">
        <v>1</v>
      </c>
      <c r="G1389" s="40"/>
      <c r="H1389" s="40" t="s">
        <v>97</v>
      </c>
      <c r="I1389" s="40"/>
      <c r="J1389" s="40" t="s">
        <v>195</v>
      </c>
      <c r="K1389" s="40" t="s">
        <v>195</v>
      </c>
      <c r="L1389" s="40" t="s">
        <v>97</v>
      </c>
    </row>
    <row r="1390" spans="1:12" x14ac:dyDescent="0.25">
      <c r="A1390" s="40" t="s">
        <v>44</v>
      </c>
      <c r="B1390" s="40" t="s">
        <v>970</v>
      </c>
      <c r="C1390" s="40" t="s">
        <v>2620</v>
      </c>
      <c r="D1390" s="40" t="s">
        <v>2621</v>
      </c>
      <c r="E1390" s="40" t="s">
        <v>2621</v>
      </c>
      <c r="F1390" s="40">
        <v>1</v>
      </c>
      <c r="G1390" s="40"/>
      <c r="H1390" s="40" t="s">
        <v>97</v>
      </c>
      <c r="I1390" s="40"/>
      <c r="J1390" s="40" t="s">
        <v>195</v>
      </c>
      <c r="K1390" s="40" t="s">
        <v>195</v>
      </c>
      <c r="L1390" s="40" t="s">
        <v>97</v>
      </c>
    </row>
    <row r="1391" spans="1:12" x14ac:dyDescent="0.25">
      <c r="A1391" s="40" t="s">
        <v>44</v>
      </c>
      <c r="B1391" s="40" t="s">
        <v>973</v>
      </c>
      <c r="C1391" s="40" t="s">
        <v>2622</v>
      </c>
      <c r="D1391" s="40" t="s">
        <v>2623</v>
      </c>
      <c r="E1391" s="40" t="s">
        <v>2623</v>
      </c>
      <c r="F1391" s="40">
        <v>1</v>
      </c>
      <c r="G1391" s="40"/>
      <c r="H1391" s="40" t="s">
        <v>97</v>
      </c>
      <c r="I1391" s="40"/>
      <c r="J1391" s="40" t="s">
        <v>195</v>
      </c>
      <c r="K1391" s="40" t="s">
        <v>195</v>
      </c>
      <c r="L1391" s="40" t="s">
        <v>97</v>
      </c>
    </row>
    <row r="1392" spans="1:12" x14ac:dyDescent="0.25">
      <c r="A1392" s="40" t="s">
        <v>44</v>
      </c>
      <c r="B1392" s="40" t="s">
        <v>1481</v>
      </c>
      <c r="C1392" s="40" t="s">
        <v>2624</v>
      </c>
      <c r="D1392" s="40" t="s">
        <v>2233</v>
      </c>
      <c r="E1392" s="40" t="s">
        <v>2233</v>
      </c>
      <c r="F1392" s="40">
        <v>1</v>
      </c>
      <c r="G1392" s="40"/>
      <c r="H1392" s="40" t="s">
        <v>2234</v>
      </c>
      <c r="I1392" s="40"/>
      <c r="J1392" s="40" t="s">
        <v>195</v>
      </c>
      <c r="K1392" s="40" t="s">
        <v>195</v>
      </c>
      <c r="L1392" s="40" t="s">
        <v>97</v>
      </c>
    </row>
    <row r="1393" spans="1:12" x14ac:dyDescent="0.25">
      <c r="A1393" s="40" t="s">
        <v>44</v>
      </c>
      <c r="B1393" s="40" t="s">
        <v>1483</v>
      </c>
      <c r="C1393" s="40" t="s">
        <v>2625</v>
      </c>
      <c r="D1393" s="40" t="s">
        <v>2233</v>
      </c>
      <c r="E1393" s="40" t="s">
        <v>2233</v>
      </c>
      <c r="F1393" s="40">
        <v>1</v>
      </c>
      <c r="G1393" s="40"/>
      <c r="H1393" s="40" t="s">
        <v>2234</v>
      </c>
      <c r="I1393" s="40"/>
      <c r="J1393" s="40" t="s">
        <v>195</v>
      </c>
      <c r="K1393" s="40" t="s">
        <v>195</v>
      </c>
      <c r="L1393" s="40" t="s">
        <v>97</v>
      </c>
    </row>
    <row r="1394" spans="1:12" x14ac:dyDescent="0.25">
      <c r="A1394" s="40" t="s">
        <v>44</v>
      </c>
      <c r="B1394" s="40" t="s">
        <v>2626</v>
      </c>
      <c r="C1394" s="40" t="s">
        <v>2627</v>
      </c>
      <c r="D1394" s="40" t="s">
        <v>2233</v>
      </c>
      <c r="E1394" s="40" t="s">
        <v>2233</v>
      </c>
      <c r="F1394" s="40">
        <v>1</v>
      </c>
      <c r="G1394" s="40"/>
      <c r="H1394" s="40" t="s">
        <v>2234</v>
      </c>
      <c r="I1394" s="40"/>
      <c r="J1394" s="40" t="s">
        <v>195</v>
      </c>
      <c r="K1394" s="40" t="s">
        <v>195</v>
      </c>
      <c r="L1394" s="40" t="s">
        <v>97</v>
      </c>
    </row>
    <row r="1395" spans="1:12" x14ac:dyDescent="0.25">
      <c r="A1395" s="40" t="s">
        <v>44</v>
      </c>
      <c r="B1395" s="40" t="s">
        <v>2628</v>
      </c>
      <c r="C1395" s="40" t="s">
        <v>2629</v>
      </c>
      <c r="D1395" s="40" t="s">
        <v>2233</v>
      </c>
      <c r="E1395" s="40" t="s">
        <v>2233</v>
      </c>
      <c r="F1395" s="40">
        <v>1</v>
      </c>
      <c r="G1395" s="40"/>
      <c r="H1395" s="40" t="s">
        <v>2234</v>
      </c>
      <c r="I1395" s="40"/>
      <c r="J1395" s="40" t="s">
        <v>195</v>
      </c>
      <c r="K1395" s="40" t="s">
        <v>195</v>
      </c>
      <c r="L1395" s="40" t="s">
        <v>97</v>
      </c>
    </row>
    <row r="1396" spans="1:12" x14ac:dyDescent="0.25">
      <c r="A1396" s="40" t="s">
        <v>44</v>
      </c>
      <c r="B1396" s="40" t="s">
        <v>1043</v>
      </c>
      <c r="C1396" s="40" t="s">
        <v>2630</v>
      </c>
      <c r="D1396" s="40" t="s">
        <v>2233</v>
      </c>
      <c r="E1396" s="40" t="s">
        <v>2233</v>
      </c>
      <c r="F1396" s="40">
        <v>1</v>
      </c>
      <c r="G1396" s="40"/>
      <c r="H1396" s="40" t="s">
        <v>2234</v>
      </c>
      <c r="I1396" s="40"/>
      <c r="J1396" s="40" t="s">
        <v>195</v>
      </c>
      <c r="K1396" s="40" t="s">
        <v>195</v>
      </c>
      <c r="L1396" s="40" t="s">
        <v>97</v>
      </c>
    </row>
    <row r="1397" spans="1:12" x14ac:dyDescent="0.25">
      <c r="A1397" s="40" t="s">
        <v>44</v>
      </c>
      <c r="B1397" s="40" t="s">
        <v>2631</v>
      </c>
      <c r="C1397" s="40" t="s">
        <v>2632</v>
      </c>
      <c r="D1397" s="40" t="s">
        <v>2233</v>
      </c>
      <c r="E1397" s="40" t="s">
        <v>2233</v>
      </c>
      <c r="F1397" s="40">
        <v>1</v>
      </c>
      <c r="G1397" s="40"/>
      <c r="H1397" s="40" t="s">
        <v>2234</v>
      </c>
      <c r="I1397" s="40"/>
      <c r="J1397" s="40" t="s">
        <v>195</v>
      </c>
      <c r="K1397" s="40" t="s">
        <v>195</v>
      </c>
      <c r="L1397" s="40" t="s">
        <v>97</v>
      </c>
    </row>
    <row r="1398" spans="1:12" x14ac:dyDescent="0.25">
      <c r="A1398" s="40" t="s">
        <v>44</v>
      </c>
      <c r="B1398" s="40" t="s">
        <v>1485</v>
      </c>
      <c r="C1398" s="40" t="s">
        <v>2633</v>
      </c>
      <c r="D1398" s="40" t="s">
        <v>2233</v>
      </c>
      <c r="E1398" s="40" t="s">
        <v>2233</v>
      </c>
      <c r="F1398" s="40">
        <v>1</v>
      </c>
      <c r="G1398" s="40"/>
      <c r="H1398" s="40" t="s">
        <v>2234</v>
      </c>
      <c r="I1398" s="40"/>
      <c r="J1398" s="40" t="s">
        <v>195</v>
      </c>
      <c r="K1398" s="40" t="s">
        <v>195</v>
      </c>
      <c r="L1398" s="40" t="s">
        <v>97</v>
      </c>
    </row>
    <row r="1399" spans="1:12" x14ac:dyDescent="0.25">
      <c r="A1399" s="40" t="s">
        <v>44</v>
      </c>
      <c r="B1399" s="40" t="s">
        <v>2634</v>
      </c>
      <c r="C1399" s="40" t="s">
        <v>2635</v>
      </c>
      <c r="D1399" s="40" t="s">
        <v>2233</v>
      </c>
      <c r="E1399" s="40" t="s">
        <v>2233</v>
      </c>
      <c r="F1399" s="40">
        <v>1</v>
      </c>
      <c r="G1399" s="40"/>
      <c r="H1399" s="40" t="s">
        <v>2234</v>
      </c>
      <c r="I1399" s="40"/>
      <c r="J1399" s="40" t="s">
        <v>195</v>
      </c>
      <c r="K1399" s="40" t="s">
        <v>195</v>
      </c>
      <c r="L1399" s="40" t="s">
        <v>97</v>
      </c>
    </row>
    <row r="1400" spans="1:12" x14ac:dyDescent="0.25">
      <c r="A1400" s="40" t="s">
        <v>44</v>
      </c>
      <c r="B1400" s="40" t="s">
        <v>2636</v>
      </c>
      <c r="C1400" s="40" t="s">
        <v>2637</v>
      </c>
      <c r="D1400" s="40" t="s">
        <v>2233</v>
      </c>
      <c r="E1400" s="40" t="s">
        <v>2233</v>
      </c>
      <c r="F1400" s="40">
        <v>1</v>
      </c>
      <c r="G1400" s="40"/>
      <c r="H1400" s="40" t="s">
        <v>2234</v>
      </c>
      <c r="I1400" s="40"/>
      <c r="J1400" s="40" t="s">
        <v>195</v>
      </c>
      <c r="K1400" s="40" t="s">
        <v>195</v>
      </c>
      <c r="L1400" s="40" t="s">
        <v>97</v>
      </c>
    </row>
    <row r="1401" spans="1:12" x14ac:dyDescent="0.25">
      <c r="A1401" s="40" t="s">
        <v>44</v>
      </c>
      <c r="B1401" s="40" t="s">
        <v>2638</v>
      </c>
      <c r="C1401" s="40" t="s">
        <v>2639</v>
      </c>
      <c r="D1401" s="40" t="s">
        <v>2233</v>
      </c>
      <c r="E1401" s="40" t="s">
        <v>2233</v>
      </c>
      <c r="F1401" s="40">
        <v>1</v>
      </c>
      <c r="G1401" s="40"/>
      <c r="H1401" s="40" t="s">
        <v>2234</v>
      </c>
      <c r="I1401" s="40"/>
      <c r="J1401" s="40" t="s">
        <v>195</v>
      </c>
      <c r="K1401" s="40" t="s">
        <v>195</v>
      </c>
      <c r="L1401" s="40" t="s">
        <v>97</v>
      </c>
    </row>
    <row r="1402" spans="1:12" x14ac:dyDescent="0.25">
      <c r="A1402" s="40" t="s">
        <v>44</v>
      </c>
      <c r="B1402" s="40" t="s">
        <v>2640</v>
      </c>
      <c r="C1402" s="40" t="s">
        <v>2641</v>
      </c>
      <c r="D1402" s="40" t="s">
        <v>2233</v>
      </c>
      <c r="E1402" s="40" t="s">
        <v>2233</v>
      </c>
      <c r="F1402" s="40">
        <v>1</v>
      </c>
      <c r="G1402" s="40"/>
      <c r="H1402" s="40" t="s">
        <v>2234</v>
      </c>
      <c r="I1402" s="40"/>
      <c r="J1402" s="40" t="s">
        <v>195</v>
      </c>
      <c r="K1402" s="40" t="s">
        <v>195</v>
      </c>
      <c r="L1402" s="40" t="s">
        <v>97</v>
      </c>
    </row>
    <row r="1403" spans="1:12" x14ac:dyDescent="0.25">
      <c r="A1403" s="40" t="s">
        <v>44</v>
      </c>
      <c r="B1403" s="40" t="s">
        <v>1045</v>
      </c>
      <c r="C1403" s="40" t="s">
        <v>2642</v>
      </c>
      <c r="D1403" s="40" t="s">
        <v>2233</v>
      </c>
      <c r="E1403" s="40" t="s">
        <v>2233</v>
      </c>
      <c r="F1403" s="40">
        <v>1</v>
      </c>
      <c r="G1403" s="40"/>
      <c r="H1403" s="40" t="s">
        <v>2234</v>
      </c>
      <c r="I1403" s="40"/>
      <c r="J1403" s="40" t="s">
        <v>195</v>
      </c>
      <c r="K1403" s="40" t="s">
        <v>195</v>
      </c>
      <c r="L1403" s="40" t="s">
        <v>97</v>
      </c>
    </row>
    <row r="1404" spans="1:12" x14ac:dyDescent="0.25">
      <c r="A1404" s="40" t="s">
        <v>44</v>
      </c>
      <c r="B1404" s="40" t="s">
        <v>1052</v>
      </c>
      <c r="C1404" s="40" t="s">
        <v>2643</v>
      </c>
      <c r="D1404" s="40" t="s">
        <v>2233</v>
      </c>
      <c r="E1404" s="40" t="s">
        <v>2233</v>
      </c>
      <c r="F1404" s="40">
        <v>1</v>
      </c>
      <c r="G1404" s="40"/>
      <c r="H1404" s="40" t="s">
        <v>2234</v>
      </c>
      <c r="I1404" s="40"/>
      <c r="J1404" s="40" t="s">
        <v>195</v>
      </c>
      <c r="K1404" s="40" t="s">
        <v>195</v>
      </c>
      <c r="L1404" s="40" t="s">
        <v>97</v>
      </c>
    </row>
    <row r="1405" spans="1:12" x14ac:dyDescent="0.25">
      <c r="A1405" s="40" t="s">
        <v>44</v>
      </c>
      <c r="B1405" s="40" t="s">
        <v>1054</v>
      </c>
      <c r="C1405" s="40" t="s">
        <v>2644</v>
      </c>
      <c r="D1405" s="40" t="s">
        <v>2233</v>
      </c>
      <c r="E1405" s="40" t="s">
        <v>2233</v>
      </c>
      <c r="F1405" s="40">
        <v>1</v>
      </c>
      <c r="G1405" s="40"/>
      <c r="H1405" s="40" t="s">
        <v>2234</v>
      </c>
      <c r="I1405" s="40"/>
      <c r="J1405" s="40" t="s">
        <v>195</v>
      </c>
      <c r="K1405" s="40" t="s">
        <v>195</v>
      </c>
      <c r="L1405" s="40" t="s">
        <v>97</v>
      </c>
    </row>
    <row r="1406" spans="1:12" x14ac:dyDescent="0.25">
      <c r="A1406" s="40" t="s">
        <v>44</v>
      </c>
      <c r="B1406" s="40" t="s">
        <v>1060</v>
      </c>
      <c r="C1406" s="40" t="s">
        <v>2645</v>
      </c>
      <c r="D1406" s="40" t="s">
        <v>2233</v>
      </c>
      <c r="E1406" s="40" t="s">
        <v>2233</v>
      </c>
      <c r="F1406" s="40">
        <v>1</v>
      </c>
      <c r="G1406" s="40"/>
      <c r="H1406" s="40" t="s">
        <v>2234</v>
      </c>
      <c r="I1406" s="40"/>
      <c r="J1406" s="40" t="s">
        <v>195</v>
      </c>
      <c r="K1406" s="40" t="s">
        <v>195</v>
      </c>
      <c r="L1406" s="40" t="s">
        <v>97</v>
      </c>
    </row>
    <row r="1407" spans="1:12" x14ac:dyDescent="0.25">
      <c r="A1407" s="40" t="s">
        <v>44</v>
      </c>
      <c r="B1407" s="40" t="s">
        <v>1062</v>
      </c>
      <c r="C1407" s="40" t="s">
        <v>2646</v>
      </c>
      <c r="D1407" s="40" t="s">
        <v>2233</v>
      </c>
      <c r="E1407" s="40" t="s">
        <v>2233</v>
      </c>
      <c r="F1407" s="40">
        <v>1</v>
      </c>
      <c r="G1407" s="40"/>
      <c r="H1407" s="40" t="s">
        <v>2234</v>
      </c>
      <c r="I1407" s="40"/>
      <c r="J1407" s="40" t="s">
        <v>195</v>
      </c>
      <c r="K1407" s="40" t="s">
        <v>195</v>
      </c>
      <c r="L1407" s="40" t="s">
        <v>97</v>
      </c>
    </row>
    <row r="1408" spans="1:12" x14ac:dyDescent="0.25">
      <c r="A1408" s="40" t="s">
        <v>44</v>
      </c>
      <c r="B1408" s="40" t="s">
        <v>1069</v>
      </c>
      <c r="C1408" s="40" t="s">
        <v>2647</v>
      </c>
      <c r="D1408" s="40" t="s">
        <v>2233</v>
      </c>
      <c r="E1408" s="40" t="s">
        <v>2233</v>
      </c>
      <c r="F1408" s="40">
        <v>1</v>
      </c>
      <c r="G1408" s="40"/>
      <c r="H1408" s="40" t="s">
        <v>2234</v>
      </c>
      <c r="I1408" s="40"/>
      <c r="J1408" s="40" t="s">
        <v>195</v>
      </c>
      <c r="K1408" s="40" t="s">
        <v>195</v>
      </c>
      <c r="L1408" s="40" t="s">
        <v>97</v>
      </c>
    </row>
    <row r="1409" spans="1:12" x14ac:dyDescent="0.25">
      <c r="A1409" s="40" t="s">
        <v>44</v>
      </c>
      <c r="B1409" s="40" t="s">
        <v>1071</v>
      </c>
      <c r="C1409" s="40" t="s">
        <v>2648</v>
      </c>
      <c r="D1409" s="40" t="s">
        <v>2233</v>
      </c>
      <c r="E1409" s="40" t="s">
        <v>2233</v>
      </c>
      <c r="F1409" s="40">
        <v>1</v>
      </c>
      <c r="G1409" s="40"/>
      <c r="H1409" s="40" t="s">
        <v>2234</v>
      </c>
      <c r="I1409" s="40"/>
      <c r="J1409" s="40" t="s">
        <v>195</v>
      </c>
      <c r="K1409" s="40" t="s">
        <v>195</v>
      </c>
      <c r="L1409" s="40" t="s">
        <v>97</v>
      </c>
    </row>
    <row r="1410" spans="1:12" x14ac:dyDescent="0.25">
      <c r="A1410" s="40" t="s">
        <v>44</v>
      </c>
      <c r="B1410" s="40" t="s">
        <v>1077</v>
      </c>
      <c r="C1410" s="40" t="s">
        <v>2649</v>
      </c>
      <c r="D1410" s="40" t="s">
        <v>2233</v>
      </c>
      <c r="E1410" s="40" t="s">
        <v>2233</v>
      </c>
      <c r="F1410" s="40">
        <v>1</v>
      </c>
      <c r="G1410" s="40"/>
      <c r="H1410" s="40" t="s">
        <v>2234</v>
      </c>
      <c r="I1410" s="40"/>
      <c r="J1410" s="40" t="s">
        <v>195</v>
      </c>
      <c r="K1410" s="40" t="s">
        <v>195</v>
      </c>
      <c r="L1410" s="40" t="s">
        <v>97</v>
      </c>
    </row>
    <row r="1411" spans="1:12" x14ac:dyDescent="0.25">
      <c r="A1411" s="40" t="s">
        <v>44</v>
      </c>
      <c r="B1411" s="40" t="s">
        <v>1079</v>
      </c>
      <c r="C1411" s="40" t="s">
        <v>2650</v>
      </c>
      <c r="D1411" s="40" t="s">
        <v>2233</v>
      </c>
      <c r="E1411" s="40" t="s">
        <v>2233</v>
      </c>
      <c r="F1411" s="40">
        <v>1</v>
      </c>
      <c r="G1411" s="40"/>
      <c r="H1411" s="40" t="s">
        <v>2234</v>
      </c>
      <c r="I1411" s="40"/>
      <c r="J1411" s="40" t="s">
        <v>195</v>
      </c>
      <c r="K1411" s="40" t="s">
        <v>195</v>
      </c>
      <c r="L1411" s="40" t="s">
        <v>97</v>
      </c>
    </row>
    <row r="1412" spans="1:12" x14ac:dyDescent="0.25">
      <c r="A1412" s="40" t="s">
        <v>44</v>
      </c>
      <c r="B1412" s="40" t="s">
        <v>1085</v>
      </c>
      <c r="C1412" s="40" t="s">
        <v>2651</v>
      </c>
      <c r="D1412" s="40" t="s">
        <v>2233</v>
      </c>
      <c r="E1412" s="40" t="s">
        <v>2233</v>
      </c>
      <c r="F1412" s="40">
        <v>1</v>
      </c>
      <c r="G1412" s="40"/>
      <c r="H1412" s="40" t="s">
        <v>2234</v>
      </c>
      <c r="I1412" s="40"/>
      <c r="J1412" s="40" t="s">
        <v>195</v>
      </c>
      <c r="K1412" s="40" t="s">
        <v>195</v>
      </c>
      <c r="L1412" s="40" t="s">
        <v>97</v>
      </c>
    </row>
    <row r="1413" spans="1:12" x14ac:dyDescent="0.25">
      <c r="A1413" s="40" t="s">
        <v>44</v>
      </c>
      <c r="B1413" s="40" t="s">
        <v>1087</v>
      </c>
      <c r="C1413" s="40" t="s">
        <v>2652</v>
      </c>
      <c r="D1413" s="40" t="s">
        <v>2233</v>
      </c>
      <c r="E1413" s="40" t="s">
        <v>2233</v>
      </c>
      <c r="F1413" s="40">
        <v>1</v>
      </c>
      <c r="G1413" s="40"/>
      <c r="H1413" s="40" t="s">
        <v>2234</v>
      </c>
      <c r="I1413" s="40"/>
      <c r="J1413" s="40" t="s">
        <v>195</v>
      </c>
      <c r="K1413" s="40" t="s">
        <v>195</v>
      </c>
      <c r="L1413" s="40" t="s">
        <v>97</v>
      </c>
    </row>
    <row r="1414" spans="1:12" x14ac:dyDescent="0.25">
      <c r="A1414" s="40" t="s">
        <v>44</v>
      </c>
      <c r="B1414" s="40" t="s">
        <v>1093</v>
      </c>
      <c r="C1414" s="40" t="s">
        <v>2653</v>
      </c>
      <c r="D1414" s="40" t="s">
        <v>2233</v>
      </c>
      <c r="E1414" s="40" t="s">
        <v>2233</v>
      </c>
      <c r="F1414" s="40">
        <v>1</v>
      </c>
      <c r="G1414" s="40"/>
      <c r="H1414" s="40" t="s">
        <v>2234</v>
      </c>
      <c r="I1414" s="40"/>
      <c r="J1414" s="40" t="s">
        <v>195</v>
      </c>
      <c r="K1414" s="40" t="s">
        <v>195</v>
      </c>
      <c r="L1414" s="40" t="s">
        <v>97</v>
      </c>
    </row>
    <row r="1415" spans="1:12" x14ac:dyDescent="0.25">
      <c r="A1415" s="40" t="s">
        <v>44</v>
      </c>
      <c r="B1415" s="40" t="s">
        <v>1095</v>
      </c>
      <c r="C1415" s="40" t="s">
        <v>2654</v>
      </c>
      <c r="D1415" s="40" t="s">
        <v>2233</v>
      </c>
      <c r="E1415" s="40" t="s">
        <v>2233</v>
      </c>
      <c r="F1415" s="40">
        <v>1</v>
      </c>
      <c r="G1415" s="40"/>
      <c r="H1415" s="40" t="s">
        <v>2234</v>
      </c>
      <c r="I1415" s="40"/>
      <c r="J1415" s="40" t="s">
        <v>195</v>
      </c>
      <c r="K1415" s="40" t="s">
        <v>195</v>
      </c>
      <c r="L1415" s="40" t="s">
        <v>97</v>
      </c>
    </row>
    <row r="1416" spans="1:12" x14ac:dyDescent="0.25">
      <c r="A1416" s="40" t="s">
        <v>44</v>
      </c>
      <c r="B1416" s="40" t="s">
        <v>1101</v>
      </c>
      <c r="C1416" s="40" t="s">
        <v>2655</v>
      </c>
      <c r="D1416" s="40" t="s">
        <v>2233</v>
      </c>
      <c r="E1416" s="40" t="s">
        <v>2233</v>
      </c>
      <c r="F1416" s="40">
        <v>1</v>
      </c>
      <c r="G1416" s="40"/>
      <c r="H1416" s="40" t="s">
        <v>97</v>
      </c>
      <c r="I1416" s="40"/>
      <c r="J1416" s="40" t="s">
        <v>195</v>
      </c>
      <c r="K1416" s="40" t="s">
        <v>195</v>
      </c>
      <c r="L1416" s="40" t="s">
        <v>97</v>
      </c>
    </row>
    <row r="1417" spans="1:12" x14ac:dyDescent="0.25">
      <c r="A1417" s="40" t="s">
        <v>44</v>
      </c>
      <c r="B1417" s="40" t="s">
        <v>1103</v>
      </c>
      <c r="C1417" s="40" t="s">
        <v>2656</v>
      </c>
      <c r="D1417" s="40" t="s">
        <v>2233</v>
      </c>
      <c r="E1417" s="40" t="s">
        <v>2233</v>
      </c>
      <c r="F1417" s="40">
        <v>1</v>
      </c>
      <c r="G1417" s="40"/>
      <c r="H1417" s="40" t="s">
        <v>97</v>
      </c>
      <c r="I1417" s="40"/>
      <c r="J1417" s="40" t="s">
        <v>195</v>
      </c>
      <c r="K1417" s="40" t="s">
        <v>195</v>
      </c>
      <c r="L1417" s="40" t="s">
        <v>97</v>
      </c>
    </row>
    <row r="1418" spans="1:12" x14ac:dyDescent="0.25">
      <c r="A1418" s="40" t="s">
        <v>44</v>
      </c>
      <c r="B1418" s="40" t="s">
        <v>1109</v>
      </c>
      <c r="C1418" s="40" t="s">
        <v>2657</v>
      </c>
      <c r="D1418" s="40" t="s">
        <v>2233</v>
      </c>
      <c r="E1418" s="40" t="s">
        <v>2233</v>
      </c>
      <c r="F1418" s="40">
        <v>1</v>
      </c>
      <c r="G1418" s="40"/>
      <c r="H1418" s="40" t="s">
        <v>97</v>
      </c>
      <c r="I1418" s="40"/>
      <c r="J1418" s="40" t="s">
        <v>195</v>
      </c>
      <c r="K1418" s="40" t="s">
        <v>195</v>
      </c>
      <c r="L1418" s="40" t="s">
        <v>97</v>
      </c>
    </row>
    <row r="1419" spans="1:12" x14ac:dyDescent="0.25">
      <c r="A1419" s="40" t="s">
        <v>44</v>
      </c>
      <c r="B1419" s="40" t="s">
        <v>2658</v>
      </c>
      <c r="C1419" s="40" t="s">
        <v>2659</v>
      </c>
      <c r="D1419" s="40" t="s">
        <v>2233</v>
      </c>
      <c r="E1419" s="40" t="s">
        <v>2233</v>
      </c>
      <c r="F1419" s="40">
        <v>1</v>
      </c>
      <c r="G1419" s="40"/>
      <c r="H1419" s="40" t="s">
        <v>97</v>
      </c>
      <c r="I1419" s="40"/>
      <c r="J1419" s="40" t="s">
        <v>195</v>
      </c>
      <c r="K1419" s="40" t="s">
        <v>195</v>
      </c>
      <c r="L1419" s="40" t="s">
        <v>97</v>
      </c>
    </row>
    <row r="1420" spans="1:12" x14ac:dyDescent="0.25">
      <c r="A1420" s="40" t="s">
        <v>44</v>
      </c>
      <c r="B1420" s="40" t="s">
        <v>2660</v>
      </c>
      <c r="C1420" s="40" t="s">
        <v>2661</v>
      </c>
      <c r="D1420" s="40" t="s">
        <v>2662</v>
      </c>
      <c r="E1420" s="40" t="s">
        <v>2662</v>
      </c>
      <c r="F1420" s="40">
        <v>1</v>
      </c>
      <c r="G1420" s="40"/>
      <c r="H1420" s="40" t="s">
        <v>2234</v>
      </c>
      <c r="I1420" s="40"/>
      <c r="J1420" s="40" t="s">
        <v>195</v>
      </c>
      <c r="K1420" s="40" t="s">
        <v>195</v>
      </c>
      <c r="L1420" s="40" t="s">
        <v>97</v>
      </c>
    </row>
    <row r="1421" spans="1:12" x14ac:dyDescent="0.25">
      <c r="A1421" s="40" t="s">
        <v>44</v>
      </c>
      <c r="B1421" s="40" t="s">
        <v>1497</v>
      </c>
      <c r="C1421" s="40" t="s">
        <v>2663</v>
      </c>
      <c r="D1421" s="40" t="s">
        <v>2281</v>
      </c>
      <c r="E1421" s="40" t="s">
        <v>2233</v>
      </c>
      <c r="F1421" s="40">
        <v>0</v>
      </c>
      <c r="G1421" s="40"/>
      <c r="H1421" s="40" t="s">
        <v>2234</v>
      </c>
      <c r="I1421" s="40"/>
      <c r="J1421" s="40" t="s">
        <v>195</v>
      </c>
      <c r="K1421" s="40" t="s">
        <v>195</v>
      </c>
      <c r="L1421" s="40" t="s">
        <v>97</v>
      </c>
    </row>
    <row r="1422" spans="1:12" x14ac:dyDescent="0.25">
      <c r="A1422" s="40" t="s">
        <v>44</v>
      </c>
      <c r="B1422" s="40" t="s">
        <v>1499</v>
      </c>
      <c r="C1422" s="40" t="s">
        <v>2664</v>
      </c>
      <c r="D1422" s="40" t="s">
        <v>2341</v>
      </c>
      <c r="E1422" s="40" t="s">
        <v>2233</v>
      </c>
      <c r="F1422" s="40">
        <v>0</v>
      </c>
      <c r="G1422" s="40"/>
      <c r="H1422" s="40" t="s">
        <v>2234</v>
      </c>
      <c r="I1422" s="40"/>
      <c r="J1422" s="40" t="s">
        <v>195</v>
      </c>
      <c r="K1422" s="40" t="s">
        <v>195</v>
      </c>
      <c r="L1422" s="40" t="s">
        <v>97</v>
      </c>
    </row>
    <row r="1423" spans="1:12" x14ac:dyDescent="0.25">
      <c r="A1423" s="40" t="s">
        <v>44</v>
      </c>
      <c r="B1423" s="40" t="s">
        <v>1504</v>
      </c>
      <c r="C1423" s="40" t="s">
        <v>2665</v>
      </c>
      <c r="D1423" s="40" t="s">
        <v>2233</v>
      </c>
      <c r="E1423" s="40" t="s">
        <v>2233</v>
      </c>
      <c r="F1423" s="40">
        <v>1</v>
      </c>
      <c r="G1423" s="40"/>
      <c r="H1423" s="40" t="s">
        <v>2234</v>
      </c>
      <c r="I1423" s="40"/>
      <c r="J1423" s="40" t="s">
        <v>195</v>
      </c>
      <c r="K1423" s="40" t="s">
        <v>195</v>
      </c>
      <c r="L1423" s="40" t="s">
        <v>97</v>
      </c>
    </row>
    <row r="1424" spans="1:12" x14ac:dyDescent="0.25">
      <c r="A1424" s="40" t="s">
        <v>44</v>
      </c>
      <c r="B1424" s="40" t="s">
        <v>1133</v>
      </c>
      <c r="C1424" s="40" t="s">
        <v>2666</v>
      </c>
      <c r="D1424" s="40" t="s">
        <v>2233</v>
      </c>
      <c r="E1424" s="40" t="s">
        <v>2233</v>
      </c>
      <c r="F1424" s="40">
        <v>1</v>
      </c>
      <c r="G1424" s="40"/>
      <c r="H1424" s="40" t="s">
        <v>2234</v>
      </c>
      <c r="I1424" s="40"/>
      <c r="J1424" s="40" t="s">
        <v>195</v>
      </c>
      <c r="K1424" s="40" t="s">
        <v>195</v>
      </c>
      <c r="L1424" s="40" t="s">
        <v>97</v>
      </c>
    </row>
    <row r="1425" spans="1:12" x14ac:dyDescent="0.25">
      <c r="A1425" s="40" t="s">
        <v>44</v>
      </c>
      <c r="B1425" s="40" t="s">
        <v>1139</v>
      </c>
      <c r="C1425" s="40" t="s">
        <v>78</v>
      </c>
      <c r="D1425" s="40" t="s">
        <v>2233</v>
      </c>
      <c r="E1425" s="40" t="s">
        <v>2233</v>
      </c>
      <c r="F1425" s="40">
        <v>1</v>
      </c>
      <c r="G1425" s="40"/>
      <c r="H1425" s="40" t="s">
        <v>97</v>
      </c>
      <c r="I1425" s="40"/>
      <c r="J1425" s="40" t="s">
        <v>195</v>
      </c>
      <c r="K1425" s="40" t="s">
        <v>195</v>
      </c>
      <c r="L1425" s="40" t="s">
        <v>97</v>
      </c>
    </row>
    <row r="1426" spans="1:12" x14ac:dyDescent="0.25">
      <c r="A1426" s="40" t="s">
        <v>44</v>
      </c>
      <c r="B1426" s="40" t="s">
        <v>1516</v>
      </c>
      <c r="C1426" s="40" t="s">
        <v>86</v>
      </c>
      <c r="D1426" s="40" t="s">
        <v>2233</v>
      </c>
      <c r="E1426" s="40" t="s">
        <v>2233</v>
      </c>
      <c r="F1426" s="40">
        <v>1</v>
      </c>
      <c r="G1426" s="40"/>
      <c r="H1426" s="40" t="s">
        <v>97</v>
      </c>
      <c r="I1426" s="40"/>
      <c r="J1426" s="40" t="s">
        <v>195</v>
      </c>
      <c r="K1426" s="40" t="s">
        <v>195</v>
      </c>
      <c r="L1426" s="40" t="s">
        <v>97</v>
      </c>
    </row>
    <row r="1427" spans="1:12" x14ac:dyDescent="0.25">
      <c r="A1427" s="40" t="s">
        <v>44</v>
      </c>
      <c r="B1427" s="40" t="s">
        <v>1526</v>
      </c>
      <c r="C1427" s="40" t="s">
        <v>2667</v>
      </c>
      <c r="D1427" s="40" t="s">
        <v>2233</v>
      </c>
      <c r="E1427" s="40" t="s">
        <v>2233</v>
      </c>
      <c r="F1427" s="40">
        <v>1</v>
      </c>
      <c r="G1427" s="40"/>
      <c r="H1427" s="40" t="s">
        <v>2234</v>
      </c>
      <c r="I1427" s="40"/>
      <c r="J1427" s="40" t="s">
        <v>195</v>
      </c>
      <c r="K1427" s="40" t="s">
        <v>195</v>
      </c>
      <c r="L1427" s="40" t="s">
        <v>97</v>
      </c>
    </row>
    <row r="1428" spans="1:12" x14ac:dyDescent="0.25">
      <c r="A1428" s="40" t="s">
        <v>44</v>
      </c>
      <c r="B1428" s="40" t="s">
        <v>1146</v>
      </c>
      <c r="C1428" s="40" t="s">
        <v>2668</v>
      </c>
      <c r="D1428" s="40" t="s">
        <v>2233</v>
      </c>
      <c r="E1428" s="40" t="s">
        <v>2233</v>
      </c>
      <c r="F1428" s="40">
        <v>1</v>
      </c>
      <c r="G1428" s="40"/>
      <c r="H1428" s="40" t="s">
        <v>2234</v>
      </c>
      <c r="I1428" s="40"/>
      <c r="J1428" s="40" t="s">
        <v>195</v>
      </c>
      <c r="K1428" s="40" t="s">
        <v>195</v>
      </c>
      <c r="L1428" s="40" t="s">
        <v>97</v>
      </c>
    </row>
    <row r="1429" spans="1:12" x14ac:dyDescent="0.25">
      <c r="A1429" s="40" t="s">
        <v>44</v>
      </c>
      <c r="B1429" s="40" t="s">
        <v>1155</v>
      </c>
      <c r="C1429" s="40" t="s">
        <v>2669</v>
      </c>
      <c r="D1429" s="40" t="s">
        <v>765</v>
      </c>
      <c r="E1429" s="40" t="s">
        <v>765</v>
      </c>
      <c r="F1429" s="40">
        <v>1</v>
      </c>
      <c r="G1429" s="40"/>
      <c r="H1429" s="40" t="s">
        <v>2234</v>
      </c>
      <c r="I1429" s="40"/>
      <c r="J1429" s="40" t="s">
        <v>195</v>
      </c>
      <c r="K1429" s="40" t="s">
        <v>195</v>
      </c>
      <c r="L1429" s="40" t="s">
        <v>97</v>
      </c>
    </row>
    <row r="1430" spans="1:12" x14ac:dyDescent="0.25">
      <c r="A1430" s="40" t="s">
        <v>44</v>
      </c>
      <c r="B1430" s="40" t="s">
        <v>1160</v>
      </c>
      <c r="C1430" s="40" t="s">
        <v>2670</v>
      </c>
      <c r="D1430" s="40" t="s">
        <v>2281</v>
      </c>
      <c r="E1430" s="40" t="s">
        <v>2233</v>
      </c>
      <c r="F1430" s="40">
        <v>0</v>
      </c>
      <c r="G1430" s="40"/>
      <c r="H1430" s="40" t="s">
        <v>2234</v>
      </c>
      <c r="I1430" s="40"/>
      <c r="J1430" s="40" t="s">
        <v>195</v>
      </c>
      <c r="K1430" s="40" t="s">
        <v>195</v>
      </c>
      <c r="L1430" s="40" t="s">
        <v>97</v>
      </c>
    </row>
    <row r="1431" spans="1:12" x14ac:dyDescent="0.25">
      <c r="A1431" s="40" t="s">
        <v>44</v>
      </c>
      <c r="B1431" s="40" t="s">
        <v>1169</v>
      </c>
      <c r="C1431" s="40" t="s">
        <v>2671</v>
      </c>
      <c r="D1431" s="40" t="s">
        <v>2672</v>
      </c>
      <c r="E1431" s="40" t="s">
        <v>2672</v>
      </c>
      <c r="F1431" s="40">
        <v>1</v>
      </c>
      <c r="G1431" s="40"/>
      <c r="H1431" s="40" t="s">
        <v>2234</v>
      </c>
      <c r="I1431" s="40"/>
      <c r="J1431" s="40" t="s">
        <v>97</v>
      </c>
      <c r="K1431" s="40" t="s">
        <v>97</v>
      </c>
      <c r="L1431" s="40" t="s">
        <v>97</v>
      </c>
    </row>
    <row r="1432" spans="1:12" x14ac:dyDescent="0.25">
      <c r="A1432" s="40" t="s">
        <v>44</v>
      </c>
      <c r="B1432" s="40" t="s">
        <v>1175</v>
      </c>
      <c r="C1432" s="40" t="s">
        <v>2673</v>
      </c>
      <c r="D1432" s="40" t="s">
        <v>2674</v>
      </c>
      <c r="E1432" s="40" t="s">
        <v>2233</v>
      </c>
      <c r="F1432" s="40">
        <v>0</v>
      </c>
      <c r="G1432" s="40"/>
      <c r="H1432" s="40" t="s">
        <v>2234</v>
      </c>
      <c r="I1432" s="40"/>
      <c r="J1432" s="40" t="s">
        <v>97</v>
      </c>
      <c r="K1432" s="40" t="s">
        <v>97</v>
      </c>
      <c r="L1432" s="40" t="s">
        <v>97</v>
      </c>
    </row>
    <row r="1433" spans="1:12" x14ac:dyDescent="0.25">
      <c r="A1433" s="40" t="s">
        <v>44</v>
      </c>
      <c r="B1433" s="40" t="s">
        <v>1236</v>
      </c>
      <c r="C1433" s="40" t="s">
        <v>2675</v>
      </c>
      <c r="D1433" s="40" t="s">
        <v>2233</v>
      </c>
      <c r="E1433" s="40" t="s">
        <v>2233</v>
      </c>
      <c r="F1433" s="40">
        <v>1</v>
      </c>
      <c r="G1433" s="40"/>
      <c r="H1433" s="40" t="s">
        <v>97</v>
      </c>
      <c r="I1433" s="40"/>
      <c r="J1433" s="40" t="s">
        <v>82</v>
      </c>
      <c r="K1433" s="40" t="s">
        <v>195</v>
      </c>
      <c r="L1433" s="40" t="s">
        <v>97</v>
      </c>
    </row>
    <row r="1434" spans="1:12" x14ac:dyDescent="0.25">
      <c r="A1434" s="40" t="s">
        <v>44</v>
      </c>
      <c r="B1434" s="40" t="s">
        <v>1238</v>
      </c>
      <c r="C1434" s="40" t="s">
        <v>2676</v>
      </c>
      <c r="D1434" s="40" t="s">
        <v>2233</v>
      </c>
      <c r="E1434" s="40" t="s">
        <v>2233</v>
      </c>
      <c r="F1434" s="40">
        <v>1</v>
      </c>
      <c r="G1434" s="40"/>
      <c r="H1434" s="40" t="s">
        <v>97</v>
      </c>
      <c r="I1434" s="40"/>
      <c r="J1434" s="40" t="s">
        <v>82</v>
      </c>
      <c r="K1434" s="40" t="s">
        <v>195</v>
      </c>
      <c r="L1434" s="40" t="s">
        <v>97</v>
      </c>
    </row>
    <row r="1435" spans="1:12" x14ac:dyDescent="0.25">
      <c r="A1435" s="40" t="s">
        <v>44</v>
      </c>
      <c r="B1435" s="40" t="s">
        <v>1241</v>
      </c>
      <c r="C1435" s="40" t="s">
        <v>2677</v>
      </c>
      <c r="D1435" s="40" t="s">
        <v>2233</v>
      </c>
      <c r="E1435" s="40" t="s">
        <v>2233</v>
      </c>
      <c r="F1435" s="40">
        <v>1</v>
      </c>
      <c r="G1435" s="40"/>
      <c r="H1435" s="40" t="s">
        <v>97</v>
      </c>
      <c r="I1435" s="40"/>
      <c r="J1435" s="40" t="s">
        <v>82</v>
      </c>
      <c r="K1435" s="40" t="s">
        <v>195</v>
      </c>
      <c r="L1435" s="40" t="s">
        <v>97</v>
      </c>
    </row>
    <row r="1436" spans="1:12" x14ac:dyDescent="0.25">
      <c r="A1436" s="40" t="s">
        <v>44</v>
      </c>
      <c r="B1436" s="40" t="s">
        <v>1243</v>
      </c>
      <c r="C1436" s="40" t="s">
        <v>2678</v>
      </c>
      <c r="D1436" s="40" t="s">
        <v>2233</v>
      </c>
      <c r="E1436" s="40" t="s">
        <v>2233</v>
      </c>
      <c r="F1436" s="40">
        <v>1</v>
      </c>
      <c r="G1436" s="40"/>
      <c r="H1436" s="40" t="s">
        <v>97</v>
      </c>
      <c r="I1436" s="40"/>
      <c r="J1436" s="40" t="s">
        <v>82</v>
      </c>
      <c r="K1436" s="40" t="s">
        <v>195</v>
      </c>
      <c r="L1436" s="40" t="s">
        <v>97</v>
      </c>
    </row>
    <row r="1437" spans="1:12" x14ac:dyDescent="0.25">
      <c r="A1437" s="40" t="s">
        <v>44</v>
      </c>
      <c r="B1437" s="40" t="s">
        <v>1246</v>
      </c>
      <c r="C1437" s="40" t="s">
        <v>2679</v>
      </c>
      <c r="D1437" s="40" t="s">
        <v>2233</v>
      </c>
      <c r="E1437" s="40" t="s">
        <v>2233</v>
      </c>
      <c r="F1437" s="40">
        <v>1</v>
      </c>
      <c r="G1437" s="40"/>
      <c r="H1437" s="40" t="s">
        <v>97</v>
      </c>
      <c r="I1437" s="40"/>
      <c r="J1437" s="40" t="s">
        <v>82</v>
      </c>
      <c r="K1437" s="40" t="s">
        <v>195</v>
      </c>
      <c r="L1437" s="40" t="s">
        <v>97</v>
      </c>
    </row>
    <row r="1438" spans="1:12" x14ac:dyDescent="0.25">
      <c r="A1438" s="40" t="s">
        <v>44</v>
      </c>
      <c r="B1438" s="40" t="s">
        <v>1248</v>
      </c>
      <c r="C1438" s="40" t="s">
        <v>2680</v>
      </c>
      <c r="D1438" s="40" t="s">
        <v>2233</v>
      </c>
      <c r="E1438" s="40" t="s">
        <v>2233</v>
      </c>
      <c r="F1438" s="40">
        <v>1</v>
      </c>
      <c r="G1438" s="40"/>
      <c r="H1438" s="40" t="s">
        <v>97</v>
      </c>
      <c r="I1438" s="40"/>
      <c r="J1438" s="40" t="s">
        <v>82</v>
      </c>
      <c r="K1438" s="40" t="s">
        <v>195</v>
      </c>
      <c r="L1438" s="40" t="s">
        <v>97</v>
      </c>
    </row>
    <row r="1439" spans="1:12" x14ac:dyDescent="0.25">
      <c r="A1439" s="40" t="s">
        <v>44</v>
      </c>
      <c r="B1439" s="40" t="s">
        <v>1256</v>
      </c>
      <c r="C1439" s="40" t="s">
        <v>2681</v>
      </c>
      <c r="D1439" s="40" t="s">
        <v>2233</v>
      </c>
      <c r="E1439" s="40" t="s">
        <v>2233</v>
      </c>
      <c r="F1439" s="40">
        <v>1</v>
      </c>
      <c r="G1439" s="40"/>
      <c r="H1439" s="40" t="s">
        <v>97</v>
      </c>
      <c r="I1439" s="40"/>
      <c r="J1439" s="40" t="s">
        <v>82</v>
      </c>
      <c r="K1439" s="40" t="s">
        <v>195</v>
      </c>
      <c r="L1439" s="40" t="s">
        <v>97</v>
      </c>
    </row>
    <row r="1440" spans="1:12" x14ac:dyDescent="0.25">
      <c r="A1440" s="40" t="s">
        <v>44</v>
      </c>
      <c r="B1440" s="40" t="s">
        <v>1259</v>
      </c>
      <c r="C1440" s="40" t="s">
        <v>2682</v>
      </c>
      <c r="D1440" s="40" t="s">
        <v>2233</v>
      </c>
      <c r="E1440" s="40" t="s">
        <v>2233</v>
      </c>
      <c r="F1440" s="40">
        <v>1</v>
      </c>
      <c r="G1440" s="40"/>
      <c r="H1440" s="40" t="s">
        <v>97</v>
      </c>
      <c r="I1440" s="40"/>
      <c r="J1440" s="40" t="s">
        <v>82</v>
      </c>
      <c r="K1440" s="40" t="s">
        <v>195</v>
      </c>
      <c r="L1440" s="40" t="s">
        <v>97</v>
      </c>
    </row>
    <row r="1441" spans="1:12" x14ac:dyDescent="0.25">
      <c r="A1441" s="40" t="s">
        <v>44</v>
      </c>
      <c r="B1441" s="40" t="s">
        <v>1594</v>
      </c>
      <c r="C1441" s="40" t="s">
        <v>2683</v>
      </c>
      <c r="D1441" s="40" t="s">
        <v>2233</v>
      </c>
      <c r="E1441" s="40" t="s">
        <v>2233</v>
      </c>
      <c r="F1441" s="40">
        <v>1</v>
      </c>
      <c r="G1441" s="40"/>
      <c r="H1441" s="40" t="s">
        <v>97</v>
      </c>
      <c r="I1441" s="40"/>
      <c r="J1441" s="40" t="s">
        <v>82</v>
      </c>
      <c r="K1441" s="40" t="s">
        <v>195</v>
      </c>
      <c r="L1441" s="40" t="s">
        <v>97</v>
      </c>
    </row>
    <row r="1442" spans="1:12" x14ac:dyDescent="0.25">
      <c r="A1442" s="40" t="s">
        <v>44</v>
      </c>
      <c r="B1442" s="40" t="s">
        <v>1596</v>
      </c>
      <c r="C1442" s="40" t="s">
        <v>2684</v>
      </c>
      <c r="D1442" s="40" t="s">
        <v>2233</v>
      </c>
      <c r="E1442" s="40" t="s">
        <v>2233</v>
      </c>
      <c r="F1442" s="40">
        <v>1</v>
      </c>
      <c r="G1442" s="40"/>
      <c r="H1442" s="40" t="s">
        <v>97</v>
      </c>
      <c r="I1442" s="40"/>
      <c r="J1442" s="40" t="s">
        <v>82</v>
      </c>
      <c r="K1442" s="40" t="s">
        <v>195</v>
      </c>
      <c r="L1442" s="40" t="s">
        <v>97</v>
      </c>
    </row>
    <row r="1443" spans="1:12" x14ac:dyDescent="0.25">
      <c r="A1443" s="40" t="s">
        <v>44</v>
      </c>
      <c r="B1443" s="40" t="s">
        <v>1598</v>
      </c>
      <c r="C1443" s="40" t="s">
        <v>2685</v>
      </c>
      <c r="D1443" s="40" t="s">
        <v>2233</v>
      </c>
      <c r="E1443" s="40" t="s">
        <v>2233</v>
      </c>
      <c r="F1443" s="40">
        <v>1</v>
      </c>
      <c r="G1443" s="40"/>
      <c r="H1443" s="40" t="s">
        <v>97</v>
      </c>
      <c r="I1443" s="40"/>
      <c r="J1443" s="40" t="s">
        <v>82</v>
      </c>
      <c r="K1443" s="40" t="s">
        <v>195</v>
      </c>
      <c r="L1443" s="40" t="s">
        <v>97</v>
      </c>
    </row>
    <row r="1444" spans="1:12" x14ac:dyDescent="0.25">
      <c r="A1444" s="40" t="s">
        <v>44</v>
      </c>
      <c r="B1444" s="40" t="s">
        <v>1600</v>
      </c>
      <c r="C1444" s="40" t="s">
        <v>2686</v>
      </c>
      <c r="D1444" s="40" t="s">
        <v>2233</v>
      </c>
      <c r="E1444" s="40" t="s">
        <v>2233</v>
      </c>
      <c r="F1444" s="40">
        <v>1</v>
      </c>
      <c r="G1444" s="40"/>
      <c r="H1444" s="40" t="s">
        <v>97</v>
      </c>
      <c r="I1444" s="40"/>
      <c r="J1444" s="40" t="s">
        <v>82</v>
      </c>
      <c r="K1444" s="40" t="s">
        <v>195</v>
      </c>
      <c r="L1444" s="40" t="s">
        <v>97</v>
      </c>
    </row>
    <row r="1445" spans="1:12" x14ac:dyDescent="0.25">
      <c r="A1445" s="40" t="s">
        <v>44</v>
      </c>
      <c r="B1445" s="40" t="s">
        <v>1602</v>
      </c>
      <c r="C1445" s="40" t="s">
        <v>2687</v>
      </c>
      <c r="D1445" s="40" t="s">
        <v>2233</v>
      </c>
      <c r="E1445" s="40" t="s">
        <v>2233</v>
      </c>
      <c r="F1445" s="40">
        <v>1</v>
      </c>
      <c r="G1445" s="40"/>
      <c r="H1445" s="40" t="s">
        <v>97</v>
      </c>
      <c r="I1445" s="40"/>
      <c r="J1445" s="40" t="s">
        <v>82</v>
      </c>
      <c r="K1445" s="40" t="s">
        <v>195</v>
      </c>
      <c r="L1445" s="40" t="s">
        <v>97</v>
      </c>
    </row>
    <row r="1446" spans="1:12" x14ac:dyDescent="0.25">
      <c r="A1446" s="40" t="s">
        <v>44</v>
      </c>
      <c r="B1446" s="40" t="s">
        <v>1676</v>
      </c>
      <c r="C1446" s="40" t="s">
        <v>2688</v>
      </c>
      <c r="D1446" s="40" t="s">
        <v>2233</v>
      </c>
      <c r="E1446" s="40" t="s">
        <v>2233</v>
      </c>
      <c r="F1446" s="40">
        <v>1</v>
      </c>
      <c r="G1446" s="40"/>
      <c r="H1446" s="40" t="s">
        <v>97</v>
      </c>
      <c r="I1446" s="40"/>
      <c r="J1446" s="40" t="s">
        <v>82</v>
      </c>
      <c r="K1446" s="40" t="s">
        <v>195</v>
      </c>
      <c r="L1446" s="40" t="s">
        <v>97</v>
      </c>
    </row>
    <row r="1447" spans="1:12" x14ac:dyDescent="0.25">
      <c r="A1447" s="40" t="s">
        <v>44</v>
      </c>
      <c r="B1447" s="40" t="s">
        <v>1678</v>
      </c>
      <c r="C1447" s="40" t="s">
        <v>2689</v>
      </c>
      <c r="D1447" s="40" t="s">
        <v>2233</v>
      </c>
      <c r="E1447" s="40" t="s">
        <v>2233</v>
      </c>
      <c r="F1447" s="40">
        <v>1</v>
      </c>
      <c r="G1447" s="40"/>
      <c r="H1447" s="40" t="s">
        <v>97</v>
      </c>
      <c r="I1447" s="40"/>
      <c r="J1447" s="40" t="s">
        <v>82</v>
      </c>
      <c r="K1447" s="40" t="s">
        <v>195</v>
      </c>
      <c r="L1447" s="40" t="s">
        <v>97</v>
      </c>
    </row>
    <row r="1448" spans="1:12" x14ac:dyDescent="0.25">
      <c r="A1448" s="40" t="s">
        <v>44</v>
      </c>
      <c r="B1448" s="40" t="s">
        <v>1680</v>
      </c>
      <c r="C1448" s="40" t="s">
        <v>2690</v>
      </c>
      <c r="D1448" s="40" t="s">
        <v>2233</v>
      </c>
      <c r="E1448" s="40" t="s">
        <v>2233</v>
      </c>
      <c r="F1448" s="40">
        <v>1</v>
      </c>
      <c r="G1448" s="40"/>
      <c r="H1448" s="40" t="s">
        <v>97</v>
      </c>
      <c r="I1448" s="40"/>
      <c r="J1448" s="40" t="s">
        <v>82</v>
      </c>
      <c r="K1448" s="40" t="s">
        <v>195</v>
      </c>
      <c r="L1448" s="40" t="s">
        <v>97</v>
      </c>
    </row>
    <row r="1449" spans="1:12" x14ac:dyDescent="0.25">
      <c r="A1449" s="40" t="s">
        <v>44</v>
      </c>
      <c r="B1449" s="40" t="s">
        <v>1682</v>
      </c>
      <c r="C1449" s="40" t="s">
        <v>2691</v>
      </c>
      <c r="D1449" s="40" t="s">
        <v>2233</v>
      </c>
      <c r="E1449" s="40" t="s">
        <v>2233</v>
      </c>
      <c r="F1449" s="40">
        <v>1</v>
      </c>
      <c r="G1449" s="40"/>
      <c r="H1449" s="40" t="s">
        <v>97</v>
      </c>
      <c r="I1449" s="40"/>
      <c r="J1449" s="40" t="s">
        <v>82</v>
      </c>
      <c r="K1449" s="40" t="s">
        <v>195</v>
      </c>
      <c r="L1449" s="40" t="s">
        <v>97</v>
      </c>
    </row>
    <row r="1450" spans="1:12" x14ac:dyDescent="0.25">
      <c r="A1450" s="40" t="s">
        <v>44</v>
      </c>
      <c r="B1450" s="40" t="s">
        <v>1684</v>
      </c>
      <c r="C1450" s="40" t="s">
        <v>2692</v>
      </c>
      <c r="D1450" s="40" t="s">
        <v>2233</v>
      </c>
      <c r="E1450" s="40" t="s">
        <v>2233</v>
      </c>
      <c r="F1450" s="40">
        <v>1</v>
      </c>
      <c r="G1450" s="40"/>
      <c r="H1450" s="40" t="s">
        <v>97</v>
      </c>
      <c r="I1450" s="40"/>
      <c r="J1450" s="40" t="s">
        <v>82</v>
      </c>
      <c r="K1450" s="40" t="s">
        <v>195</v>
      </c>
      <c r="L1450" s="40" t="s">
        <v>97</v>
      </c>
    </row>
    <row r="1451" spans="1:12" x14ac:dyDescent="0.25">
      <c r="A1451" s="40" t="s">
        <v>44</v>
      </c>
      <c r="B1451" s="40" t="s">
        <v>1804</v>
      </c>
      <c r="C1451" s="40" t="s">
        <v>2693</v>
      </c>
      <c r="D1451" s="40" t="s">
        <v>2233</v>
      </c>
      <c r="E1451" s="40" t="s">
        <v>2233</v>
      </c>
      <c r="F1451" s="40">
        <v>1</v>
      </c>
      <c r="G1451" s="40"/>
      <c r="H1451" s="40" t="s">
        <v>97</v>
      </c>
      <c r="I1451" s="40"/>
      <c r="J1451" s="40" t="s">
        <v>82</v>
      </c>
      <c r="K1451" s="40" t="s">
        <v>195</v>
      </c>
      <c r="L1451" s="40" t="s">
        <v>97</v>
      </c>
    </row>
    <row r="1452" spans="1:12" x14ac:dyDescent="0.25">
      <c r="A1452" s="40" t="s">
        <v>44</v>
      </c>
      <c r="B1452" s="40" t="s">
        <v>1806</v>
      </c>
      <c r="C1452" s="40" t="s">
        <v>2694</v>
      </c>
      <c r="D1452" s="40" t="s">
        <v>2233</v>
      </c>
      <c r="E1452" s="40" t="s">
        <v>2233</v>
      </c>
      <c r="F1452" s="40">
        <v>1</v>
      </c>
      <c r="G1452" s="40"/>
      <c r="H1452" s="40" t="s">
        <v>97</v>
      </c>
      <c r="I1452" s="40"/>
      <c r="J1452" s="40" t="s">
        <v>82</v>
      </c>
      <c r="K1452" s="40" t="s">
        <v>195</v>
      </c>
      <c r="L1452" s="40" t="s">
        <v>97</v>
      </c>
    </row>
    <row r="1453" spans="1:12" x14ac:dyDescent="0.25">
      <c r="A1453" s="40" t="s">
        <v>44</v>
      </c>
      <c r="B1453" s="40" t="s">
        <v>1808</v>
      </c>
      <c r="C1453" s="40" t="s">
        <v>2695</v>
      </c>
      <c r="D1453" s="40" t="s">
        <v>2233</v>
      </c>
      <c r="E1453" s="40" t="s">
        <v>2233</v>
      </c>
      <c r="F1453" s="40">
        <v>1</v>
      </c>
      <c r="G1453" s="40"/>
      <c r="H1453" s="40" t="s">
        <v>97</v>
      </c>
      <c r="I1453" s="40"/>
      <c r="J1453" s="40" t="s">
        <v>82</v>
      </c>
      <c r="K1453" s="40" t="s">
        <v>195</v>
      </c>
      <c r="L1453" s="40" t="s">
        <v>97</v>
      </c>
    </row>
    <row r="1454" spans="1:12" x14ac:dyDescent="0.25">
      <c r="A1454" s="40" t="s">
        <v>44</v>
      </c>
      <c r="B1454" s="40" t="s">
        <v>1810</v>
      </c>
      <c r="C1454" s="40" t="s">
        <v>2696</v>
      </c>
      <c r="D1454" s="40" t="s">
        <v>2233</v>
      </c>
      <c r="E1454" s="40" t="s">
        <v>2233</v>
      </c>
      <c r="F1454" s="40">
        <v>1</v>
      </c>
      <c r="G1454" s="40"/>
      <c r="H1454" s="40" t="s">
        <v>97</v>
      </c>
      <c r="I1454" s="40"/>
      <c r="J1454" s="40" t="s">
        <v>82</v>
      </c>
      <c r="K1454" s="40" t="s">
        <v>195</v>
      </c>
      <c r="L1454" s="40" t="s">
        <v>97</v>
      </c>
    </row>
    <row r="1455" spans="1:12" x14ac:dyDescent="0.25">
      <c r="A1455" s="40" t="s">
        <v>44</v>
      </c>
      <c r="B1455" s="40" t="s">
        <v>1812</v>
      </c>
      <c r="C1455" s="40" t="s">
        <v>2697</v>
      </c>
      <c r="D1455" s="40" t="s">
        <v>2233</v>
      </c>
      <c r="E1455" s="40" t="s">
        <v>2233</v>
      </c>
      <c r="F1455" s="40">
        <v>1</v>
      </c>
      <c r="G1455" s="40"/>
      <c r="H1455" s="40" t="s">
        <v>97</v>
      </c>
      <c r="I1455" s="40"/>
      <c r="J1455" s="40" t="s">
        <v>82</v>
      </c>
      <c r="K1455" s="40" t="s">
        <v>195</v>
      </c>
      <c r="L1455" s="40" t="s">
        <v>97</v>
      </c>
    </row>
    <row r="1456" spans="1:12" x14ac:dyDescent="0.25">
      <c r="A1456" s="40" t="s">
        <v>44</v>
      </c>
      <c r="B1456" s="40" t="s">
        <v>1814</v>
      </c>
      <c r="C1456" s="40" t="s">
        <v>2698</v>
      </c>
      <c r="D1456" s="40" t="s">
        <v>2233</v>
      </c>
      <c r="E1456" s="40" t="s">
        <v>2233</v>
      </c>
      <c r="F1456" s="40">
        <v>1</v>
      </c>
      <c r="G1456" s="40"/>
      <c r="H1456" s="40" t="s">
        <v>97</v>
      </c>
      <c r="I1456" s="40"/>
      <c r="J1456" s="40" t="s">
        <v>82</v>
      </c>
      <c r="K1456" s="40" t="s">
        <v>195</v>
      </c>
      <c r="L1456" s="40" t="s">
        <v>97</v>
      </c>
    </row>
    <row r="1457" spans="1:12" x14ac:dyDescent="0.25">
      <c r="A1457" s="40" t="s">
        <v>44</v>
      </c>
      <c r="B1457" s="40" t="s">
        <v>1816</v>
      </c>
      <c r="C1457" s="40" t="s">
        <v>2699</v>
      </c>
      <c r="D1457" s="40" t="s">
        <v>2233</v>
      </c>
      <c r="E1457" s="40" t="s">
        <v>2233</v>
      </c>
      <c r="F1457" s="40">
        <v>1</v>
      </c>
      <c r="G1457" s="40"/>
      <c r="H1457" s="40" t="s">
        <v>97</v>
      </c>
      <c r="I1457" s="40"/>
      <c r="J1457" s="40" t="s">
        <v>82</v>
      </c>
      <c r="K1457" s="40" t="s">
        <v>195</v>
      </c>
      <c r="L1457" s="40" t="s">
        <v>97</v>
      </c>
    </row>
    <row r="1458" spans="1:12" x14ac:dyDescent="0.25">
      <c r="A1458" s="40" t="s">
        <v>44</v>
      </c>
      <c r="B1458" s="40" t="s">
        <v>1818</v>
      </c>
      <c r="C1458" s="40" t="s">
        <v>2700</v>
      </c>
      <c r="D1458" s="40" t="s">
        <v>2233</v>
      </c>
      <c r="E1458" s="40" t="s">
        <v>2233</v>
      </c>
      <c r="F1458" s="40">
        <v>1</v>
      </c>
      <c r="G1458" s="40"/>
      <c r="H1458" s="40" t="s">
        <v>97</v>
      </c>
      <c r="I1458" s="40"/>
      <c r="J1458" s="40" t="s">
        <v>82</v>
      </c>
      <c r="K1458" s="40" t="s">
        <v>195</v>
      </c>
      <c r="L1458" s="40" t="s">
        <v>97</v>
      </c>
    </row>
    <row r="1459" spans="1:12" x14ac:dyDescent="0.25">
      <c r="A1459" s="40" t="s">
        <v>44</v>
      </c>
      <c r="B1459" s="40" t="s">
        <v>1820</v>
      </c>
      <c r="C1459" s="40" t="s">
        <v>2701</v>
      </c>
      <c r="D1459" s="40" t="s">
        <v>2233</v>
      </c>
      <c r="E1459" s="40" t="s">
        <v>2233</v>
      </c>
      <c r="F1459" s="40">
        <v>1</v>
      </c>
      <c r="G1459" s="40"/>
      <c r="H1459" s="40" t="s">
        <v>97</v>
      </c>
      <c r="I1459" s="40"/>
      <c r="J1459" s="40" t="s">
        <v>82</v>
      </c>
      <c r="K1459" s="40" t="s">
        <v>195</v>
      </c>
      <c r="L1459" s="40" t="s">
        <v>97</v>
      </c>
    </row>
    <row r="1460" spans="1:12" x14ac:dyDescent="0.25">
      <c r="A1460" s="40" t="s">
        <v>44</v>
      </c>
      <c r="B1460" s="40" t="s">
        <v>1822</v>
      </c>
      <c r="C1460" s="40" t="s">
        <v>2702</v>
      </c>
      <c r="D1460" s="40" t="s">
        <v>2233</v>
      </c>
      <c r="E1460" s="40" t="s">
        <v>2233</v>
      </c>
      <c r="F1460" s="40">
        <v>1</v>
      </c>
      <c r="G1460" s="40"/>
      <c r="H1460" s="40" t="s">
        <v>97</v>
      </c>
      <c r="I1460" s="40"/>
      <c r="J1460" s="40" t="s">
        <v>82</v>
      </c>
      <c r="K1460" s="40" t="s">
        <v>195</v>
      </c>
      <c r="L1460" s="40" t="s">
        <v>97</v>
      </c>
    </row>
    <row r="1461" spans="1:12" x14ac:dyDescent="0.25">
      <c r="A1461" s="40" t="s">
        <v>44</v>
      </c>
      <c r="B1461" s="40" t="s">
        <v>1824</v>
      </c>
      <c r="C1461" s="40" t="s">
        <v>2703</v>
      </c>
      <c r="D1461" s="40" t="s">
        <v>2233</v>
      </c>
      <c r="E1461" s="40" t="s">
        <v>2233</v>
      </c>
      <c r="F1461" s="40">
        <v>1</v>
      </c>
      <c r="G1461" s="40"/>
      <c r="H1461" s="40" t="s">
        <v>97</v>
      </c>
      <c r="I1461" s="40"/>
      <c r="J1461" s="40" t="s">
        <v>82</v>
      </c>
      <c r="K1461" s="40" t="s">
        <v>195</v>
      </c>
      <c r="L1461" s="40" t="s">
        <v>97</v>
      </c>
    </row>
    <row r="1462" spans="1:12" x14ac:dyDescent="0.25">
      <c r="A1462" s="40" t="s">
        <v>44</v>
      </c>
      <c r="B1462" s="40" t="s">
        <v>1826</v>
      </c>
      <c r="C1462" s="40" t="s">
        <v>2704</v>
      </c>
      <c r="D1462" s="40" t="s">
        <v>2233</v>
      </c>
      <c r="E1462" s="40" t="s">
        <v>2233</v>
      </c>
      <c r="F1462" s="40">
        <v>1</v>
      </c>
      <c r="G1462" s="40"/>
      <c r="H1462" s="40" t="s">
        <v>97</v>
      </c>
      <c r="I1462" s="40"/>
      <c r="J1462" s="40" t="s">
        <v>82</v>
      </c>
      <c r="K1462" s="40" t="s">
        <v>195</v>
      </c>
      <c r="L1462" s="40" t="s">
        <v>97</v>
      </c>
    </row>
    <row r="1463" spans="1:12" x14ac:dyDescent="0.25">
      <c r="A1463" s="40" t="s">
        <v>44</v>
      </c>
      <c r="B1463" s="40" t="s">
        <v>1828</v>
      </c>
      <c r="C1463" s="40" t="s">
        <v>2705</v>
      </c>
      <c r="D1463" s="40" t="s">
        <v>2233</v>
      </c>
      <c r="E1463" s="40" t="s">
        <v>2233</v>
      </c>
      <c r="F1463" s="40">
        <v>1</v>
      </c>
      <c r="G1463" s="40"/>
      <c r="H1463" s="40" t="s">
        <v>97</v>
      </c>
      <c r="I1463" s="40"/>
      <c r="J1463" s="40" t="s">
        <v>82</v>
      </c>
      <c r="K1463" s="40" t="s">
        <v>195</v>
      </c>
      <c r="L1463" s="40" t="s">
        <v>97</v>
      </c>
    </row>
    <row r="1464" spans="1:12" x14ac:dyDescent="0.25">
      <c r="A1464" s="40" t="s">
        <v>44</v>
      </c>
      <c r="B1464" s="40" t="s">
        <v>2706</v>
      </c>
      <c r="C1464" s="40" t="s">
        <v>2707</v>
      </c>
      <c r="D1464" s="40" t="s">
        <v>2233</v>
      </c>
      <c r="E1464" s="40" t="s">
        <v>2233</v>
      </c>
      <c r="F1464" s="40">
        <v>1</v>
      </c>
      <c r="G1464" s="40"/>
      <c r="H1464" s="40" t="s">
        <v>97</v>
      </c>
      <c r="I1464" s="40"/>
      <c r="J1464" s="40" t="s">
        <v>82</v>
      </c>
      <c r="K1464" s="40" t="s">
        <v>195</v>
      </c>
      <c r="L1464" s="40" t="s">
        <v>97</v>
      </c>
    </row>
    <row r="1465" spans="1:12" x14ac:dyDescent="0.25">
      <c r="A1465" s="40" t="s">
        <v>44</v>
      </c>
      <c r="B1465" s="40" t="s">
        <v>2708</v>
      </c>
      <c r="C1465" s="40" t="s">
        <v>2709</v>
      </c>
      <c r="D1465" s="40" t="s">
        <v>2233</v>
      </c>
      <c r="E1465" s="40" t="s">
        <v>2233</v>
      </c>
      <c r="F1465" s="40">
        <v>1</v>
      </c>
      <c r="G1465" s="40"/>
      <c r="H1465" s="40" t="s">
        <v>97</v>
      </c>
      <c r="I1465" s="40"/>
      <c r="J1465" s="40" t="s">
        <v>82</v>
      </c>
      <c r="K1465" s="40" t="s">
        <v>195</v>
      </c>
      <c r="L1465" s="40" t="s">
        <v>97</v>
      </c>
    </row>
    <row r="1466" spans="1:12" x14ac:dyDescent="0.25">
      <c r="A1466" s="40" t="s">
        <v>44</v>
      </c>
      <c r="B1466" s="40" t="s">
        <v>2710</v>
      </c>
      <c r="C1466" s="40" t="s">
        <v>2711</v>
      </c>
      <c r="D1466" s="40" t="s">
        <v>2233</v>
      </c>
      <c r="E1466" s="40" t="s">
        <v>2233</v>
      </c>
      <c r="F1466" s="40">
        <v>1</v>
      </c>
      <c r="G1466" s="40"/>
      <c r="H1466" s="40" t="s">
        <v>97</v>
      </c>
      <c r="I1466" s="40"/>
      <c r="J1466" s="40" t="s">
        <v>82</v>
      </c>
      <c r="K1466" s="40" t="s">
        <v>195</v>
      </c>
      <c r="L1466" s="40" t="s">
        <v>97</v>
      </c>
    </row>
    <row r="1467" spans="1:12" x14ac:dyDescent="0.25">
      <c r="A1467" s="40" t="s">
        <v>44</v>
      </c>
      <c r="B1467" s="40" t="s">
        <v>1902</v>
      </c>
      <c r="C1467" s="40" t="s">
        <v>2712</v>
      </c>
      <c r="D1467" s="40" t="s">
        <v>2233</v>
      </c>
      <c r="E1467" s="40" t="s">
        <v>2233</v>
      </c>
      <c r="F1467" s="40">
        <v>1</v>
      </c>
      <c r="G1467" s="40"/>
      <c r="H1467" s="40" t="s">
        <v>97</v>
      </c>
      <c r="I1467" s="40"/>
      <c r="J1467" s="40" t="s">
        <v>82</v>
      </c>
      <c r="K1467" s="40" t="s">
        <v>195</v>
      </c>
      <c r="L1467" s="40" t="s">
        <v>97</v>
      </c>
    </row>
    <row r="1468" spans="1:12" x14ac:dyDescent="0.25">
      <c r="A1468" s="40" t="s">
        <v>44</v>
      </c>
      <c r="B1468" s="40" t="s">
        <v>1905</v>
      </c>
      <c r="C1468" s="40" t="s">
        <v>2713</v>
      </c>
      <c r="D1468" s="40" t="s">
        <v>2233</v>
      </c>
      <c r="E1468" s="40" t="s">
        <v>2233</v>
      </c>
      <c r="F1468" s="40">
        <v>1</v>
      </c>
      <c r="G1468" s="40"/>
      <c r="H1468" s="40" t="s">
        <v>97</v>
      </c>
      <c r="I1468" s="40"/>
      <c r="J1468" s="40" t="s">
        <v>82</v>
      </c>
      <c r="K1468" s="40" t="s">
        <v>195</v>
      </c>
      <c r="L1468" s="40" t="s">
        <v>97</v>
      </c>
    </row>
    <row r="1469" spans="1:12" x14ac:dyDescent="0.25">
      <c r="A1469" s="40" t="s">
        <v>44</v>
      </c>
      <c r="B1469" s="40" t="s">
        <v>1908</v>
      </c>
      <c r="C1469" s="40" t="s">
        <v>2714</v>
      </c>
      <c r="D1469" s="40" t="s">
        <v>2233</v>
      </c>
      <c r="E1469" s="40" t="s">
        <v>2233</v>
      </c>
      <c r="F1469" s="40">
        <v>1</v>
      </c>
      <c r="G1469" s="40"/>
      <c r="H1469" s="40" t="s">
        <v>97</v>
      </c>
      <c r="I1469" s="40"/>
      <c r="J1469" s="40" t="s">
        <v>82</v>
      </c>
      <c r="K1469" s="40" t="s">
        <v>195</v>
      </c>
      <c r="L1469" s="40" t="s">
        <v>97</v>
      </c>
    </row>
    <row r="1470" spans="1:12" x14ac:dyDescent="0.25">
      <c r="A1470" s="40" t="s">
        <v>44</v>
      </c>
      <c r="B1470" s="40" t="s">
        <v>2715</v>
      </c>
      <c r="C1470" s="40" t="s">
        <v>2716</v>
      </c>
      <c r="D1470" s="40" t="s">
        <v>2233</v>
      </c>
      <c r="E1470" s="40" t="s">
        <v>2233</v>
      </c>
      <c r="F1470" s="40">
        <v>1</v>
      </c>
      <c r="G1470" s="40"/>
      <c r="H1470" s="40" t="s">
        <v>97</v>
      </c>
      <c r="I1470" s="40"/>
      <c r="J1470" s="40" t="s">
        <v>82</v>
      </c>
      <c r="K1470" s="40" t="s">
        <v>195</v>
      </c>
      <c r="L1470" s="40" t="s">
        <v>97</v>
      </c>
    </row>
    <row r="1471" spans="1:12" x14ac:dyDescent="0.25">
      <c r="A1471" s="40" t="s">
        <v>44</v>
      </c>
      <c r="B1471" s="40" t="s">
        <v>2717</v>
      </c>
      <c r="C1471" s="40" t="s">
        <v>2718</v>
      </c>
      <c r="D1471" s="40" t="s">
        <v>2233</v>
      </c>
      <c r="E1471" s="40" t="s">
        <v>2233</v>
      </c>
      <c r="F1471" s="40">
        <v>1</v>
      </c>
      <c r="G1471" s="40"/>
      <c r="H1471" s="40" t="s">
        <v>97</v>
      </c>
      <c r="I1471" s="40"/>
      <c r="J1471" s="40" t="s">
        <v>82</v>
      </c>
      <c r="K1471" s="40" t="s">
        <v>195</v>
      </c>
      <c r="L1471" s="40" t="s">
        <v>97</v>
      </c>
    </row>
    <row r="1472" spans="1:12" x14ac:dyDescent="0.25">
      <c r="A1472" s="40" t="s">
        <v>44</v>
      </c>
      <c r="B1472" s="40" t="s">
        <v>1982</v>
      </c>
      <c r="C1472" s="40" t="s">
        <v>2719</v>
      </c>
      <c r="D1472" s="40" t="s">
        <v>2233</v>
      </c>
      <c r="E1472" s="40" t="s">
        <v>2233</v>
      </c>
      <c r="F1472" s="40">
        <v>1</v>
      </c>
      <c r="G1472" s="40"/>
      <c r="H1472" s="40" t="s">
        <v>97</v>
      </c>
      <c r="I1472" s="40"/>
      <c r="J1472" s="40" t="s">
        <v>82</v>
      </c>
      <c r="K1472" s="40" t="s">
        <v>195</v>
      </c>
      <c r="L1472" s="40" t="s">
        <v>97</v>
      </c>
    </row>
    <row r="1473" spans="1:12" x14ac:dyDescent="0.25">
      <c r="A1473" s="40" t="s">
        <v>44</v>
      </c>
      <c r="B1473" s="40" t="s">
        <v>1984</v>
      </c>
      <c r="C1473" s="40" t="s">
        <v>2720</v>
      </c>
      <c r="D1473" s="40" t="s">
        <v>2233</v>
      </c>
      <c r="E1473" s="40" t="s">
        <v>2233</v>
      </c>
      <c r="F1473" s="40">
        <v>1</v>
      </c>
      <c r="G1473" s="40"/>
      <c r="H1473" s="40" t="s">
        <v>97</v>
      </c>
      <c r="I1473" s="40"/>
      <c r="J1473" s="40" t="s">
        <v>82</v>
      </c>
      <c r="K1473" s="40" t="s">
        <v>195</v>
      </c>
      <c r="L1473" s="40" t="s">
        <v>97</v>
      </c>
    </row>
    <row r="1474" spans="1:12" x14ac:dyDescent="0.25">
      <c r="A1474" s="40" t="s">
        <v>43</v>
      </c>
      <c r="B1474" s="40" t="s">
        <v>496</v>
      </c>
      <c r="C1474" s="40" t="s">
        <v>2721</v>
      </c>
      <c r="D1474" s="40" t="s">
        <v>2233</v>
      </c>
      <c r="E1474" s="40" t="s">
        <v>2233</v>
      </c>
      <c r="F1474" s="40">
        <v>1</v>
      </c>
      <c r="G1474" s="40"/>
      <c r="H1474" s="40" t="s">
        <v>2234</v>
      </c>
      <c r="I1474" s="40"/>
      <c r="J1474" s="40" t="s">
        <v>195</v>
      </c>
      <c r="K1474" s="40" t="s">
        <v>195</v>
      </c>
      <c r="L1474" s="40" t="s">
        <v>97</v>
      </c>
    </row>
    <row r="1475" spans="1:12" x14ac:dyDescent="0.25">
      <c r="A1475" s="40" t="s">
        <v>43</v>
      </c>
      <c r="B1475" s="40" t="s">
        <v>1304</v>
      </c>
      <c r="C1475" s="40" t="s">
        <v>2722</v>
      </c>
      <c r="D1475" s="40" t="s">
        <v>2723</v>
      </c>
      <c r="E1475" s="40" t="s">
        <v>2724</v>
      </c>
      <c r="F1475" s="40">
        <v>1</v>
      </c>
      <c r="G1475" s="40"/>
      <c r="H1475" s="40" t="s">
        <v>2234</v>
      </c>
      <c r="I1475" s="40"/>
      <c r="J1475" s="40" t="s">
        <v>195</v>
      </c>
      <c r="K1475" s="40" t="s">
        <v>195</v>
      </c>
      <c r="L1475" s="40" t="s">
        <v>97</v>
      </c>
    </row>
    <row r="1476" spans="1:12" x14ac:dyDescent="0.25">
      <c r="A1476" s="40" t="s">
        <v>43</v>
      </c>
      <c r="B1476" s="40" t="s">
        <v>498</v>
      </c>
      <c r="C1476" s="40" t="s">
        <v>2725</v>
      </c>
      <c r="D1476" s="40" t="s">
        <v>2341</v>
      </c>
      <c r="E1476" s="40" t="s">
        <v>2341</v>
      </c>
      <c r="F1476" s="40">
        <v>1</v>
      </c>
      <c r="G1476" s="40"/>
      <c r="H1476" s="40" t="s">
        <v>2234</v>
      </c>
      <c r="I1476" s="40"/>
      <c r="J1476" s="40" t="s">
        <v>195</v>
      </c>
      <c r="K1476" s="40" t="s">
        <v>195</v>
      </c>
      <c r="L1476" s="40" t="s">
        <v>97</v>
      </c>
    </row>
    <row r="1477" spans="1:12" x14ac:dyDescent="0.25">
      <c r="A1477" s="40" t="s">
        <v>43</v>
      </c>
      <c r="B1477" s="40" t="s">
        <v>502</v>
      </c>
      <c r="C1477" s="40" t="s">
        <v>2726</v>
      </c>
      <c r="D1477" s="40" t="s">
        <v>2233</v>
      </c>
      <c r="E1477" s="40" t="s">
        <v>2233</v>
      </c>
      <c r="F1477" s="40">
        <v>1</v>
      </c>
      <c r="G1477" s="40"/>
      <c r="H1477" s="40" t="s">
        <v>2234</v>
      </c>
      <c r="I1477" s="40"/>
      <c r="J1477" s="40" t="s">
        <v>195</v>
      </c>
      <c r="K1477" s="40" t="s">
        <v>195</v>
      </c>
      <c r="L1477" s="40" t="s">
        <v>97</v>
      </c>
    </row>
    <row r="1478" spans="1:12" x14ac:dyDescent="0.25">
      <c r="A1478" s="40" t="s">
        <v>43</v>
      </c>
      <c r="B1478" s="40" t="s">
        <v>518</v>
      </c>
      <c r="C1478" s="40" t="s">
        <v>2727</v>
      </c>
      <c r="D1478" s="40" t="s">
        <v>2728</v>
      </c>
      <c r="E1478" s="40" t="s">
        <v>2728</v>
      </c>
      <c r="F1478" s="40">
        <v>1</v>
      </c>
      <c r="G1478" s="40"/>
      <c r="H1478" s="40" t="s">
        <v>2234</v>
      </c>
      <c r="I1478" s="40"/>
      <c r="J1478" s="40" t="s">
        <v>195</v>
      </c>
      <c r="K1478" s="40" t="s">
        <v>195</v>
      </c>
      <c r="L1478" s="40" t="s">
        <v>97</v>
      </c>
    </row>
    <row r="1479" spans="1:12" x14ac:dyDescent="0.25">
      <c r="A1479" s="40" t="s">
        <v>43</v>
      </c>
      <c r="B1479" s="40" t="s">
        <v>521</v>
      </c>
      <c r="C1479" s="40" t="s">
        <v>2729</v>
      </c>
      <c r="D1479" s="40" t="s">
        <v>2233</v>
      </c>
      <c r="E1479" s="40" t="s">
        <v>2233</v>
      </c>
      <c r="F1479" s="40">
        <v>1</v>
      </c>
      <c r="G1479" s="40"/>
      <c r="H1479" s="40" t="s">
        <v>2234</v>
      </c>
      <c r="I1479" s="40"/>
      <c r="J1479" s="40" t="s">
        <v>195</v>
      </c>
      <c r="K1479" s="40" t="s">
        <v>195</v>
      </c>
      <c r="L1479" s="40" t="s">
        <v>97</v>
      </c>
    </row>
    <row r="1480" spans="1:12" x14ac:dyDescent="0.25">
      <c r="A1480" s="40" t="s">
        <v>43</v>
      </c>
      <c r="B1480" s="40" t="s">
        <v>535</v>
      </c>
      <c r="C1480" s="40" t="s">
        <v>2730</v>
      </c>
      <c r="D1480" s="40" t="s">
        <v>2731</v>
      </c>
      <c r="E1480" s="40" t="s">
        <v>2233</v>
      </c>
      <c r="F1480" s="40">
        <v>0</v>
      </c>
      <c r="G1480" s="40"/>
      <c r="H1480" s="40" t="s">
        <v>2234</v>
      </c>
      <c r="I1480" s="40"/>
      <c r="J1480" s="40" t="s">
        <v>195</v>
      </c>
      <c r="K1480" s="40" t="s">
        <v>195</v>
      </c>
      <c r="L1480" s="40" t="s">
        <v>97</v>
      </c>
    </row>
    <row r="1481" spans="1:12" x14ac:dyDescent="0.25">
      <c r="A1481" s="40" t="s">
        <v>43</v>
      </c>
      <c r="B1481" s="40" t="s">
        <v>537</v>
      </c>
      <c r="C1481" s="40" t="s">
        <v>2732</v>
      </c>
      <c r="D1481" s="40" t="s">
        <v>2233</v>
      </c>
      <c r="E1481" s="40" t="s">
        <v>2233</v>
      </c>
      <c r="F1481" s="40">
        <v>1</v>
      </c>
      <c r="G1481" s="40"/>
      <c r="H1481" s="40" t="s">
        <v>2234</v>
      </c>
      <c r="I1481" s="40"/>
      <c r="J1481" s="40" t="s">
        <v>195</v>
      </c>
      <c r="K1481" s="40" t="s">
        <v>195</v>
      </c>
      <c r="L1481" s="40" t="s">
        <v>97</v>
      </c>
    </row>
    <row r="1482" spans="1:12" x14ac:dyDescent="0.25">
      <c r="A1482" s="40" t="s">
        <v>43</v>
      </c>
      <c r="B1482" s="40" t="s">
        <v>544</v>
      </c>
      <c r="C1482" s="40" t="s">
        <v>2733</v>
      </c>
      <c r="D1482" s="40" t="s">
        <v>2281</v>
      </c>
      <c r="E1482" s="40" t="s">
        <v>2281</v>
      </c>
      <c r="F1482" s="40">
        <v>1</v>
      </c>
      <c r="G1482" s="40"/>
      <c r="H1482" s="40" t="s">
        <v>2234</v>
      </c>
      <c r="I1482" s="40"/>
      <c r="J1482" s="40" t="s">
        <v>195</v>
      </c>
      <c r="K1482" s="40" t="s">
        <v>195</v>
      </c>
      <c r="L1482" s="40" t="s">
        <v>97</v>
      </c>
    </row>
    <row r="1483" spans="1:12" x14ac:dyDescent="0.25">
      <c r="A1483" s="40" t="s">
        <v>43</v>
      </c>
      <c r="B1483" s="40" t="s">
        <v>1339</v>
      </c>
      <c r="C1483" s="40" t="s">
        <v>2734</v>
      </c>
      <c r="D1483" s="40" t="s">
        <v>2233</v>
      </c>
      <c r="E1483" s="40" t="s">
        <v>2233</v>
      </c>
      <c r="F1483" s="40">
        <v>1</v>
      </c>
      <c r="G1483" s="40"/>
      <c r="H1483" s="40" t="s">
        <v>2234</v>
      </c>
      <c r="I1483" s="40"/>
      <c r="J1483" s="40" t="s">
        <v>195</v>
      </c>
      <c r="K1483" s="40" t="s">
        <v>195</v>
      </c>
      <c r="L1483" s="40" t="s">
        <v>97</v>
      </c>
    </row>
    <row r="1484" spans="1:12" x14ac:dyDescent="0.25">
      <c r="A1484" s="40" t="s">
        <v>43</v>
      </c>
      <c r="B1484" s="40" t="s">
        <v>577</v>
      </c>
      <c r="C1484" s="40" t="s">
        <v>2735</v>
      </c>
      <c r="D1484" s="40" t="s">
        <v>2736</v>
      </c>
      <c r="E1484" s="40" t="s">
        <v>2737</v>
      </c>
      <c r="F1484" s="40">
        <v>0</v>
      </c>
      <c r="G1484" s="40"/>
      <c r="H1484" s="40" t="s">
        <v>2234</v>
      </c>
      <c r="I1484" s="40"/>
      <c r="J1484" s="40" t="s">
        <v>195</v>
      </c>
      <c r="K1484" s="40" t="s">
        <v>195</v>
      </c>
      <c r="L1484" s="40" t="s">
        <v>97</v>
      </c>
    </row>
    <row r="1485" spans="1:12" x14ac:dyDescent="0.25">
      <c r="A1485" s="40" t="s">
        <v>43</v>
      </c>
      <c r="B1485" s="40" t="s">
        <v>582</v>
      </c>
      <c r="C1485" s="40" t="s">
        <v>2738</v>
      </c>
      <c r="D1485" s="40" t="s">
        <v>2739</v>
      </c>
      <c r="E1485" s="40" t="s">
        <v>2233</v>
      </c>
      <c r="F1485" s="40">
        <v>0</v>
      </c>
      <c r="G1485" s="40"/>
      <c r="H1485" s="40" t="s">
        <v>2234</v>
      </c>
      <c r="I1485" s="40"/>
      <c r="J1485" s="40" t="s">
        <v>195</v>
      </c>
      <c r="K1485" s="40" t="s">
        <v>195</v>
      </c>
      <c r="L1485" s="40" t="s">
        <v>97</v>
      </c>
    </row>
    <row r="1486" spans="1:12" x14ac:dyDescent="0.25">
      <c r="A1486" s="40" t="s">
        <v>43</v>
      </c>
      <c r="B1486" s="40" t="s">
        <v>586</v>
      </c>
      <c r="C1486" s="40" t="s">
        <v>2740</v>
      </c>
      <c r="D1486" s="40" t="s">
        <v>2741</v>
      </c>
      <c r="E1486" s="40" t="s">
        <v>2233</v>
      </c>
      <c r="F1486" s="40">
        <v>0</v>
      </c>
      <c r="G1486" s="40"/>
      <c r="H1486" s="40" t="s">
        <v>2234</v>
      </c>
      <c r="I1486" s="40"/>
      <c r="J1486" s="40" t="s">
        <v>195</v>
      </c>
      <c r="K1486" s="40" t="s">
        <v>195</v>
      </c>
      <c r="L1486" s="40" t="s">
        <v>97</v>
      </c>
    </row>
    <row r="1487" spans="1:12" x14ac:dyDescent="0.25">
      <c r="A1487" s="40" t="s">
        <v>43</v>
      </c>
      <c r="B1487" s="40" t="s">
        <v>588</v>
      </c>
      <c r="C1487" s="40" t="s">
        <v>2742</v>
      </c>
      <c r="D1487" s="40" t="s">
        <v>2233</v>
      </c>
      <c r="E1487" s="40" t="s">
        <v>2233</v>
      </c>
      <c r="F1487" s="40">
        <v>1</v>
      </c>
      <c r="G1487" s="40"/>
      <c r="H1487" s="40" t="s">
        <v>97</v>
      </c>
      <c r="I1487" s="40"/>
      <c r="J1487" s="40" t="s">
        <v>195</v>
      </c>
      <c r="K1487" s="40" t="s">
        <v>195</v>
      </c>
      <c r="L1487" s="40" t="s">
        <v>97</v>
      </c>
    </row>
    <row r="1488" spans="1:12" x14ac:dyDescent="0.25">
      <c r="A1488" s="40" t="s">
        <v>43</v>
      </c>
      <c r="B1488" s="40" t="s">
        <v>593</v>
      </c>
      <c r="C1488" s="40" t="s">
        <v>2743</v>
      </c>
      <c r="D1488" s="40" t="s">
        <v>2233</v>
      </c>
      <c r="E1488" s="40" t="s">
        <v>2737</v>
      </c>
      <c r="F1488" s="40">
        <v>0</v>
      </c>
      <c r="G1488" s="40"/>
      <c r="H1488" s="40" t="s">
        <v>2234</v>
      </c>
      <c r="I1488" s="40"/>
      <c r="J1488" s="40" t="s">
        <v>195</v>
      </c>
      <c r="K1488" s="40" t="s">
        <v>195</v>
      </c>
      <c r="L1488" s="40" t="s">
        <v>97</v>
      </c>
    </row>
    <row r="1489" spans="1:12" x14ac:dyDescent="0.25">
      <c r="A1489" s="40" t="s">
        <v>43</v>
      </c>
      <c r="B1489" s="40" t="s">
        <v>598</v>
      </c>
      <c r="C1489" s="40" t="s">
        <v>2744</v>
      </c>
      <c r="D1489" s="40" t="s">
        <v>2233</v>
      </c>
      <c r="E1489" s="40" t="s">
        <v>2233</v>
      </c>
      <c r="F1489" s="40">
        <v>1</v>
      </c>
      <c r="G1489" s="40"/>
      <c r="H1489" s="40" t="s">
        <v>2234</v>
      </c>
      <c r="I1489" s="40"/>
      <c r="J1489" s="40" t="s">
        <v>195</v>
      </c>
      <c r="K1489" s="40" t="s">
        <v>195</v>
      </c>
      <c r="L1489" s="40" t="s">
        <v>97</v>
      </c>
    </row>
    <row r="1490" spans="1:12" x14ac:dyDescent="0.25">
      <c r="A1490" s="40" t="s">
        <v>43</v>
      </c>
      <c r="B1490" s="40" t="s">
        <v>2266</v>
      </c>
      <c r="C1490" s="40" t="s">
        <v>2745</v>
      </c>
      <c r="D1490" s="40" t="s">
        <v>2233</v>
      </c>
      <c r="E1490" s="40" t="s">
        <v>2233</v>
      </c>
      <c r="F1490" s="40">
        <v>1</v>
      </c>
      <c r="G1490" s="40"/>
      <c r="H1490" s="40" t="s">
        <v>2234</v>
      </c>
      <c r="I1490" s="40"/>
      <c r="J1490" s="40" t="s">
        <v>195</v>
      </c>
      <c r="K1490" s="40" t="s">
        <v>195</v>
      </c>
      <c r="L1490" s="40" t="s">
        <v>97</v>
      </c>
    </row>
    <row r="1491" spans="1:12" x14ac:dyDescent="0.25">
      <c r="A1491" s="40" t="s">
        <v>43</v>
      </c>
      <c r="B1491" s="40" t="s">
        <v>601</v>
      </c>
      <c r="C1491" s="40" t="s">
        <v>2746</v>
      </c>
      <c r="D1491" s="40" t="s">
        <v>2233</v>
      </c>
      <c r="E1491" s="40" t="s">
        <v>2233</v>
      </c>
      <c r="F1491" s="40">
        <v>1</v>
      </c>
      <c r="G1491" s="40"/>
      <c r="H1491" s="40" t="s">
        <v>97</v>
      </c>
      <c r="I1491" s="40"/>
      <c r="J1491" s="40" t="s">
        <v>195</v>
      </c>
      <c r="K1491" s="40" t="s">
        <v>195</v>
      </c>
      <c r="L1491" s="40" t="s">
        <v>97</v>
      </c>
    </row>
    <row r="1492" spans="1:12" x14ac:dyDescent="0.25">
      <c r="A1492" s="40" t="s">
        <v>43</v>
      </c>
      <c r="B1492" s="40" t="s">
        <v>2268</v>
      </c>
      <c r="C1492" s="40" t="s">
        <v>2747</v>
      </c>
      <c r="D1492" s="40" t="s">
        <v>2233</v>
      </c>
      <c r="E1492" s="40" t="s">
        <v>2737</v>
      </c>
      <c r="F1492" s="40">
        <v>0</v>
      </c>
      <c r="G1492" s="40"/>
      <c r="H1492" s="40" t="s">
        <v>2234</v>
      </c>
      <c r="I1492" s="40"/>
      <c r="J1492" s="40" t="s">
        <v>195</v>
      </c>
      <c r="K1492" s="40" t="s">
        <v>195</v>
      </c>
      <c r="L1492" s="40" t="s">
        <v>97</v>
      </c>
    </row>
    <row r="1493" spans="1:12" x14ac:dyDescent="0.25">
      <c r="A1493" s="40" t="s">
        <v>43</v>
      </c>
      <c r="B1493" s="40" t="s">
        <v>2274</v>
      </c>
      <c r="C1493" s="40" t="s">
        <v>2748</v>
      </c>
      <c r="D1493" s="40" t="s">
        <v>2233</v>
      </c>
      <c r="E1493" s="40" t="s">
        <v>2233</v>
      </c>
      <c r="F1493" s="40">
        <v>1</v>
      </c>
      <c r="G1493" s="40"/>
      <c r="H1493" s="40" t="s">
        <v>2234</v>
      </c>
      <c r="I1493" s="40"/>
      <c r="J1493" s="40" t="s">
        <v>195</v>
      </c>
      <c r="K1493" s="40" t="s">
        <v>195</v>
      </c>
      <c r="L1493" s="40" t="s">
        <v>97</v>
      </c>
    </row>
    <row r="1494" spans="1:12" x14ac:dyDescent="0.25">
      <c r="A1494" s="40" t="s">
        <v>43</v>
      </c>
      <c r="B1494" s="40" t="s">
        <v>2277</v>
      </c>
      <c r="C1494" s="40" t="s">
        <v>2749</v>
      </c>
      <c r="D1494" s="40" t="s">
        <v>2233</v>
      </c>
      <c r="E1494" s="40" t="s">
        <v>2233</v>
      </c>
      <c r="F1494" s="40">
        <v>1</v>
      </c>
      <c r="G1494" s="40"/>
      <c r="H1494" s="40" t="s">
        <v>2234</v>
      </c>
      <c r="I1494" s="40"/>
      <c r="J1494" s="40" t="s">
        <v>195</v>
      </c>
      <c r="K1494" s="40" t="s">
        <v>195</v>
      </c>
      <c r="L1494" s="40" t="s">
        <v>97</v>
      </c>
    </row>
    <row r="1495" spans="1:12" x14ac:dyDescent="0.25">
      <c r="A1495" s="40" t="s">
        <v>43</v>
      </c>
      <c r="B1495" s="40" t="s">
        <v>2434</v>
      </c>
      <c r="C1495" s="40" t="s">
        <v>2750</v>
      </c>
      <c r="D1495" s="40" t="s">
        <v>2233</v>
      </c>
      <c r="E1495" s="40" t="s">
        <v>2233</v>
      </c>
      <c r="F1495" s="40">
        <v>1</v>
      </c>
      <c r="G1495" s="40"/>
      <c r="H1495" s="40" t="s">
        <v>97</v>
      </c>
      <c r="I1495" s="40"/>
      <c r="J1495" s="40" t="s">
        <v>195</v>
      </c>
      <c r="K1495" s="40" t="s">
        <v>195</v>
      </c>
      <c r="L1495" s="40" t="s">
        <v>97</v>
      </c>
    </row>
    <row r="1496" spans="1:12" x14ac:dyDescent="0.25">
      <c r="A1496" s="40" t="s">
        <v>43</v>
      </c>
      <c r="B1496" s="40" t="s">
        <v>614</v>
      </c>
      <c r="C1496" s="40" t="s">
        <v>2751</v>
      </c>
      <c r="D1496" s="40" t="s">
        <v>2233</v>
      </c>
      <c r="E1496" s="40" t="s">
        <v>2737</v>
      </c>
      <c r="F1496" s="40">
        <v>0</v>
      </c>
      <c r="G1496" s="40"/>
      <c r="H1496" s="40" t="s">
        <v>2234</v>
      </c>
      <c r="I1496" s="40"/>
      <c r="J1496" s="40" t="s">
        <v>195</v>
      </c>
      <c r="K1496" s="40" t="s">
        <v>195</v>
      </c>
      <c r="L1496" s="40" t="s">
        <v>97</v>
      </c>
    </row>
    <row r="1497" spans="1:12" x14ac:dyDescent="0.25">
      <c r="A1497" s="40" t="s">
        <v>43</v>
      </c>
      <c r="B1497" s="40" t="s">
        <v>1359</v>
      </c>
      <c r="C1497" s="40" t="s">
        <v>2752</v>
      </c>
      <c r="D1497" s="40" t="s">
        <v>2233</v>
      </c>
      <c r="E1497" s="40" t="s">
        <v>2233</v>
      </c>
      <c r="F1497" s="40">
        <v>1</v>
      </c>
      <c r="G1497" s="40"/>
      <c r="H1497" s="40" t="s">
        <v>2234</v>
      </c>
      <c r="I1497" s="40"/>
      <c r="J1497" s="40" t="s">
        <v>195</v>
      </c>
      <c r="K1497" s="40" t="s">
        <v>195</v>
      </c>
      <c r="L1497" s="40" t="s">
        <v>97</v>
      </c>
    </row>
    <row r="1498" spans="1:12" x14ac:dyDescent="0.25">
      <c r="A1498" s="40" t="s">
        <v>43</v>
      </c>
      <c r="B1498" s="40" t="s">
        <v>616</v>
      </c>
      <c r="C1498" s="40" t="s">
        <v>2753</v>
      </c>
      <c r="D1498" s="40" t="s">
        <v>2233</v>
      </c>
      <c r="E1498" s="40" t="s">
        <v>2233</v>
      </c>
      <c r="F1498" s="40">
        <v>1</v>
      </c>
      <c r="G1498" s="40"/>
      <c r="H1498" s="40" t="s">
        <v>2234</v>
      </c>
      <c r="I1498" s="40"/>
      <c r="J1498" s="40" t="s">
        <v>195</v>
      </c>
      <c r="K1498" s="40" t="s">
        <v>195</v>
      </c>
      <c r="L1498" s="40" t="s">
        <v>97</v>
      </c>
    </row>
    <row r="1499" spans="1:12" x14ac:dyDescent="0.25">
      <c r="A1499" s="40" t="s">
        <v>43</v>
      </c>
      <c r="B1499" s="40" t="s">
        <v>620</v>
      </c>
      <c r="C1499" s="40" t="s">
        <v>2754</v>
      </c>
      <c r="D1499" s="40" t="s">
        <v>2233</v>
      </c>
      <c r="E1499" s="40" t="s">
        <v>2233</v>
      </c>
      <c r="F1499" s="40">
        <v>1</v>
      </c>
      <c r="G1499" s="40"/>
      <c r="H1499" s="40" t="s">
        <v>97</v>
      </c>
      <c r="I1499" s="40"/>
      <c r="J1499" s="40" t="s">
        <v>195</v>
      </c>
      <c r="K1499" s="40" t="s">
        <v>195</v>
      </c>
      <c r="L1499" s="40" t="s">
        <v>97</v>
      </c>
    </row>
    <row r="1500" spans="1:12" x14ac:dyDescent="0.25">
      <c r="A1500" s="40" t="s">
        <v>43</v>
      </c>
      <c r="B1500" s="40" t="s">
        <v>632</v>
      </c>
      <c r="C1500" s="40" t="s">
        <v>2755</v>
      </c>
      <c r="D1500" s="40" t="s">
        <v>2233</v>
      </c>
      <c r="E1500" s="40" t="s">
        <v>2737</v>
      </c>
      <c r="F1500" s="40">
        <v>0</v>
      </c>
      <c r="G1500" s="40"/>
      <c r="H1500" s="40" t="s">
        <v>2234</v>
      </c>
      <c r="I1500" s="40"/>
      <c r="J1500" s="40" t="s">
        <v>195</v>
      </c>
      <c r="K1500" s="40" t="s">
        <v>195</v>
      </c>
      <c r="L1500" s="40" t="s">
        <v>97</v>
      </c>
    </row>
    <row r="1501" spans="1:12" x14ac:dyDescent="0.25">
      <c r="A1501" s="40" t="s">
        <v>43</v>
      </c>
      <c r="B1501" s="40" t="s">
        <v>636</v>
      </c>
      <c r="C1501" s="40" t="s">
        <v>2756</v>
      </c>
      <c r="D1501" s="40" t="s">
        <v>2233</v>
      </c>
      <c r="E1501" s="40" t="s">
        <v>2233</v>
      </c>
      <c r="F1501" s="40">
        <v>1</v>
      </c>
      <c r="G1501" s="40"/>
      <c r="H1501" s="40" t="s">
        <v>2234</v>
      </c>
      <c r="I1501" s="40"/>
      <c r="J1501" s="40" t="s">
        <v>195</v>
      </c>
      <c r="K1501" s="40" t="s">
        <v>195</v>
      </c>
      <c r="L1501" s="40" t="s">
        <v>97</v>
      </c>
    </row>
    <row r="1502" spans="1:12" x14ac:dyDescent="0.25">
      <c r="A1502" s="40" t="s">
        <v>43</v>
      </c>
      <c r="B1502" s="40" t="s">
        <v>638</v>
      </c>
      <c r="C1502" s="40" t="s">
        <v>2757</v>
      </c>
      <c r="D1502" s="40" t="s">
        <v>2233</v>
      </c>
      <c r="E1502" s="40" t="s">
        <v>2233</v>
      </c>
      <c r="F1502" s="40">
        <v>1</v>
      </c>
      <c r="G1502" s="40"/>
      <c r="H1502" s="40" t="s">
        <v>2234</v>
      </c>
      <c r="I1502" s="40"/>
      <c r="J1502" s="40" t="s">
        <v>195</v>
      </c>
      <c r="K1502" s="40" t="s">
        <v>195</v>
      </c>
      <c r="L1502" s="40" t="s">
        <v>97</v>
      </c>
    </row>
    <row r="1503" spans="1:12" x14ac:dyDescent="0.25">
      <c r="A1503" s="40" t="s">
        <v>43</v>
      </c>
      <c r="B1503" s="40" t="s">
        <v>640</v>
      </c>
      <c r="C1503" s="40" t="s">
        <v>2758</v>
      </c>
      <c r="D1503" s="40" t="s">
        <v>2233</v>
      </c>
      <c r="E1503" s="40" t="s">
        <v>2233</v>
      </c>
      <c r="F1503" s="40">
        <v>1</v>
      </c>
      <c r="G1503" s="40"/>
      <c r="H1503" s="40" t="s">
        <v>97</v>
      </c>
      <c r="I1503" s="40"/>
      <c r="J1503" s="40" t="s">
        <v>195</v>
      </c>
      <c r="K1503" s="40" t="s">
        <v>195</v>
      </c>
      <c r="L1503" s="40" t="s">
        <v>97</v>
      </c>
    </row>
    <row r="1504" spans="1:12" x14ac:dyDescent="0.25">
      <c r="A1504" s="40" t="s">
        <v>43</v>
      </c>
      <c r="B1504" s="40" t="s">
        <v>676</v>
      </c>
      <c r="C1504" s="40" t="s">
        <v>2759</v>
      </c>
      <c r="D1504" s="40" t="s">
        <v>2760</v>
      </c>
      <c r="E1504" s="40" t="s">
        <v>2233</v>
      </c>
      <c r="F1504" s="40">
        <v>0</v>
      </c>
      <c r="G1504" s="40"/>
      <c r="H1504" s="40" t="s">
        <v>2234</v>
      </c>
      <c r="I1504" s="40"/>
      <c r="J1504" s="40" t="s">
        <v>195</v>
      </c>
      <c r="K1504" s="40" t="s">
        <v>195</v>
      </c>
      <c r="L1504" s="40" t="s">
        <v>97</v>
      </c>
    </row>
    <row r="1505" spans="1:12" x14ac:dyDescent="0.25">
      <c r="A1505" s="40" t="s">
        <v>43</v>
      </c>
      <c r="B1505" s="40" t="s">
        <v>681</v>
      </c>
      <c r="C1505" s="40" t="s">
        <v>2761</v>
      </c>
      <c r="D1505" s="40" t="s">
        <v>483</v>
      </c>
      <c r="E1505" s="40" t="s">
        <v>2233</v>
      </c>
      <c r="F1505" s="40">
        <v>0</v>
      </c>
      <c r="G1505" s="40"/>
      <c r="H1505" s="40" t="s">
        <v>2234</v>
      </c>
      <c r="I1505" s="40"/>
      <c r="J1505" s="40" t="s">
        <v>195</v>
      </c>
      <c r="K1505" s="40" t="s">
        <v>195</v>
      </c>
      <c r="L1505" s="40" t="s">
        <v>97</v>
      </c>
    </row>
    <row r="1506" spans="1:12" x14ac:dyDescent="0.25">
      <c r="A1506" s="40" t="s">
        <v>43</v>
      </c>
      <c r="B1506" s="40" t="s">
        <v>684</v>
      </c>
      <c r="C1506" s="40" t="s">
        <v>2762</v>
      </c>
      <c r="D1506" s="40" t="s">
        <v>2763</v>
      </c>
      <c r="E1506" s="40" t="s">
        <v>2233</v>
      </c>
      <c r="F1506" s="40">
        <v>0</v>
      </c>
      <c r="G1506" s="40"/>
      <c r="H1506" s="40" t="s">
        <v>2234</v>
      </c>
      <c r="I1506" s="40"/>
      <c r="J1506" s="40" t="s">
        <v>195</v>
      </c>
      <c r="K1506" s="40" t="s">
        <v>195</v>
      </c>
      <c r="L1506" s="40" t="s">
        <v>97</v>
      </c>
    </row>
    <row r="1507" spans="1:12" x14ac:dyDescent="0.25">
      <c r="A1507" s="40" t="s">
        <v>43</v>
      </c>
      <c r="B1507" s="40" t="s">
        <v>2538</v>
      </c>
      <c r="C1507" s="40" t="s">
        <v>2764</v>
      </c>
      <c r="D1507" s="40" t="s">
        <v>2233</v>
      </c>
      <c r="E1507" s="40" t="s">
        <v>2233</v>
      </c>
      <c r="F1507" s="40">
        <v>1</v>
      </c>
      <c r="G1507" s="40"/>
      <c r="H1507" s="40" t="s">
        <v>97</v>
      </c>
      <c r="I1507" s="40"/>
      <c r="J1507" s="40" t="s">
        <v>195</v>
      </c>
      <c r="K1507" s="40" t="s">
        <v>195</v>
      </c>
      <c r="L1507" s="40" t="s">
        <v>97</v>
      </c>
    </row>
    <row r="1508" spans="1:12" x14ac:dyDescent="0.25">
      <c r="A1508" s="40" t="s">
        <v>43</v>
      </c>
      <c r="B1508" s="40" t="s">
        <v>2765</v>
      </c>
      <c r="C1508" s="40" t="s">
        <v>2766</v>
      </c>
      <c r="D1508" s="40" t="s">
        <v>2767</v>
      </c>
      <c r="E1508" s="40" t="s">
        <v>2233</v>
      </c>
      <c r="F1508" s="40">
        <v>0</v>
      </c>
      <c r="G1508" s="40"/>
      <c r="H1508" s="40" t="s">
        <v>2234</v>
      </c>
      <c r="I1508" s="40"/>
      <c r="J1508" s="40" t="s">
        <v>195</v>
      </c>
      <c r="K1508" s="40" t="s">
        <v>195</v>
      </c>
      <c r="L1508" s="40" t="s">
        <v>97</v>
      </c>
    </row>
    <row r="1509" spans="1:12" x14ac:dyDescent="0.25">
      <c r="A1509" s="40" t="s">
        <v>43</v>
      </c>
      <c r="B1509" s="40" t="s">
        <v>2768</v>
      </c>
      <c r="C1509" s="40" t="s">
        <v>2769</v>
      </c>
      <c r="D1509" s="40" t="s">
        <v>2770</v>
      </c>
      <c r="E1509" s="40" t="s">
        <v>2233</v>
      </c>
      <c r="F1509" s="40">
        <v>0</v>
      </c>
      <c r="G1509" s="40"/>
      <c r="H1509" s="40" t="s">
        <v>2234</v>
      </c>
      <c r="I1509" s="40"/>
      <c r="J1509" s="40" t="s">
        <v>195</v>
      </c>
      <c r="K1509" s="40" t="s">
        <v>195</v>
      </c>
      <c r="L1509" s="40" t="s">
        <v>97</v>
      </c>
    </row>
    <row r="1510" spans="1:12" x14ac:dyDescent="0.25">
      <c r="A1510" s="40" t="s">
        <v>43</v>
      </c>
      <c r="B1510" s="40" t="s">
        <v>2771</v>
      </c>
      <c r="C1510" s="40" t="s">
        <v>2772</v>
      </c>
      <c r="D1510" s="40" t="s">
        <v>2233</v>
      </c>
      <c r="E1510" s="40" t="s">
        <v>2233</v>
      </c>
      <c r="F1510" s="40">
        <v>1</v>
      </c>
      <c r="G1510" s="40"/>
      <c r="H1510" s="40" t="s">
        <v>2234</v>
      </c>
      <c r="I1510" s="40"/>
      <c r="J1510" s="40" t="s">
        <v>195</v>
      </c>
      <c r="K1510" s="40" t="s">
        <v>195</v>
      </c>
      <c r="L1510" s="40" t="s">
        <v>97</v>
      </c>
    </row>
    <row r="1511" spans="1:12" x14ac:dyDescent="0.25">
      <c r="A1511" s="40" t="s">
        <v>43</v>
      </c>
      <c r="B1511" s="40" t="s">
        <v>2470</v>
      </c>
      <c r="C1511" s="40" t="s">
        <v>2773</v>
      </c>
      <c r="D1511" s="40" t="s">
        <v>2233</v>
      </c>
      <c r="E1511" s="40" t="s">
        <v>2233</v>
      </c>
      <c r="F1511" s="40">
        <v>1</v>
      </c>
      <c r="G1511" s="40"/>
      <c r="H1511" s="40" t="s">
        <v>97</v>
      </c>
      <c r="I1511" s="40"/>
      <c r="J1511" s="40" t="s">
        <v>195</v>
      </c>
      <c r="K1511" s="40" t="s">
        <v>195</v>
      </c>
      <c r="L1511" s="40" t="s">
        <v>97</v>
      </c>
    </row>
    <row r="1512" spans="1:12" x14ac:dyDescent="0.25">
      <c r="A1512" s="40" t="s">
        <v>43</v>
      </c>
      <c r="B1512" s="40" t="s">
        <v>686</v>
      </c>
      <c r="C1512" s="40" t="s">
        <v>2774</v>
      </c>
      <c r="D1512" s="40" t="s">
        <v>2737</v>
      </c>
      <c r="E1512" s="40" t="s">
        <v>2737</v>
      </c>
      <c r="F1512" s="40">
        <v>1</v>
      </c>
      <c r="G1512" s="40"/>
      <c r="H1512" s="40" t="s">
        <v>2775</v>
      </c>
      <c r="I1512" s="40"/>
      <c r="J1512" s="40" t="s">
        <v>195</v>
      </c>
      <c r="K1512" s="40" t="s">
        <v>195</v>
      </c>
      <c r="L1512" s="40" t="s">
        <v>97</v>
      </c>
    </row>
    <row r="1513" spans="1:12" x14ac:dyDescent="0.25">
      <c r="A1513" s="40" t="s">
        <v>43</v>
      </c>
      <c r="B1513" s="40" t="s">
        <v>689</v>
      </c>
      <c r="C1513" s="40" t="s">
        <v>2776</v>
      </c>
      <c r="D1513" s="40" t="s">
        <v>2737</v>
      </c>
      <c r="E1513" s="40" t="s">
        <v>2737</v>
      </c>
      <c r="F1513" s="40">
        <v>1</v>
      </c>
      <c r="G1513" s="40"/>
      <c r="H1513" s="40" t="s">
        <v>2775</v>
      </c>
      <c r="I1513" s="40"/>
      <c r="J1513" s="40" t="s">
        <v>195</v>
      </c>
      <c r="K1513" s="40" t="s">
        <v>195</v>
      </c>
      <c r="L1513" s="40" t="s">
        <v>97</v>
      </c>
    </row>
    <row r="1514" spans="1:12" x14ac:dyDescent="0.25">
      <c r="A1514" s="40" t="s">
        <v>43</v>
      </c>
      <c r="B1514" s="40" t="s">
        <v>692</v>
      </c>
      <c r="C1514" s="40" t="s">
        <v>2777</v>
      </c>
      <c r="D1514" s="40" t="s">
        <v>2778</v>
      </c>
      <c r="E1514" s="40" t="s">
        <v>2778</v>
      </c>
      <c r="F1514" s="40">
        <v>1</v>
      </c>
      <c r="G1514" s="40"/>
      <c r="H1514" s="40" t="s">
        <v>2234</v>
      </c>
      <c r="I1514" s="40"/>
      <c r="J1514" s="40" t="s">
        <v>195</v>
      </c>
      <c r="K1514" s="40" t="s">
        <v>195</v>
      </c>
      <c r="L1514" s="40" t="s">
        <v>97</v>
      </c>
    </row>
    <row r="1515" spans="1:12" x14ac:dyDescent="0.25">
      <c r="A1515" s="40" t="s">
        <v>43</v>
      </c>
      <c r="B1515" s="40" t="s">
        <v>695</v>
      </c>
      <c r="C1515" s="40" t="s">
        <v>2779</v>
      </c>
      <c r="D1515" s="40" t="s">
        <v>2780</v>
      </c>
      <c r="E1515" s="40" t="s">
        <v>2781</v>
      </c>
      <c r="F1515" s="40">
        <v>0</v>
      </c>
      <c r="G1515" s="40"/>
      <c r="H1515" s="40" t="s">
        <v>2234</v>
      </c>
      <c r="I1515" s="40"/>
      <c r="J1515" s="40" t="s">
        <v>195</v>
      </c>
      <c r="K1515" s="40" t="s">
        <v>195</v>
      </c>
      <c r="L1515" s="40" t="s">
        <v>97</v>
      </c>
    </row>
    <row r="1516" spans="1:12" x14ac:dyDescent="0.25">
      <c r="A1516" s="40" t="s">
        <v>43</v>
      </c>
      <c r="B1516" s="40" t="s">
        <v>697</v>
      </c>
      <c r="C1516" s="40" t="s">
        <v>2782</v>
      </c>
      <c r="D1516" s="40" t="s">
        <v>2783</v>
      </c>
      <c r="E1516" s="40" t="s">
        <v>2784</v>
      </c>
      <c r="F1516" s="40">
        <v>0</v>
      </c>
      <c r="G1516" s="40"/>
      <c r="H1516" s="40" t="s">
        <v>2234</v>
      </c>
      <c r="I1516" s="40"/>
      <c r="J1516" s="40" t="s">
        <v>195</v>
      </c>
      <c r="K1516" s="40" t="s">
        <v>195</v>
      </c>
      <c r="L1516" s="40" t="s">
        <v>97</v>
      </c>
    </row>
    <row r="1517" spans="1:12" x14ac:dyDescent="0.25">
      <c r="A1517" s="40" t="s">
        <v>43</v>
      </c>
      <c r="B1517" s="40" t="s">
        <v>2483</v>
      </c>
      <c r="C1517" s="40" t="s">
        <v>2785</v>
      </c>
      <c r="D1517" s="40" t="s">
        <v>2783</v>
      </c>
      <c r="E1517" s="40" t="s">
        <v>2784</v>
      </c>
      <c r="F1517" s="40">
        <v>0</v>
      </c>
      <c r="G1517" s="40"/>
      <c r="H1517" s="40" t="s">
        <v>2234</v>
      </c>
      <c r="I1517" s="40"/>
      <c r="J1517" s="40" t="s">
        <v>195</v>
      </c>
      <c r="K1517" s="40" t="s">
        <v>195</v>
      </c>
      <c r="L1517" s="40" t="s">
        <v>97</v>
      </c>
    </row>
    <row r="1518" spans="1:12" x14ac:dyDescent="0.25">
      <c r="A1518" s="40" t="s">
        <v>43</v>
      </c>
      <c r="B1518" s="40" t="s">
        <v>2485</v>
      </c>
      <c r="C1518" s="40" t="s">
        <v>2786</v>
      </c>
      <c r="D1518" s="40" t="s">
        <v>2783</v>
      </c>
      <c r="E1518" s="40" t="s">
        <v>2784</v>
      </c>
      <c r="F1518" s="40">
        <v>0</v>
      </c>
      <c r="G1518" s="40"/>
      <c r="H1518" s="40" t="s">
        <v>2234</v>
      </c>
      <c r="I1518" s="40"/>
      <c r="J1518" s="40" t="s">
        <v>195</v>
      </c>
      <c r="K1518" s="40" t="s">
        <v>195</v>
      </c>
      <c r="L1518" s="40" t="s">
        <v>97</v>
      </c>
    </row>
    <row r="1519" spans="1:12" x14ac:dyDescent="0.25">
      <c r="A1519" s="40" t="s">
        <v>43</v>
      </c>
      <c r="B1519" s="40" t="s">
        <v>2487</v>
      </c>
      <c r="C1519" s="40" t="s">
        <v>2787</v>
      </c>
      <c r="D1519" s="40" t="s">
        <v>2783</v>
      </c>
      <c r="E1519" s="40" t="s">
        <v>2784</v>
      </c>
      <c r="F1519" s="40">
        <v>0</v>
      </c>
      <c r="G1519" s="40"/>
      <c r="H1519" s="40" t="s">
        <v>2234</v>
      </c>
      <c r="I1519" s="40"/>
      <c r="J1519" s="40" t="s">
        <v>195</v>
      </c>
      <c r="K1519" s="40" t="s">
        <v>195</v>
      </c>
      <c r="L1519" s="40" t="s">
        <v>97</v>
      </c>
    </row>
    <row r="1520" spans="1:12" x14ac:dyDescent="0.25">
      <c r="A1520" s="40" t="s">
        <v>43</v>
      </c>
      <c r="B1520" s="40" t="s">
        <v>715</v>
      </c>
      <c r="C1520" s="40" t="s">
        <v>2788</v>
      </c>
      <c r="D1520" s="40" t="s">
        <v>2789</v>
      </c>
      <c r="E1520" s="40" t="s">
        <v>2790</v>
      </c>
      <c r="F1520" s="40">
        <v>0</v>
      </c>
      <c r="G1520" s="40"/>
      <c r="H1520" s="40" t="s">
        <v>2234</v>
      </c>
      <c r="I1520" s="40"/>
      <c r="J1520" s="40" t="s">
        <v>195</v>
      </c>
      <c r="K1520" s="40" t="s">
        <v>195</v>
      </c>
      <c r="L1520" s="40" t="s">
        <v>97</v>
      </c>
    </row>
    <row r="1521" spans="1:12" x14ac:dyDescent="0.25">
      <c r="A1521" s="40" t="s">
        <v>43</v>
      </c>
      <c r="B1521" s="40" t="s">
        <v>718</v>
      </c>
      <c r="C1521" s="40" t="s">
        <v>2791</v>
      </c>
      <c r="D1521" s="40" t="s">
        <v>2792</v>
      </c>
      <c r="E1521" s="40" t="s">
        <v>2793</v>
      </c>
      <c r="F1521" s="40">
        <v>0</v>
      </c>
      <c r="G1521" s="40"/>
      <c r="H1521" s="40" t="s">
        <v>2234</v>
      </c>
      <c r="I1521" s="40"/>
      <c r="J1521" s="40" t="s">
        <v>195</v>
      </c>
      <c r="K1521" s="40" t="s">
        <v>195</v>
      </c>
      <c r="L1521" s="40" t="s">
        <v>97</v>
      </c>
    </row>
    <row r="1522" spans="1:12" x14ac:dyDescent="0.25">
      <c r="A1522" s="40" t="s">
        <v>43</v>
      </c>
      <c r="B1522" s="40" t="s">
        <v>2794</v>
      </c>
      <c r="C1522" s="40" t="s">
        <v>2795</v>
      </c>
      <c r="D1522" s="40" t="s">
        <v>2412</v>
      </c>
      <c r="E1522" s="40" t="s">
        <v>2233</v>
      </c>
      <c r="F1522" s="40">
        <v>0</v>
      </c>
      <c r="G1522" s="40"/>
      <c r="H1522" s="40" t="s">
        <v>2234</v>
      </c>
      <c r="I1522" s="40"/>
      <c r="J1522" s="40" t="s">
        <v>195</v>
      </c>
      <c r="K1522" s="40" t="s">
        <v>195</v>
      </c>
      <c r="L1522" s="40" t="s">
        <v>97</v>
      </c>
    </row>
    <row r="1523" spans="1:12" x14ac:dyDescent="0.25">
      <c r="A1523" s="40" t="s">
        <v>43</v>
      </c>
      <c r="B1523" s="40" t="s">
        <v>2796</v>
      </c>
      <c r="C1523" s="40" t="s">
        <v>2797</v>
      </c>
      <c r="D1523" s="40" t="s">
        <v>2371</v>
      </c>
      <c r="E1523" s="40" t="s">
        <v>2233</v>
      </c>
      <c r="F1523" s="40">
        <v>0</v>
      </c>
      <c r="G1523" s="40"/>
      <c r="H1523" s="40" t="s">
        <v>2234</v>
      </c>
      <c r="I1523" s="40"/>
      <c r="J1523" s="40" t="s">
        <v>195</v>
      </c>
      <c r="K1523" s="40" t="s">
        <v>195</v>
      </c>
      <c r="L1523" s="40" t="s">
        <v>97</v>
      </c>
    </row>
    <row r="1524" spans="1:12" x14ac:dyDescent="0.25">
      <c r="A1524" s="40" t="s">
        <v>43</v>
      </c>
      <c r="B1524" s="40" t="s">
        <v>765</v>
      </c>
      <c r="C1524" s="40" t="s">
        <v>2798</v>
      </c>
      <c r="D1524" s="40" t="s">
        <v>2799</v>
      </c>
      <c r="E1524" s="40" t="s">
        <v>2233</v>
      </c>
      <c r="F1524" s="40">
        <v>0</v>
      </c>
      <c r="G1524" s="40"/>
      <c r="H1524" s="40" t="s">
        <v>2775</v>
      </c>
      <c r="I1524" s="40"/>
      <c r="J1524" s="40" t="s">
        <v>195</v>
      </c>
      <c r="K1524" s="40" t="s">
        <v>195</v>
      </c>
      <c r="L1524" s="40" t="s">
        <v>97</v>
      </c>
    </row>
    <row r="1525" spans="1:12" x14ac:dyDescent="0.25">
      <c r="A1525" s="40" t="s">
        <v>43</v>
      </c>
      <c r="B1525" s="40" t="s">
        <v>768</v>
      </c>
      <c r="C1525" s="40" t="s">
        <v>2800</v>
      </c>
      <c r="D1525" s="40" t="s">
        <v>2799</v>
      </c>
      <c r="E1525" s="40" t="s">
        <v>2233</v>
      </c>
      <c r="F1525" s="40">
        <v>0</v>
      </c>
      <c r="G1525" s="40"/>
      <c r="H1525" s="40" t="s">
        <v>2775</v>
      </c>
      <c r="I1525" s="40"/>
      <c r="J1525" s="40" t="s">
        <v>195</v>
      </c>
      <c r="K1525" s="40" t="s">
        <v>195</v>
      </c>
      <c r="L1525" s="40" t="s">
        <v>97</v>
      </c>
    </row>
    <row r="1526" spans="1:12" x14ac:dyDescent="0.25">
      <c r="A1526" s="40" t="s">
        <v>43</v>
      </c>
      <c r="B1526" s="40" t="s">
        <v>771</v>
      </c>
      <c r="C1526" s="40" t="s">
        <v>2801</v>
      </c>
      <c r="D1526" s="40" t="s">
        <v>2799</v>
      </c>
      <c r="E1526" s="40" t="s">
        <v>2233</v>
      </c>
      <c r="F1526" s="40">
        <v>0</v>
      </c>
      <c r="G1526" s="40"/>
      <c r="H1526" s="40" t="s">
        <v>2775</v>
      </c>
      <c r="I1526" s="40"/>
      <c r="J1526" s="40" t="s">
        <v>195</v>
      </c>
      <c r="K1526" s="40" t="s">
        <v>195</v>
      </c>
      <c r="L1526" s="40" t="s">
        <v>97</v>
      </c>
    </row>
    <row r="1527" spans="1:12" x14ac:dyDescent="0.25">
      <c r="A1527" s="40" t="s">
        <v>43</v>
      </c>
      <c r="B1527" s="40" t="s">
        <v>773</v>
      </c>
      <c r="C1527" s="40" t="s">
        <v>2802</v>
      </c>
      <c r="D1527" s="40" t="s">
        <v>2799</v>
      </c>
      <c r="E1527" s="40" t="s">
        <v>2233</v>
      </c>
      <c r="F1527" s="40">
        <v>0</v>
      </c>
      <c r="G1527" s="40"/>
      <c r="H1527" s="40" t="s">
        <v>2775</v>
      </c>
      <c r="I1527" s="40"/>
      <c r="J1527" s="40" t="s">
        <v>195</v>
      </c>
      <c r="K1527" s="40" t="s">
        <v>195</v>
      </c>
      <c r="L1527" s="40" t="s">
        <v>97</v>
      </c>
    </row>
    <row r="1528" spans="1:12" x14ac:dyDescent="0.25">
      <c r="A1528" s="40" t="s">
        <v>43</v>
      </c>
      <c r="B1528" s="40" t="s">
        <v>2569</v>
      </c>
      <c r="C1528" s="40" t="s">
        <v>2803</v>
      </c>
      <c r="D1528" s="40" t="s">
        <v>2297</v>
      </c>
      <c r="E1528" s="40" t="s">
        <v>2297</v>
      </c>
      <c r="F1528" s="40">
        <v>1</v>
      </c>
      <c r="G1528" s="40"/>
      <c r="H1528" s="40" t="s">
        <v>2234</v>
      </c>
      <c r="I1528" s="40"/>
      <c r="J1528" s="40" t="s">
        <v>195</v>
      </c>
      <c r="K1528" s="40" t="s">
        <v>195</v>
      </c>
      <c r="L1528" s="40" t="s">
        <v>97</v>
      </c>
    </row>
    <row r="1529" spans="1:12" x14ac:dyDescent="0.25">
      <c r="A1529" s="40" t="s">
        <v>43</v>
      </c>
      <c r="B1529" s="40" t="s">
        <v>2582</v>
      </c>
      <c r="C1529" s="40" t="s">
        <v>2804</v>
      </c>
      <c r="D1529" s="40" t="s">
        <v>487</v>
      </c>
      <c r="E1529" s="40" t="s">
        <v>2233</v>
      </c>
      <c r="F1529" s="40">
        <v>0</v>
      </c>
      <c r="G1529" s="40"/>
      <c r="H1529" s="40" t="s">
        <v>2234</v>
      </c>
      <c r="I1529" s="40"/>
      <c r="J1529" s="40" t="s">
        <v>195</v>
      </c>
      <c r="K1529" s="40" t="s">
        <v>195</v>
      </c>
      <c r="L1529" s="40" t="s">
        <v>97</v>
      </c>
    </row>
    <row r="1530" spans="1:12" x14ac:dyDescent="0.25">
      <c r="A1530" s="40" t="s">
        <v>43</v>
      </c>
      <c r="B1530" s="40" t="s">
        <v>2587</v>
      </c>
      <c r="C1530" s="40" t="s">
        <v>2805</v>
      </c>
      <c r="D1530" s="40" t="s">
        <v>2806</v>
      </c>
      <c r="E1530" s="40" t="s">
        <v>2233</v>
      </c>
      <c r="F1530" s="40">
        <v>0</v>
      </c>
      <c r="G1530" s="40"/>
      <c r="H1530" s="40" t="s">
        <v>2234</v>
      </c>
      <c r="I1530" s="40"/>
      <c r="J1530" s="40" t="s">
        <v>195</v>
      </c>
      <c r="K1530" s="40" t="s">
        <v>195</v>
      </c>
      <c r="L1530" s="40" t="s">
        <v>97</v>
      </c>
    </row>
    <row r="1531" spans="1:12" x14ac:dyDescent="0.25">
      <c r="A1531" s="40" t="s">
        <v>43</v>
      </c>
      <c r="B1531" s="40" t="s">
        <v>2589</v>
      </c>
      <c r="C1531" s="40" t="s">
        <v>2807</v>
      </c>
      <c r="D1531" s="40" t="s">
        <v>2233</v>
      </c>
      <c r="E1531" s="40" t="s">
        <v>2233</v>
      </c>
      <c r="F1531" s="40">
        <v>1</v>
      </c>
      <c r="G1531" s="40"/>
      <c r="H1531" s="40" t="s">
        <v>2234</v>
      </c>
      <c r="I1531" s="40"/>
      <c r="J1531" s="40" t="s">
        <v>195</v>
      </c>
      <c r="K1531" s="40" t="s">
        <v>195</v>
      </c>
      <c r="L1531" s="40" t="s">
        <v>97</v>
      </c>
    </row>
    <row r="1532" spans="1:12" x14ac:dyDescent="0.25">
      <c r="A1532" s="40" t="s">
        <v>43</v>
      </c>
      <c r="B1532" s="40" t="s">
        <v>789</v>
      </c>
      <c r="C1532" s="40" t="s">
        <v>2808</v>
      </c>
      <c r="D1532" s="40" t="s">
        <v>2809</v>
      </c>
      <c r="E1532" s="40" t="s">
        <v>2233</v>
      </c>
      <c r="F1532" s="40">
        <v>0</v>
      </c>
      <c r="G1532" s="40"/>
      <c r="H1532" s="40" t="s">
        <v>2234</v>
      </c>
      <c r="I1532" s="40"/>
      <c r="J1532" s="40" t="s">
        <v>195</v>
      </c>
      <c r="K1532" s="40" t="s">
        <v>195</v>
      </c>
      <c r="L1532" s="40" t="s">
        <v>97</v>
      </c>
    </row>
    <row r="1533" spans="1:12" x14ac:dyDescent="0.25">
      <c r="A1533" s="40" t="s">
        <v>43</v>
      </c>
      <c r="B1533" s="40" t="s">
        <v>792</v>
      </c>
      <c r="C1533" s="40" t="s">
        <v>2810</v>
      </c>
      <c r="D1533" s="40" t="s">
        <v>2806</v>
      </c>
      <c r="E1533" s="40" t="s">
        <v>2233</v>
      </c>
      <c r="F1533" s="40">
        <v>0</v>
      </c>
      <c r="G1533" s="40"/>
      <c r="H1533" s="40" t="s">
        <v>2234</v>
      </c>
      <c r="I1533" s="40"/>
      <c r="J1533" s="40" t="s">
        <v>195</v>
      </c>
      <c r="K1533" s="40" t="s">
        <v>195</v>
      </c>
      <c r="L1533" s="40" t="s">
        <v>97</v>
      </c>
    </row>
    <row r="1534" spans="1:12" x14ac:dyDescent="0.25">
      <c r="A1534" s="40" t="s">
        <v>43</v>
      </c>
      <c r="B1534" s="40" t="s">
        <v>2811</v>
      </c>
      <c r="C1534" s="40" t="s">
        <v>2812</v>
      </c>
      <c r="D1534" s="40" t="s">
        <v>2554</v>
      </c>
      <c r="E1534" s="40" t="s">
        <v>2233</v>
      </c>
      <c r="F1534" s="40">
        <v>0</v>
      </c>
      <c r="G1534" s="40"/>
      <c r="H1534" s="40" t="s">
        <v>2234</v>
      </c>
      <c r="I1534" s="40"/>
      <c r="J1534" s="40" t="s">
        <v>195</v>
      </c>
      <c r="K1534" s="40" t="s">
        <v>195</v>
      </c>
      <c r="L1534" s="40" t="s">
        <v>97</v>
      </c>
    </row>
    <row r="1535" spans="1:12" x14ac:dyDescent="0.25">
      <c r="A1535" s="40" t="s">
        <v>43</v>
      </c>
      <c r="B1535" s="40" t="s">
        <v>794</v>
      </c>
      <c r="C1535" s="40" t="s">
        <v>2813</v>
      </c>
      <c r="D1535" s="40" t="s">
        <v>2814</v>
      </c>
      <c r="E1535" s="40" t="s">
        <v>2233</v>
      </c>
      <c r="F1535" s="40">
        <v>0</v>
      </c>
      <c r="G1535" s="40"/>
      <c r="H1535" s="40" t="s">
        <v>2234</v>
      </c>
      <c r="I1535" s="40"/>
      <c r="J1535" s="40" t="s">
        <v>195</v>
      </c>
      <c r="K1535" s="40" t="s">
        <v>195</v>
      </c>
      <c r="L1535" s="40" t="s">
        <v>97</v>
      </c>
    </row>
    <row r="1536" spans="1:12" x14ac:dyDescent="0.25">
      <c r="A1536" s="40" t="s">
        <v>43</v>
      </c>
      <c r="B1536" s="40" t="s">
        <v>799</v>
      </c>
      <c r="C1536" s="40" t="s">
        <v>2815</v>
      </c>
      <c r="D1536" s="40" t="s">
        <v>2816</v>
      </c>
      <c r="E1536" s="40" t="s">
        <v>2233</v>
      </c>
      <c r="F1536" s="40">
        <v>0</v>
      </c>
      <c r="G1536" s="40"/>
      <c r="H1536" s="40" t="s">
        <v>2234</v>
      </c>
      <c r="I1536" s="40"/>
      <c r="J1536" s="40" t="s">
        <v>195</v>
      </c>
      <c r="K1536" s="40" t="s">
        <v>195</v>
      </c>
      <c r="L1536" s="40" t="s">
        <v>97</v>
      </c>
    </row>
    <row r="1537" spans="1:12" x14ac:dyDescent="0.25">
      <c r="A1537" s="40" t="s">
        <v>43</v>
      </c>
      <c r="B1537" s="40" t="s">
        <v>816</v>
      </c>
      <c r="C1537" s="40" t="s">
        <v>2817</v>
      </c>
      <c r="D1537" s="40" t="s">
        <v>2281</v>
      </c>
      <c r="E1537" s="40" t="s">
        <v>2233</v>
      </c>
      <c r="F1537" s="40">
        <v>0</v>
      </c>
      <c r="G1537" s="40"/>
      <c r="H1537" s="40" t="s">
        <v>2234</v>
      </c>
      <c r="I1537" s="40"/>
      <c r="J1537" s="40" t="s">
        <v>195</v>
      </c>
      <c r="K1537" s="40" t="s">
        <v>195</v>
      </c>
      <c r="L1537" s="40" t="s">
        <v>97</v>
      </c>
    </row>
    <row r="1538" spans="1:12" x14ac:dyDescent="0.25">
      <c r="A1538" s="40" t="s">
        <v>43</v>
      </c>
      <c r="B1538" s="40" t="s">
        <v>820</v>
      </c>
      <c r="C1538" s="40" t="s">
        <v>2818</v>
      </c>
      <c r="D1538" s="40" t="s">
        <v>2775</v>
      </c>
      <c r="E1538" s="40" t="s">
        <v>2775</v>
      </c>
      <c r="F1538" s="40">
        <v>1</v>
      </c>
      <c r="G1538" s="40"/>
      <c r="H1538" s="40" t="s">
        <v>2234</v>
      </c>
      <c r="I1538" s="40"/>
      <c r="J1538" s="40" t="s">
        <v>195</v>
      </c>
      <c r="K1538" s="40" t="s">
        <v>195</v>
      </c>
      <c r="L1538" s="40" t="s">
        <v>97</v>
      </c>
    </row>
    <row r="1539" spans="1:12" x14ac:dyDescent="0.25">
      <c r="A1539" s="40" t="s">
        <v>43</v>
      </c>
      <c r="B1539" s="40" t="s">
        <v>2279</v>
      </c>
      <c r="C1539" s="40" t="s">
        <v>2819</v>
      </c>
      <c r="D1539" s="40" t="s">
        <v>2233</v>
      </c>
      <c r="E1539" s="40" t="s">
        <v>2233</v>
      </c>
      <c r="F1539" s="40">
        <v>1</v>
      </c>
      <c r="G1539" s="40"/>
      <c r="H1539" s="40" t="s">
        <v>97</v>
      </c>
      <c r="I1539" s="40"/>
      <c r="J1539" s="40" t="s">
        <v>195</v>
      </c>
      <c r="K1539" s="40" t="s">
        <v>195</v>
      </c>
      <c r="L1539" s="40" t="s">
        <v>97</v>
      </c>
    </row>
    <row r="1540" spans="1:12" x14ac:dyDescent="0.25">
      <c r="A1540" s="40" t="s">
        <v>43</v>
      </c>
      <c r="B1540" s="40" t="s">
        <v>2820</v>
      </c>
      <c r="C1540" s="40" t="s">
        <v>2821</v>
      </c>
      <c r="D1540" s="40" t="s">
        <v>2233</v>
      </c>
      <c r="E1540" s="40" t="s">
        <v>2233</v>
      </c>
      <c r="F1540" s="40">
        <v>1</v>
      </c>
      <c r="G1540" s="40"/>
      <c r="H1540" s="40" t="s">
        <v>97</v>
      </c>
      <c r="I1540" s="40"/>
      <c r="J1540" s="40" t="s">
        <v>195</v>
      </c>
      <c r="K1540" s="40" t="s">
        <v>195</v>
      </c>
      <c r="L1540" s="40" t="s">
        <v>97</v>
      </c>
    </row>
    <row r="1541" spans="1:12" x14ac:dyDescent="0.25">
      <c r="A1541" s="40" t="s">
        <v>43</v>
      </c>
      <c r="B1541" s="40" t="s">
        <v>826</v>
      </c>
      <c r="C1541" s="40" t="s">
        <v>2822</v>
      </c>
      <c r="D1541" s="40" t="s">
        <v>2233</v>
      </c>
      <c r="E1541" s="40" t="s">
        <v>2233</v>
      </c>
      <c r="F1541" s="40">
        <v>1</v>
      </c>
      <c r="G1541" s="40"/>
      <c r="H1541" s="40" t="s">
        <v>97</v>
      </c>
      <c r="I1541" s="40"/>
      <c r="J1541" s="40" t="s">
        <v>195</v>
      </c>
      <c r="K1541" s="40" t="s">
        <v>195</v>
      </c>
      <c r="L1541" s="40" t="s">
        <v>97</v>
      </c>
    </row>
    <row r="1542" spans="1:12" x14ac:dyDescent="0.25">
      <c r="A1542" s="40" t="s">
        <v>43</v>
      </c>
      <c r="B1542" s="40" t="s">
        <v>828</v>
      </c>
      <c r="C1542" s="40" t="s">
        <v>2823</v>
      </c>
      <c r="D1542" s="40" t="s">
        <v>2233</v>
      </c>
      <c r="E1542" s="40" t="s">
        <v>2233</v>
      </c>
      <c r="F1542" s="40">
        <v>1</v>
      </c>
      <c r="G1542" s="40"/>
      <c r="H1542" s="40" t="s">
        <v>97</v>
      </c>
      <c r="I1542" s="40"/>
      <c r="J1542" s="40" t="s">
        <v>195</v>
      </c>
      <c r="K1542" s="40" t="s">
        <v>195</v>
      </c>
      <c r="L1542" s="40" t="s">
        <v>97</v>
      </c>
    </row>
    <row r="1543" spans="1:12" x14ac:dyDescent="0.25">
      <c r="A1543" s="40" t="s">
        <v>43</v>
      </c>
      <c r="B1543" s="40" t="s">
        <v>842</v>
      </c>
      <c r="C1543" s="40" t="s">
        <v>2824</v>
      </c>
      <c r="D1543" s="40" t="s">
        <v>2233</v>
      </c>
      <c r="E1543" s="40" t="s">
        <v>2233</v>
      </c>
      <c r="F1543" s="40">
        <v>1</v>
      </c>
      <c r="G1543" s="40"/>
      <c r="H1543" s="40" t="s">
        <v>97</v>
      </c>
      <c r="I1543" s="40"/>
      <c r="J1543" s="40" t="s">
        <v>195</v>
      </c>
      <c r="K1543" s="40" t="s">
        <v>195</v>
      </c>
      <c r="L1543" s="40" t="s">
        <v>97</v>
      </c>
    </row>
    <row r="1544" spans="1:12" x14ac:dyDescent="0.25">
      <c r="A1544" s="40" t="s">
        <v>43</v>
      </c>
      <c r="B1544" s="40" t="s">
        <v>844</v>
      </c>
      <c r="C1544" s="40" t="s">
        <v>2825</v>
      </c>
      <c r="D1544" s="40" t="s">
        <v>2233</v>
      </c>
      <c r="E1544" s="40" t="s">
        <v>2233</v>
      </c>
      <c r="F1544" s="40">
        <v>1</v>
      </c>
      <c r="G1544" s="40"/>
      <c r="H1544" s="40" t="s">
        <v>97</v>
      </c>
      <c r="I1544" s="40"/>
      <c r="J1544" s="40" t="s">
        <v>195</v>
      </c>
      <c r="K1544" s="40" t="s">
        <v>195</v>
      </c>
      <c r="L1544" s="40" t="s">
        <v>97</v>
      </c>
    </row>
    <row r="1545" spans="1:12" x14ac:dyDescent="0.25">
      <c r="A1545" s="40" t="s">
        <v>43</v>
      </c>
      <c r="B1545" s="40" t="s">
        <v>858</v>
      </c>
      <c r="C1545" s="40" t="s">
        <v>2826</v>
      </c>
      <c r="D1545" s="40" t="s">
        <v>2233</v>
      </c>
      <c r="E1545" s="40" t="s">
        <v>2233</v>
      </c>
      <c r="F1545" s="40">
        <v>1</v>
      </c>
      <c r="G1545" s="40"/>
      <c r="H1545" s="40" t="s">
        <v>97</v>
      </c>
      <c r="I1545" s="40"/>
      <c r="J1545" s="40" t="s">
        <v>195</v>
      </c>
      <c r="K1545" s="40" t="s">
        <v>195</v>
      </c>
      <c r="L1545" s="40" t="s">
        <v>97</v>
      </c>
    </row>
    <row r="1546" spans="1:12" x14ac:dyDescent="0.25">
      <c r="A1546" s="40" t="s">
        <v>43</v>
      </c>
      <c r="B1546" s="40" t="s">
        <v>860</v>
      </c>
      <c r="C1546" s="40" t="s">
        <v>2827</v>
      </c>
      <c r="D1546" s="40" t="s">
        <v>2233</v>
      </c>
      <c r="E1546" s="40" t="s">
        <v>2233</v>
      </c>
      <c r="F1546" s="40">
        <v>1</v>
      </c>
      <c r="G1546" s="40"/>
      <c r="H1546" s="40" t="s">
        <v>97</v>
      </c>
      <c r="I1546" s="40"/>
      <c r="J1546" s="40" t="s">
        <v>195</v>
      </c>
      <c r="K1546" s="40" t="s">
        <v>195</v>
      </c>
      <c r="L1546" s="40" t="s">
        <v>97</v>
      </c>
    </row>
    <row r="1547" spans="1:12" x14ac:dyDescent="0.25">
      <c r="A1547" s="40" t="s">
        <v>43</v>
      </c>
      <c r="B1547" s="40" t="s">
        <v>862</v>
      </c>
      <c r="C1547" s="40" t="s">
        <v>2828</v>
      </c>
      <c r="D1547" s="40" t="s">
        <v>2233</v>
      </c>
      <c r="E1547" s="40" t="s">
        <v>2233</v>
      </c>
      <c r="F1547" s="40">
        <v>1</v>
      </c>
      <c r="G1547" s="40"/>
      <c r="H1547" s="40" t="s">
        <v>97</v>
      </c>
      <c r="I1547" s="40"/>
      <c r="J1547" s="40" t="s">
        <v>195</v>
      </c>
      <c r="K1547" s="40" t="s">
        <v>195</v>
      </c>
      <c r="L1547" s="40" t="s">
        <v>97</v>
      </c>
    </row>
    <row r="1548" spans="1:12" x14ac:dyDescent="0.25">
      <c r="A1548" s="40" t="s">
        <v>43</v>
      </c>
      <c r="B1548" s="40" t="s">
        <v>864</v>
      </c>
      <c r="C1548" s="40" t="s">
        <v>2829</v>
      </c>
      <c r="D1548" s="40" t="s">
        <v>2318</v>
      </c>
      <c r="E1548" s="40" t="s">
        <v>2318</v>
      </c>
      <c r="F1548" s="40">
        <v>1</v>
      </c>
      <c r="G1548" s="40"/>
      <c r="H1548" s="40" t="s">
        <v>97</v>
      </c>
      <c r="I1548" s="40"/>
      <c r="J1548" s="40" t="s">
        <v>195</v>
      </c>
      <c r="K1548" s="40" t="s">
        <v>195</v>
      </c>
      <c r="L1548" s="40" t="s">
        <v>97</v>
      </c>
    </row>
    <row r="1549" spans="1:12" x14ac:dyDescent="0.25">
      <c r="A1549" s="40" t="s">
        <v>43</v>
      </c>
      <c r="B1549" s="40" t="s">
        <v>867</v>
      </c>
      <c r="C1549" s="40" t="s">
        <v>2830</v>
      </c>
      <c r="D1549" s="40" t="s">
        <v>2233</v>
      </c>
      <c r="E1549" s="40" t="s">
        <v>2233</v>
      </c>
      <c r="F1549" s="40">
        <v>1</v>
      </c>
      <c r="G1549" s="40"/>
      <c r="H1549" s="40" t="s">
        <v>97</v>
      </c>
      <c r="I1549" s="40"/>
      <c r="J1549" s="40" t="s">
        <v>195</v>
      </c>
      <c r="K1549" s="40" t="s">
        <v>195</v>
      </c>
      <c r="L1549" s="40" t="s">
        <v>97</v>
      </c>
    </row>
    <row r="1550" spans="1:12" x14ac:dyDescent="0.25">
      <c r="A1550" s="40" t="s">
        <v>43</v>
      </c>
      <c r="B1550" s="40" t="s">
        <v>869</v>
      </c>
      <c r="C1550" s="40" t="s">
        <v>2831</v>
      </c>
      <c r="D1550" s="40" t="s">
        <v>2233</v>
      </c>
      <c r="E1550" s="40" t="s">
        <v>2233</v>
      </c>
      <c r="F1550" s="40">
        <v>1</v>
      </c>
      <c r="G1550" s="40"/>
      <c r="H1550" s="40" t="s">
        <v>97</v>
      </c>
      <c r="I1550" s="40"/>
      <c r="J1550" s="40" t="s">
        <v>195</v>
      </c>
      <c r="K1550" s="40" t="s">
        <v>195</v>
      </c>
      <c r="L1550" s="40" t="s">
        <v>97</v>
      </c>
    </row>
    <row r="1551" spans="1:12" x14ac:dyDescent="0.25">
      <c r="A1551" s="40" t="s">
        <v>43</v>
      </c>
      <c r="B1551" s="40" t="s">
        <v>871</v>
      </c>
      <c r="C1551" s="40" t="s">
        <v>2832</v>
      </c>
      <c r="D1551" s="40" t="s">
        <v>2233</v>
      </c>
      <c r="E1551" s="40" t="s">
        <v>2233</v>
      </c>
      <c r="F1551" s="40">
        <v>1</v>
      </c>
      <c r="G1551" s="40"/>
      <c r="H1551" s="40" t="s">
        <v>97</v>
      </c>
      <c r="I1551" s="40"/>
      <c r="J1551" s="40" t="s">
        <v>195</v>
      </c>
      <c r="K1551" s="40" t="s">
        <v>195</v>
      </c>
      <c r="L1551" s="40" t="s">
        <v>97</v>
      </c>
    </row>
    <row r="1552" spans="1:12" x14ac:dyDescent="0.25">
      <c r="A1552" s="40" t="s">
        <v>43</v>
      </c>
      <c r="B1552" s="40" t="s">
        <v>873</v>
      </c>
      <c r="C1552" s="40" t="s">
        <v>2833</v>
      </c>
      <c r="D1552" s="40" t="s">
        <v>2318</v>
      </c>
      <c r="E1552" s="40" t="s">
        <v>2318</v>
      </c>
      <c r="F1552" s="40">
        <v>1</v>
      </c>
      <c r="G1552" s="40"/>
      <c r="H1552" s="40" t="s">
        <v>97</v>
      </c>
      <c r="I1552" s="40"/>
      <c r="J1552" s="40" t="s">
        <v>195</v>
      </c>
      <c r="K1552" s="40" t="s">
        <v>195</v>
      </c>
      <c r="L1552" s="40" t="s">
        <v>97</v>
      </c>
    </row>
    <row r="1553" spans="1:12" x14ac:dyDescent="0.25">
      <c r="A1553" s="40" t="s">
        <v>43</v>
      </c>
      <c r="B1553" s="40" t="s">
        <v>900</v>
      </c>
      <c r="C1553" s="40" t="s">
        <v>2834</v>
      </c>
      <c r="D1553" s="40" t="s">
        <v>2233</v>
      </c>
      <c r="E1553" s="40" t="s">
        <v>2233</v>
      </c>
      <c r="F1553" s="40">
        <v>1</v>
      </c>
      <c r="G1553" s="40"/>
      <c r="H1553" s="40" t="s">
        <v>97</v>
      </c>
      <c r="I1553" s="40"/>
      <c r="J1553" s="40" t="s">
        <v>195</v>
      </c>
      <c r="K1553" s="40" t="s">
        <v>195</v>
      </c>
      <c r="L1553" s="40" t="s">
        <v>97</v>
      </c>
    </row>
    <row r="1554" spans="1:12" x14ac:dyDescent="0.25">
      <c r="A1554" s="40" t="s">
        <v>43</v>
      </c>
      <c r="B1554" s="40" t="s">
        <v>903</v>
      </c>
      <c r="C1554" s="40" t="s">
        <v>2835</v>
      </c>
      <c r="D1554" s="40" t="s">
        <v>2233</v>
      </c>
      <c r="E1554" s="40" t="s">
        <v>2233</v>
      </c>
      <c r="F1554" s="40">
        <v>1</v>
      </c>
      <c r="G1554" s="40"/>
      <c r="H1554" s="40" t="s">
        <v>97</v>
      </c>
      <c r="I1554" s="40"/>
      <c r="J1554" s="40" t="s">
        <v>195</v>
      </c>
      <c r="K1554" s="40" t="s">
        <v>195</v>
      </c>
      <c r="L1554" s="40" t="s">
        <v>97</v>
      </c>
    </row>
    <row r="1555" spans="1:12" x14ac:dyDescent="0.25">
      <c r="A1555" s="40" t="s">
        <v>43</v>
      </c>
      <c r="B1555" s="40" t="s">
        <v>905</v>
      </c>
      <c r="C1555" s="40" t="s">
        <v>2836</v>
      </c>
      <c r="D1555" s="40" t="s">
        <v>2233</v>
      </c>
      <c r="E1555" s="40" t="s">
        <v>2233</v>
      </c>
      <c r="F1555" s="40">
        <v>1</v>
      </c>
      <c r="G1555" s="40"/>
      <c r="H1555" s="40" t="s">
        <v>97</v>
      </c>
      <c r="I1555" s="40"/>
      <c r="J1555" s="40" t="s">
        <v>195</v>
      </c>
      <c r="K1555" s="40" t="s">
        <v>195</v>
      </c>
      <c r="L1555" s="40" t="s">
        <v>97</v>
      </c>
    </row>
    <row r="1556" spans="1:12" x14ac:dyDescent="0.25">
      <c r="A1556" s="40" t="s">
        <v>43</v>
      </c>
      <c r="B1556" s="40" t="s">
        <v>907</v>
      </c>
      <c r="C1556" s="40" t="s">
        <v>2837</v>
      </c>
      <c r="D1556" s="40" t="s">
        <v>2318</v>
      </c>
      <c r="E1556" s="40" t="s">
        <v>2318</v>
      </c>
      <c r="F1556" s="40">
        <v>1</v>
      </c>
      <c r="G1556" s="40"/>
      <c r="H1556" s="40" t="s">
        <v>97</v>
      </c>
      <c r="I1556" s="40"/>
      <c r="J1556" s="40" t="s">
        <v>195</v>
      </c>
      <c r="K1556" s="40" t="s">
        <v>195</v>
      </c>
      <c r="L1556" s="40" t="s">
        <v>97</v>
      </c>
    </row>
    <row r="1557" spans="1:12" x14ac:dyDescent="0.25">
      <c r="A1557" s="40" t="s">
        <v>43</v>
      </c>
      <c r="B1557" s="40" t="s">
        <v>909</v>
      </c>
      <c r="C1557" s="40" t="s">
        <v>2838</v>
      </c>
      <c r="D1557" s="40" t="s">
        <v>2233</v>
      </c>
      <c r="E1557" s="40" t="s">
        <v>2233</v>
      </c>
      <c r="F1557" s="40">
        <v>1</v>
      </c>
      <c r="G1557" s="40"/>
      <c r="H1557" s="40" t="s">
        <v>97</v>
      </c>
      <c r="I1557" s="40"/>
      <c r="J1557" s="40" t="s">
        <v>195</v>
      </c>
      <c r="K1557" s="40" t="s">
        <v>195</v>
      </c>
      <c r="L1557" s="40" t="s">
        <v>97</v>
      </c>
    </row>
    <row r="1558" spans="1:12" x14ac:dyDescent="0.25">
      <c r="A1558" s="40" t="s">
        <v>43</v>
      </c>
      <c r="B1558" s="40" t="s">
        <v>912</v>
      </c>
      <c r="C1558" s="40" t="s">
        <v>2839</v>
      </c>
      <c r="D1558" s="40" t="s">
        <v>2233</v>
      </c>
      <c r="E1558" s="40" t="s">
        <v>2233</v>
      </c>
      <c r="F1558" s="40">
        <v>1</v>
      </c>
      <c r="G1558" s="40"/>
      <c r="H1558" s="40" t="s">
        <v>97</v>
      </c>
      <c r="I1558" s="40"/>
      <c r="J1558" s="40" t="s">
        <v>195</v>
      </c>
      <c r="K1558" s="40" t="s">
        <v>195</v>
      </c>
      <c r="L1558" s="40" t="s">
        <v>97</v>
      </c>
    </row>
    <row r="1559" spans="1:12" x14ac:dyDescent="0.25">
      <c r="A1559" s="40" t="s">
        <v>43</v>
      </c>
      <c r="B1559" s="40" t="s">
        <v>915</v>
      </c>
      <c r="C1559" s="40" t="s">
        <v>2840</v>
      </c>
      <c r="D1559" s="40" t="s">
        <v>2233</v>
      </c>
      <c r="E1559" s="40" t="s">
        <v>2233</v>
      </c>
      <c r="F1559" s="40">
        <v>1</v>
      </c>
      <c r="G1559" s="40"/>
      <c r="H1559" s="40" t="s">
        <v>97</v>
      </c>
      <c r="I1559" s="40"/>
      <c r="J1559" s="40" t="s">
        <v>195</v>
      </c>
      <c r="K1559" s="40" t="s">
        <v>195</v>
      </c>
      <c r="L1559" s="40" t="s">
        <v>97</v>
      </c>
    </row>
    <row r="1560" spans="1:12" x14ac:dyDescent="0.25">
      <c r="A1560" s="40" t="s">
        <v>43</v>
      </c>
      <c r="B1560" s="40" t="s">
        <v>918</v>
      </c>
      <c r="C1560" s="40" t="s">
        <v>2841</v>
      </c>
      <c r="D1560" s="40" t="s">
        <v>2318</v>
      </c>
      <c r="E1560" s="40" t="s">
        <v>2318</v>
      </c>
      <c r="F1560" s="40">
        <v>1</v>
      </c>
      <c r="G1560" s="40"/>
      <c r="H1560" s="40" t="s">
        <v>97</v>
      </c>
      <c r="I1560" s="40"/>
      <c r="J1560" s="40" t="s">
        <v>195</v>
      </c>
      <c r="K1560" s="40" t="s">
        <v>195</v>
      </c>
      <c r="L1560" s="40" t="s">
        <v>97</v>
      </c>
    </row>
    <row r="1561" spans="1:12" x14ac:dyDescent="0.25">
      <c r="A1561" s="40" t="s">
        <v>43</v>
      </c>
      <c r="B1561" s="40" t="s">
        <v>968</v>
      </c>
      <c r="C1561" s="40" t="s">
        <v>2842</v>
      </c>
      <c r="D1561" s="40" t="s">
        <v>2233</v>
      </c>
      <c r="E1561" s="40" t="s">
        <v>2233</v>
      </c>
      <c r="F1561" s="40">
        <v>1</v>
      </c>
      <c r="G1561" s="40"/>
      <c r="H1561" s="40" t="s">
        <v>2234</v>
      </c>
      <c r="I1561" s="40"/>
      <c r="J1561" s="40" t="s">
        <v>195</v>
      </c>
      <c r="K1561" s="40" t="s">
        <v>195</v>
      </c>
      <c r="L1561" s="40" t="s">
        <v>97</v>
      </c>
    </row>
    <row r="1562" spans="1:12" x14ac:dyDescent="0.25">
      <c r="A1562" s="40" t="s">
        <v>43</v>
      </c>
      <c r="B1562" s="40" t="s">
        <v>970</v>
      </c>
      <c r="C1562" s="40" t="s">
        <v>2843</v>
      </c>
      <c r="D1562" s="40" t="s">
        <v>2233</v>
      </c>
      <c r="E1562" s="40" t="s">
        <v>2233</v>
      </c>
      <c r="F1562" s="40">
        <v>1</v>
      </c>
      <c r="G1562" s="40"/>
      <c r="H1562" s="40" t="s">
        <v>2234</v>
      </c>
      <c r="I1562" s="40"/>
      <c r="J1562" s="40" t="s">
        <v>195</v>
      </c>
      <c r="K1562" s="40" t="s">
        <v>195</v>
      </c>
      <c r="L1562" s="40" t="s">
        <v>97</v>
      </c>
    </row>
    <row r="1563" spans="1:12" x14ac:dyDescent="0.25">
      <c r="A1563" s="40" t="s">
        <v>43</v>
      </c>
      <c r="B1563" s="40" t="s">
        <v>973</v>
      </c>
      <c r="C1563" s="40" t="s">
        <v>2844</v>
      </c>
      <c r="D1563" s="40" t="s">
        <v>2233</v>
      </c>
      <c r="E1563" s="40" t="s">
        <v>2233</v>
      </c>
      <c r="F1563" s="40">
        <v>1</v>
      </c>
      <c r="G1563" s="40"/>
      <c r="H1563" s="40" t="s">
        <v>2234</v>
      </c>
      <c r="I1563" s="40"/>
      <c r="J1563" s="40" t="s">
        <v>195</v>
      </c>
      <c r="K1563" s="40" t="s">
        <v>195</v>
      </c>
      <c r="L1563" s="40" t="s">
        <v>97</v>
      </c>
    </row>
    <row r="1564" spans="1:12" x14ac:dyDescent="0.25">
      <c r="A1564" s="40" t="s">
        <v>43</v>
      </c>
      <c r="B1564" s="40" t="s">
        <v>977</v>
      </c>
      <c r="C1564" s="40" t="s">
        <v>2845</v>
      </c>
      <c r="D1564" s="40" t="s">
        <v>2233</v>
      </c>
      <c r="E1564" s="40" t="s">
        <v>2233</v>
      </c>
      <c r="F1564" s="40">
        <v>1</v>
      </c>
      <c r="G1564" s="40"/>
      <c r="H1564" s="40" t="s">
        <v>2234</v>
      </c>
      <c r="I1564" s="40"/>
      <c r="J1564" s="40" t="s">
        <v>195</v>
      </c>
      <c r="K1564" s="40" t="s">
        <v>195</v>
      </c>
      <c r="L1564" s="40" t="s">
        <v>97</v>
      </c>
    </row>
    <row r="1565" spans="1:12" x14ac:dyDescent="0.25">
      <c r="A1565" s="40" t="s">
        <v>43</v>
      </c>
      <c r="B1565" s="40" t="s">
        <v>979</v>
      </c>
      <c r="C1565" s="40" t="s">
        <v>2846</v>
      </c>
      <c r="D1565" s="40" t="s">
        <v>2233</v>
      </c>
      <c r="E1565" s="40" t="s">
        <v>2233</v>
      </c>
      <c r="F1565" s="40">
        <v>1</v>
      </c>
      <c r="G1565" s="40"/>
      <c r="H1565" s="40" t="s">
        <v>2234</v>
      </c>
      <c r="I1565" s="40"/>
      <c r="J1565" s="40" t="s">
        <v>195</v>
      </c>
      <c r="K1565" s="40" t="s">
        <v>195</v>
      </c>
      <c r="L1565" s="40" t="s">
        <v>97</v>
      </c>
    </row>
    <row r="1566" spans="1:12" x14ac:dyDescent="0.25">
      <c r="A1566" s="40" t="s">
        <v>43</v>
      </c>
      <c r="B1566" s="40" t="s">
        <v>981</v>
      </c>
      <c r="C1566" s="40" t="s">
        <v>2847</v>
      </c>
      <c r="D1566" s="40" t="s">
        <v>2233</v>
      </c>
      <c r="E1566" s="40" t="s">
        <v>2233</v>
      </c>
      <c r="F1566" s="40">
        <v>1</v>
      </c>
      <c r="G1566" s="40"/>
      <c r="H1566" s="40" t="s">
        <v>2234</v>
      </c>
      <c r="I1566" s="40"/>
      <c r="J1566" s="40" t="s">
        <v>195</v>
      </c>
      <c r="K1566" s="40" t="s">
        <v>195</v>
      </c>
      <c r="L1566" s="40" t="s">
        <v>97</v>
      </c>
    </row>
    <row r="1567" spans="1:12" x14ac:dyDescent="0.25">
      <c r="A1567" s="40" t="s">
        <v>43</v>
      </c>
      <c r="B1567" s="40" t="s">
        <v>1037</v>
      </c>
      <c r="C1567" s="40" t="s">
        <v>2848</v>
      </c>
      <c r="D1567" s="40" t="s">
        <v>2233</v>
      </c>
      <c r="E1567" s="40" t="s">
        <v>2233</v>
      </c>
      <c r="F1567" s="40">
        <v>1</v>
      </c>
      <c r="G1567" s="40"/>
      <c r="H1567" s="40" t="s">
        <v>2234</v>
      </c>
      <c r="I1567" s="40"/>
      <c r="J1567" s="40" t="s">
        <v>195</v>
      </c>
      <c r="K1567" s="40" t="s">
        <v>195</v>
      </c>
      <c r="L1567" s="40" t="s">
        <v>97</v>
      </c>
    </row>
    <row r="1568" spans="1:12" x14ac:dyDescent="0.25">
      <c r="A1568" s="40" t="s">
        <v>43</v>
      </c>
      <c r="B1568" s="40" t="s">
        <v>1039</v>
      </c>
      <c r="C1568" s="40" t="s">
        <v>2849</v>
      </c>
      <c r="D1568" s="40" t="s">
        <v>2233</v>
      </c>
      <c r="E1568" s="40" t="s">
        <v>2233</v>
      </c>
      <c r="F1568" s="40">
        <v>1</v>
      </c>
      <c r="G1568" s="40"/>
      <c r="H1568" s="40" t="s">
        <v>2234</v>
      </c>
      <c r="I1568" s="40"/>
      <c r="J1568" s="40" t="s">
        <v>195</v>
      </c>
      <c r="K1568" s="40" t="s">
        <v>195</v>
      </c>
      <c r="L1568" s="40" t="s">
        <v>97</v>
      </c>
    </row>
    <row r="1569" spans="1:12" x14ac:dyDescent="0.25">
      <c r="A1569" s="40" t="s">
        <v>43</v>
      </c>
      <c r="B1569" s="40" t="s">
        <v>1041</v>
      </c>
      <c r="C1569" s="40" t="s">
        <v>2850</v>
      </c>
      <c r="D1569" s="40" t="s">
        <v>2233</v>
      </c>
      <c r="E1569" s="40" t="s">
        <v>2233</v>
      </c>
      <c r="F1569" s="40">
        <v>1</v>
      </c>
      <c r="G1569" s="40"/>
      <c r="H1569" s="40" t="s">
        <v>2234</v>
      </c>
      <c r="I1569" s="40"/>
      <c r="J1569" s="40" t="s">
        <v>195</v>
      </c>
      <c r="K1569" s="40" t="s">
        <v>195</v>
      </c>
      <c r="L1569" s="40" t="s">
        <v>97</v>
      </c>
    </row>
    <row r="1570" spans="1:12" x14ac:dyDescent="0.25">
      <c r="A1570" s="40" t="s">
        <v>43</v>
      </c>
      <c r="B1570" s="40" t="s">
        <v>1474</v>
      </c>
      <c r="C1570" s="40" t="s">
        <v>2851</v>
      </c>
      <c r="D1570" s="40" t="s">
        <v>2233</v>
      </c>
      <c r="E1570" s="40" t="s">
        <v>2233</v>
      </c>
      <c r="F1570" s="40">
        <v>1</v>
      </c>
      <c r="G1570" s="40"/>
      <c r="H1570" s="40" t="s">
        <v>2234</v>
      </c>
      <c r="I1570" s="40"/>
      <c r="J1570" s="40" t="s">
        <v>195</v>
      </c>
      <c r="K1570" s="40" t="s">
        <v>195</v>
      </c>
      <c r="L1570" s="40" t="s">
        <v>97</v>
      </c>
    </row>
    <row r="1571" spans="1:12" x14ac:dyDescent="0.25">
      <c r="A1571" s="40" t="s">
        <v>43</v>
      </c>
      <c r="B1571" s="40" t="s">
        <v>1476</v>
      </c>
      <c r="C1571" s="40" t="s">
        <v>2852</v>
      </c>
      <c r="D1571" s="40" t="s">
        <v>2233</v>
      </c>
      <c r="E1571" s="40" t="s">
        <v>2233</v>
      </c>
      <c r="F1571" s="40">
        <v>1</v>
      </c>
      <c r="G1571" s="40"/>
      <c r="H1571" s="40" t="s">
        <v>2234</v>
      </c>
      <c r="I1571" s="40"/>
      <c r="J1571" s="40" t="s">
        <v>195</v>
      </c>
      <c r="K1571" s="40" t="s">
        <v>195</v>
      </c>
      <c r="L1571" s="40" t="s">
        <v>97</v>
      </c>
    </row>
    <row r="1572" spans="1:12" x14ac:dyDescent="0.25">
      <c r="A1572" s="40" t="s">
        <v>43</v>
      </c>
      <c r="B1572" s="40" t="s">
        <v>1479</v>
      </c>
      <c r="C1572" s="40" t="s">
        <v>2853</v>
      </c>
      <c r="D1572" s="40" t="s">
        <v>2233</v>
      </c>
      <c r="E1572" s="40" t="s">
        <v>2233</v>
      </c>
      <c r="F1572" s="40">
        <v>1</v>
      </c>
      <c r="G1572" s="40"/>
      <c r="H1572" s="40" t="s">
        <v>2234</v>
      </c>
      <c r="I1572" s="40"/>
      <c r="J1572" s="40" t="s">
        <v>195</v>
      </c>
      <c r="K1572" s="40" t="s">
        <v>195</v>
      </c>
      <c r="L1572" s="40" t="s">
        <v>97</v>
      </c>
    </row>
    <row r="1573" spans="1:12" x14ac:dyDescent="0.25">
      <c r="A1573" s="40" t="s">
        <v>43</v>
      </c>
      <c r="B1573" s="40" t="s">
        <v>1481</v>
      </c>
      <c r="C1573" s="40" t="s">
        <v>2854</v>
      </c>
      <c r="D1573" s="40" t="s">
        <v>2343</v>
      </c>
      <c r="E1573" s="40" t="s">
        <v>2233</v>
      </c>
      <c r="F1573" s="40">
        <v>0</v>
      </c>
      <c r="G1573" s="40"/>
      <c r="H1573" s="40" t="s">
        <v>2234</v>
      </c>
      <c r="I1573" s="40"/>
      <c r="J1573" s="40" t="s">
        <v>195</v>
      </c>
      <c r="K1573" s="40" t="s">
        <v>195</v>
      </c>
      <c r="L1573" s="40" t="s">
        <v>97</v>
      </c>
    </row>
    <row r="1574" spans="1:12" x14ac:dyDescent="0.25">
      <c r="A1574" s="40" t="s">
        <v>43</v>
      </c>
      <c r="B1574" s="40" t="s">
        <v>1483</v>
      </c>
      <c r="C1574" s="40" t="s">
        <v>2855</v>
      </c>
      <c r="D1574" s="40" t="s">
        <v>2233</v>
      </c>
      <c r="E1574" s="40" t="s">
        <v>2233</v>
      </c>
      <c r="F1574" s="40">
        <v>1</v>
      </c>
      <c r="G1574" s="40"/>
      <c r="H1574" s="40" t="s">
        <v>2234</v>
      </c>
      <c r="I1574" s="40"/>
      <c r="J1574" s="40" t="s">
        <v>195</v>
      </c>
      <c r="K1574" s="40" t="s">
        <v>195</v>
      </c>
      <c r="L1574" s="40" t="s">
        <v>97</v>
      </c>
    </row>
    <row r="1575" spans="1:12" x14ac:dyDescent="0.25">
      <c r="A1575" s="40" t="s">
        <v>43</v>
      </c>
      <c r="B1575" s="40" t="s">
        <v>2856</v>
      </c>
      <c r="C1575" s="40" t="s">
        <v>2857</v>
      </c>
      <c r="D1575" s="40" t="s">
        <v>2858</v>
      </c>
      <c r="E1575" s="40" t="s">
        <v>2233</v>
      </c>
      <c r="F1575" s="40">
        <v>0</v>
      </c>
      <c r="G1575" s="40"/>
      <c r="H1575" s="40" t="s">
        <v>2234</v>
      </c>
      <c r="I1575" s="40"/>
      <c r="J1575" s="40" t="s">
        <v>195</v>
      </c>
      <c r="K1575" s="40" t="s">
        <v>195</v>
      </c>
      <c r="L1575" s="40" t="s">
        <v>97</v>
      </c>
    </row>
    <row r="1576" spans="1:12" x14ac:dyDescent="0.25">
      <c r="A1576" s="40" t="s">
        <v>43</v>
      </c>
      <c r="B1576" s="40" t="s">
        <v>2859</v>
      </c>
      <c r="C1576" s="40" t="s">
        <v>2860</v>
      </c>
      <c r="D1576" s="40" t="s">
        <v>2233</v>
      </c>
      <c r="E1576" s="40" t="s">
        <v>2233</v>
      </c>
      <c r="F1576" s="40">
        <v>1</v>
      </c>
      <c r="G1576" s="40"/>
      <c r="H1576" s="40" t="s">
        <v>2234</v>
      </c>
      <c r="I1576" s="40"/>
      <c r="J1576" s="40" t="s">
        <v>195</v>
      </c>
      <c r="K1576" s="40" t="s">
        <v>195</v>
      </c>
      <c r="L1576" s="40" t="s">
        <v>97</v>
      </c>
    </row>
    <row r="1577" spans="1:12" x14ac:dyDescent="0.25">
      <c r="A1577" s="40" t="s">
        <v>43</v>
      </c>
      <c r="B1577" s="40" t="s">
        <v>2626</v>
      </c>
      <c r="C1577" s="40" t="s">
        <v>2861</v>
      </c>
      <c r="D1577" s="40" t="s">
        <v>2233</v>
      </c>
      <c r="E1577" s="40" t="s">
        <v>2233</v>
      </c>
      <c r="F1577" s="40">
        <v>1</v>
      </c>
      <c r="G1577" s="40"/>
      <c r="H1577" s="40" t="s">
        <v>2234</v>
      </c>
      <c r="I1577" s="40"/>
      <c r="J1577" s="40" t="s">
        <v>195</v>
      </c>
      <c r="K1577" s="40" t="s">
        <v>195</v>
      </c>
      <c r="L1577" s="40" t="s">
        <v>97</v>
      </c>
    </row>
    <row r="1578" spans="1:12" x14ac:dyDescent="0.25">
      <c r="A1578" s="40" t="s">
        <v>43</v>
      </c>
      <c r="B1578" s="40" t="s">
        <v>2628</v>
      </c>
      <c r="C1578" s="40" t="s">
        <v>2862</v>
      </c>
      <c r="D1578" s="40" t="s">
        <v>2233</v>
      </c>
      <c r="E1578" s="40" t="s">
        <v>2233</v>
      </c>
      <c r="F1578" s="40">
        <v>1</v>
      </c>
      <c r="G1578" s="40"/>
      <c r="H1578" s="40" t="s">
        <v>2234</v>
      </c>
      <c r="I1578" s="40"/>
      <c r="J1578" s="40" t="s">
        <v>195</v>
      </c>
      <c r="K1578" s="40" t="s">
        <v>195</v>
      </c>
      <c r="L1578" s="40" t="s">
        <v>97</v>
      </c>
    </row>
    <row r="1579" spans="1:12" x14ac:dyDescent="0.25">
      <c r="A1579" s="40" t="s">
        <v>43</v>
      </c>
      <c r="B1579" s="40" t="s">
        <v>2863</v>
      </c>
      <c r="C1579" s="40" t="s">
        <v>2864</v>
      </c>
      <c r="D1579" s="40" t="s">
        <v>2233</v>
      </c>
      <c r="E1579" s="40" t="s">
        <v>2233</v>
      </c>
      <c r="F1579" s="40">
        <v>1</v>
      </c>
      <c r="G1579" s="40"/>
      <c r="H1579" s="40" t="s">
        <v>2234</v>
      </c>
      <c r="I1579" s="40"/>
      <c r="J1579" s="40" t="s">
        <v>195</v>
      </c>
      <c r="K1579" s="40" t="s">
        <v>195</v>
      </c>
      <c r="L1579" s="40" t="s">
        <v>97</v>
      </c>
    </row>
    <row r="1580" spans="1:12" x14ac:dyDescent="0.25">
      <c r="A1580" s="40" t="s">
        <v>43</v>
      </c>
      <c r="B1580" s="40" t="s">
        <v>2865</v>
      </c>
      <c r="C1580" s="40" t="s">
        <v>2866</v>
      </c>
      <c r="D1580" s="40" t="s">
        <v>2233</v>
      </c>
      <c r="E1580" s="40" t="s">
        <v>2233</v>
      </c>
      <c r="F1580" s="40">
        <v>1</v>
      </c>
      <c r="G1580" s="40"/>
      <c r="H1580" s="40" t="s">
        <v>2234</v>
      </c>
      <c r="I1580" s="40"/>
      <c r="J1580" s="40" t="s">
        <v>195</v>
      </c>
      <c r="K1580" s="40" t="s">
        <v>195</v>
      </c>
      <c r="L1580" s="40" t="s">
        <v>97</v>
      </c>
    </row>
    <row r="1581" spans="1:12" x14ac:dyDescent="0.25">
      <c r="A1581" s="40" t="s">
        <v>43</v>
      </c>
      <c r="B1581" s="40" t="s">
        <v>1043</v>
      </c>
      <c r="C1581" s="40" t="s">
        <v>2867</v>
      </c>
      <c r="D1581" s="40" t="s">
        <v>2868</v>
      </c>
      <c r="E1581" s="40" t="s">
        <v>2233</v>
      </c>
      <c r="F1581" s="40">
        <v>0</v>
      </c>
      <c r="G1581" s="40"/>
      <c r="H1581" s="40" t="s">
        <v>2234</v>
      </c>
      <c r="I1581" s="40"/>
      <c r="J1581" s="40" t="s">
        <v>195</v>
      </c>
      <c r="K1581" s="40" t="s">
        <v>195</v>
      </c>
      <c r="L1581" s="40" t="s">
        <v>97</v>
      </c>
    </row>
    <row r="1582" spans="1:12" x14ac:dyDescent="0.25">
      <c r="A1582" s="40" t="s">
        <v>43</v>
      </c>
      <c r="B1582" s="40" t="s">
        <v>2631</v>
      </c>
      <c r="C1582" s="40" t="s">
        <v>2869</v>
      </c>
      <c r="D1582" s="40" t="s">
        <v>2233</v>
      </c>
      <c r="E1582" s="40" t="s">
        <v>2233</v>
      </c>
      <c r="F1582" s="40">
        <v>1</v>
      </c>
      <c r="G1582" s="40"/>
      <c r="H1582" s="40" t="s">
        <v>2234</v>
      </c>
      <c r="I1582" s="40"/>
      <c r="J1582" s="40" t="s">
        <v>195</v>
      </c>
      <c r="K1582" s="40" t="s">
        <v>195</v>
      </c>
      <c r="L1582" s="40" t="s">
        <v>97</v>
      </c>
    </row>
    <row r="1583" spans="1:12" x14ac:dyDescent="0.25">
      <c r="A1583" s="40" t="s">
        <v>43</v>
      </c>
      <c r="B1583" s="40" t="s">
        <v>2870</v>
      </c>
      <c r="C1583" s="40" t="s">
        <v>2871</v>
      </c>
      <c r="D1583" s="40" t="s">
        <v>2868</v>
      </c>
      <c r="E1583" s="40" t="s">
        <v>2233</v>
      </c>
      <c r="F1583" s="40">
        <v>0</v>
      </c>
      <c r="G1583" s="40"/>
      <c r="H1583" s="40" t="s">
        <v>2234</v>
      </c>
      <c r="I1583" s="40"/>
      <c r="J1583" s="40" t="s">
        <v>195</v>
      </c>
      <c r="K1583" s="40" t="s">
        <v>195</v>
      </c>
      <c r="L1583" s="40" t="s">
        <v>97</v>
      </c>
    </row>
    <row r="1584" spans="1:12" x14ac:dyDescent="0.25">
      <c r="A1584" s="40" t="s">
        <v>43</v>
      </c>
      <c r="B1584" s="40" t="s">
        <v>2872</v>
      </c>
      <c r="C1584" s="40" t="s">
        <v>2873</v>
      </c>
      <c r="D1584" s="40" t="s">
        <v>2233</v>
      </c>
      <c r="E1584" s="40" t="s">
        <v>2233</v>
      </c>
      <c r="F1584" s="40">
        <v>1</v>
      </c>
      <c r="G1584" s="40"/>
      <c r="H1584" s="40" t="s">
        <v>2234</v>
      </c>
      <c r="I1584" s="40"/>
      <c r="J1584" s="40" t="s">
        <v>195</v>
      </c>
      <c r="K1584" s="40" t="s">
        <v>195</v>
      </c>
      <c r="L1584" s="40" t="s">
        <v>97</v>
      </c>
    </row>
    <row r="1585" spans="1:12" x14ac:dyDescent="0.25">
      <c r="A1585" s="40" t="s">
        <v>43</v>
      </c>
      <c r="B1585" s="40" t="s">
        <v>1485</v>
      </c>
      <c r="C1585" s="40" t="s">
        <v>2874</v>
      </c>
      <c r="D1585" s="40" t="s">
        <v>2233</v>
      </c>
      <c r="E1585" s="40" t="s">
        <v>2233</v>
      </c>
      <c r="F1585" s="40">
        <v>1</v>
      </c>
      <c r="G1585" s="40"/>
      <c r="H1585" s="40" t="s">
        <v>2234</v>
      </c>
      <c r="I1585" s="40"/>
      <c r="J1585" s="40" t="s">
        <v>195</v>
      </c>
      <c r="K1585" s="40" t="s">
        <v>195</v>
      </c>
      <c r="L1585" s="40" t="s">
        <v>97</v>
      </c>
    </row>
    <row r="1586" spans="1:12" x14ac:dyDescent="0.25">
      <c r="A1586" s="40" t="s">
        <v>43</v>
      </c>
      <c r="B1586" s="40" t="s">
        <v>2634</v>
      </c>
      <c r="C1586" s="40" t="s">
        <v>2875</v>
      </c>
      <c r="D1586" s="40" t="s">
        <v>2233</v>
      </c>
      <c r="E1586" s="40" t="s">
        <v>2233</v>
      </c>
      <c r="F1586" s="40">
        <v>1</v>
      </c>
      <c r="G1586" s="40"/>
      <c r="H1586" s="40" t="s">
        <v>2234</v>
      </c>
      <c r="I1586" s="40"/>
      <c r="J1586" s="40" t="s">
        <v>195</v>
      </c>
      <c r="K1586" s="40" t="s">
        <v>195</v>
      </c>
      <c r="L1586" s="40" t="s">
        <v>97</v>
      </c>
    </row>
    <row r="1587" spans="1:12" x14ac:dyDescent="0.25">
      <c r="A1587" s="40" t="s">
        <v>43</v>
      </c>
      <c r="B1587" s="40" t="s">
        <v>2876</v>
      </c>
      <c r="C1587" s="40" t="s">
        <v>2877</v>
      </c>
      <c r="D1587" s="40" t="s">
        <v>2233</v>
      </c>
      <c r="E1587" s="40" t="s">
        <v>2233</v>
      </c>
      <c r="F1587" s="40">
        <v>1</v>
      </c>
      <c r="G1587" s="40"/>
      <c r="H1587" s="40" t="s">
        <v>2234</v>
      </c>
      <c r="I1587" s="40"/>
      <c r="J1587" s="40" t="s">
        <v>195</v>
      </c>
      <c r="K1587" s="40" t="s">
        <v>195</v>
      </c>
      <c r="L1587" s="40" t="s">
        <v>97</v>
      </c>
    </row>
    <row r="1588" spans="1:12" x14ac:dyDescent="0.25">
      <c r="A1588" s="40" t="s">
        <v>43</v>
      </c>
      <c r="B1588" s="40" t="s">
        <v>2878</v>
      </c>
      <c r="C1588" s="40" t="s">
        <v>2879</v>
      </c>
      <c r="D1588" s="40" t="s">
        <v>2233</v>
      </c>
      <c r="E1588" s="40" t="s">
        <v>2233</v>
      </c>
      <c r="F1588" s="40">
        <v>1</v>
      </c>
      <c r="G1588" s="40"/>
      <c r="H1588" s="40" t="s">
        <v>2234</v>
      </c>
      <c r="I1588" s="40"/>
      <c r="J1588" s="40" t="s">
        <v>195</v>
      </c>
      <c r="K1588" s="40" t="s">
        <v>195</v>
      </c>
      <c r="L1588" s="40" t="s">
        <v>97</v>
      </c>
    </row>
    <row r="1589" spans="1:12" x14ac:dyDescent="0.25">
      <c r="A1589" s="40" t="s">
        <v>43</v>
      </c>
      <c r="B1589" s="40" t="s">
        <v>2636</v>
      </c>
      <c r="C1589" s="40" t="s">
        <v>2880</v>
      </c>
      <c r="D1589" s="40" t="s">
        <v>2881</v>
      </c>
      <c r="E1589" s="40" t="s">
        <v>2233</v>
      </c>
      <c r="F1589" s="40">
        <v>0</v>
      </c>
      <c r="G1589" s="40"/>
      <c r="H1589" s="40" t="s">
        <v>2234</v>
      </c>
      <c r="I1589" s="40"/>
      <c r="J1589" s="40" t="s">
        <v>195</v>
      </c>
      <c r="K1589" s="40" t="s">
        <v>195</v>
      </c>
      <c r="L1589" s="40" t="s">
        <v>97</v>
      </c>
    </row>
    <row r="1590" spans="1:12" x14ac:dyDescent="0.25">
      <c r="A1590" s="40" t="s">
        <v>43</v>
      </c>
      <c r="B1590" s="40" t="s">
        <v>2638</v>
      </c>
      <c r="C1590" s="40" t="s">
        <v>2882</v>
      </c>
      <c r="D1590" s="40" t="s">
        <v>2883</v>
      </c>
      <c r="E1590" s="40" t="s">
        <v>2233</v>
      </c>
      <c r="F1590" s="40">
        <v>0</v>
      </c>
      <c r="G1590" s="40"/>
      <c r="H1590" s="40" t="s">
        <v>2234</v>
      </c>
      <c r="I1590" s="40"/>
      <c r="J1590" s="40" t="s">
        <v>195</v>
      </c>
      <c r="K1590" s="40" t="s">
        <v>195</v>
      </c>
      <c r="L1590" s="40" t="s">
        <v>97</v>
      </c>
    </row>
    <row r="1591" spans="1:12" x14ac:dyDescent="0.25">
      <c r="A1591" s="40" t="s">
        <v>43</v>
      </c>
      <c r="B1591" s="40" t="s">
        <v>2884</v>
      </c>
      <c r="C1591" s="40" t="s">
        <v>2885</v>
      </c>
      <c r="D1591" s="40" t="s">
        <v>2886</v>
      </c>
      <c r="E1591" s="40" t="s">
        <v>2233</v>
      </c>
      <c r="F1591" s="40">
        <v>0</v>
      </c>
      <c r="G1591" s="40"/>
      <c r="H1591" s="40" t="s">
        <v>2234</v>
      </c>
      <c r="I1591" s="40"/>
      <c r="J1591" s="40" t="s">
        <v>195</v>
      </c>
      <c r="K1591" s="40" t="s">
        <v>195</v>
      </c>
      <c r="L1591" s="40" t="s">
        <v>97</v>
      </c>
    </row>
    <row r="1592" spans="1:12" x14ac:dyDescent="0.25">
      <c r="A1592" s="40" t="s">
        <v>43</v>
      </c>
      <c r="B1592" s="40" t="s">
        <v>2887</v>
      </c>
      <c r="C1592" s="40" t="s">
        <v>2888</v>
      </c>
      <c r="D1592" s="40" t="s">
        <v>2233</v>
      </c>
      <c r="E1592" s="40" t="s">
        <v>2233</v>
      </c>
      <c r="F1592" s="40">
        <v>1</v>
      </c>
      <c r="G1592" s="40"/>
      <c r="H1592" s="40" t="s">
        <v>2234</v>
      </c>
      <c r="I1592" s="40"/>
      <c r="J1592" s="40" t="s">
        <v>195</v>
      </c>
      <c r="K1592" s="40" t="s">
        <v>195</v>
      </c>
      <c r="L1592" s="40" t="s">
        <v>97</v>
      </c>
    </row>
    <row r="1593" spans="1:12" x14ac:dyDescent="0.25">
      <c r="A1593" s="40" t="s">
        <v>43</v>
      </c>
      <c r="B1593" s="40" t="s">
        <v>2640</v>
      </c>
      <c r="C1593" s="40" t="s">
        <v>2889</v>
      </c>
      <c r="D1593" s="40" t="s">
        <v>2886</v>
      </c>
      <c r="E1593" s="40" t="s">
        <v>2233</v>
      </c>
      <c r="F1593" s="40">
        <v>0</v>
      </c>
      <c r="G1593" s="40"/>
      <c r="H1593" s="40" t="s">
        <v>2234</v>
      </c>
      <c r="I1593" s="40"/>
      <c r="J1593" s="40" t="s">
        <v>195</v>
      </c>
      <c r="K1593" s="40" t="s">
        <v>195</v>
      </c>
      <c r="L1593" s="40" t="s">
        <v>97</v>
      </c>
    </row>
    <row r="1594" spans="1:12" x14ac:dyDescent="0.25">
      <c r="A1594" s="40" t="s">
        <v>43</v>
      </c>
      <c r="B1594" s="40" t="s">
        <v>1045</v>
      </c>
      <c r="C1594" s="40" t="s">
        <v>2890</v>
      </c>
      <c r="D1594" s="40" t="s">
        <v>676</v>
      </c>
      <c r="E1594" s="40" t="s">
        <v>2233</v>
      </c>
      <c r="F1594" s="40">
        <v>0</v>
      </c>
      <c r="G1594" s="40"/>
      <c r="H1594" s="40" t="s">
        <v>2234</v>
      </c>
      <c r="I1594" s="40"/>
      <c r="J1594" s="40" t="s">
        <v>195</v>
      </c>
      <c r="K1594" s="40" t="s">
        <v>195</v>
      </c>
      <c r="L1594" s="40" t="s">
        <v>97</v>
      </c>
    </row>
    <row r="1595" spans="1:12" x14ac:dyDescent="0.25">
      <c r="A1595" s="40" t="s">
        <v>43</v>
      </c>
      <c r="B1595" s="40" t="s">
        <v>1048</v>
      </c>
      <c r="C1595" s="40" t="s">
        <v>2891</v>
      </c>
      <c r="D1595" s="40" t="s">
        <v>2233</v>
      </c>
      <c r="E1595" s="40" t="s">
        <v>2233</v>
      </c>
      <c r="F1595" s="40">
        <v>1</v>
      </c>
      <c r="G1595" s="40"/>
      <c r="H1595" s="40" t="s">
        <v>2234</v>
      </c>
      <c r="I1595" s="40"/>
      <c r="J1595" s="40" t="s">
        <v>195</v>
      </c>
      <c r="K1595" s="40" t="s">
        <v>195</v>
      </c>
      <c r="L1595" s="40" t="s">
        <v>97</v>
      </c>
    </row>
    <row r="1596" spans="1:12" x14ac:dyDescent="0.25">
      <c r="A1596" s="40" t="s">
        <v>43</v>
      </c>
      <c r="B1596" s="40" t="s">
        <v>1050</v>
      </c>
      <c r="C1596" s="40" t="s">
        <v>2892</v>
      </c>
      <c r="D1596" s="40" t="s">
        <v>2233</v>
      </c>
      <c r="E1596" s="40" t="s">
        <v>2233</v>
      </c>
      <c r="F1596" s="40">
        <v>1</v>
      </c>
      <c r="G1596" s="40"/>
      <c r="H1596" s="40" t="s">
        <v>2234</v>
      </c>
      <c r="I1596" s="40"/>
      <c r="J1596" s="40" t="s">
        <v>195</v>
      </c>
      <c r="K1596" s="40" t="s">
        <v>195</v>
      </c>
      <c r="L1596" s="40" t="s">
        <v>97</v>
      </c>
    </row>
    <row r="1597" spans="1:12" x14ac:dyDescent="0.25">
      <c r="A1597" s="40" t="s">
        <v>43</v>
      </c>
      <c r="B1597" s="40" t="s">
        <v>1052</v>
      </c>
      <c r="C1597" s="40" t="s">
        <v>2893</v>
      </c>
      <c r="D1597" s="40" t="s">
        <v>2886</v>
      </c>
      <c r="E1597" s="40" t="s">
        <v>2233</v>
      </c>
      <c r="F1597" s="40">
        <v>0</v>
      </c>
      <c r="G1597" s="40"/>
      <c r="H1597" s="40" t="s">
        <v>2234</v>
      </c>
      <c r="I1597" s="40"/>
      <c r="J1597" s="40" t="s">
        <v>195</v>
      </c>
      <c r="K1597" s="40" t="s">
        <v>195</v>
      </c>
      <c r="L1597" s="40" t="s">
        <v>97</v>
      </c>
    </row>
    <row r="1598" spans="1:12" x14ac:dyDescent="0.25">
      <c r="A1598" s="40" t="s">
        <v>43</v>
      </c>
      <c r="B1598" s="40" t="s">
        <v>1054</v>
      </c>
      <c r="C1598" s="40" t="s">
        <v>2894</v>
      </c>
      <c r="D1598" s="40" t="s">
        <v>2895</v>
      </c>
      <c r="E1598" s="40" t="s">
        <v>2233</v>
      </c>
      <c r="F1598" s="40">
        <v>0</v>
      </c>
      <c r="G1598" s="40"/>
      <c r="H1598" s="40" t="s">
        <v>2234</v>
      </c>
      <c r="I1598" s="40"/>
      <c r="J1598" s="40" t="s">
        <v>195</v>
      </c>
      <c r="K1598" s="40" t="s">
        <v>195</v>
      </c>
      <c r="L1598" s="40" t="s">
        <v>97</v>
      </c>
    </row>
    <row r="1599" spans="1:12" x14ac:dyDescent="0.25">
      <c r="A1599" s="40" t="s">
        <v>43</v>
      </c>
      <c r="B1599" s="40" t="s">
        <v>1056</v>
      </c>
      <c r="C1599" s="40" t="s">
        <v>2896</v>
      </c>
      <c r="D1599" s="40" t="s">
        <v>2886</v>
      </c>
      <c r="E1599" s="40" t="s">
        <v>2233</v>
      </c>
      <c r="F1599" s="40">
        <v>0</v>
      </c>
      <c r="G1599" s="40"/>
      <c r="H1599" s="40" t="s">
        <v>2234</v>
      </c>
      <c r="I1599" s="40"/>
      <c r="J1599" s="40" t="s">
        <v>195</v>
      </c>
      <c r="K1599" s="40" t="s">
        <v>195</v>
      </c>
      <c r="L1599" s="40" t="s">
        <v>97</v>
      </c>
    </row>
    <row r="1600" spans="1:12" x14ac:dyDescent="0.25">
      <c r="A1600" s="40" t="s">
        <v>43</v>
      </c>
      <c r="B1600" s="40" t="s">
        <v>1058</v>
      </c>
      <c r="C1600" s="40" t="s">
        <v>2897</v>
      </c>
      <c r="D1600" s="40" t="s">
        <v>2898</v>
      </c>
      <c r="E1600" s="40" t="s">
        <v>2233</v>
      </c>
      <c r="F1600" s="40">
        <v>0</v>
      </c>
      <c r="G1600" s="40"/>
      <c r="H1600" s="40" t="s">
        <v>2234</v>
      </c>
      <c r="I1600" s="40"/>
      <c r="J1600" s="40" t="s">
        <v>195</v>
      </c>
      <c r="K1600" s="40" t="s">
        <v>195</v>
      </c>
      <c r="L1600" s="40" t="s">
        <v>97</v>
      </c>
    </row>
    <row r="1601" spans="1:12" x14ac:dyDescent="0.25">
      <c r="A1601" s="40" t="s">
        <v>43</v>
      </c>
      <c r="B1601" s="40" t="s">
        <v>1060</v>
      </c>
      <c r="C1601" s="40" t="s">
        <v>2899</v>
      </c>
      <c r="D1601" s="40" t="s">
        <v>2900</v>
      </c>
      <c r="E1601" s="40" t="s">
        <v>2233</v>
      </c>
      <c r="F1601" s="40">
        <v>0</v>
      </c>
      <c r="G1601" s="40"/>
      <c r="H1601" s="40" t="s">
        <v>2234</v>
      </c>
      <c r="I1601" s="40"/>
      <c r="J1601" s="40" t="s">
        <v>195</v>
      </c>
      <c r="K1601" s="40" t="s">
        <v>195</v>
      </c>
      <c r="L1601" s="40" t="s">
        <v>97</v>
      </c>
    </row>
    <row r="1602" spans="1:12" x14ac:dyDescent="0.25">
      <c r="A1602" s="40" t="s">
        <v>43</v>
      </c>
      <c r="B1602" s="40" t="s">
        <v>1062</v>
      </c>
      <c r="C1602" s="40" t="s">
        <v>2901</v>
      </c>
      <c r="D1602" s="40" t="s">
        <v>2233</v>
      </c>
      <c r="E1602" s="40" t="s">
        <v>2233</v>
      </c>
      <c r="F1602" s="40">
        <v>1</v>
      </c>
      <c r="G1602" s="40"/>
      <c r="H1602" s="40" t="s">
        <v>2234</v>
      </c>
      <c r="I1602" s="40"/>
      <c r="J1602" s="40" t="s">
        <v>195</v>
      </c>
      <c r="K1602" s="40" t="s">
        <v>195</v>
      </c>
      <c r="L1602" s="40" t="s">
        <v>97</v>
      </c>
    </row>
    <row r="1603" spans="1:12" x14ac:dyDescent="0.25">
      <c r="A1603" s="40" t="s">
        <v>43</v>
      </c>
      <c r="B1603" s="40" t="s">
        <v>1065</v>
      </c>
      <c r="C1603" s="40" t="s">
        <v>2902</v>
      </c>
      <c r="D1603" s="40" t="s">
        <v>2233</v>
      </c>
      <c r="E1603" s="40" t="s">
        <v>2233</v>
      </c>
      <c r="F1603" s="40">
        <v>1</v>
      </c>
      <c r="G1603" s="40"/>
      <c r="H1603" s="40" t="s">
        <v>2234</v>
      </c>
      <c r="I1603" s="40"/>
      <c r="J1603" s="40" t="s">
        <v>195</v>
      </c>
      <c r="K1603" s="40" t="s">
        <v>195</v>
      </c>
      <c r="L1603" s="40" t="s">
        <v>97</v>
      </c>
    </row>
    <row r="1604" spans="1:12" x14ac:dyDescent="0.25">
      <c r="A1604" s="40" t="s">
        <v>43</v>
      </c>
      <c r="B1604" s="40" t="s">
        <v>1067</v>
      </c>
      <c r="C1604" s="40" t="s">
        <v>2903</v>
      </c>
      <c r="D1604" s="40" t="s">
        <v>2233</v>
      </c>
      <c r="E1604" s="40" t="s">
        <v>2233</v>
      </c>
      <c r="F1604" s="40">
        <v>1</v>
      </c>
      <c r="G1604" s="40"/>
      <c r="H1604" s="40" t="s">
        <v>2234</v>
      </c>
      <c r="I1604" s="40"/>
      <c r="J1604" s="40" t="s">
        <v>195</v>
      </c>
      <c r="K1604" s="40" t="s">
        <v>195</v>
      </c>
      <c r="L1604" s="40" t="s">
        <v>97</v>
      </c>
    </row>
    <row r="1605" spans="1:12" x14ac:dyDescent="0.25">
      <c r="A1605" s="40" t="s">
        <v>43</v>
      </c>
      <c r="B1605" s="40" t="s">
        <v>1101</v>
      </c>
      <c r="C1605" s="40" t="s">
        <v>2904</v>
      </c>
      <c r="D1605" s="40" t="s">
        <v>491</v>
      </c>
      <c r="E1605" s="40" t="s">
        <v>2233</v>
      </c>
      <c r="F1605" s="40">
        <v>0</v>
      </c>
      <c r="G1605" s="40"/>
      <c r="H1605" s="40" t="s">
        <v>2234</v>
      </c>
      <c r="I1605" s="40"/>
      <c r="J1605" s="40" t="s">
        <v>195</v>
      </c>
      <c r="K1605" s="40" t="s">
        <v>195</v>
      </c>
      <c r="L1605" s="40" t="s">
        <v>97</v>
      </c>
    </row>
    <row r="1606" spans="1:12" x14ac:dyDescent="0.25">
      <c r="A1606" s="40" t="s">
        <v>43</v>
      </c>
      <c r="B1606" s="40" t="s">
        <v>1103</v>
      </c>
      <c r="C1606" s="40" t="s">
        <v>2905</v>
      </c>
      <c r="D1606" s="40" t="s">
        <v>2233</v>
      </c>
      <c r="E1606" s="40" t="s">
        <v>2233</v>
      </c>
      <c r="F1606" s="40">
        <v>1</v>
      </c>
      <c r="G1606" s="40"/>
      <c r="H1606" s="40" t="s">
        <v>2234</v>
      </c>
      <c r="I1606" s="40"/>
      <c r="J1606" s="40" t="s">
        <v>195</v>
      </c>
      <c r="K1606" s="40" t="s">
        <v>195</v>
      </c>
      <c r="L1606" s="40" t="s">
        <v>97</v>
      </c>
    </row>
    <row r="1607" spans="1:12" x14ac:dyDescent="0.25">
      <c r="A1607" s="40" t="s">
        <v>43</v>
      </c>
      <c r="B1607" s="40" t="s">
        <v>1105</v>
      </c>
      <c r="C1607" s="40" t="s">
        <v>2906</v>
      </c>
      <c r="D1607" s="40" t="s">
        <v>483</v>
      </c>
      <c r="E1607" s="40" t="s">
        <v>2233</v>
      </c>
      <c r="F1607" s="40">
        <v>0</v>
      </c>
      <c r="G1607" s="40"/>
      <c r="H1607" s="40" t="s">
        <v>2234</v>
      </c>
      <c r="I1607" s="40"/>
      <c r="J1607" s="40" t="s">
        <v>195</v>
      </c>
      <c r="K1607" s="40" t="s">
        <v>195</v>
      </c>
      <c r="L1607" s="40" t="s">
        <v>97</v>
      </c>
    </row>
    <row r="1608" spans="1:12" x14ac:dyDescent="0.25">
      <c r="A1608" s="40" t="s">
        <v>43</v>
      </c>
      <c r="B1608" s="40" t="s">
        <v>1111</v>
      </c>
      <c r="C1608" s="40" t="s">
        <v>2907</v>
      </c>
      <c r="D1608" s="40" t="s">
        <v>2233</v>
      </c>
      <c r="E1608" s="40" t="s">
        <v>2233</v>
      </c>
      <c r="F1608" s="40">
        <v>1</v>
      </c>
      <c r="G1608" s="40"/>
      <c r="H1608" s="40" t="s">
        <v>2234</v>
      </c>
      <c r="I1608" s="40"/>
      <c r="J1608" s="40" t="s">
        <v>195</v>
      </c>
      <c r="K1608" s="40" t="s">
        <v>195</v>
      </c>
      <c r="L1608" s="40" t="s">
        <v>97</v>
      </c>
    </row>
    <row r="1609" spans="1:12" x14ac:dyDescent="0.25">
      <c r="A1609" s="40" t="s">
        <v>43</v>
      </c>
      <c r="B1609" s="40" t="s">
        <v>1113</v>
      </c>
      <c r="C1609" s="40" t="s">
        <v>2908</v>
      </c>
      <c r="D1609" s="40" t="s">
        <v>2233</v>
      </c>
      <c r="E1609" s="40" t="s">
        <v>2233</v>
      </c>
      <c r="F1609" s="40">
        <v>1</v>
      </c>
      <c r="G1609" s="40"/>
      <c r="H1609" s="40" t="s">
        <v>2234</v>
      </c>
      <c r="I1609" s="40"/>
      <c r="J1609" s="40" t="s">
        <v>195</v>
      </c>
      <c r="K1609" s="40" t="s">
        <v>195</v>
      </c>
      <c r="L1609" s="40" t="s">
        <v>97</v>
      </c>
    </row>
    <row r="1610" spans="1:12" x14ac:dyDescent="0.25">
      <c r="A1610" s="40" t="s">
        <v>43</v>
      </c>
      <c r="B1610" s="40" t="s">
        <v>1115</v>
      </c>
      <c r="C1610" s="40" t="s">
        <v>2909</v>
      </c>
      <c r="D1610" s="40" t="s">
        <v>2233</v>
      </c>
      <c r="E1610" s="40" t="s">
        <v>2233</v>
      </c>
      <c r="F1610" s="40">
        <v>1</v>
      </c>
      <c r="G1610" s="40"/>
      <c r="H1610" s="40" t="s">
        <v>2234</v>
      </c>
      <c r="I1610" s="40"/>
      <c r="J1610" s="40" t="s">
        <v>195</v>
      </c>
      <c r="K1610" s="40" t="s">
        <v>195</v>
      </c>
      <c r="L1610" s="40" t="s">
        <v>97</v>
      </c>
    </row>
    <row r="1611" spans="1:12" x14ac:dyDescent="0.25">
      <c r="A1611" s="40" t="s">
        <v>43</v>
      </c>
      <c r="B1611" s="40" t="s">
        <v>1117</v>
      </c>
      <c r="C1611" s="40" t="s">
        <v>2910</v>
      </c>
      <c r="D1611" s="40" t="s">
        <v>2233</v>
      </c>
      <c r="E1611" s="40" t="s">
        <v>2233</v>
      </c>
      <c r="F1611" s="40">
        <v>1</v>
      </c>
      <c r="G1611" s="40"/>
      <c r="H1611" s="40" t="s">
        <v>2234</v>
      </c>
      <c r="I1611" s="40"/>
      <c r="J1611" s="40" t="s">
        <v>195</v>
      </c>
      <c r="K1611" s="40" t="s">
        <v>195</v>
      </c>
      <c r="L1611" s="40" t="s">
        <v>97</v>
      </c>
    </row>
    <row r="1612" spans="1:12" x14ac:dyDescent="0.25">
      <c r="A1612" s="40" t="s">
        <v>43</v>
      </c>
      <c r="B1612" s="40" t="s">
        <v>2660</v>
      </c>
      <c r="C1612" s="40" t="s">
        <v>2911</v>
      </c>
      <c r="D1612" s="40" t="s">
        <v>2233</v>
      </c>
      <c r="E1612" s="40" t="s">
        <v>2233</v>
      </c>
      <c r="F1612" s="40">
        <v>1</v>
      </c>
      <c r="G1612" s="40"/>
      <c r="H1612" s="40" t="s">
        <v>2234</v>
      </c>
      <c r="I1612" s="40"/>
      <c r="J1612" s="40" t="s">
        <v>195</v>
      </c>
      <c r="K1612" s="40" t="s">
        <v>195</v>
      </c>
      <c r="L1612" s="40" t="s">
        <v>97</v>
      </c>
    </row>
    <row r="1613" spans="1:12" x14ac:dyDescent="0.25">
      <c r="A1613" s="40" t="s">
        <v>43</v>
      </c>
      <c r="B1613" s="40" t="s">
        <v>2912</v>
      </c>
      <c r="C1613" s="40" t="s">
        <v>2913</v>
      </c>
      <c r="D1613" s="40" t="s">
        <v>2233</v>
      </c>
      <c r="E1613" s="40" t="s">
        <v>2233</v>
      </c>
      <c r="F1613" s="40">
        <v>1</v>
      </c>
      <c r="G1613" s="40"/>
      <c r="H1613" s="40" t="s">
        <v>2234</v>
      </c>
      <c r="I1613" s="40"/>
      <c r="J1613" s="40" t="s">
        <v>195</v>
      </c>
      <c r="K1613" s="40" t="s">
        <v>195</v>
      </c>
      <c r="L1613" s="40" t="s">
        <v>97</v>
      </c>
    </row>
    <row r="1614" spans="1:12" x14ac:dyDescent="0.25">
      <c r="A1614" s="40" t="s">
        <v>43</v>
      </c>
      <c r="B1614" s="40" t="s">
        <v>2914</v>
      </c>
      <c r="C1614" s="40" t="s">
        <v>2915</v>
      </c>
      <c r="D1614" s="40" t="s">
        <v>2233</v>
      </c>
      <c r="E1614" s="40" t="s">
        <v>2233</v>
      </c>
      <c r="F1614" s="40">
        <v>1</v>
      </c>
      <c r="G1614" s="40"/>
      <c r="H1614" s="40" t="s">
        <v>2234</v>
      </c>
      <c r="I1614" s="40"/>
      <c r="J1614" s="40" t="s">
        <v>195</v>
      </c>
      <c r="K1614" s="40" t="s">
        <v>195</v>
      </c>
      <c r="L1614" s="40" t="s">
        <v>97</v>
      </c>
    </row>
    <row r="1615" spans="1:12" x14ac:dyDescent="0.25">
      <c r="A1615" s="40" t="s">
        <v>43</v>
      </c>
      <c r="B1615" s="40" t="s">
        <v>2916</v>
      </c>
      <c r="C1615" s="40" t="s">
        <v>2917</v>
      </c>
      <c r="D1615" s="40" t="s">
        <v>2233</v>
      </c>
      <c r="E1615" s="40" t="s">
        <v>2233</v>
      </c>
      <c r="F1615" s="40">
        <v>1</v>
      </c>
      <c r="G1615" s="40"/>
      <c r="H1615" s="40" t="s">
        <v>2234</v>
      </c>
      <c r="I1615" s="40"/>
      <c r="J1615" s="40" t="s">
        <v>195</v>
      </c>
      <c r="K1615" s="40" t="s">
        <v>195</v>
      </c>
      <c r="L1615" s="40" t="s">
        <v>97</v>
      </c>
    </row>
    <row r="1616" spans="1:12" x14ac:dyDescent="0.25">
      <c r="A1616" s="40" t="s">
        <v>43</v>
      </c>
      <c r="B1616" s="40" t="s">
        <v>1497</v>
      </c>
      <c r="C1616" s="40" t="s">
        <v>2918</v>
      </c>
      <c r="D1616" s="40" t="s">
        <v>2233</v>
      </c>
      <c r="E1616" s="40" t="s">
        <v>2233</v>
      </c>
      <c r="F1616" s="40">
        <v>1</v>
      </c>
      <c r="G1616" s="40"/>
      <c r="H1616" s="40" t="s">
        <v>2234</v>
      </c>
      <c r="I1616" s="40"/>
      <c r="J1616" s="40" t="s">
        <v>195</v>
      </c>
      <c r="K1616" s="40" t="s">
        <v>195</v>
      </c>
      <c r="L1616" s="40" t="s">
        <v>97</v>
      </c>
    </row>
    <row r="1617" spans="1:12" x14ac:dyDescent="0.25">
      <c r="A1617" s="40" t="s">
        <v>43</v>
      </c>
      <c r="B1617" s="40" t="s">
        <v>1499</v>
      </c>
      <c r="C1617" s="40" t="s">
        <v>2919</v>
      </c>
      <c r="D1617" s="40" t="s">
        <v>2233</v>
      </c>
      <c r="E1617" s="40" t="s">
        <v>2233</v>
      </c>
      <c r="F1617" s="40">
        <v>1</v>
      </c>
      <c r="G1617" s="40"/>
      <c r="H1617" s="40" t="s">
        <v>2234</v>
      </c>
      <c r="I1617" s="40"/>
      <c r="J1617" s="40" t="s">
        <v>195</v>
      </c>
      <c r="K1617" s="40" t="s">
        <v>195</v>
      </c>
      <c r="L1617" s="40" t="s">
        <v>97</v>
      </c>
    </row>
    <row r="1618" spans="1:12" x14ac:dyDescent="0.25">
      <c r="A1618" s="40" t="s">
        <v>43</v>
      </c>
      <c r="B1618" s="40" t="s">
        <v>1501</v>
      </c>
      <c r="C1618" s="40" t="s">
        <v>2920</v>
      </c>
      <c r="D1618" s="40" t="s">
        <v>2233</v>
      </c>
      <c r="E1618" s="40" t="s">
        <v>2233</v>
      </c>
      <c r="F1618" s="40">
        <v>1</v>
      </c>
      <c r="G1618" s="40"/>
      <c r="H1618" s="40" t="s">
        <v>2234</v>
      </c>
      <c r="I1618" s="40"/>
      <c r="J1618" s="40" t="s">
        <v>195</v>
      </c>
      <c r="K1618" s="40" t="s">
        <v>195</v>
      </c>
      <c r="L1618" s="40" t="s">
        <v>97</v>
      </c>
    </row>
    <row r="1619" spans="1:12" x14ac:dyDescent="0.25">
      <c r="A1619" s="40" t="s">
        <v>43</v>
      </c>
      <c r="B1619" s="40" t="s">
        <v>1504</v>
      </c>
      <c r="C1619" s="40" t="s">
        <v>2921</v>
      </c>
      <c r="D1619" s="40" t="s">
        <v>2233</v>
      </c>
      <c r="E1619" s="40" t="s">
        <v>2233</v>
      </c>
      <c r="F1619" s="40">
        <v>1</v>
      </c>
      <c r="G1619" s="40"/>
      <c r="H1619" s="40" t="s">
        <v>2234</v>
      </c>
      <c r="I1619" s="40"/>
      <c r="J1619" s="40" t="s">
        <v>195</v>
      </c>
      <c r="K1619" s="40" t="s">
        <v>195</v>
      </c>
      <c r="L1619" s="40" t="s">
        <v>97</v>
      </c>
    </row>
    <row r="1620" spans="1:12" x14ac:dyDescent="0.25">
      <c r="A1620" s="40" t="s">
        <v>43</v>
      </c>
      <c r="B1620" s="40" t="s">
        <v>1127</v>
      </c>
      <c r="C1620" s="40" t="s">
        <v>2922</v>
      </c>
      <c r="D1620" s="40" t="s">
        <v>2233</v>
      </c>
      <c r="E1620" s="40" t="s">
        <v>2233</v>
      </c>
      <c r="F1620" s="40">
        <v>1</v>
      </c>
      <c r="G1620" s="40"/>
      <c r="H1620" s="40" t="s">
        <v>2234</v>
      </c>
      <c r="I1620" s="40"/>
      <c r="J1620" s="40" t="s">
        <v>195</v>
      </c>
      <c r="K1620" s="40" t="s">
        <v>195</v>
      </c>
      <c r="L1620" s="40" t="s">
        <v>97</v>
      </c>
    </row>
    <row r="1621" spans="1:12" x14ac:dyDescent="0.25">
      <c r="A1621" s="40" t="s">
        <v>43</v>
      </c>
      <c r="B1621" s="40" t="s">
        <v>1131</v>
      </c>
      <c r="C1621" s="40" t="s">
        <v>2923</v>
      </c>
      <c r="D1621" s="40" t="s">
        <v>2233</v>
      </c>
      <c r="E1621" s="40" t="s">
        <v>2233</v>
      </c>
      <c r="F1621" s="40">
        <v>1</v>
      </c>
      <c r="G1621" s="40"/>
      <c r="H1621" s="40" t="s">
        <v>2234</v>
      </c>
      <c r="I1621" s="40"/>
      <c r="J1621" s="40" t="s">
        <v>195</v>
      </c>
      <c r="K1621" s="40" t="s">
        <v>195</v>
      </c>
      <c r="L1621" s="40" t="s">
        <v>97</v>
      </c>
    </row>
    <row r="1622" spans="1:12" x14ac:dyDescent="0.25">
      <c r="A1622" s="40" t="s">
        <v>43</v>
      </c>
      <c r="B1622" s="40" t="s">
        <v>1133</v>
      </c>
      <c r="C1622" s="40" t="s">
        <v>2924</v>
      </c>
      <c r="D1622" s="40" t="s">
        <v>2233</v>
      </c>
      <c r="E1622" s="40" t="s">
        <v>2233</v>
      </c>
      <c r="F1622" s="40">
        <v>1</v>
      </c>
      <c r="G1622" s="40"/>
      <c r="H1622" s="40" t="s">
        <v>2234</v>
      </c>
      <c r="I1622" s="40"/>
      <c r="J1622" s="40" t="s">
        <v>195</v>
      </c>
      <c r="K1622" s="40" t="s">
        <v>195</v>
      </c>
      <c r="L1622" s="40" t="s">
        <v>97</v>
      </c>
    </row>
    <row r="1623" spans="1:12" x14ac:dyDescent="0.25">
      <c r="A1623" s="40" t="s">
        <v>43</v>
      </c>
      <c r="B1623" s="40" t="s">
        <v>1136</v>
      </c>
      <c r="C1623" s="40" t="s">
        <v>2925</v>
      </c>
      <c r="D1623" s="40" t="s">
        <v>2233</v>
      </c>
      <c r="E1623" s="40" t="s">
        <v>2233</v>
      </c>
      <c r="F1623" s="40">
        <v>1</v>
      </c>
      <c r="G1623" s="40"/>
      <c r="H1623" s="40" t="s">
        <v>2234</v>
      </c>
      <c r="I1623" s="40"/>
      <c r="J1623" s="40" t="s">
        <v>195</v>
      </c>
      <c r="K1623" s="40" t="s">
        <v>195</v>
      </c>
      <c r="L1623" s="40" t="s">
        <v>97</v>
      </c>
    </row>
    <row r="1624" spans="1:12" x14ac:dyDescent="0.25">
      <c r="A1624" s="40" t="s">
        <v>43</v>
      </c>
      <c r="B1624" s="40" t="s">
        <v>1139</v>
      </c>
      <c r="C1624" s="40" t="s">
        <v>2926</v>
      </c>
      <c r="D1624" s="40" t="s">
        <v>2233</v>
      </c>
      <c r="E1624" s="40" t="s">
        <v>2233</v>
      </c>
      <c r="F1624" s="40">
        <v>1</v>
      </c>
      <c r="G1624" s="40"/>
      <c r="H1624" s="40" t="s">
        <v>2234</v>
      </c>
      <c r="I1624" s="40"/>
      <c r="J1624" s="40" t="s">
        <v>195</v>
      </c>
      <c r="K1624" s="40" t="s">
        <v>195</v>
      </c>
      <c r="L1624" s="40" t="s">
        <v>97</v>
      </c>
    </row>
    <row r="1625" spans="1:12" x14ac:dyDescent="0.25">
      <c r="A1625" s="40" t="s">
        <v>43</v>
      </c>
      <c r="B1625" s="40" t="s">
        <v>1141</v>
      </c>
      <c r="C1625" s="40" t="s">
        <v>2927</v>
      </c>
      <c r="D1625" s="40" t="s">
        <v>2233</v>
      </c>
      <c r="E1625" s="40" t="s">
        <v>2233</v>
      </c>
      <c r="F1625" s="40">
        <v>1</v>
      </c>
      <c r="G1625" s="40"/>
      <c r="H1625" s="40" t="s">
        <v>2234</v>
      </c>
      <c r="I1625" s="40"/>
      <c r="J1625" s="40" t="s">
        <v>195</v>
      </c>
      <c r="K1625" s="40" t="s">
        <v>195</v>
      </c>
      <c r="L1625" s="40" t="s">
        <v>97</v>
      </c>
    </row>
    <row r="1626" spans="1:12" x14ac:dyDescent="0.25">
      <c r="A1626" s="40" t="s">
        <v>43</v>
      </c>
      <c r="B1626" s="40" t="s">
        <v>1144</v>
      </c>
      <c r="C1626" s="40" t="s">
        <v>2928</v>
      </c>
      <c r="D1626" s="40" t="s">
        <v>2233</v>
      </c>
      <c r="E1626" s="40" t="s">
        <v>2233</v>
      </c>
      <c r="F1626" s="40">
        <v>1</v>
      </c>
      <c r="G1626" s="40"/>
      <c r="H1626" s="40" t="s">
        <v>2234</v>
      </c>
      <c r="I1626" s="40"/>
      <c r="J1626" s="40" t="s">
        <v>195</v>
      </c>
      <c r="K1626" s="40" t="s">
        <v>195</v>
      </c>
      <c r="L1626" s="40" t="s">
        <v>97</v>
      </c>
    </row>
    <row r="1627" spans="1:12" x14ac:dyDescent="0.25">
      <c r="A1627" s="40" t="s">
        <v>43</v>
      </c>
      <c r="B1627" s="40" t="s">
        <v>1514</v>
      </c>
      <c r="C1627" s="40" t="s">
        <v>2929</v>
      </c>
      <c r="D1627" s="40" t="s">
        <v>2233</v>
      </c>
      <c r="E1627" s="40" t="s">
        <v>2233</v>
      </c>
      <c r="F1627" s="40">
        <v>1</v>
      </c>
      <c r="G1627" s="40"/>
      <c r="H1627" s="40" t="s">
        <v>2234</v>
      </c>
      <c r="I1627" s="40"/>
      <c r="J1627" s="40" t="s">
        <v>195</v>
      </c>
      <c r="K1627" s="40" t="s">
        <v>195</v>
      </c>
      <c r="L1627" s="40" t="s">
        <v>97</v>
      </c>
    </row>
    <row r="1628" spans="1:12" x14ac:dyDescent="0.25">
      <c r="A1628" s="40" t="s">
        <v>43</v>
      </c>
      <c r="B1628" s="40" t="s">
        <v>1516</v>
      </c>
      <c r="C1628" s="40" t="s">
        <v>2930</v>
      </c>
      <c r="D1628" s="40" t="s">
        <v>2233</v>
      </c>
      <c r="E1628" s="40" t="s">
        <v>2233</v>
      </c>
      <c r="F1628" s="40">
        <v>1</v>
      </c>
      <c r="G1628" s="40"/>
      <c r="H1628" s="40" t="s">
        <v>2234</v>
      </c>
      <c r="I1628" s="40"/>
      <c r="J1628" s="40" t="s">
        <v>195</v>
      </c>
      <c r="K1628" s="40" t="s">
        <v>195</v>
      </c>
      <c r="L1628" s="40" t="s">
        <v>97</v>
      </c>
    </row>
    <row r="1629" spans="1:12" x14ac:dyDescent="0.25">
      <c r="A1629" s="40" t="s">
        <v>43</v>
      </c>
      <c r="B1629" s="40" t="s">
        <v>1519</v>
      </c>
      <c r="C1629" s="40" t="s">
        <v>2931</v>
      </c>
      <c r="D1629" s="40" t="s">
        <v>2233</v>
      </c>
      <c r="E1629" s="40" t="s">
        <v>2233</v>
      </c>
      <c r="F1629" s="40">
        <v>1</v>
      </c>
      <c r="G1629" s="40"/>
      <c r="H1629" s="40" t="s">
        <v>2234</v>
      </c>
      <c r="I1629" s="40"/>
      <c r="J1629" s="40" t="s">
        <v>195</v>
      </c>
      <c r="K1629" s="40" t="s">
        <v>195</v>
      </c>
      <c r="L1629" s="40" t="s">
        <v>97</v>
      </c>
    </row>
    <row r="1630" spans="1:12" x14ac:dyDescent="0.25">
      <c r="A1630" s="40" t="s">
        <v>43</v>
      </c>
      <c r="B1630" s="40" t="s">
        <v>1521</v>
      </c>
      <c r="C1630" s="40" t="s">
        <v>2932</v>
      </c>
      <c r="D1630" s="40" t="s">
        <v>2233</v>
      </c>
      <c r="E1630" s="40" t="s">
        <v>2233</v>
      </c>
      <c r="F1630" s="40">
        <v>1</v>
      </c>
      <c r="G1630" s="40"/>
      <c r="H1630" s="40" t="s">
        <v>2234</v>
      </c>
      <c r="I1630" s="40"/>
      <c r="J1630" s="40" t="s">
        <v>195</v>
      </c>
      <c r="K1630" s="40" t="s">
        <v>195</v>
      </c>
      <c r="L1630" s="40" t="s">
        <v>97</v>
      </c>
    </row>
    <row r="1631" spans="1:12" x14ac:dyDescent="0.25">
      <c r="A1631" s="40" t="s">
        <v>43</v>
      </c>
      <c r="B1631" s="40" t="s">
        <v>1523</v>
      </c>
      <c r="C1631" s="40" t="s">
        <v>2933</v>
      </c>
      <c r="D1631" s="40" t="s">
        <v>2233</v>
      </c>
      <c r="E1631" s="40" t="s">
        <v>2233</v>
      </c>
      <c r="F1631" s="40">
        <v>1</v>
      </c>
      <c r="G1631" s="40"/>
      <c r="H1631" s="40" t="s">
        <v>2234</v>
      </c>
      <c r="I1631" s="40"/>
      <c r="J1631" s="40" t="s">
        <v>195</v>
      </c>
      <c r="K1631" s="40" t="s">
        <v>195</v>
      </c>
      <c r="L1631" s="40" t="s">
        <v>97</v>
      </c>
    </row>
    <row r="1632" spans="1:12" x14ac:dyDescent="0.25">
      <c r="A1632" s="40" t="s">
        <v>43</v>
      </c>
      <c r="B1632" s="40" t="s">
        <v>1526</v>
      </c>
      <c r="C1632" s="40" t="s">
        <v>2934</v>
      </c>
      <c r="D1632" s="40" t="s">
        <v>2233</v>
      </c>
      <c r="E1632" s="40" t="s">
        <v>2233</v>
      </c>
      <c r="F1632" s="40">
        <v>1</v>
      </c>
      <c r="G1632" s="40"/>
      <c r="H1632" s="40" t="s">
        <v>2234</v>
      </c>
      <c r="I1632" s="40"/>
      <c r="J1632" s="40" t="s">
        <v>195</v>
      </c>
      <c r="K1632" s="40" t="s">
        <v>195</v>
      </c>
      <c r="L1632" s="40" t="s">
        <v>97</v>
      </c>
    </row>
    <row r="1633" spans="1:12" x14ac:dyDescent="0.25">
      <c r="A1633" s="40" t="s">
        <v>43</v>
      </c>
      <c r="B1633" s="40" t="s">
        <v>1528</v>
      </c>
      <c r="C1633" s="40" t="s">
        <v>2935</v>
      </c>
      <c r="D1633" s="40" t="s">
        <v>2233</v>
      </c>
      <c r="E1633" s="40" t="s">
        <v>2233</v>
      </c>
      <c r="F1633" s="40">
        <v>1</v>
      </c>
      <c r="G1633" s="40"/>
      <c r="H1633" s="40" t="s">
        <v>2234</v>
      </c>
      <c r="I1633" s="40"/>
      <c r="J1633" s="40" t="s">
        <v>195</v>
      </c>
      <c r="K1633" s="40" t="s">
        <v>195</v>
      </c>
      <c r="L1633" s="40" t="s">
        <v>97</v>
      </c>
    </row>
    <row r="1634" spans="1:12" x14ac:dyDescent="0.25">
      <c r="A1634" s="40" t="s">
        <v>43</v>
      </c>
      <c r="B1634" s="40" t="s">
        <v>1531</v>
      </c>
      <c r="C1634" s="40" t="s">
        <v>2936</v>
      </c>
      <c r="D1634" s="40" t="s">
        <v>2233</v>
      </c>
      <c r="E1634" s="40" t="s">
        <v>2233</v>
      </c>
      <c r="F1634" s="40">
        <v>1</v>
      </c>
      <c r="G1634" s="40"/>
      <c r="H1634" s="40" t="s">
        <v>2234</v>
      </c>
      <c r="I1634" s="40"/>
      <c r="J1634" s="40" t="s">
        <v>195</v>
      </c>
      <c r="K1634" s="40" t="s">
        <v>195</v>
      </c>
      <c r="L1634" s="40" t="s">
        <v>97</v>
      </c>
    </row>
    <row r="1635" spans="1:12" x14ac:dyDescent="0.25">
      <c r="A1635" s="40" t="s">
        <v>43</v>
      </c>
      <c r="B1635" s="40" t="s">
        <v>1533</v>
      </c>
      <c r="C1635" s="40" t="s">
        <v>2937</v>
      </c>
      <c r="D1635" s="40" t="s">
        <v>2233</v>
      </c>
      <c r="E1635" s="40" t="s">
        <v>2233</v>
      </c>
      <c r="F1635" s="40">
        <v>1</v>
      </c>
      <c r="G1635" s="40"/>
      <c r="H1635" s="40" t="s">
        <v>2234</v>
      </c>
      <c r="I1635" s="40"/>
      <c r="J1635" s="40" t="s">
        <v>195</v>
      </c>
      <c r="K1635" s="40" t="s">
        <v>195</v>
      </c>
      <c r="L1635" s="40" t="s">
        <v>97</v>
      </c>
    </row>
    <row r="1636" spans="1:12" x14ac:dyDescent="0.25">
      <c r="A1636" s="40" t="s">
        <v>43</v>
      </c>
      <c r="B1636" s="40" t="s">
        <v>1146</v>
      </c>
      <c r="C1636" s="40" t="s">
        <v>2938</v>
      </c>
      <c r="D1636" s="40" t="s">
        <v>544</v>
      </c>
      <c r="E1636" s="40" t="s">
        <v>2233</v>
      </c>
      <c r="F1636" s="40">
        <v>0</v>
      </c>
      <c r="G1636" s="40"/>
      <c r="H1636" s="40" t="s">
        <v>2234</v>
      </c>
      <c r="I1636" s="40"/>
      <c r="J1636" s="40" t="s">
        <v>195</v>
      </c>
      <c r="K1636" s="40" t="s">
        <v>195</v>
      </c>
      <c r="L1636" s="40" t="s">
        <v>97</v>
      </c>
    </row>
    <row r="1637" spans="1:12" x14ac:dyDescent="0.25">
      <c r="A1637" s="40" t="s">
        <v>43</v>
      </c>
      <c r="B1637" s="40" t="s">
        <v>1150</v>
      </c>
      <c r="C1637" s="40" t="s">
        <v>2939</v>
      </c>
      <c r="D1637" s="40" t="s">
        <v>2940</v>
      </c>
      <c r="E1637" s="40" t="s">
        <v>2233</v>
      </c>
      <c r="F1637" s="40">
        <v>0</v>
      </c>
      <c r="G1637" s="40"/>
      <c r="H1637" s="40" t="s">
        <v>2234</v>
      </c>
      <c r="I1637" s="40"/>
      <c r="J1637" s="40" t="s">
        <v>195</v>
      </c>
      <c r="K1637" s="40" t="s">
        <v>195</v>
      </c>
      <c r="L1637" s="40" t="s">
        <v>97</v>
      </c>
    </row>
    <row r="1638" spans="1:12" x14ac:dyDescent="0.25">
      <c r="A1638" s="40" t="s">
        <v>43</v>
      </c>
      <c r="B1638" s="40" t="s">
        <v>1539</v>
      </c>
      <c r="C1638" s="40" t="s">
        <v>2941</v>
      </c>
      <c r="D1638" s="40" t="s">
        <v>2942</v>
      </c>
      <c r="E1638" s="40" t="s">
        <v>2233</v>
      </c>
      <c r="F1638" s="40">
        <v>0</v>
      </c>
      <c r="G1638" s="40"/>
      <c r="H1638" s="40" t="s">
        <v>2234</v>
      </c>
      <c r="I1638" s="40"/>
      <c r="J1638" s="40" t="s">
        <v>195</v>
      </c>
      <c r="K1638" s="40" t="s">
        <v>195</v>
      </c>
      <c r="L1638" s="40" t="s">
        <v>97</v>
      </c>
    </row>
    <row r="1639" spans="1:12" x14ac:dyDescent="0.25">
      <c r="A1639" s="40" t="s">
        <v>43</v>
      </c>
      <c r="B1639" s="40" t="s">
        <v>1152</v>
      </c>
      <c r="C1639" s="40" t="s">
        <v>2943</v>
      </c>
      <c r="D1639" s="40" t="s">
        <v>2233</v>
      </c>
      <c r="E1639" s="40" t="s">
        <v>2233</v>
      </c>
      <c r="F1639" s="40">
        <v>1</v>
      </c>
      <c r="G1639" s="40"/>
      <c r="H1639" s="40" t="s">
        <v>2234</v>
      </c>
      <c r="I1639" s="40"/>
      <c r="J1639" s="40" t="s">
        <v>195</v>
      </c>
      <c r="K1639" s="40" t="s">
        <v>195</v>
      </c>
      <c r="L1639" s="40" t="s">
        <v>97</v>
      </c>
    </row>
    <row r="1640" spans="1:12" x14ac:dyDescent="0.25">
      <c r="A1640" s="40" t="s">
        <v>43</v>
      </c>
      <c r="B1640" s="40" t="s">
        <v>1155</v>
      </c>
      <c r="C1640" s="40" t="s">
        <v>2944</v>
      </c>
      <c r="D1640" s="40" t="s">
        <v>2945</v>
      </c>
      <c r="E1640" s="40" t="s">
        <v>2233</v>
      </c>
      <c r="F1640" s="40">
        <v>0</v>
      </c>
      <c r="G1640" s="40"/>
      <c r="H1640" s="40" t="s">
        <v>2234</v>
      </c>
      <c r="I1640" s="40"/>
      <c r="J1640" s="40" t="s">
        <v>195</v>
      </c>
      <c r="K1640" s="40" t="s">
        <v>195</v>
      </c>
      <c r="L1640" s="40" t="s">
        <v>97</v>
      </c>
    </row>
    <row r="1641" spans="1:12" x14ac:dyDescent="0.25">
      <c r="A1641" s="40" t="s">
        <v>43</v>
      </c>
      <c r="B1641" s="40" t="s">
        <v>1157</v>
      </c>
      <c r="C1641" s="40" t="s">
        <v>2946</v>
      </c>
      <c r="D1641" s="40" t="s">
        <v>2233</v>
      </c>
      <c r="E1641" s="40" t="s">
        <v>2233</v>
      </c>
      <c r="F1641" s="40">
        <v>1</v>
      </c>
      <c r="G1641" s="40"/>
      <c r="H1641" s="40" t="s">
        <v>2234</v>
      </c>
      <c r="I1641" s="40"/>
      <c r="J1641" s="40" t="s">
        <v>195</v>
      </c>
      <c r="K1641" s="40" t="s">
        <v>195</v>
      </c>
      <c r="L1641" s="40" t="s">
        <v>97</v>
      </c>
    </row>
    <row r="1642" spans="1:12" x14ac:dyDescent="0.25">
      <c r="A1642" s="40" t="s">
        <v>43</v>
      </c>
      <c r="B1642" s="40" t="s">
        <v>1160</v>
      </c>
      <c r="C1642" s="40" t="s">
        <v>2947</v>
      </c>
      <c r="D1642" s="40" t="s">
        <v>2233</v>
      </c>
      <c r="E1642" s="40" t="s">
        <v>2233</v>
      </c>
      <c r="F1642" s="40">
        <v>1</v>
      </c>
      <c r="G1642" s="40"/>
      <c r="H1642" s="40" t="s">
        <v>2234</v>
      </c>
      <c r="I1642" s="40"/>
      <c r="J1642" s="40" t="s">
        <v>195</v>
      </c>
      <c r="K1642" s="40" t="s">
        <v>195</v>
      </c>
      <c r="L1642" s="40" t="s">
        <v>97</v>
      </c>
    </row>
    <row r="1643" spans="1:12" x14ac:dyDescent="0.25">
      <c r="A1643" s="40" t="s">
        <v>43</v>
      </c>
      <c r="B1643" s="40" t="s">
        <v>1162</v>
      </c>
      <c r="C1643" s="40" t="s">
        <v>2948</v>
      </c>
      <c r="D1643" s="40" t="s">
        <v>2233</v>
      </c>
      <c r="E1643" s="40" t="s">
        <v>2233</v>
      </c>
      <c r="F1643" s="40">
        <v>1</v>
      </c>
      <c r="G1643" s="40"/>
      <c r="H1643" s="40" t="s">
        <v>2234</v>
      </c>
      <c r="I1643" s="40"/>
      <c r="J1643" s="40" t="s">
        <v>195</v>
      </c>
      <c r="K1643" s="40" t="s">
        <v>195</v>
      </c>
      <c r="L1643" s="40" t="s">
        <v>97</v>
      </c>
    </row>
    <row r="1644" spans="1:12" x14ac:dyDescent="0.25">
      <c r="A1644" s="40" t="s">
        <v>43</v>
      </c>
      <c r="B1644" s="40" t="s">
        <v>1164</v>
      </c>
      <c r="C1644" s="40" t="s">
        <v>2949</v>
      </c>
      <c r="D1644" s="40" t="s">
        <v>2233</v>
      </c>
      <c r="E1644" s="40" t="s">
        <v>2233</v>
      </c>
      <c r="F1644" s="40">
        <v>1</v>
      </c>
      <c r="G1644" s="40"/>
      <c r="H1644" s="40" t="s">
        <v>2234</v>
      </c>
      <c r="I1644" s="40"/>
      <c r="J1644" s="40" t="s">
        <v>195</v>
      </c>
      <c r="K1644" s="40" t="s">
        <v>195</v>
      </c>
      <c r="L1644" s="40" t="s">
        <v>97</v>
      </c>
    </row>
    <row r="1645" spans="1:12" x14ac:dyDescent="0.25">
      <c r="A1645" s="40" t="s">
        <v>43</v>
      </c>
      <c r="B1645" s="40" t="s">
        <v>1167</v>
      </c>
      <c r="C1645" s="40" t="s">
        <v>2950</v>
      </c>
      <c r="D1645" s="40" t="s">
        <v>2233</v>
      </c>
      <c r="E1645" s="40" t="s">
        <v>2233</v>
      </c>
      <c r="F1645" s="40">
        <v>1</v>
      </c>
      <c r="G1645" s="40"/>
      <c r="H1645" s="40" t="s">
        <v>2234</v>
      </c>
      <c r="I1645" s="40"/>
      <c r="J1645" s="40" t="s">
        <v>195</v>
      </c>
      <c r="K1645" s="40" t="s">
        <v>195</v>
      </c>
      <c r="L1645" s="40" t="s">
        <v>97</v>
      </c>
    </row>
    <row r="1646" spans="1:12" x14ac:dyDescent="0.25">
      <c r="A1646" s="40" t="s">
        <v>43</v>
      </c>
      <c r="B1646" s="40" t="s">
        <v>1169</v>
      </c>
      <c r="C1646" s="40" t="s">
        <v>2951</v>
      </c>
      <c r="D1646" s="40" t="s">
        <v>2233</v>
      </c>
      <c r="E1646" s="40" t="s">
        <v>2233</v>
      </c>
      <c r="F1646" s="40">
        <v>1</v>
      </c>
      <c r="G1646" s="40"/>
      <c r="H1646" s="40" t="s">
        <v>2234</v>
      </c>
      <c r="I1646" s="40"/>
      <c r="J1646" s="40" t="s">
        <v>195</v>
      </c>
      <c r="K1646" s="40" t="s">
        <v>195</v>
      </c>
      <c r="L1646" s="40" t="s">
        <v>97</v>
      </c>
    </row>
    <row r="1647" spans="1:12" x14ac:dyDescent="0.25">
      <c r="A1647" s="40" t="s">
        <v>43</v>
      </c>
      <c r="B1647" s="40" t="s">
        <v>1171</v>
      </c>
      <c r="C1647" s="40" t="s">
        <v>2952</v>
      </c>
      <c r="D1647" s="40" t="s">
        <v>2233</v>
      </c>
      <c r="E1647" s="40" t="s">
        <v>2233</v>
      </c>
      <c r="F1647" s="40">
        <v>1</v>
      </c>
      <c r="G1647" s="40"/>
      <c r="H1647" s="40" t="s">
        <v>2234</v>
      </c>
      <c r="I1647" s="40"/>
      <c r="J1647" s="40" t="s">
        <v>195</v>
      </c>
      <c r="K1647" s="40" t="s">
        <v>195</v>
      </c>
      <c r="L1647" s="40" t="s">
        <v>97</v>
      </c>
    </row>
    <row r="1648" spans="1:12" x14ac:dyDescent="0.25">
      <c r="A1648" s="40" t="s">
        <v>43</v>
      </c>
      <c r="B1648" s="40" t="s">
        <v>1173</v>
      </c>
      <c r="C1648" s="40" t="s">
        <v>2953</v>
      </c>
      <c r="D1648" s="40" t="s">
        <v>2233</v>
      </c>
      <c r="E1648" s="40" t="s">
        <v>2233</v>
      </c>
      <c r="F1648" s="40">
        <v>1</v>
      </c>
      <c r="G1648" s="40"/>
      <c r="H1648" s="40" t="s">
        <v>2234</v>
      </c>
      <c r="I1648" s="40"/>
      <c r="J1648" s="40" t="s">
        <v>195</v>
      </c>
      <c r="K1648" s="40" t="s">
        <v>195</v>
      </c>
      <c r="L1648" s="40" t="s">
        <v>97</v>
      </c>
    </row>
    <row r="1649" spans="1:12" x14ac:dyDescent="0.25">
      <c r="A1649" s="40" t="s">
        <v>43</v>
      </c>
      <c r="B1649" s="40" t="s">
        <v>1175</v>
      </c>
      <c r="C1649" s="40" t="s">
        <v>2954</v>
      </c>
      <c r="D1649" s="40" t="s">
        <v>2233</v>
      </c>
      <c r="E1649" s="40" t="s">
        <v>2233</v>
      </c>
      <c r="F1649" s="40">
        <v>1</v>
      </c>
      <c r="G1649" s="40"/>
      <c r="H1649" s="40" t="s">
        <v>2234</v>
      </c>
      <c r="I1649" s="40"/>
      <c r="J1649" s="40" t="s">
        <v>195</v>
      </c>
      <c r="K1649" s="40" t="s">
        <v>195</v>
      </c>
      <c r="L1649" s="40" t="s">
        <v>97</v>
      </c>
    </row>
    <row r="1650" spans="1:12" x14ac:dyDescent="0.25">
      <c r="A1650" s="40" t="s">
        <v>43</v>
      </c>
      <c r="B1650" s="40" t="s">
        <v>1177</v>
      </c>
      <c r="C1650" s="40" t="s">
        <v>2955</v>
      </c>
      <c r="D1650" s="40" t="s">
        <v>2233</v>
      </c>
      <c r="E1650" s="40" t="s">
        <v>2233</v>
      </c>
      <c r="F1650" s="40">
        <v>1</v>
      </c>
      <c r="G1650" s="40"/>
      <c r="H1650" s="40" t="s">
        <v>2234</v>
      </c>
      <c r="I1650" s="40"/>
      <c r="J1650" s="40" t="s">
        <v>195</v>
      </c>
      <c r="K1650" s="40" t="s">
        <v>195</v>
      </c>
      <c r="L1650" s="40" t="s">
        <v>97</v>
      </c>
    </row>
    <row r="1651" spans="1:12" x14ac:dyDescent="0.25">
      <c r="A1651" s="40" t="s">
        <v>43</v>
      </c>
      <c r="B1651" s="40" t="s">
        <v>1179</v>
      </c>
      <c r="C1651" s="40" t="s">
        <v>2956</v>
      </c>
      <c r="D1651" s="40" t="s">
        <v>2233</v>
      </c>
      <c r="E1651" s="40" t="s">
        <v>2233</v>
      </c>
      <c r="F1651" s="40">
        <v>1</v>
      </c>
      <c r="G1651" s="40"/>
      <c r="H1651" s="40" t="s">
        <v>2234</v>
      </c>
      <c r="I1651" s="40"/>
      <c r="J1651" s="40" t="s">
        <v>195</v>
      </c>
      <c r="K1651" s="40" t="s">
        <v>195</v>
      </c>
      <c r="L1651" s="40" t="s">
        <v>97</v>
      </c>
    </row>
    <row r="1652" spans="1:12" x14ac:dyDescent="0.25">
      <c r="A1652" s="40" t="s">
        <v>43</v>
      </c>
      <c r="B1652" s="40" t="s">
        <v>1181</v>
      </c>
      <c r="C1652" s="40" t="s">
        <v>2957</v>
      </c>
      <c r="D1652" s="40" t="s">
        <v>2233</v>
      </c>
      <c r="E1652" s="40" t="s">
        <v>2233</v>
      </c>
      <c r="F1652" s="40">
        <v>1</v>
      </c>
      <c r="G1652" s="40"/>
      <c r="H1652" s="40" t="s">
        <v>2234</v>
      </c>
      <c r="I1652" s="40"/>
      <c r="J1652" s="40" t="s">
        <v>195</v>
      </c>
      <c r="K1652" s="40" t="s">
        <v>195</v>
      </c>
      <c r="L1652" s="40" t="s">
        <v>97</v>
      </c>
    </row>
    <row r="1653" spans="1:12" x14ac:dyDescent="0.25">
      <c r="A1653" s="40" t="s">
        <v>43</v>
      </c>
      <c r="B1653" s="40" t="s">
        <v>1184</v>
      </c>
      <c r="C1653" s="40" t="s">
        <v>2958</v>
      </c>
      <c r="D1653" s="40" t="s">
        <v>2233</v>
      </c>
      <c r="E1653" s="40" t="s">
        <v>2233</v>
      </c>
      <c r="F1653" s="40">
        <v>1</v>
      </c>
      <c r="G1653" s="40"/>
      <c r="H1653" s="40" t="s">
        <v>2234</v>
      </c>
      <c r="I1653" s="40"/>
      <c r="J1653" s="40" t="s">
        <v>195</v>
      </c>
      <c r="K1653" s="40" t="s">
        <v>195</v>
      </c>
      <c r="L1653" s="40" t="s">
        <v>97</v>
      </c>
    </row>
    <row r="1654" spans="1:12" x14ac:dyDescent="0.25">
      <c r="A1654" s="40" t="s">
        <v>43</v>
      </c>
      <c r="B1654" s="40" t="s">
        <v>1186</v>
      </c>
      <c r="C1654" s="40" t="s">
        <v>2959</v>
      </c>
      <c r="D1654" s="40" t="s">
        <v>2233</v>
      </c>
      <c r="E1654" s="40" t="s">
        <v>2233</v>
      </c>
      <c r="F1654" s="40">
        <v>1</v>
      </c>
      <c r="G1654" s="40"/>
      <c r="H1654" s="40" t="s">
        <v>2234</v>
      </c>
      <c r="I1654" s="40"/>
      <c r="J1654" s="40" t="s">
        <v>195</v>
      </c>
      <c r="K1654" s="40" t="s">
        <v>195</v>
      </c>
      <c r="L1654" s="40" t="s">
        <v>97</v>
      </c>
    </row>
    <row r="1655" spans="1:12" x14ac:dyDescent="0.25">
      <c r="A1655" s="40" t="s">
        <v>43</v>
      </c>
      <c r="B1655" s="40" t="s">
        <v>1189</v>
      </c>
      <c r="C1655" s="40" t="s">
        <v>2960</v>
      </c>
      <c r="D1655" s="40" t="s">
        <v>2233</v>
      </c>
      <c r="E1655" s="40" t="s">
        <v>2233</v>
      </c>
      <c r="F1655" s="40">
        <v>1</v>
      </c>
      <c r="G1655" s="40"/>
      <c r="H1655" s="40" t="s">
        <v>2234</v>
      </c>
      <c r="I1655" s="40"/>
      <c r="J1655" s="40" t="s">
        <v>195</v>
      </c>
      <c r="K1655" s="40" t="s">
        <v>195</v>
      </c>
      <c r="L1655" s="40" t="s">
        <v>97</v>
      </c>
    </row>
    <row r="1656" spans="1:12" x14ac:dyDescent="0.25">
      <c r="A1656" s="40" t="s">
        <v>43</v>
      </c>
      <c r="B1656" s="40" t="s">
        <v>1191</v>
      </c>
      <c r="C1656" s="40" t="s">
        <v>2961</v>
      </c>
      <c r="D1656" s="40" t="s">
        <v>2233</v>
      </c>
      <c r="E1656" s="40" t="s">
        <v>2233</v>
      </c>
      <c r="F1656" s="40">
        <v>1</v>
      </c>
      <c r="G1656" s="40"/>
      <c r="H1656" s="40" t="s">
        <v>2234</v>
      </c>
      <c r="I1656" s="40"/>
      <c r="J1656" s="40" t="s">
        <v>195</v>
      </c>
      <c r="K1656" s="40" t="s">
        <v>195</v>
      </c>
      <c r="L1656" s="40" t="s">
        <v>97</v>
      </c>
    </row>
    <row r="1657" spans="1:12" x14ac:dyDescent="0.25">
      <c r="A1657" s="40" t="s">
        <v>43</v>
      </c>
      <c r="B1657" s="40" t="s">
        <v>1193</v>
      </c>
      <c r="C1657" s="40" t="s">
        <v>2962</v>
      </c>
      <c r="D1657" s="40" t="s">
        <v>2233</v>
      </c>
      <c r="E1657" s="40" t="s">
        <v>2233</v>
      </c>
      <c r="F1657" s="40">
        <v>1</v>
      </c>
      <c r="G1657" s="40"/>
      <c r="H1657" s="40" t="s">
        <v>2234</v>
      </c>
      <c r="I1657" s="40"/>
      <c r="J1657" s="40" t="s">
        <v>195</v>
      </c>
      <c r="K1657" s="40" t="s">
        <v>195</v>
      </c>
      <c r="L1657" s="40" t="s">
        <v>97</v>
      </c>
    </row>
    <row r="1658" spans="1:12" x14ac:dyDescent="0.25">
      <c r="A1658" s="40" t="s">
        <v>43</v>
      </c>
      <c r="B1658" s="40" t="s">
        <v>1195</v>
      </c>
      <c r="C1658" s="40" t="s">
        <v>2963</v>
      </c>
      <c r="D1658" s="40" t="s">
        <v>2233</v>
      </c>
      <c r="E1658" s="40" t="s">
        <v>2233</v>
      </c>
      <c r="F1658" s="40">
        <v>1</v>
      </c>
      <c r="G1658" s="40"/>
      <c r="H1658" s="40" t="s">
        <v>2234</v>
      </c>
      <c r="I1658" s="40"/>
      <c r="J1658" s="40" t="s">
        <v>195</v>
      </c>
      <c r="K1658" s="40" t="s">
        <v>195</v>
      </c>
      <c r="L1658" s="40" t="s">
        <v>97</v>
      </c>
    </row>
    <row r="1659" spans="1:12" x14ac:dyDescent="0.25">
      <c r="A1659" s="40" t="s">
        <v>43</v>
      </c>
      <c r="B1659" s="40" t="s">
        <v>1197</v>
      </c>
      <c r="C1659" s="40" t="s">
        <v>2964</v>
      </c>
      <c r="D1659" s="40" t="s">
        <v>2233</v>
      </c>
      <c r="E1659" s="40" t="s">
        <v>2233</v>
      </c>
      <c r="F1659" s="40">
        <v>1</v>
      </c>
      <c r="G1659" s="40"/>
      <c r="H1659" s="40" t="s">
        <v>2234</v>
      </c>
      <c r="I1659" s="40"/>
      <c r="J1659" s="40" t="s">
        <v>195</v>
      </c>
      <c r="K1659" s="40" t="s">
        <v>195</v>
      </c>
      <c r="L1659" s="40" t="s">
        <v>97</v>
      </c>
    </row>
    <row r="1660" spans="1:12" x14ac:dyDescent="0.25">
      <c r="A1660" s="40" t="s">
        <v>43</v>
      </c>
      <c r="B1660" s="40" t="s">
        <v>1236</v>
      </c>
      <c r="C1660" s="40" t="s">
        <v>2965</v>
      </c>
      <c r="D1660" s="40" t="s">
        <v>2233</v>
      </c>
      <c r="E1660" s="40" t="s">
        <v>2233</v>
      </c>
      <c r="F1660" s="40">
        <v>1</v>
      </c>
      <c r="G1660" s="40"/>
      <c r="H1660" s="40" t="s">
        <v>2234</v>
      </c>
      <c r="I1660" s="40"/>
      <c r="J1660" s="40" t="s">
        <v>195</v>
      </c>
      <c r="K1660" s="40" t="s">
        <v>195</v>
      </c>
      <c r="L1660" s="40" t="s">
        <v>97</v>
      </c>
    </row>
    <row r="1661" spans="1:12" x14ac:dyDescent="0.25">
      <c r="A1661" s="40" t="s">
        <v>43</v>
      </c>
      <c r="B1661" s="40" t="s">
        <v>1238</v>
      </c>
      <c r="C1661" s="40" t="s">
        <v>2966</v>
      </c>
      <c r="D1661" s="40" t="s">
        <v>2233</v>
      </c>
      <c r="E1661" s="40" t="s">
        <v>2233</v>
      </c>
      <c r="F1661" s="40">
        <v>1</v>
      </c>
      <c r="G1661" s="40"/>
      <c r="H1661" s="40" t="s">
        <v>2234</v>
      </c>
      <c r="I1661" s="40"/>
      <c r="J1661" s="40" t="s">
        <v>195</v>
      </c>
      <c r="K1661" s="40" t="s">
        <v>195</v>
      </c>
      <c r="L1661" s="40" t="s">
        <v>97</v>
      </c>
    </row>
    <row r="1662" spans="1:12" x14ac:dyDescent="0.25">
      <c r="A1662" s="40" t="s">
        <v>43</v>
      </c>
      <c r="B1662" s="40" t="s">
        <v>1241</v>
      </c>
      <c r="C1662" s="40" t="s">
        <v>2967</v>
      </c>
      <c r="D1662" s="40" t="s">
        <v>577</v>
      </c>
      <c r="E1662" s="40" t="s">
        <v>577</v>
      </c>
      <c r="F1662" s="40">
        <v>1</v>
      </c>
      <c r="G1662" s="40"/>
      <c r="H1662" s="40" t="s">
        <v>2234</v>
      </c>
      <c r="I1662" s="40"/>
      <c r="J1662" s="40" t="s">
        <v>97</v>
      </c>
      <c r="K1662" s="40" t="s">
        <v>97</v>
      </c>
      <c r="L1662" s="40" t="s">
        <v>97</v>
      </c>
    </row>
    <row r="1663" spans="1:12" x14ac:dyDescent="0.25">
      <c r="A1663" s="40" t="s">
        <v>43</v>
      </c>
      <c r="B1663" s="40" t="s">
        <v>1246</v>
      </c>
      <c r="C1663" s="40" t="s">
        <v>2968</v>
      </c>
      <c r="D1663" s="40" t="s">
        <v>2233</v>
      </c>
      <c r="E1663" s="40" t="s">
        <v>2233</v>
      </c>
      <c r="F1663" s="40">
        <v>1</v>
      </c>
      <c r="G1663" s="40"/>
      <c r="H1663" s="40" t="s">
        <v>2234</v>
      </c>
      <c r="I1663" s="40"/>
      <c r="J1663" s="40" t="s">
        <v>195</v>
      </c>
      <c r="K1663" s="40" t="s">
        <v>195</v>
      </c>
      <c r="L1663" s="40" t="s">
        <v>97</v>
      </c>
    </row>
    <row r="1664" spans="1:12" x14ac:dyDescent="0.25">
      <c r="A1664" s="40" t="s">
        <v>43</v>
      </c>
      <c r="B1664" s="40" t="s">
        <v>1256</v>
      </c>
      <c r="C1664" s="40" t="s">
        <v>2969</v>
      </c>
      <c r="D1664" s="40" t="s">
        <v>2233</v>
      </c>
      <c r="E1664" s="40" t="s">
        <v>2233</v>
      </c>
      <c r="F1664" s="40">
        <v>1</v>
      </c>
      <c r="G1664" s="40"/>
      <c r="H1664" s="40" t="s">
        <v>2234</v>
      </c>
      <c r="I1664" s="40"/>
      <c r="J1664" s="40" t="s">
        <v>195</v>
      </c>
      <c r="K1664" s="40" t="s">
        <v>195</v>
      </c>
      <c r="L1664" s="40" t="s">
        <v>97</v>
      </c>
    </row>
    <row r="1665" spans="1:12" x14ac:dyDescent="0.25">
      <c r="A1665" s="40" t="s">
        <v>43</v>
      </c>
      <c r="B1665" s="40" t="s">
        <v>1259</v>
      </c>
      <c r="C1665" s="40" t="s">
        <v>2970</v>
      </c>
      <c r="D1665" s="40" t="s">
        <v>2281</v>
      </c>
      <c r="E1665" s="40" t="s">
        <v>2281</v>
      </c>
      <c r="F1665" s="40">
        <v>1</v>
      </c>
      <c r="G1665" s="40"/>
      <c r="H1665" s="40" t="s">
        <v>2234</v>
      </c>
      <c r="I1665" s="40"/>
      <c r="J1665" s="40" t="s">
        <v>97</v>
      </c>
      <c r="K1665" s="40" t="s">
        <v>97</v>
      </c>
      <c r="L1665" s="40" t="s">
        <v>97</v>
      </c>
    </row>
    <row r="1666" spans="1:12" x14ac:dyDescent="0.25">
      <c r="A1666" s="40" t="s">
        <v>43</v>
      </c>
      <c r="B1666" s="40" t="s">
        <v>1594</v>
      </c>
      <c r="C1666" s="40" t="s">
        <v>2971</v>
      </c>
      <c r="D1666" s="40" t="s">
        <v>2233</v>
      </c>
      <c r="E1666" s="40" t="s">
        <v>2233</v>
      </c>
      <c r="F1666" s="40">
        <v>1</v>
      </c>
      <c r="G1666" s="40"/>
      <c r="H1666" s="40" t="s">
        <v>2234</v>
      </c>
      <c r="I1666" s="40"/>
      <c r="J1666" s="40" t="s">
        <v>195</v>
      </c>
      <c r="K1666" s="40" t="s">
        <v>195</v>
      </c>
      <c r="L1666" s="40" t="s">
        <v>97</v>
      </c>
    </row>
    <row r="1667" spans="1:12" x14ac:dyDescent="0.25">
      <c r="A1667" s="40" t="s">
        <v>43</v>
      </c>
      <c r="B1667" s="40" t="s">
        <v>1602</v>
      </c>
      <c r="C1667" s="40" t="s">
        <v>2972</v>
      </c>
      <c r="D1667" s="40" t="s">
        <v>2233</v>
      </c>
      <c r="E1667" s="40" t="s">
        <v>2233</v>
      </c>
      <c r="F1667" s="40">
        <v>1</v>
      </c>
      <c r="G1667" s="40"/>
      <c r="H1667" s="40" t="s">
        <v>97</v>
      </c>
      <c r="I1667" s="40"/>
      <c r="J1667" s="40" t="s">
        <v>195</v>
      </c>
      <c r="K1667" s="40" t="s">
        <v>195</v>
      </c>
      <c r="L1667" s="40" t="s">
        <v>97</v>
      </c>
    </row>
    <row r="1668" spans="1:12" x14ac:dyDescent="0.25">
      <c r="A1668" s="40" t="s">
        <v>43</v>
      </c>
      <c r="B1668" s="40" t="s">
        <v>1604</v>
      </c>
      <c r="C1668" s="40" t="s">
        <v>2973</v>
      </c>
      <c r="D1668" s="40" t="s">
        <v>2233</v>
      </c>
      <c r="E1668" s="40" t="s">
        <v>2233</v>
      </c>
      <c r="F1668" s="40">
        <v>1</v>
      </c>
      <c r="G1668" s="40"/>
      <c r="H1668" s="40" t="s">
        <v>97</v>
      </c>
      <c r="I1668" s="40"/>
      <c r="J1668" s="40" t="s">
        <v>195</v>
      </c>
      <c r="K1668" s="40" t="s">
        <v>195</v>
      </c>
      <c r="L1668" s="40" t="s">
        <v>97</v>
      </c>
    </row>
    <row r="1669" spans="1:12" x14ac:dyDescent="0.25">
      <c r="A1669" s="40" t="s">
        <v>43</v>
      </c>
      <c r="B1669" s="40" t="s">
        <v>1606</v>
      </c>
      <c r="C1669" s="40" t="s">
        <v>2974</v>
      </c>
      <c r="D1669" s="40" t="s">
        <v>2233</v>
      </c>
      <c r="E1669" s="40" t="s">
        <v>2233</v>
      </c>
      <c r="F1669" s="40">
        <v>1</v>
      </c>
      <c r="G1669" s="40"/>
      <c r="H1669" s="40" t="s">
        <v>97</v>
      </c>
      <c r="I1669" s="40"/>
      <c r="J1669" s="40" t="s">
        <v>195</v>
      </c>
      <c r="K1669" s="40" t="s">
        <v>195</v>
      </c>
      <c r="L1669" s="40" t="s">
        <v>97</v>
      </c>
    </row>
    <row r="1670" spans="1:12" x14ac:dyDescent="0.25">
      <c r="A1670" s="40" t="s">
        <v>43</v>
      </c>
      <c r="B1670" s="40" t="s">
        <v>1676</v>
      </c>
      <c r="C1670" s="40" t="s">
        <v>2975</v>
      </c>
      <c r="D1670" s="40" t="s">
        <v>2233</v>
      </c>
      <c r="E1670" s="40" t="s">
        <v>2233</v>
      </c>
      <c r="F1670" s="40">
        <v>1</v>
      </c>
      <c r="G1670" s="40"/>
      <c r="H1670" s="40" t="s">
        <v>2234</v>
      </c>
      <c r="I1670" s="40"/>
      <c r="J1670" s="40" t="s">
        <v>195</v>
      </c>
      <c r="K1670" s="40" t="s">
        <v>195</v>
      </c>
      <c r="L1670" s="40" t="s">
        <v>97</v>
      </c>
    </row>
    <row r="1671" spans="1:12" x14ac:dyDescent="0.25">
      <c r="A1671" s="40" t="s">
        <v>43</v>
      </c>
      <c r="B1671" s="40" t="s">
        <v>1678</v>
      </c>
      <c r="C1671" s="40" t="s">
        <v>2976</v>
      </c>
      <c r="D1671" s="40" t="s">
        <v>2977</v>
      </c>
      <c r="E1671" s="40" t="s">
        <v>2977</v>
      </c>
      <c r="F1671" s="40">
        <v>1</v>
      </c>
      <c r="G1671" s="40"/>
      <c r="H1671" s="40" t="s">
        <v>2234</v>
      </c>
      <c r="I1671" s="40"/>
      <c r="J1671" s="40" t="s">
        <v>195</v>
      </c>
      <c r="K1671" s="40" t="s">
        <v>195</v>
      </c>
      <c r="L1671" s="40" t="s">
        <v>97</v>
      </c>
    </row>
    <row r="1672" spans="1:12" x14ac:dyDescent="0.25">
      <c r="A1672" s="40" t="s">
        <v>43</v>
      </c>
      <c r="B1672" s="40" t="s">
        <v>1680</v>
      </c>
      <c r="C1672" s="40" t="s">
        <v>2978</v>
      </c>
      <c r="D1672" s="40" t="s">
        <v>2233</v>
      </c>
      <c r="E1672" s="40" t="s">
        <v>2233</v>
      </c>
      <c r="F1672" s="40">
        <v>1</v>
      </c>
      <c r="G1672" s="40"/>
      <c r="H1672" s="40" t="s">
        <v>2234</v>
      </c>
      <c r="I1672" s="40"/>
      <c r="J1672" s="40" t="s">
        <v>195</v>
      </c>
      <c r="K1672" s="40" t="s">
        <v>195</v>
      </c>
      <c r="L1672" s="40" t="s">
        <v>97</v>
      </c>
    </row>
    <row r="1673" spans="1:12" x14ac:dyDescent="0.25">
      <c r="A1673" s="40" t="s">
        <v>43</v>
      </c>
      <c r="B1673" s="40" t="s">
        <v>1684</v>
      </c>
      <c r="C1673" s="40" t="s">
        <v>2979</v>
      </c>
      <c r="D1673" s="40" t="s">
        <v>2233</v>
      </c>
      <c r="E1673" s="40" t="s">
        <v>2233</v>
      </c>
      <c r="F1673" s="40">
        <v>1</v>
      </c>
      <c r="G1673" s="40"/>
      <c r="H1673" s="40" t="s">
        <v>2234</v>
      </c>
      <c r="I1673" s="40"/>
      <c r="J1673" s="40" t="s">
        <v>195</v>
      </c>
      <c r="K1673" s="40" t="s">
        <v>195</v>
      </c>
      <c r="L1673" s="40" t="s">
        <v>97</v>
      </c>
    </row>
    <row r="1674" spans="1:12" x14ac:dyDescent="0.25">
      <c r="A1674" s="40" t="s">
        <v>43</v>
      </c>
      <c r="B1674" s="40" t="s">
        <v>1686</v>
      </c>
      <c r="C1674" s="40" t="s">
        <v>2980</v>
      </c>
      <c r="D1674" s="40" t="s">
        <v>2233</v>
      </c>
      <c r="E1674" s="40" t="s">
        <v>2233</v>
      </c>
      <c r="F1674" s="40">
        <v>1</v>
      </c>
      <c r="G1674" s="40"/>
      <c r="H1674" s="40" t="s">
        <v>2234</v>
      </c>
      <c r="I1674" s="40"/>
      <c r="J1674" s="40" t="s">
        <v>195</v>
      </c>
      <c r="K1674" s="40" t="s">
        <v>195</v>
      </c>
      <c r="L1674" s="40" t="s">
        <v>97</v>
      </c>
    </row>
    <row r="1675" spans="1:12" x14ac:dyDescent="0.25">
      <c r="A1675" s="40" t="s">
        <v>43</v>
      </c>
      <c r="B1675" s="40" t="s">
        <v>1688</v>
      </c>
      <c r="C1675" s="40" t="s">
        <v>2981</v>
      </c>
      <c r="D1675" s="40" t="s">
        <v>2233</v>
      </c>
      <c r="E1675" s="40" t="s">
        <v>2233</v>
      </c>
      <c r="F1675" s="40">
        <v>1</v>
      </c>
      <c r="G1675" s="40"/>
      <c r="H1675" s="40" t="s">
        <v>2234</v>
      </c>
      <c r="I1675" s="40"/>
      <c r="J1675" s="40" t="s">
        <v>195</v>
      </c>
      <c r="K1675" s="40" t="s">
        <v>195</v>
      </c>
      <c r="L1675" s="40" t="s">
        <v>97</v>
      </c>
    </row>
    <row r="1676" spans="1:12" x14ac:dyDescent="0.25">
      <c r="A1676" s="40" t="s">
        <v>43</v>
      </c>
      <c r="B1676" s="40" t="s">
        <v>1690</v>
      </c>
      <c r="C1676" s="40" t="s">
        <v>2982</v>
      </c>
      <c r="D1676" s="40" t="s">
        <v>2233</v>
      </c>
      <c r="E1676" s="40" t="s">
        <v>2233</v>
      </c>
      <c r="F1676" s="40">
        <v>1</v>
      </c>
      <c r="G1676" s="40"/>
      <c r="H1676" s="40" t="s">
        <v>2234</v>
      </c>
      <c r="I1676" s="40"/>
      <c r="J1676" s="40" t="s">
        <v>195</v>
      </c>
      <c r="K1676" s="40" t="s">
        <v>195</v>
      </c>
      <c r="L1676" s="40" t="s">
        <v>97</v>
      </c>
    </row>
    <row r="1677" spans="1:12" x14ac:dyDescent="0.25">
      <c r="A1677" s="40" t="s">
        <v>43</v>
      </c>
      <c r="B1677" s="40" t="s">
        <v>1692</v>
      </c>
      <c r="C1677" s="40" t="s">
        <v>2983</v>
      </c>
      <c r="D1677" s="40" t="s">
        <v>2233</v>
      </c>
      <c r="E1677" s="40" t="s">
        <v>2233</v>
      </c>
      <c r="F1677" s="40">
        <v>1</v>
      </c>
      <c r="G1677" s="40"/>
      <c r="H1677" s="40" t="s">
        <v>97</v>
      </c>
      <c r="I1677" s="40"/>
      <c r="J1677" s="40" t="s">
        <v>195</v>
      </c>
      <c r="K1677" s="40" t="s">
        <v>195</v>
      </c>
      <c r="L1677" s="40" t="s">
        <v>97</v>
      </c>
    </row>
    <row r="1678" spans="1:12" x14ac:dyDescent="0.25">
      <c r="A1678" s="40" t="s">
        <v>43</v>
      </c>
      <c r="B1678" s="40" t="s">
        <v>1694</v>
      </c>
      <c r="C1678" s="40" t="s">
        <v>2984</v>
      </c>
      <c r="D1678" s="40" t="s">
        <v>2233</v>
      </c>
      <c r="E1678" s="40" t="s">
        <v>2233</v>
      </c>
      <c r="F1678" s="40">
        <v>1</v>
      </c>
      <c r="G1678" s="40"/>
      <c r="H1678" s="40" t="s">
        <v>97</v>
      </c>
      <c r="I1678" s="40"/>
      <c r="J1678" s="40" t="s">
        <v>195</v>
      </c>
      <c r="K1678" s="40" t="s">
        <v>195</v>
      </c>
      <c r="L1678" s="40" t="s">
        <v>97</v>
      </c>
    </row>
    <row r="1679" spans="1:12" x14ac:dyDescent="0.25">
      <c r="A1679" s="40" t="s">
        <v>43</v>
      </c>
      <c r="B1679" s="40" t="s">
        <v>1696</v>
      </c>
      <c r="C1679" s="40" t="s">
        <v>2985</v>
      </c>
      <c r="D1679" s="40" t="s">
        <v>2233</v>
      </c>
      <c r="E1679" s="40" t="s">
        <v>2233</v>
      </c>
      <c r="F1679" s="40">
        <v>1</v>
      </c>
      <c r="G1679" s="40"/>
      <c r="H1679" s="40" t="s">
        <v>97</v>
      </c>
      <c r="I1679" s="40"/>
      <c r="J1679" s="40" t="s">
        <v>97</v>
      </c>
      <c r="K1679" s="40" t="s">
        <v>97</v>
      </c>
      <c r="L1679" s="40" t="s">
        <v>97</v>
      </c>
    </row>
    <row r="1680" spans="1:12" x14ac:dyDescent="0.25">
      <c r="A1680" s="40" t="s">
        <v>43</v>
      </c>
      <c r="B1680" s="40" t="s">
        <v>1698</v>
      </c>
      <c r="C1680" s="40" t="s">
        <v>2986</v>
      </c>
      <c r="D1680" s="40" t="s">
        <v>2233</v>
      </c>
      <c r="E1680" s="40" t="s">
        <v>2233</v>
      </c>
      <c r="F1680" s="40">
        <v>1</v>
      </c>
      <c r="G1680" s="40"/>
      <c r="H1680" s="40" t="s">
        <v>97</v>
      </c>
      <c r="I1680" s="40"/>
      <c r="J1680" s="40" t="s">
        <v>97</v>
      </c>
      <c r="K1680" s="40" t="s">
        <v>97</v>
      </c>
      <c r="L1680" s="40" t="s">
        <v>97</v>
      </c>
    </row>
    <row r="1681" spans="1:12" x14ac:dyDescent="0.25">
      <c r="A1681" s="40" t="s">
        <v>43</v>
      </c>
      <c r="B1681" s="40" t="s">
        <v>1708</v>
      </c>
      <c r="C1681" s="40" t="s">
        <v>2987</v>
      </c>
      <c r="D1681" s="40" t="s">
        <v>2281</v>
      </c>
      <c r="E1681" s="40" t="s">
        <v>2281</v>
      </c>
      <c r="F1681" s="40">
        <v>1</v>
      </c>
      <c r="G1681" s="40"/>
      <c r="H1681" s="40" t="s">
        <v>2234</v>
      </c>
      <c r="I1681" s="40"/>
      <c r="J1681" s="40" t="s">
        <v>97</v>
      </c>
      <c r="K1681" s="40" t="s">
        <v>97</v>
      </c>
      <c r="L1681" s="40" t="s">
        <v>97</v>
      </c>
    </row>
    <row r="1682" spans="1:12" x14ac:dyDescent="0.25">
      <c r="A1682" s="40" t="s">
        <v>43</v>
      </c>
      <c r="B1682" s="40" t="s">
        <v>1740</v>
      </c>
      <c r="C1682" s="40" t="s">
        <v>2988</v>
      </c>
      <c r="D1682" s="40" t="s">
        <v>2989</v>
      </c>
      <c r="E1682" s="40" t="s">
        <v>2233</v>
      </c>
      <c r="F1682" s="40">
        <v>0</v>
      </c>
      <c r="G1682" s="40"/>
      <c r="H1682" s="40" t="s">
        <v>2234</v>
      </c>
      <c r="I1682" s="40"/>
      <c r="J1682" s="40" t="s">
        <v>195</v>
      </c>
      <c r="K1682" s="40" t="s">
        <v>195</v>
      </c>
      <c r="L1682" s="40" t="s">
        <v>97</v>
      </c>
    </row>
    <row r="1683" spans="1:12" x14ac:dyDescent="0.25">
      <c r="A1683" s="40" t="s">
        <v>43</v>
      </c>
      <c r="B1683" s="40" t="s">
        <v>1742</v>
      </c>
      <c r="C1683" s="40" t="s">
        <v>2990</v>
      </c>
      <c r="D1683" s="40" t="s">
        <v>2233</v>
      </c>
      <c r="E1683" s="40" t="s">
        <v>2233</v>
      </c>
      <c r="F1683" s="40">
        <v>1</v>
      </c>
      <c r="G1683" s="40"/>
      <c r="H1683" s="40" t="s">
        <v>2234</v>
      </c>
      <c r="I1683" s="40"/>
      <c r="J1683" s="40" t="s">
        <v>195</v>
      </c>
      <c r="K1683" s="40" t="s">
        <v>195</v>
      </c>
      <c r="L1683" s="40" t="s">
        <v>97</v>
      </c>
    </row>
    <row r="1684" spans="1:12" x14ac:dyDescent="0.25">
      <c r="A1684" s="40" t="s">
        <v>43</v>
      </c>
      <c r="B1684" s="40" t="s">
        <v>1744</v>
      </c>
      <c r="C1684" s="40" t="s">
        <v>2991</v>
      </c>
      <c r="D1684" s="40" t="s">
        <v>2992</v>
      </c>
      <c r="E1684" s="40" t="s">
        <v>2233</v>
      </c>
      <c r="F1684" s="40">
        <v>0</v>
      </c>
      <c r="G1684" s="40"/>
      <c r="H1684" s="40" t="s">
        <v>2234</v>
      </c>
      <c r="I1684" s="40"/>
      <c r="J1684" s="40" t="s">
        <v>195</v>
      </c>
      <c r="K1684" s="40" t="s">
        <v>195</v>
      </c>
      <c r="L1684" s="40" t="s">
        <v>97</v>
      </c>
    </row>
    <row r="1685" spans="1:12" x14ac:dyDescent="0.25">
      <c r="A1685" s="40" t="s">
        <v>43</v>
      </c>
      <c r="B1685" s="40" t="s">
        <v>1746</v>
      </c>
      <c r="C1685" s="40" t="s">
        <v>2993</v>
      </c>
      <c r="D1685" s="40" t="s">
        <v>2233</v>
      </c>
      <c r="E1685" s="40" t="s">
        <v>2233</v>
      </c>
      <c r="F1685" s="40">
        <v>1</v>
      </c>
      <c r="G1685" s="40"/>
      <c r="H1685" s="40" t="s">
        <v>2234</v>
      </c>
      <c r="I1685" s="40"/>
      <c r="J1685" s="40" t="s">
        <v>195</v>
      </c>
      <c r="K1685" s="40" t="s">
        <v>195</v>
      </c>
      <c r="L1685" s="40" t="s">
        <v>97</v>
      </c>
    </row>
    <row r="1686" spans="1:12" x14ac:dyDescent="0.25">
      <c r="A1686" s="40" t="s">
        <v>43</v>
      </c>
      <c r="B1686" s="40" t="s">
        <v>1804</v>
      </c>
      <c r="C1686" s="40" t="s">
        <v>2994</v>
      </c>
      <c r="D1686" s="40" t="s">
        <v>2233</v>
      </c>
      <c r="E1686" s="40" t="s">
        <v>2233</v>
      </c>
      <c r="F1686" s="40">
        <v>1</v>
      </c>
      <c r="G1686" s="40"/>
      <c r="H1686" s="40" t="s">
        <v>2234</v>
      </c>
      <c r="I1686" s="40"/>
      <c r="J1686" s="40" t="s">
        <v>195</v>
      </c>
      <c r="K1686" s="40" t="s">
        <v>195</v>
      </c>
      <c r="L1686" s="40" t="s">
        <v>97</v>
      </c>
    </row>
    <row r="1687" spans="1:12" x14ac:dyDescent="0.25">
      <c r="A1687" s="40" t="s">
        <v>43</v>
      </c>
      <c r="B1687" s="40" t="s">
        <v>2706</v>
      </c>
      <c r="C1687" s="40" t="s">
        <v>2995</v>
      </c>
      <c r="D1687" s="40" t="s">
        <v>2996</v>
      </c>
      <c r="E1687" s="40" t="s">
        <v>2996</v>
      </c>
      <c r="F1687" s="40">
        <v>1</v>
      </c>
      <c r="G1687" s="40"/>
      <c r="H1687" s="40" t="s">
        <v>97</v>
      </c>
      <c r="I1687" s="40"/>
      <c r="J1687" s="40" t="s">
        <v>195</v>
      </c>
      <c r="K1687" s="40" t="s">
        <v>195</v>
      </c>
      <c r="L1687" s="40" t="s">
        <v>97</v>
      </c>
    </row>
    <row r="1688" spans="1:12" x14ac:dyDescent="0.25">
      <c r="A1688" s="40" t="s">
        <v>43</v>
      </c>
      <c r="B1688" s="40" t="s">
        <v>2708</v>
      </c>
      <c r="C1688" s="40" t="s">
        <v>2997</v>
      </c>
      <c r="D1688" s="40" t="s">
        <v>2233</v>
      </c>
      <c r="E1688" s="40" t="s">
        <v>2233</v>
      </c>
      <c r="F1688" s="40">
        <v>1</v>
      </c>
      <c r="G1688" s="40"/>
      <c r="H1688" s="40" t="s">
        <v>97</v>
      </c>
      <c r="I1688" s="40"/>
      <c r="J1688" s="40" t="s">
        <v>195</v>
      </c>
      <c r="K1688" s="40" t="s">
        <v>195</v>
      </c>
      <c r="L1688" s="40" t="s">
        <v>97</v>
      </c>
    </row>
    <row r="1689" spans="1:12" x14ac:dyDescent="0.25">
      <c r="A1689" s="40" t="s">
        <v>43</v>
      </c>
      <c r="B1689" s="40" t="s">
        <v>2710</v>
      </c>
      <c r="C1689" s="40" t="s">
        <v>2998</v>
      </c>
      <c r="D1689" s="40" t="s">
        <v>2233</v>
      </c>
      <c r="E1689" s="40" t="s">
        <v>2233</v>
      </c>
      <c r="F1689" s="40">
        <v>1</v>
      </c>
      <c r="G1689" s="40"/>
      <c r="H1689" s="40" t="s">
        <v>97</v>
      </c>
      <c r="I1689" s="40"/>
      <c r="J1689" s="40" t="s">
        <v>82</v>
      </c>
      <c r="K1689" s="40" t="s">
        <v>195</v>
      </c>
      <c r="L1689" s="40" t="s">
        <v>97</v>
      </c>
    </row>
    <row r="1690" spans="1:12" x14ac:dyDescent="0.25">
      <c r="A1690" s="40" t="s">
        <v>43</v>
      </c>
      <c r="B1690" s="40" t="s">
        <v>1902</v>
      </c>
      <c r="C1690" s="40" t="s">
        <v>2999</v>
      </c>
      <c r="D1690" s="40" t="s">
        <v>2318</v>
      </c>
      <c r="E1690" s="40" t="s">
        <v>2318</v>
      </c>
      <c r="F1690" s="40">
        <v>1</v>
      </c>
      <c r="G1690" s="40"/>
      <c r="H1690" s="40" t="s">
        <v>97</v>
      </c>
      <c r="I1690" s="40"/>
      <c r="J1690" s="40" t="s">
        <v>82</v>
      </c>
      <c r="K1690" s="40" t="s">
        <v>195</v>
      </c>
      <c r="L1690" s="40" t="s">
        <v>97</v>
      </c>
    </row>
    <row r="1691" spans="1:12" x14ac:dyDescent="0.25">
      <c r="A1691" s="40" t="s">
        <v>43</v>
      </c>
      <c r="B1691" s="40" t="s">
        <v>1905</v>
      </c>
      <c r="C1691" s="40" t="s">
        <v>3000</v>
      </c>
      <c r="D1691" s="40" t="s">
        <v>2233</v>
      </c>
      <c r="E1691" s="40" t="s">
        <v>2233</v>
      </c>
      <c r="F1691" s="40">
        <v>1</v>
      </c>
      <c r="G1691" s="40"/>
      <c r="H1691" s="40" t="s">
        <v>97</v>
      </c>
      <c r="I1691" s="40"/>
      <c r="J1691" s="40" t="s">
        <v>82</v>
      </c>
      <c r="K1691" s="40" t="s">
        <v>195</v>
      </c>
      <c r="L1691" s="40" t="s">
        <v>97</v>
      </c>
    </row>
    <row r="1692" spans="1:12" x14ac:dyDescent="0.25">
      <c r="A1692" s="40" t="s">
        <v>43</v>
      </c>
      <c r="B1692" s="40" t="s">
        <v>1908</v>
      </c>
      <c r="C1692" s="40" t="s">
        <v>3001</v>
      </c>
      <c r="D1692" s="40" t="s">
        <v>2233</v>
      </c>
      <c r="E1692" s="40" t="s">
        <v>2233</v>
      </c>
      <c r="F1692" s="40">
        <v>1</v>
      </c>
      <c r="G1692" s="40"/>
      <c r="H1692" s="40" t="s">
        <v>97</v>
      </c>
      <c r="I1692" s="40"/>
      <c r="J1692" s="40" t="s">
        <v>82</v>
      </c>
      <c r="K1692" s="40" t="s">
        <v>195</v>
      </c>
      <c r="L1692" s="40" t="s">
        <v>97</v>
      </c>
    </row>
    <row r="1693" spans="1:12" x14ac:dyDescent="0.25">
      <c r="A1693" s="40" t="s">
        <v>43</v>
      </c>
      <c r="B1693" s="40" t="s">
        <v>3002</v>
      </c>
      <c r="C1693" s="40" t="s">
        <v>3003</v>
      </c>
      <c r="D1693" s="40" t="s">
        <v>2233</v>
      </c>
      <c r="E1693" s="40" t="s">
        <v>2233</v>
      </c>
      <c r="F1693" s="40">
        <v>1</v>
      </c>
      <c r="G1693" s="40"/>
      <c r="H1693" s="40" t="s">
        <v>97</v>
      </c>
      <c r="I1693" s="40"/>
      <c r="J1693" s="40" t="s">
        <v>82</v>
      </c>
      <c r="K1693" s="40" t="s">
        <v>195</v>
      </c>
      <c r="L1693" s="40" t="s">
        <v>97</v>
      </c>
    </row>
    <row r="1694" spans="1:12" x14ac:dyDescent="0.25">
      <c r="A1694" s="40" t="s">
        <v>43</v>
      </c>
      <c r="B1694" s="40" t="s">
        <v>3004</v>
      </c>
      <c r="C1694" s="40" t="s">
        <v>3005</v>
      </c>
      <c r="D1694" s="40" t="s">
        <v>2356</v>
      </c>
      <c r="E1694" s="40" t="s">
        <v>2356</v>
      </c>
      <c r="F1694" s="40">
        <v>1</v>
      </c>
      <c r="G1694" s="40"/>
      <c r="H1694" s="40" t="s">
        <v>97</v>
      </c>
      <c r="I1694" s="40"/>
      <c r="J1694" s="40" t="s">
        <v>195</v>
      </c>
      <c r="K1694" s="40" t="s">
        <v>195</v>
      </c>
      <c r="L1694" s="40" t="s">
        <v>97</v>
      </c>
    </row>
    <row r="1695" spans="1:12" x14ac:dyDescent="0.25">
      <c r="A1695" s="40" t="s">
        <v>43</v>
      </c>
      <c r="B1695" s="40" t="s">
        <v>3006</v>
      </c>
      <c r="C1695" s="40" t="s">
        <v>3007</v>
      </c>
      <c r="D1695" s="40" t="s">
        <v>2233</v>
      </c>
      <c r="E1695" s="40" t="s">
        <v>2233</v>
      </c>
      <c r="F1695" s="40">
        <v>1</v>
      </c>
      <c r="G1695" s="40"/>
      <c r="H1695" s="40" t="s">
        <v>97</v>
      </c>
      <c r="I1695" s="40"/>
      <c r="J1695" s="40" t="s">
        <v>195</v>
      </c>
      <c r="K1695" s="40" t="s">
        <v>195</v>
      </c>
      <c r="L1695" s="40" t="s">
        <v>97</v>
      </c>
    </row>
    <row r="1696" spans="1:12" x14ac:dyDescent="0.25">
      <c r="A1696" s="40" t="s">
        <v>43</v>
      </c>
      <c r="B1696" s="40" t="s">
        <v>1910</v>
      </c>
      <c r="C1696" s="40" t="s">
        <v>3008</v>
      </c>
      <c r="D1696" s="40" t="s">
        <v>2233</v>
      </c>
      <c r="E1696" s="40" t="s">
        <v>2233</v>
      </c>
      <c r="F1696" s="40">
        <v>1</v>
      </c>
      <c r="G1696" s="40"/>
      <c r="H1696" s="40" t="s">
        <v>97</v>
      </c>
      <c r="I1696" s="40"/>
      <c r="J1696" s="40" t="s">
        <v>195</v>
      </c>
      <c r="K1696" s="40" t="s">
        <v>195</v>
      </c>
      <c r="L1696" s="40" t="s">
        <v>97</v>
      </c>
    </row>
    <row r="1697" spans="1:12" x14ac:dyDescent="0.25">
      <c r="A1697" s="40" t="s">
        <v>43</v>
      </c>
      <c r="B1697" s="40" t="s">
        <v>1913</v>
      </c>
      <c r="C1697" s="40" t="s">
        <v>3009</v>
      </c>
      <c r="D1697" s="40" t="s">
        <v>2233</v>
      </c>
      <c r="E1697" s="40" t="s">
        <v>2233</v>
      </c>
      <c r="F1697" s="40">
        <v>1</v>
      </c>
      <c r="G1697" s="40"/>
      <c r="H1697" s="40" t="s">
        <v>97</v>
      </c>
      <c r="I1697" s="40"/>
      <c r="J1697" s="40" t="s">
        <v>97</v>
      </c>
      <c r="K1697" s="40" t="s">
        <v>97</v>
      </c>
      <c r="L1697" s="40" t="s">
        <v>97</v>
      </c>
    </row>
    <row r="1698" spans="1:12" x14ac:dyDescent="0.25">
      <c r="A1698" s="40" t="s">
        <v>43</v>
      </c>
      <c r="B1698" s="40" t="s">
        <v>3010</v>
      </c>
      <c r="C1698" s="40" t="s">
        <v>3011</v>
      </c>
      <c r="D1698" s="40" t="s">
        <v>2233</v>
      </c>
      <c r="E1698" s="40" t="s">
        <v>2233</v>
      </c>
      <c r="F1698" s="40">
        <v>1</v>
      </c>
      <c r="G1698" s="40"/>
      <c r="H1698" s="40" t="s">
        <v>97</v>
      </c>
      <c r="I1698" s="40"/>
      <c r="J1698" s="40" t="s">
        <v>97</v>
      </c>
      <c r="K1698" s="40" t="s">
        <v>97</v>
      </c>
      <c r="L1698" s="40" t="s">
        <v>97</v>
      </c>
    </row>
    <row r="1699" spans="1:12" x14ac:dyDescent="0.25">
      <c r="A1699" s="40" t="s">
        <v>43</v>
      </c>
      <c r="B1699" s="40" t="s">
        <v>3012</v>
      </c>
      <c r="C1699" s="40" t="s">
        <v>3013</v>
      </c>
      <c r="D1699" s="40" t="s">
        <v>2233</v>
      </c>
      <c r="E1699" s="40" t="s">
        <v>2233</v>
      </c>
      <c r="F1699" s="40">
        <v>1</v>
      </c>
      <c r="G1699" s="40"/>
      <c r="H1699" s="40" t="s">
        <v>97</v>
      </c>
      <c r="I1699" s="40"/>
      <c r="J1699" s="40" t="s">
        <v>97</v>
      </c>
      <c r="K1699" s="40" t="s">
        <v>97</v>
      </c>
      <c r="L1699" s="40" t="s">
        <v>97</v>
      </c>
    </row>
    <row r="1700" spans="1:12" x14ac:dyDescent="0.25">
      <c r="A1700" s="40" t="s">
        <v>43</v>
      </c>
      <c r="B1700" s="40" t="s">
        <v>1916</v>
      </c>
      <c r="C1700" s="40" t="s">
        <v>3014</v>
      </c>
      <c r="D1700" s="40" t="s">
        <v>2233</v>
      </c>
      <c r="E1700" s="40" t="s">
        <v>2233</v>
      </c>
      <c r="F1700" s="40">
        <v>1</v>
      </c>
      <c r="G1700" s="40"/>
      <c r="H1700" s="40" t="s">
        <v>97</v>
      </c>
      <c r="I1700" s="40"/>
      <c r="J1700" s="40" t="s">
        <v>97</v>
      </c>
      <c r="K1700" s="40" t="s">
        <v>97</v>
      </c>
      <c r="L1700" s="40" t="s">
        <v>97</v>
      </c>
    </row>
    <row r="1701" spans="1:12" x14ac:dyDescent="0.25">
      <c r="A1701" s="40" t="s">
        <v>43</v>
      </c>
      <c r="B1701" s="40" t="s">
        <v>3015</v>
      </c>
      <c r="C1701" s="40" t="s">
        <v>3016</v>
      </c>
      <c r="D1701" s="40" t="s">
        <v>2233</v>
      </c>
      <c r="E1701" s="40" t="s">
        <v>2233</v>
      </c>
      <c r="F1701" s="40">
        <v>1</v>
      </c>
      <c r="G1701" s="40"/>
      <c r="H1701" s="40" t="s">
        <v>97</v>
      </c>
      <c r="I1701" s="40"/>
      <c r="J1701" s="40" t="s">
        <v>97</v>
      </c>
      <c r="K1701" s="40" t="s">
        <v>97</v>
      </c>
      <c r="L1701" s="40" t="s">
        <v>97</v>
      </c>
    </row>
    <row r="1702" spans="1:12" x14ac:dyDescent="0.25">
      <c r="A1702" s="40" t="s">
        <v>45</v>
      </c>
      <c r="B1702" s="40" t="s">
        <v>496</v>
      </c>
      <c r="C1702" s="40" t="s">
        <v>3017</v>
      </c>
      <c r="D1702" s="40" t="s">
        <v>2233</v>
      </c>
      <c r="E1702" s="40" t="s">
        <v>2233</v>
      </c>
      <c r="F1702" s="40">
        <v>1</v>
      </c>
      <c r="G1702" s="40"/>
      <c r="H1702" s="40" t="s">
        <v>2234</v>
      </c>
      <c r="I1702" s="40"/>
      <c r="J1702" s="40" t="s">
        <v>195</v>
      </c>
      <c r="K1702" s="40" t="s">
        <v>195</v>
      </c>
      <c r="L1702" s="40" t="s">
        <v>97</v>
      </c>
    </row>
    <row r="1703" spans="1:12" x14ac:dyDescent="0.25">
      <c r="A1703" s="40" t="s">
        <v>45</v>
      </c>
      <c r="B1703" s="40" t="s">
        <v>1304</v>
      </c>
      <c r="C1703" s="40" t="s">
        <v>3018</v>
      </c>
      <c r="D1703" s="40" t="s">
        <v>3019</v>
      </c>
      <c r="E1703" s="40" t="s">
        <v>3019</v>
      </c>
      <c r="F1703" s="40">
        <v>1</v>
      </c>
      <c r="G1703" s="40"/>
      <c r="H1703" s="40" t="s">
        <v>2234</v>
      </c>
      <c r="I1703" s="40"/>
      <c r="J1703" s="40" t="s">
        <v>195</v>
      </c>
      <c r="K1703" s="40" t="s">
        <v>195</v>
      </c>
      <c r="L1703" s="40" t="s">
        <v>97</v>
      </c>
    </row>
    <row r="1704" spans="1:12" x14ac:dyDescent="0.25">
      <c r="A1704" s="40" t="s">
        <v>45</v>
      </c>
      <c r="B1704" s="40" t="s">
        <v>1307</v>
      </c>
      <c r="C1704" s="40" t="s">
        <v>3020</v>
      </c>
      <c r="D1704" s="40" t="s">
        <v>2339</v>
      </c>
      <c r="E1704" s="40" t="s">
        <v>2339</v>
      </c>
      <c r="F1704" s="40">
        <v>1</v>
      </c>
      <c r="G1704" s="40"/>
      <c r="H1704" s="40" t="s">
        <v>2234</v>
      </c>
      <c r="I1704" s="40"/>
      <c r="J1704" s="40" t="s">
        <v>195</v>
      </c>
      <c r="K1704" s="40" t="s">
        <v>195</v>
      </c>
      <c r="L1704" s="40" t="s">
        <v>97</v>
      </c>
    </row>
    <row r="1705" spans="1:12" x14ac:dyDescent="0.25">
      <c r="A1705" s="40" t="s">
        <v>45</v>
      </c>
      <c r="B1705" s="40" t="s">
        <v>1309</v>
      </c>
      <c r="C1705" s="40" t="s">
        <v>157</v>
      </c>
      <c r="D1705" s="40" t="s">
        <v>3021</v>
      </c>
      <c r="E1705" s="40" t="s">
        <v>2233</v>
      </c>
      <c r="F1705" s="40">
        <v>0</v>
      </c>
      <c r="G1705" s="40"/>
      <c r="H1705" s="40" t="s">
        <v>3022</v>
      </c>
      <c r="I1705" s="40"/>
      <c r="J1705" s="40" t="s">
        <v>195</v>
      </c>
      <c r="K1705" s="40" t="s">
        <v>195</v>
      </c>
      <c r="L1705" s="40" t="s">
        <v>97</v>
      </c>
    </row>
    <row r="1706" spans="1:12" x14ac:dyDescent="0.25">
      <c r="A1706" s="40" t="s">
        <v>45</v>
      </c>
      <c r="B1706" s="40" t="s">
        <v>502</v>
      </c>
      <c r="C1706" s="40" t="s">
        <v>3023</v>
      </c>
      <c r="D1706" s="40" t="s">
        <v>2233</v>
      </c>
      <c r="E1706" s="40" t="s">
        <v>2233</v>
      </c>
      <c r="F1706" s="40">
        <v>1</v>
      </c>
      <c r="G1706" s="40"/>
      <c r="H1706" s="40" t="s">
        <v>2234</v>
      </c>
      <c r="I1706" s="40"/>
      <c r="J1706" s="40" t="s">
        <v>195</v>
      </c>
      <c r="K1706" s="40" t="s">
        <v>195</v>
      </c>
      <c r="L1706" s="40" t="s">
        <v>97</v>
      </c>
    </row>
    <row r="1707" spans="1:12" x14ac:dyDescent="0.25">
      <c r="A1707" s="40" t="s">
        <v>45</v>
      </c>
      <c r="B1707" s="40" t="s">
        <v>535</v>
      </c>
      <c r="C1707" s="40" t="s">
        <v>3024</v>
      </c>
      <c r="D1707" s="40" t="s">
        <v>2233</v>
      </c>
      <c r="E1707" s="40" t="s">
        <v>2233</v>
      </c>
      <c r="F1707" s="40">
        <v>1</v>
      </c>
      <c r="G1707" s="40"/>
      <c r="H1707" s="40" t="s">
        <v>2234</v>
      </c>
      <c r="I1707" s="40"/>
      <c r="J1707" s="40" t="s">
        <v>195</v>
      </c>
      <c r="K1707" s="40" t="s">
        <v>195</v>
      </c>
      <c r="L1707" s="40" t="s">
        <v>97</v>
      </c>
    </row>
    <row r="1708" spans="1:12" x14ac:dyDescent="0.25">
      <c r="A1708" s="40" t="s">
        <v>45</v>
      </c>
      <c r="B1708" s="40" t="s">
        <v>577</v>
      </c>
      <c r="C1708" s="40" t="s">
        <v>3025</v>
      </c>
      <c r="D1708" s="40" t="s">
        <v>3026</v>
      </c>
      <c r="E1708" s="40" t="s">
        <v>3026</v>
      </c>
      <c r="F1708" s="40">
        <v>1</v>
      </c>
      <c r="G1708" s="40"/>
      <c r="H1708" s="40" t="s">
        <v>2234</v>
      </c>
      <c r="I1708" s="40"/>
      <c r="J1708" s="40" t="s">
        <v>195</v>
      </c>
      <c r="K1708" s="40" t="s">
        <v>195</v>
      </c>
      <c r="L1708" s="40" t="s">
        <v>97</v>
      </c>
    </row>
    <row r="1709" spans="1:12" x14ac:dyDescent="0.25">
      <c r="A1709" s="40" t="s">
        <v>45</v>
      </c>
      <c r="B1709" s="40" t="s">
        <v>580</v>
      </c>
      <c r="C1709" s="40" t="s">
        <v>163</v>
      </c>
      <c r="D1709" s="40" t="s">
        <v>3027</v>
      </c>
      <c r="E1709" s="40" t="s">
        <v>2233</v>
      </c>
      <c r="F1709" s="40">
        <v>0</v>
      </c>
      <c r="G1709" s="40"/>
      <c r="H1709" s="40" t="s">
        <v>97</v>
      </c>
      <c r="I1709" s="40"/>
      <c r="J1709" s="40" t="s">
        <v>195</v>
      </c>
      <c r="K1709" s="40" t="s">
        <v>195</v>
      </c>
      <c r="L1709" s="40" t="s">
        <v>97</v>
      </c>
    </row>
    <row r="1710" spans="1:12" x14ac:dyDescent="0.25">
      <c r="A1710" s="40" t="s">
        <v>45</v>
      </c>
      <c r="B1710" s="40" t="s">
        <v>588</v>
      </c>
      <c r="C1710" s="40" t="s">
        <v>3028</v>
      </c>
      <c r="D1710" s="40" t="s">
        <v>2281</v>
      </c>
      <c r="E1710" s="40" t="s">
        <v>2233</v>
      </c>
      <c r="F1710" s="40">
        <v>0</v>
      </c>
      <c r="G1710" s="40"/>
      <c r="H1710" s="40" t="s">
        <v>97</v>
      </c>
      <c r="I1710" s="40"/>
      <c r="J1710" s="40" t="s">
        <v>195</v>
      </c>
      <c r="K1710" s="40" t="s">
        <v>195</v>
      </c>
      <c r="L1710" s="40" t="s">
        <v>97</v>
      </c>
    </row>
    <row r="1711" spans="1:12" x14ac:dyDescent="0.25">
      <c r="A1711" s="40" t="s">
        <v>45</v>
      </c>
      <c r="B1711" s="40" t="s">
        <v>1353</v>
      </c>
      <c r="C1711" s="40" t="s">
        <v>3029</v>
      </c>
      <c r="D1711" s="40" t="s">
        <v>2233</v>
      </c>
      <c r="E1711" s="40" t="s">
        <v>2233</v>
      </c>
      <c r="F1711" s="40">
        <v>1</v>
      </c>
      <c r="G1711" s="40"/>
      <c r="H1711" s="40" t="s">
        <v>97</v>
      </c>
      <c r="I1711" s="40"/>
      <c r="J1711" s="40" t="s">
        <v>195</v>
      </c>
      <c r="K1711" s="40" t="s">
        <v>195</v>
      </c>
      <c r="L1711" s="40" t="s">
        <v>97</v>
      </c>
    </row>
    <row r="1712" spans="1:12" x14ac:dyDescent="0.25">
      <c r="A1712" s="40" t="s">
        <v>45</v>
      </c>
      <c r="B1712" s="40" t="s">
        <v>2331</v>
      </c>
      <c r="C1712" s="40" t="s">
        <v>3030</v>
      </c>
      <c r="D1712" s="40" t="s">
        <v>2233</v>
      </c>
      <c r="E1712" s="40" t="s">
        <v>2233</v>
      </c>
      <c r="F1712" s="40">
        <v>1</v>
      </c>
      <c r="G1712" s="40"/>
      <c r="H1712" s="40" t="s">
        <v>97</v>
      </c>
      <c r="I1712" s="40"/>
      <c r="J1712" s="40" t="s">
        <v>195</v>
      </c>
      <c r="K1712" s="40" t="s">
        <v>195</v>
      </c>
      <c r="L1712" s="40" t="s">
        <v>97</v>
      </c>
    </row>
    <row r="1713" spans="1:12" x14ac:dyDescent="0.25">
      <c r="A1713" s="40" t="s">
        <v>45</v>
      </c>
      <c r="B1713" s="40" t="s">
        <v>590</v>
      </c>
      <c r="C1713" s="40" t="s">
        <v>3031</v>
      </c>
      <c r="D1713" s="40" t="s">
        <v>2233</v>
      </c>
      <c r="E1713" s="40" t="s">
        <v>2233</v>
      </c>
      <c r="F1713" s="40">
        <v>1</v>
      </c>
      <c r="G1713" s="40"/>
      <c r="H1713" s="40" t="s">
        <v>97</v>
      </c>
      <c r="I1713" s="40"/>
      <c r="J1713" s="40" t="s">
        <v>195</v>
      </c>
      <c r="K1713" s="40" t="s">
        <v>195</v>
      </c>
      <c r="L1713" s="40" t="s">
        <v>97</v>
      </c>
    </row>
    <row r="1714" spans="1:12" x14ac:dyDescent="0.25">
      <c r="A1714" s="40" t="s">
        <v>45</v>
      </c>
      <c r="B1714" s="40" t="s">
        <v>601</v>
      </c>
      <c r="C1714" s="40" t="s">
        <v>3032</v>
      </c>
      <c r="D1714" s="40" t="s">
        <v>2281</v>
      </c>
      <c r="E1714" s="40" t="s">
        <v>2233</v>
      </c>
      <c r="F1714" s="40">
        <v>0</v>
      </c>
      <c r="G1714" s="40"/>
      <c r="H1714" s="40" t="s">
        <v>97</v>
      </c>
      <c r="I1714" s="40"/>
      <c r="J1714" s="40" t="s">
        <v>195</v>
      </c>
      <c r="K1714" s="40" t="s">
        <v>195</v>
      </c>
      <c r="L1714" s="40" t="s">
        <v>97</v>
      </c>
    </row>
    <row r="1715" spans="1:12" x14ac:dyDescent="0.25">
      <c r="A1715" s="40" t="s">
        <v>45</v>
      </c>
      <c r="B1715" s="40" t="s">
        <v>603</v>
      </c>
      <c r="C1715" s="40" t="s">
        <v>3033</v>
      </c>
      <c r="D1715" s="40" t="s">
        <v>2233</v>
      </c>
      <c r="E1715" s="40" t="s">
        <v>2233</v>
      </c>
      <c r="F1715" s="40">
        <v>1</v>
      </c>
      <c r="G1715" s="40"/>
      <c r="H1715" s="40" t="s">
        <v>97</v>
      </c>
      <c r="I1715" s="40"/>
      <c r="J1715" s="40" t="s">
        <v>195</v>
      </c>
      <c r="K1715" s="40" t="s">
        <v>195</v>
      </c>
      <c r="L1715" s="40" t="s">
        <v>97</v>
      </c>
    </row>
    <row r="1716" spans="1:12" x14ac:dyDescent="0.25">
      <c r="A1716" s="40" t="s">
        <v>45</v>
      </c>
      <c r="B1716" s="40" t="s">
        <v>606</v>
      </c>
      <c r="C1716" s="40" t="s">
        <v>3034</v>
      </c>
      <c r="D1716" s="40" t="s">
        <v>2233</v>
      </c>
      <c r="E1716" s="40" t="s">
        <v>2233</v>
      </c>
      <c r="F1716" s="40">
        <v>1</v>
      </c>
      <c r="G1716" s="40"/>
      <c r="H1716" s="40" t="s">
        <v>97</v>
      </c>
      <c r="I1716" s="40"/>
      <c r="J1716" s="40" t="s">
        <v>195</v>
      </c>
      <c r="K1716" s="40" t="s">
        <v>195</v>
      </c>
      <c r="L1716" s="40" t="s">
        <v>97</v>
      </c>
    </row>
    <row r="1717" spans="1:12" x14ac:dyDescent="0.25">
      <c r="A1717" s="40" t="s">
        <v>45</v>
      </c>
      <c r="B1717" s="40" t="s">
        <v>2521</v>
      </c>
      <c r="C1717" s="40" t="s">
        <v>3035</v>
      </c>
      <c r="D1717" s="40" t="s">
        <v>2233</v>
      </c>
      <c r="E1717" s="40" t="s">
        <v>2233</v>
      </c>
      <c r="F1717" s="40">
        <v>1</v>
      </c>
      <c r="G1717" s="40"/>
      <c r="H1717" s="40" t="s">
        <v>97</v>
      </c>
      <c r="I1717" s="40"/>
      <c r="J1717" s="40" t="s">
        <v>195</v>
      </c>
      <c r="K1717" s="40" t="s">
        <v>195</v>
      </c>
      <c r="L1717" s="40" t="s">
        <v>97</v>
      </c>
    </row>
    <row r="1718" spans="1:12" x14ac:dyDescent="0.25">
      <c r="A1718" s="40" t="s">
        <v>45</v>
      </c>
      <c r="B1718" s="40" t="s">
        <v>2434</v>
      </c>
      <c r="C1718" s="40" t="s">
        <v>3036</v>
      </c>
      <c r="D1718" s="40" t="s">
        <v>2281</v>
      </c>
      <c r="E1718" s="40" t="s">
        <v>2233</v>
      </c>
      <c r="F1718" s="40">
        <v>0</v>
      </c>
      <c r="G1718" s="40"/>
      <c r="H1718" s="40" t="s">
        <v>97</v>
      </c>
      <c r="I1718" s="40"/>
      <c r="J1718" s="40" t="s">
        <v>195</v>
      </c>
      <c r="K1718" s="40" t="s">
        <v>195</v>
      </c>
      <c r="L1718" s="40" t="s">
        <v>97</v>
      </c>
    </row>
    <row r="1719" spans="1:12" x14ac:dyDescent="0.25">
      <c r="A1719" s="40" t="s">
        <v>45</v>
      </c>
      <c r="B1719" s="40" t="s">
        <v>2436</v>
      </c>
      <c r="C1719" s="40" t="s">
        <v>3037</v>
      </c>
      <c r="D1719" s="40" t="s">
        <v>2233</v>
      </c>
      <c r="E1719" s="40" t="s">
        <v>2233</v>
      </c>
      <c r="F1719" s="40">
        <v>1</v>
      </c>
      <c r="G1719" s="40"/>
      <c r="H1719" s="40" t="s">
        <v>97</v>
      </c>
      <c r="I1719" s="40"/>
      <c r="J1719" s="40" t="s">
        <v>195</v>
      </c>
      <c r="K1719" s="40" t="s">
        <v>195</v>
      </c>
      <c r="L1719" s="40" t="s">
        <v>97</v>
      </c>
    </row>
    <row r="1720" spans="1:12" x14ac:dyDescent="0.25">
      <c r="A1720" s="40" t="s">
        <v>45</v>
      </c>
      <c r="B1720" s="40" t="s">
        <v>610</v>
      </c>
      <c r="C1720" s="40" t="s">
        <v>3038</v>
      </c>
      <c r="D1720" s="40" t="s">
        <v>2233</v>
      </c>
      <c r="E1720" s="40" t="s">
        <v>2233</v>
      </c>
      <c r="F1720" s="40">
        <v>1</v>
      </c>
      <c r="G1720" s="40"/>
      <c r="H1720" s="40" t="s">
        <v>97</v>
      </c>
      <c r="I1720" s="40"/>
      <c r="J1720" s="40" t="s">
        <v>195</v>
      </c>
      <c r="K1720" s="40" t="s">
        <v>195</v>
      </c>
      <c r="L1720" s="40" t="s">
        <v>97</v>
      </c>
    </row>
    <row r="1721" spans="1:12" x14ac:dyDescent="0.25">
      <c r="A1721" s="40" t="s">
        <v>45</v>
      </c>
      <c r="B1721" s="40" t="s">
        <v>612</v>
      </c>
      <c r="C1721" s="40" t="s">
        <v>3039</v>
      </c>
      <c r="D1721" s="40" t="s">
        <v>2233</v>
      </c>
      <c r="E1721" s="40" t="s">
        <v>2233</v>
      </c>
      <c r="F1721" s="40">
        <v>1</v>
      </c>
      <c r="G1721" s="40"/>
      <c r="H1721" s="40" t="s">
        <v>97</v>
      </c>
      <c r="I1721" s="40"/>
      <c r="J1721" s="40" t="s">
        <v>195</v>
      </c>
      <c r="K1721" s="40" t="s">
        <v>195</v>
      </c>
      <c r="L1721" s="40" t="s">
        <v>97</v>
      </c>
    </row>
    <row r="1722" spans="1:12" x14ac:dyDescent="0.25">
      <c r="A1722" s="40" t="s">
        <v>45</v>
      </c>
      <c r="B1722" s="40" t="s">
        <v>620</v>
      </c>
      <c r="C1722" s="40" t="s">
        <v>3040</v>
      </c>
      <c r="D1722" s="40" t="s">
        <v>2281</v>
      </c>
      <c r="E1722" s="40" t="s">
        <v>2233</v>
      </c>
      <c r="F1722" s="40">
        <v>0</v>
      </c>
      <c r="G1722" s="40"/>
      <c r="H1722" s="40" t="s">
        <v>97</v>
      </c>
      <c r="I1722" s="40"/>
      <c r="J1722" s="40" t="s">
        <v>195</v>
      </c>
      <c r="K1722" s="40" t="s">
        <v>195</v>
      </c>
      <c r="L1722" s="40" t="s">
        <v>97</v>
      </c>
    </row>
    <row r="1723" spans="1:12" x14ac:dyDescent="0.25">
      <c r="A1723" s="40" t="s">
        <v>45</v>
      </c>
      <c r="B1723" s="40" t="s">
        <v>623</v>
      </c>
      <c r="C1723" s="40" t="s">
        <v>3041</v>
      </c>
      <c r="D1723" s="40" t="s">
        <v>2233</v>
      </c>
      <c r="E1723" s="40" t="s">
        <v>2233</v>
      </c>
      <c r="F1723" s="40">
        <v>1</v>
      </c>
      <c r="G1723" s="40"/>
      <c r="H1723" s="40" t="s">
        <v>97</v>
      </c>
      <c r="I1723" s="40"/>
      <c r="J1723" s="40" t="s">
        <v>195</v>
      </c>
      <c r="K1723" s="40" t="s">
        <v>195</v>
      </c>
      <c r="L1723" s="40" t="s">
        <v>97</v>
      </c>
    </row>
    <row r="1724" spans="1:12" x14ac:dyDescent="0.25">
      <c r="A1724" s="40" t="s">
        <v>45</v>
      </c>
      <c r="B1724" s="40" t="s">
        <v>625</v>
      </c>
      <c r="C1724" s="40" t="s">
        <v>3042</v>
      </c>
      <c r="D1724" s="40" t="s">
        <v>2233</v>
      </c>
      <c r="E1724" s="40" t="s">
        <v>2233</v>
      </c>
      <c r="F1724" s="40">
        <v>1</v>
      </c>
      <c r="G1724" s="40"/>
      <c r="H1724" s="40" t="s">
        <v>97</v>
      </c>
      <c r="I1724" s="40"/>
      <c r="J1724" s="40" t="s">
        <v>195</v>
      </c>
      <c r="K1724" s="40" t="s">
        <v>195</v>
      </c>
      <c r="L1724" s="40" t="s">
        <v>97</v>
      </c>
    </row>
    <row r="1725" spans="1:12" x14ac:dyDescent="0.25">
      <c r="A1725" s="40" t="s">
        <v>45</v>
      </c>
      <c r="B1725" s="40" t="s">
        <v>630</v>
      </c>
      <c r="C1725" s="40" t="s">
        <v>3043</v>
      </c>
      <c r="D1725" s="40" t="s">
        <v>2233</v>
      </c>
      <c r="E1725" s="40" t="s">
        <v>2233</v>
      </c>
      <c r="F1725" s="40">
        <v>1</v>
      </c>
      <c r="G1725" s="40"/>
      <c r="H1725" s="40" t="s">
        <v>97</v>
      </c>
      <c r="I1725" s="40"/>
      <c r="J1725" s="40" t="s">
        <v>195</v>
      </c>
      <c r="K1725" s="40" t="s">
        <v>195</v>
      </c>
      <c r="L1725" s="40" t="s">
        <v>97</v>
      </c>
    </row>
    <row r="1726" spans="1:12" x14ac:dyDescent="0.25">
      <c r="A1726" s="40" t="s">
        <v>45</v>
      </c>
      <c r="B1726" s="40" t="s">
        <v>2538</v>
      </c>
      <c r="C1726" s="40" t="s">
        <v>3044</v>
      </c>
      <c r="D1726" s="40" t="s">
        <v>2233</v>
      </c>
      <c r="E1726" s="40" t="s">
        <v>2233</v>
      </c>
      <c r="F1726" s="40">
        <v>1</v>
      </c>
      <c r="G1726" s="40"/>
      <c r="H1726" s="40" t="s">
        <v>97</v>
      </c>
      <c r="I1726" s="40"/>
      <c r="J1726" s="40" t="s">
        <v>195</v>
      </c>
      <c r="K1726" s="40" t="s">
        <v>195</v>
      </c>
      <c r="L1726" s="40" t="s">
        <v>97</v>
      </c>
    </row>
    <row r="1727" spans="1:12" x14ac:dyDescent="0.25">
      <c r="A1727" s="40" t="s">
        <v>45</v>
      </c>
      <c r="B1727" s="40" t="s">
        <v>2540</v>
      </c>
      <c r="C1727" s="40" t="s">
        <v>3045</v>
      </c>
      <c r="D1727" s="40" t="s">
        <v>3046</v>
      </c>
      <c r="E1727" s="40" t="s">
        <v>2233</v>
      </c>
      <c r="F1727" s="40">
        <v>0</v>
      </c>
      <c r="G1727" s="40"/>
      <c r="H1727" s="40" t="s">
        <v>97</v>
      </c>
      <c r="I1727" s="40"/>
      <c r="J1727" s="40" t="s">
        <v>195</v>
      </c>
      <c r="K1727" s="40" t="s">
        <v>195</v>
      </c>
      <c r="L1727" s="40" t="s">
        <v>97</v>
      </c>
    </row>
    <row r="1728" spans="1:12" x14ac:dyDescent="0.25">
      <c r="A1728" s="40" t="s">
        <v>45</v>
      </c>
      <c r="B1728" s="40" t="s">
        <v>2543</v>
      </c>
      <c r="C1728" s="40" t="s">
        <v>3047</v>
      </c>
      <c r="D1728" s="40" t="s">
        <v>3048</v>
      </c>
      <c r="E1728" s="40" t="s">
        <v>2233</v>
      </c>
      <c r="F1728" s="40">
        <v>0</v>
      </c>
      <c r="G1728" s="40"/>
      <c r="H1728" s="40" t="s">
        <v>97</v>
      </c>
      <c r="I1728" s="40"/>
      <c r="J1728" s="40" t="s">
        <v>195</v>
      </c>
      <c r="K1728" s="40" t="s">
        <v>195</v>
      </c>
      <c r="L1728" s="40" t="s">
        <v>97</v>
      </c>
    </row>
    <row r="1729" spans="1:12" x14ac:dyDescent="0.25">
      <c r="A1729" s="40" t="s">
        <v>45</v>
      </c>
      <c r="B1729" s="40" t="s">
        <v>3049</v>
      </c>
      <c r="C1729" s="40" t="s">
        <v>3050</v>
      </c>
      <c r="D1729" s="40" t="s">
        <v>3048</v>
      </c>
      <c r="E1729" s="40" t="s">
        <v>2233</v>
      </c>
      <c r="F1729" s="40">
        <v>0</v>
      </c>
      <c r="G1729" s="40"/>
      <c r="H1729" s="40" t="s">
        <v>97</v>
      </c>
      <c r="I1729" s="40"/>
      <c r="J1729" s="40" t="s">
        <v>195</v>
      </c>
      <c r="K1729" s="40" t="s">
        <v>195</v>
      </c>
      <c r="L1729" s="40" t="s">
        <v>97</v>
      </c>
    </row>
    <row r="1730" spans="1:12" x14ac:dyDescent="0.25">
      <c r="A1730" s="40" t="s">
        <v>45</v>
      </c>
      <c r="B1730" s="40" t="s">
        <v>2765</v>
      </c>
      <c r="C1730" s="40" t="s">
        <v>3051</v>
      </c>
      <c r="D1730" s="40" t="s">
        <v>3052</v>
      </c>
      <c r="E1730" s="40" t="s">
        <v>2233</v>
      </c>
      <c r="F1730" s="40">
        <v>0</v>
      </c>
      <c r="G1730" s="40"/>
      <c r="H1730" s="40" t="s">
        <v>97</v>
      </c>
      <c r="I1730" s="40"/>
      <c r="J1730" s="40" t="s">
        <v>195</v>
      </c>
      <c r="K1730" s="40" t="s">
        <v>195</v>
      </c>
      <c r="L1730" s="40" t="s">
        <v>97</v>
      </c>
    </row>
    <row r="1731" spans="1:12" x14ac:dyDescent="0.25">
      <c r="A1731" s="40" t="s">
        <v>45</v>
      </c>
      <c r="B1731" s="40" t="s">
        <v>3053</v>
      </c>
      <c r="C1731" s="40" t="s">
        <v>3054</v>
      </c>
      <c r="D1731" s="40" t="s">
        <v>2233</v>
      </c>
      <c r="E1731" s="40" t="s">
        <v>2233</v>
      </c>
      <c r="F1731" s="40">
        <v>1</v>
      </c>
      <c r="G1731" s="40"/>
      <c r="H1731" s="40" t="s">
        <v>97</v>
      </c>
      <c r="I1731" s="40"/>
      <c r="J1731" s="40" t="s">
        <v>195</v>
      </c>
      <c r="K1731" s="40" t="s">
        <v>195</v>
      </c>
      <c r="L1731" s="40" t="s">
        <v>97</v>
      </c>
    </row>
    <row r="1732" spans="1:12" x14ac:dyDescent="0.25">
      <c r="A1732" s="40" t="s">
        <v>45</v>
      </c>
      <c r="B1732" s="40" t="s">
        <v>2768</v>
      </c>
      <c r="C1732" s="40" t="s">
        <v>3055</v>
      </c>
      <c r="D1732" s="40" t="s">
        <v>3048</v>
      </c>
      <c r="E1732" s="40" t="s">
        <v>2233</v>
      </c>
      <c r="F1732" s="40">
        <v>0</v>
      </c>
      <c r="G1732" s="40"/>
      <c r="H1732" s="40" t="s">
        <v>97</v>
      </c>
      <c r="I1732" s="40"/>
      <c r="J1732" s="40" t="s">
        <v>195</v>
      </c>
      <c r="K1732" s="40" t="s">
        <v>195</v>
      </c>
      <c r="L1732" s="40" t="s">
        <v>97</v>
      </c>
    </row>
    <row r="1733" spans="1:12" x14ac:dyDescent="0.25">
      <c r="A1733" s="40" t="s">
        <v>45</v>
      </c>
      <c r="B1733" s="40" t="s">
        <v>2771</v>
      </c>
      <c r="C1733" s="40" t="s">
        <v>3056</v>
      </c>
      <c r="D1733" s="40" t="s">
        <v>3048</v>
      </c>
      <c r="E1733" s="40" t="s">
        <v>2233</v>
      </c>
      <c r="F1733" s="40">
        <v>0</v>
      </c>
      <c r="G1733" s="40"/>
      <c r="H1733" s="40" t="s">
        <v>97</v>
      </c>
      <c r="I1733" s="40"/>
      <c r="J1733" s="40" t="s">
        <v>195</v>
      </c>
      <c r="K1733" s="40" t="s">
        <v>195</v>
      </c>
      <c r="L1733" s="40" t="s">
        <v>97</v>
      </c>
    </row>
    <row r="1734" spans="1:12" x14ac:dyDescent="0.25">
      <c r="A1734" s="40" t="s">
        <v>45</v>
      </c>
      <c r="B1734" s="40" t="s">
        <v>2470</v>
      </c>
      <c r="C1734" s="40" t="s">
        <v>3057</v>
      </c>
      <c r="D1734" s="40" t="s">
        <v>3052</v>
      </c>
      <c r="E1734" s="40" t="s">
        <v>2233</v>
      </c>
      <c r="F1734" s="40">
        <v>0</v>
      </c>
      <c r="G1734" s="40"/>
      <c r="H1734" s="40" t="s">
        <v>97</v>
      </c>
      <c r="I1734" s="40"/>
      <c r="J1734" s="40" t="s">
        <v>195</v>
      </c>
      <c r="K1734" s="40" t="s">
        <v>195</v>
      </c>
      <c r="L1734" s="40" t="s">
        <v>97</v>
      </c>
    </row>
    <row r="1735" spans="1:12" x14ac:dyDescent="0.25">
      <c r="A1735" s="40" t="s">
        <v>45</v>
      </c>
      <c r="B1735" s="40" t="s">
        <v>2475</v>
      </c>
      <c r="C1735" s="40" t="s">
        <v>3058</v>
      </c>
      <c r="D1735" s="40" t="s">
        <v>3046</v>
      </c>
      <c r="E1735" s="40" t="s">
        <v>2233</v>
      </c>
      <c r="F1735" s="40">
        <v>0</v>
      </c>
      <c r="G1735" s="40"/>
      <c r="H1735" s="40" t="s">
        <v>97</v>
      </c>
      <c r="I1735" s="40"/>
      <c r="J1735" s="40" t="s">
        <v>195</v>
      </c>
      <c r="K1735" s="40" t="s">
        <v>195</v>
      </c>
      <c r="L1735" s="40" t="s">
        <v>97</v>
      </c>
    </row>
    <row r="1736" spans="1:12" x14ac:dyDescent="0.25">
      <c r="A1736" s="40" t="s">
        <v>45</v>
      </c>
      <c r="B1736" s="40" t="s">
        <v>2477</v>
      </c>
      <c r="C1736" s="40" t="s">
        <v>3059</v>
      </c>
      <c r="D1736" s="40" t="s">
        <v>2233</v>
      </c>
      <c r="E1736" s="40" t="s">
        <v>2233</v>
      </c>
      <c r="F1736" s="40">
        <v>1</v>
      </c>
      <c r="G1736" s="40"/>
      <c r="H1736" s="40" t="s">
        <v>97</v>
      </c>
      <c r="I1736" s="40"/>
      <c r="J1736" s="40" t="s">
        <v>195</v>
      </c>
      <c r="K1736" s="40" t="s">
        <v>195</v>
      </c>
      <c r="L1736" s="40" t="s">
        <v>97</v>
      </c>
    </row>
    <row r="1737" spans="1:12" x14ac:dyDescent="0.25">
      <c r="A1737" s="40" t="s">
        <v>45</v>
      </c>
      <c r="B1737" s="40" t="s">
        <v>2479</v>
      </c>
      <c r="C1737" s="40" t="s">
        <v>3060</v>
      </c>
      <c r="D1737" s="40" t="s">
        <v>3048</v>
      </c>
      <c r="E1737" s="40" t="s">
        <v>2233</v>
      </c>
      <c r="F1737" s="40">
        <v>0</v>
      </c>
      <c r="G1737" s="40"/>
      <c r="H1737" s="40" t="s">
        <v>97</v>
      </c>
      <c r="I1737" s="40"/>
      <c r="J1737" s="40" t="s">
        <v>195</v>
      </c>
      <c r="K1737" s="40" t="s">
        <v>195</v>
      </c>
      <c r="L1737" s="40" t="s">
        <v>97</v>
      </c>
    </row>
    <row r="1738" spans="1:12" x14ac:dyDescent="0.25">
      <c r="A1738" s="40" t="s">
        <v>45</v>
      </c>
      <c r="B1738" s="40" t="s">
        <v>686</v>
      </c>
      <c r="C1738" s="40" t="s">
        <v>3061</v>
      </c>
      <c r="D1738" s="40" t="s">
        <v>487</v>
      </c>
      <c r="E1738" s="40" t="s">
        <v>2233</v>
      </c>
      <c r="F1738" s="40">
        <v>0</v>
      </c>
      <c r="G1738" s="40"/>
      <c r="H1738" s="40" t="s">
        <v>97</v>
      </c>
      <c r="I1738" s="40"/>
      <c r="J1738" s="40" t="s">
        <v>195</v>
      </c>
      <c r="K1738" s="40" t="s">
        <v>195</v>
      </c>
      <c r="L1738" s="40" t="s">
        <v>97</v>
      </c>
    </row>
    <row r="1739" spans="1:12" x14ac:dyDescent="0.25">
      <c r="A1739" s="40" t="s">
        <v>45</v>
      </c>
      <c r="B1739" s="40" t="s">
        <v>689</v>
      </c>
      <c r="C1739" s="40" t="s">
        <v>3062</v>
      </c>
      <c r="D1739" s="40" t="s">
        <v>487</v>
      </c>
      <c r="E1739" s="40" t="s">
        <v>2233</v>
      </c>
      <c r="F1739" s="40">
        <v>0</v>
      </c>
      <c r="G1739" s="40"/>
      <c r="H1739" s="40" t="s">
        <v>97</v>
      </c>
      <c r="I1739" s="40"/>
      <c r="J1739" s="40" t="s">
        <v>195</v>
      </c>
      <c r="K1739" s="40" t="s">
        <v>195</v>
      </c>
      <c r="L1739" s="40" t="s">
        <v>97</v>
      </c>
    </row>
    <row r="1740" spans="1:12" x14ac:dyDescent="0.25">
      <c r="A1740" s="40" t="s">
        <v>45</v>
      </c>
      <c r="B1740" s="40" t="s">
        <v>692</v>
      </c>
      <c r="C1740" s="40" t="s">
        <v>3063</v>
      </c>
      <c r="D1740" s="40" t="s">
        <v>487</v>
      </c>
      <c r="E1740" s="40" t="s">
        <v>2233</v>
      </c>
      <c r="F1740" s="40">
        <v>0</v>
      </c>
      <c r="G1740" s="40"/>
      <c r="H1740" s="40" t="s">
        <v>97</v>
      </c>
      <c r="I1740" s="40"/>
      <c r="J1740" s="40" t="s">
        <v>195</v>
      </c>
      <c r="K1740" s="40" t="s">
        <v>195</v>
      </c>
      <c r="L1740" s="40" t="s">
        <v>97</v>
      </c>
    </row>
    <row r="1741" spans="1:12" x14ac:dyDescent="0.25">
      <c r="A1741" s="40" t="s">
        <v>45</v>
      </c>
      <c r="B1741" s="40" t="s">
        <v>695</v>
      </c>
      <c r="C1741" s="40" t="s">
        <v>3064</v>
      </c>
      <c r="D1741" s="40" t="s">
        <v>487</v>
      </c>
      <c r="E1741" s="40" t="s">
        <v>2233</v>
      </c>
      <c r="F1741" s="40">
        <v>0</v>
      </c>
      <c r="G1741" s="40"/>
      <c r="H1741" s="40" t="s">
        <v>97</v>
      </c>
      <c r="I1741" s="40"/>
      <c r="J1741" s="40" t="s">
        <v>195</v>
      </c>
      <c r="K1741" s="40" t="s">
        <v>195</v>
      </c>
      <c r="L1741" s="40" t="s">
        <v>97</v>
      </c>
    </row>
    <row r="1742" spans="1:12" x14ac:dyDescent="0.25">
      <c r="A1742" s="40" t="s">
        <v>45</v>
      </c>
      <c r="B1742" s="40" t="s">
        <v>765</v>
      </c>
      <c r="C1742" s="40" t="s">
        <v>3065</v>
      </c>
      <c r="D1742" s="40" t="s">
        <v>2233</v>
      </c>
      <c r="E1742" s="40" t="s">
        <v>2233</v>
      </c>
      <c r="F1742" s="40">
        <v>1</v>
      </c>
      <c r="G1742" s="40"/>
      <c r="H1742" s="40" t="s">
        <v>2234</v>
      </c>
      <c r="I1742" s="40"/>
      <c r="J1742" s="40" t="s">
        <v>195</v>
      </c>
      <c r="K1742" s="40" t="s">
        <v>195</v>
      </c>
      <c r="L1742" s="40" t="s">
        <v>97</v>
      </c>
    </row>
    <row r="1743" spans="1:12" x14ac:dyDescent="0.25">
      <c r="A1743" s="40" t="s">
        <v>45</v>
      </c>
      <c r="B1743" s="40" t="s">
        <v>768</v>
      </c>
      <c r="C1743" s="40" t="s">
        <v>3066</v>
      </c>
      <c r="D1743" s="40" t="s">
        <v>483</v>
      </c>
      <c r="E1743" s="40" t="s">
        <v>2233</v>
      </c>
      <c r="F1743" s="40">
        <v>0</v>
      </c>
      <c r="G1743" s="40"/>
      <c r="H1743" s="40" t="s">
        <v>2234</v>
      </c>
      <c r="I1743" s="40"/>
      <c r="J1743" s="40" t="s">
        <v>195</v>
      </c>
      <c r="K1743" s="40" t="s">
        <v>195</v>
      </c>
      <c r="L1743" s="40" t="s">
        <v>97</v>
      </c>
    </row>
    <row r="1744" spans="1:12" x14ac:dyDescent="0.25">
      <c r="A1744" s="40" t="s">
        <v>45</v>
      </c>
      <c r="B1744" s="40" t="s">
        <v>771</v>
      </c>
      <c r="C1744" s="40" t="s">
        <v>3067</v>
      </c>
      <c r="D1744" s="40" t="s">
        <v>496</v>
      </c>
      <c r="E1744" s="40" t="s">
        <v>2233</v>
      </c>
      <c r="F1744" s="40">
        <v>0</v>
      </c>
      <c r="G1744" s="40"/>
      <c r="H1744" s="40" t="s">
        <v>2234</v>
      </c>
      <c r="I1744" s="40"/>
      <c r="J1744" s="40" t="s">
        <v>195</v>
      </c>
      <c r="K1744" s="40" t="s">
        <v>195</v>
      </c>
      <c r="L1744" s="40" t="s">
        <v>97</v>
      </c>
    </row>
    <row r="1745" spans="1:12" x14ac:dyDescent="0.25">
      <c r="A1745" s="40" t="s">
        <v>45</v>
      </c>
      <c r="B1745" s="40" t="s">
        <v>773</v>
      </c>
      <c r="C1745" s="40" t="s">
        <v>3068</v>
      </c>
      <c r="D1745" s="40" t="s">
        <v>1304</v>
      </c>
      <c r="E1745" s="40" t="s">
        <v>2233</v>
      </c>
      <c r="F1745" s="40">
        <v>0</v>
      </c>
      <c r="G1745" s="40"/>
      <c r="H1745" s="40" t="s">
        <v>2234</v>
      </c>
      <c r="I1745" s="40"/>
      <c r="J1745" s="40" t="s">
        <v>195</v>
      </c>
      <c r="K1745" s="40" t="s">
        <v>195</v>
      </c>
      <c r="L1745" s="40" t="s">
        <v>97</v>
      </c>
    </row>
    <row r="1746" spans="1:12" x14ac:dyDescent="0.25">
      <c r="A1746" s="40" t="s">
        <v>45</v>
      </c>
      <c r="B1746" s="40" t="s">
        <v>775</v>
      </c>
      <c r="C1746" s="40" t="s">
        <v>3069</v>
      </c>
      <c r="D1746" s="40" t="s">
        <v>2233</v>
      </c>
      <c r="E1746" s="40" t="s">
        <v>2233</v>
      </c>
      <c r="F1746" s="40">
        <v>1</v>
      </c>
      <c r="G1746" s="40"/>
      <c r="H1746" s="40" t="s">
        <v>2234</v>
      </c>
      <c r="I1746" s="40"/>
      <c r="J1746" s="40" t="s">
        <v>195</v>
      </c>
      <c r="K1746" s="40" t="s">
        <v>195</v>
      </c>
      <c r="L1746" s="40" t="s">
        <v>97</v>
      </c>
    </row>
    <row r="1747" spans="1:12" x14ac:dyDescent="0.25">
      <c r="A1747" s="40" t="s">
        <v>45</v>
      </c>
      <c r="B1747" s="40" t="s">
        <v>777</v>
      </c>
      <c r="C1747" s="40" t="s">
        <v>3070</v>
      </c>
      <c r="D1747" s="40" t="s">
        <v>2234</v>
      </c>
      <c r="E1747" s="40" t="s">
        <v>2234</v>
      </c>
      <c r="F1747" s="40">
        <v>1</v>
      </c>
      <c r="G1747" s="40"/>
      <c r="H1747" s="40" t="s">
        <v>2234</v>
      </c>
      <c r="I1747" s="40"/>
      <c r="J1747" s="40" t="s">
        <v>195</v>
      </c>
      <c r="K1747" s="40" t="s">
        <v>195</v>
      </c>
      <c r="L1747" s="40" t="s">
        <v>97</v>
      </c>
    </row>
    <row r="1748" spans="1:12" x14ac:dyDescent="0.25">
      <c r="A1748" s="40" t="s">
        <v>45</v>
      </c>
      <c r="B1748" s="40" t="s">
        <v>780</v>
      </c>
      <c r="C1748" s="40" t="s">
        <v>3071</v>
      </c>
      <c r="D1748" s="40" t="s">
        <v>2233</v>
      </c>
      <c r="E1748" s="40" t="s">
        <v>2233</v>
      </c>
      <c r="F1748" s="40">
        <v>1</v>
      </c>
      <c r="G1748" s="40"/>
      <c r="H1748" s="40" t="s">
        <v>2234</v>
      </c>
      <c r="I1748" s="40"/>
      <c r="J1748" s="40" t="s">
        <v>195</v>
      </c>
      <c r="K1748" s="40" t="s">
        <v>195</v>
      </c>
      <c r="L1748" s="40" t="s">
        <v>97</v>
      </c>
    </row>
    <row r="1749" spans="1:12" x14ac:dyDescent="0.25">
      <c r="A1749" s="40" t="s">
        <v>45</v>
      </c>
      <c r="B1749" s="40" t="s">
        <v>2561</v>
      </c>
      <c r="C1749" s="40" t="s">
        <v>3072</v>
      </c>
      <c r="D1749" s="40" t="s">
        <v>2234</v>
      </c>
      <c r="E1749" s="40" t="s">
        <v>2234</v>
      </c>
      <c r="F1749" s="40">
        <v>1</v>
      </c>
      <c r="G1749" s="40"/>
      <c r="H1749" s="40" t="s">
        <v>2234</v>
      </c>
      <c r="I1749" s="40"/>
      <c r="J1749" s="40" t="s">
        <v>195</v>
      </c>
      <c r="K1749" s="40" t="s">
        <v>195</v>
      </c>
      <c r="L1749" s="40" t="s">
        <v>97</v>
      </c>
    </row>
    <row r="1750" spans="1:12" x14ac:dyDescent="0.25">
      <c r="A1750" s="40" t="s">
        <v>45</v>
      </c>
      <c r="B1750" s="40" t="s">
        <v>2564</v>
      </c>
      <c r="C1750" s="40" t="s">
        <v>3073</v>
      </c>
      <c r="D1750" s="40" t="s">
        <v>2233</v>
      </c>
      <c r="E1750" s="40" t="s">
        <v>2233</v>
      </c>
      <c r="F1750" s="40">
        <v>1</v>
      </c>
      <c r="G1750" s="40"/>
      <c r="H1750" s="40" t="s">
        <v>2234</v>
      </c>
      <c r="I1750" s="40"/>
      <c r="J1750" s="40" t="s">
        <v>195</v>
      </c>
      <c r="K1750" s="40" t="s">
        <v>195</v>
      </c>
      <c r="L1750" s="40" t="s">
        <v>97</v>
      </c>
    </row>
    <row r="1751" spans="1:12" x14ac:dyDescent="0.25">
      <c r="A1751" s="40" t="s">
        <v>45</v>
      </c>
      <c r="B1751" s="40" t="s">
        <v>2279</v>
      </c>
      <c r="C1751" s="40" t="s">
        <v>3074</v>
      </c>
      <c r="D1751" s="40" t="s">
        <v>2233</v>
      </c>
      <c r="E1751" s="40" t="s">
        <v>2281</v>
      </c>
      <c r="F1751" s="40">
        <v>0</v>
      </c>
      <c r="G1751" s="40"/>
      <c r="H1751" s="40" t="s">
        <v>2234</v>
      </c>
      <c r="I1751" s="40"/>
      <c r="J1751" s="40" t="s">
        <v>195</v>
      </c>
      <c r="K1751" s="40" t="s">
        <v>195</v>
      </c>
      <c r="L1751" s="40" t="s">
        <v>97</v>
      </c>
    </row>
    <row r="1752" spans="1:12" x14ac:dyDescent="0.25">
      <c r="A1752" s="40" t="s">
        <v>45</v>
      </c>
      <c r="B1752" s="40" t="s">
        <v>2820</v>
      </c>
      <c r="C1752" s="40" t="s">
        <v>3075</v>
      </c>
      <c r="D1752" s="40" t="s">
        <v>2233</v>
      </c>
      <c r="E1752" s="40" t="s">
        <v>2233</v>
      </c>
      <c r="F1752" s="40">
        <v>1</v>
      </c>
      <c r="G1752" s="40"/>
      <c r="H1752" s="40" t="s">
        <v>2234</v>
      </c>
      <c r="I1752" s="40"/>
      <c r="J1752" s="40" t="s">
        <v>97</v>
      </c>
      <c r="K1752" s="40" t="s">
        <v>97</v>
      </c>
      <c r="L1752" s="40" t="s">
        <v>97</v>
      </c>
    </row>
    <row r="1753" spans="1:12" x14ac:dyDescent="0.25">
      <c r="A1753" s="40" t="s">
        <v>45</v>
      </c>
      <c r="B1753" s="40" t="s">
        <v>858</v>
      </c>
      <c r="C1753" s="40" t="s">
        <v>3076</v>
      </c>
      <c r="D1753" s="40" t="s">
        <v>2499</v>
      </c>
      <c r="E1753" s="40" t="s">
        <v>2499</v>
      </c>
      <c r="F1753" s="40">
        <v>1</v>
      </c>
      <c r="G1753" s="40"/>
      <c r="H1753" s="40" t="s">
        <v>97</v>
      </c>
      <c r="I1753" s="40"/>
      <c r="J1753" s="40" t="s">
        <v>195</v>
      </c>
      <c r="K1753" s="40" t="s">
        <v>195</v>
      </c>
      <c r="L1753" s="40" t="s">
        <v>97</v>
      </c>
    </row>
    <row r="1754" spans="1:12" x14ac:dyDescent="0.25">
      <c r="A1754" s="40" t="s">
        <v>45</v>
      </c>
      <c r="B1754" s="40" t="s">
        <v>867</v>
      </c>
      <c r="C1754" s="40" t="s">
        <v>3077</v>
      </c>
      <c r="D1754" s="40" t="s">
        <v>2233</v>
      </c>
      <c r="E1754" s="40" t="s">
        <v>2233</v>
      </c>
      <c r="F1754" s="40">
        <v>1</v>
      </c>
      <c r="G1754" s="40"/>
      <c r="H1754" s="40" t="s">
        <v>97</v>
      </c>
      <c r="I1754" s="40"/>
      <c r="J1754" s="40" t="s">
        <v>195</v>
      </c>
      <c r="K1754" s="40" t="s">
        <v>195</v>
      </c>
      <c r="L1754" s="40" t="s">
        <v>97</v>
      </c>
    </row>
    <row r="1755" spans="1:12" x14ac:dyDescent="0.25">
      <c r="A1755" s="40" t="s">
        <v>45</v>
      </c>
      <c r="B1755" s="40" t="s">
        <v>871</v>
      </c>
      <c r="C1755" s="40" t="s">
        <v>3078</v>
      </c>
      <c r="D1755" s="40" t="s">
        <v>2318</v>
      </c>
      <c r="E1755" s="40" t="s">
        <v>2318</v>
      </c>
      <c r="F1755" s="40">
        <v>1</v>
      </c>
      <c r="G1755" s="40"/>
      <c r="H1755" s="40" t="s">
        <v>97</v>
      </c>
      <c r="I1755" s="40"/>
      <c r="J1755" s="40" t="s">
        <v>195</v>
      </c>
      <c r="K1755" s="40" t="s">
        <v>195</v>
      </c>
      <c r="L1755" s="40" t="s">
        <v>97</v>
      </c>
    </row>
    <row r="1756" spans="1:12" x14ac:dyDescent="0.25">
      <c r="A1756" s="40" t="s">
        <v>45</v>
      </c>
      <c r="B1756" s="40" t="s">
        <v>875</v>
      </c>
      <c r="C1756" s="40" t="s">
        <v>3079</v>
      </c>
      <c r="D1756" s="40" t="s">
        <v>2233</v>
      </c>
      <c r="E1756" s="40" t="s">
        <v>2233</v>
      </c>
      <c r="F1756" s="40">
        <v>1</v>
      </c>
      <c r="G1756" s="40"/>
      <c r="H1756" s="40" t="s">
        <v>97</v>
      </c>
      <c r="I1756" s="40"/>
      <c r="J1756" s="40" t="s">
        <v>195</v>
      </c>
      <c r="K1756" s="40" t="s">
        <v>195</v>
      </c>
      <c r="L1756" s="40" t="s">
        <v>97</v>
      </c>
    </row>
    <row r="1757" spans="1:12" x14ac:dyDescent="0.25">
      <c r="A1757" s="40" t="s">
        <v>23</v>
      </c>
      <c r="B1757" s="40" t="s">
        <v>577</v>
      </c>
      <c r="C1757" s="40" t="s">
        <v>3080</v>
      </c>
      <c r="D1757" s="40" t="s">
        <v>2233</v>
      </c>
      <c r="E1757" s="40" t="s">
        <v>2233</v>
      </c>
      <c r="F1757" s="40">
        <v>1</v>
      </c>
      <c r="G1757" s="40"/>
      <c r="H1757" s="40" t="s">
        <v>97</v>
      </c>
      <c r="I1757" s="40"/>
      <c r="J1757" s="40" t="s">
        <v>82</v>
      </c>
      <c r="K1757" s="40" t="s">
        <v>82</v>
      </c>
      <c r="L1757" s="40" t="s">
        <v>97</v>
      </c>
    </row>
    <row r="1758" spans="1:12" x14ac:dyDescent="0.25">
      <c r="A1758" s="40" t="s">
        <v>23</v>
      </c>
      <c r="B1758" s="40" t="s">
        <v>580</v>
      </c>
      <c r="C1758" s="40" t="s">
        <v>3081</v>
      </c>
      <c r="D1758" s="40" t="s">
        <v>2233</v>
      </c>
      <c r="E1758" s="40" t="s">
        <v>2233</v>
      </c>
      <c r="F1758" s="40">
        <v>1</v>
      </c>
      <c r="G1758" s="40"/>
      <c r="H1758" s="40" t="s">
        <v>2234</v>
      </c>
      <c r="I1758" s="40"/>
      <c r="J1758" s="40" t="s">
        <v>195</v>
      </c>
      <c r="K1758" s="40" t="s">
        <v>195</v>
      </c>
      <c r="L1758" s="40" t="s">
        <v>97</v>
      </c>
    </row>
    <row r="1759" spans="1:12" x14ac:dyDescent="0.25">
      <c r="A1759" s="40" t="s">
        <v>23</v>
      </c>
      <c r="B1759" s="40" t="s">
        <v>582</v>
      </c>
      <c r="C1759" s="40" t="s">
        <v>3082</v>
      </c>
      <c r="D1759" s="40" t="s">
        <v>2233</v>
      </c>
      <c r="E1759" s="40" t="s">
        <v>2233</v>
      </c>
      <c r="F1759" s="40">
        <v>1</v>
      </c>
      <c r="G1759" s="40"/>
      <c r="H1759" s="40" t="s">
        <v>2234</v>
      </c>
      <c r="I1759" s="40"/>
      <c r="J1759" s="40" t="s">
        <v>195</v>
      </c>
      <c r="K1759" s="40" t="s">
        <v>195</v>
      </c>
      <c r="L1759" s="40" t="s">
        <v>97</v>
      </c>
    </row>
    <row r="1760" spans="1:12" x14ac:dyDescent="0.25">
      <c r="A1760" s="40" t="s">
        <v>23</v>
      </c>
      <c r="B1760" s="40" t="s">
        <v>588</v>
      </c>
      <c r="C1760" s="40" t="s">
        <v>3083</v>
      </c>
      <c r="D1760" s="40" t="s">
        <v>2233</v>
      </c>
      <c r="E1760" s="40" t="s">
        <v>2233</v>
      </c>
      <c r="F1760" s="40">
        <v>1</v>
      </c>
      <c r="G1760" s="40"/>
      <c r="H1760" s="40" t="s">
        <v>97</v>
      </c>
      <c r="I1760" s="40"/>
      <c r="J1760" s="40" t="s">
        <v>82</v>
      </c>
      <c r="K1760" s="40" t="s">
        <v>82</v>
      </c>
      <c r="L1760" s="40" t="s">
        <v>97</v>
      </c>
    </row>
    <row r="1761" spans="1:12" x14ac:dyDescent="0.25">
      <c r="A1761" s="40" t="s">
        <v>23</v>
      </c>
      <c r="B1761" s="40" t="s">
        <v>1353</v>
      </c>
      <c r="C1761" s="40" t="s">
        <v>3084</v>
      </c>
      <c r="D1761" s="40" t="s">
        <v>2233</v>
      </c>
      <c r="E1761" s="40" t="s">
        <v>2233</v>
      </c>
      <c r="F1761" s="40">
        <v>1</v>
      </c>
      <c r="G1761" s="40"/>
      <c r="H1761" s="40" t="s">
        <v>2234</v>
      </c>
      <c r="I1761" s="40"/>
      <c r="J1761" s="40" t="s">
        <v>195</v>
      </c>
      <c r="K1761" s="40" t="s">
        <v>195</v>
      </c>
      <c r="L1761" s="40" t="s">
        <v>97</v>
      </c>
    </row>
    <row r="1762" spans="1:12" x14ac:dyDescent="0.25">
      <c r="A1762" s="40" t="s">
        <v>23</v>
      </c>
      <c r="B1762" s="40" t="s">
        <v>2331</v>
      </c>
      <c r="C1762" s="40" t="s">
        <v>3085</v>
      </c>
      <c r="D1762" s="40" t="s">
        <v>2233</v>
      </c>
      <c r="E1762" s="40" t="s">
        <v>2233</v>
      </c>
      <c r="F1762" s="40">
        <v>1</v>
      </c>
      <c r="G1762" s="40"/>
      <c r="H1762" s="40" t="s">
        <v>2234</v>
      </c>
      <c r="I1762" s="40"/>
      <c r="J1762" s="40" t="s">
        <v>195</v>
      </c>
      <c r="K1762" s="40" t="s">
        <v>195</v>
      </c>
      <c r="L1762" s="40" t="s">
        <v>97</v>
      </c>
    </row>
    <row r="1763" spans="1:12" x14ac:dyDescent="0.25">
      <c r="A1763" s="40" t="s">
        <v>23</v>
      </c>
      <c r="B1763" s="40" t="s">
        <v>593</v>
      </c>
      <c r="C1763" s="40" t="s">
        <v>3086</v>
      </c>
      <c r="D1763" s="40" t="s">
        <v>2233</v>
      </c>
      <c r="E1763" s="40" t="s">
        <v>2233</v>
      </c>
      <c r="F1763" s="40">
        <v>1</v>
      </c>
      <c r="G1763" s="40"/>
      <c r="H1763" s="40" t="s">
        <v>97</v>
      </c>
      <c r="I1763" s="40"/>
      <c r="J1763" s="40" t="s">
        <v>82</v>
      </c>
      <c r="K1763" s="40" t="s">
        <v>82</v>
      </c>
      <c r="L1763" s="40" t="s">
        <v>97</v>
      </c>
    </row>
    <row r="1764" spans="1:12" x14ac:dyDescent="0.25">
      <c r="A1764" s="40" t="s">
        <v>23</v>
      </c>
      <c r="B1764" s="40" t="s">
        <v>595</v>
      </c>
      <c r="C1764" s="40" t="s">
        <v>3087</v>
      </c>
      <c r="D1764" s="40" t="s">
        <v>2233</v>
      </c>
      <c r="E1764" s="40" t="s">
        <v>2233</v>
      </c>
      <c r="F1764" s="40">
        <v>1</v>
      </c>
      <c r="G1764" s="40"/>
      <c r="H1764" s="40" t="s">
        <v>2234</v>
      </c>
      <c r="I1764" s="40"/>
      <c r="J1764" s="40" t="s">
        <v>195</v>
      </c>
      <c r="K1764" s="40" t="s">
        <v>195</v>
      </c>
      <c r="L1764" s="40" t="s">
        <v>97</v>
      </c>
    </row>
    <row r="1765" spans="1:12" x14ac:dyDescent="0.25">
      <c r="A1765" s="40" t="s">
        <v>23</v>
      </c>
      <c r="B1765" s="40" t="s">
        <v>598</v>
      </c>
      <c r="C1765" s="40" t="s">
        <v>3088</v>
      </c>
      <c r="D1765" s="40" t="s">
        <v>2233</v>
      </c>
      <c r="E1765" s="40" t="s">
        <v>2233</v>
      </c>
      <c r="F1765" s="40">
        <v>1</v>
      </c>
      <c r="G1765" s="40"/>
      <c r="H1765" s="40" t="s">
        <v>2234</v>
      </c>
      <c r="I1765" s="40"/>
      <c r="J1765" s="40" t="s">
        <v>195</v>
      </c>
      <c r="K1765" s="40" t="s">
        <v>195</v>
      </c>
      <c r="L1765" s="40" t="s">
        <v>97</v>
      </c>
    </row>
    <row r="1766" spans="1:12" x14ac:dyDescent="0.25">
      <c r="A1766" s="40" t="s">
        <v>23</v>
      </c>
      <c r="B1766" s="40" t="s">
        <v>632</v>
      </c>
      <c r="C1766" s="40" t="s">
        <v>3089</v>
      </c>
      <c r="D1766" s="40" t="s">
        <v>2233</v>
      </c>
      <c r="E1766" s="40" t="s">
        <v>2233</v>
      </c>
      <c r="F1766" s="40">
        <v>1</v>
      </c>
      <c r="G1766" s="40"/>
      <c r="H1766" s="40" t="s">
        <v>97</v>
      </c>
      <c r="I1766" s="40"/>
      <c r="J1766" s="40" t="s">
        <v>82</v>
      </c>
      <c r="K1766" s="40" t="s">
        <v>82</v>
      </c>
      <c r="L1766" s="40" t="s">
        <v>97</v>
      </c>
    </row>
    <row r="1767" spans="1:12" x14ac:dyDescent="0.25">
      <c r="A1767" s="40" t="s">
        <v>23</v>
      </c>
      <c r="B1767" s="40" t="s">
        <v>634</v>
      </c>
      <c r="C1767" s="40" t="s">
        <v>3090</v>
      </c>
      <c r="D1767" s="40" t="s">
        <v>2233</v>
      </c>
      <c r="E1767" s="40" t="s">
        <v>2233</v>
      </c>
      <c r="F1767" s="40">
        <v>1</v>
      </c>
      <c r="G1767" s="40"/>
      <c r="H1767" s="40" t="s">
        <v>97</v>
      </c>
      <c r="I1767" s="40"/>
      <c r="J1767" s="40" t="s">
        <v>82</v>
      </c>
      <c r="K1767" s="40" t="s">
        <v>82</v>
      </c>
      <c r="L1767" s="40" t="s">
        <v>97</v>
      </c>
    </row>
    <row r="1768" spans="1:12" x14ac:dyDescent="0.25">
      <c r="A1768" s="40" t="s">
        <v>23</v>
      </c>
      <c r="B1768" s="40" t="s">
        <v>648</v>
      </c>
      <c r="C1768" s="40" t="s">
        <v>3091</v>
      </c>
      <c r="D1768" s="40" t="s">
        <v>2233</v>
      </c>
      <c r="E1768" s="40" t="s">
        <v>2233</v>
      </c>
      <c r="F1768" s="40">
        <v>1</v>
      </c>
      <c r="G1768" s="40"/>
      <c r="H1768" s="40" t="s">
        <v>97</v>
      </c>
      <c r="I1768" s="40"/>
      <c r="J1768" s="40" t="s">
        <v>82</v>
      </c>
      <c r="K1768" s="40" t="s">
        <v>82</v>
      </c>
      <c r="L1768" s="40" t="s">
        <v>97</v>
      </c>
    </row>
    <row r="1769" spans="1:12" x14ac:dyDescent="0.25">
      <c r="A1769" s="40" t="s">
        <v>23</v>
      </c>
      <c r="B1769" s="40" t="s">
        <v>659</v>
      </c>
      <c r="C1769" s="40" t="s">
        <v>3092</v>
      </c>
      <c r="D1769" s="40" t="s">
        <v>2233</v>
      </c>
      <c r="E1769" s="40" t="s">
        <v>2233</v>
      </c>
      <c r="F1769" s="40">
        <v>1</v>
      </c>
      <c r="G1769" s="40"/>
      <c r="H1769" s="40" t="s">
        <v>97</v>
      </c>
      <c r="I1769" s="40"/>
      <c r="J1769" s="40" t="s">
        <v>82</v>
      </c>
      <c r="K1769" s="40" t="s">
        <v>82</v>
      </c>
      <c r="L1769" s="40" t="s">
        <v>97</v>
      </c>
    </row>
    <row r="1770" spans="1:12" x14ac:dyDescent="0.25">
      <c r="A1770" s="40" t="s">
        <v>23</v>
      </c>
      <c r="B1770" s="40" t="s">
        <v>2462</v>
      </c>
      <c r="C1770" s="40" t="s">
        <v>3093</v>
      </c>
      <c r="D1770" s="40" t="s">
        <v>2233</v>
      </c>
      <c r="E1770" s="40" t="s">
        <v>2233</v>
      </c>
      <c r="F1770" s="40">
        <v>1</v>
      </c>
      <c r="G1770" s="40"/>
      <c r="H1770" s="40" t="s">
        <v>97</v>
      </c>
      <c r="I1770" s="40"/>
      <c r="J1770" s="40" t="s">
        <v>82</v>
      </c>
      <c r="K1770" s="40" t="s">
        <v>82</v>
      </c>
      <c r="L1770" s="40" t="s">
        <v>97</v>
      </c>
    </row>
    <row r="1771" spans="1:12" x14ac:dyDescent="0.25">
      <c r="A1771" s="40" t="s">
        <v>23</v>
      </c>
      <c r="B1771" s="40" t="s">
        <v>2279</v>
      </c>
      <c r="C1771" s="40" t="s">
        <v>3094</v>
      </c>
      <c r="D1771" s="40" t="s">
        <v>2233</v>
      </c>
      <c r="E1771" s="40" t="s">
        <v>2233</v>
      </c>
      <c r="F1771" s="40">
        <v>1</v>
      </c>
      <c r="G1771" s="40"/>
      <c r="H1771" s="40" t="s">
        <v>2234</v>
      </c>
      <c r="I1771" s="40"/>
      <c r="J1771" s="40" t="s">
        <v>195</v>
      </c>
      <c r="K1771" s="40" t="s">
        <v>195</v>
      </c>
      <c r="L1771" s="40" t="s">
        <v>97</v>
      </c>
    </row>
    <row r="1772" spans="1:12" x14ac:dyDescent="0.25">
      <c r="A1772" s="40" t="s">
        <v>36</v>
      </c>
      <c r="B1772" s="40" t="s">
        <v>2298</v>
      </c>
      <c r="C1772" s="40" t="s">
        <v>3095</v>
      </c>
      <c r="D1772" s="40" t="s">
        <v>3096</v>
      </c>
      <c r="E1772" s="40" t="s">
        <v>3096</v>
      </c>
      <c r="F1772" s="40">
        <v>1</v>
      </c>
      <c r="G1772" s="40"/>
      <c r="H1772" s="40" t="s">
        <v>2234</v>
      </c>
      <c r="I1772" s="40"/>
      <c r="J1772" s="40" t="s">
        <v>97</v>
      </c>
      <c r="K1772" s="40" t="s">
        <v>97</v>
      </c>
      <c r="L1772" s="40" t="s">
        <v>97</v>
      </c>
    </row>
    <row r="1773" spans="1:12" x14ac:dyDescent="0.25">
      <c r="A1773" s="40" t="s">
        <v>36</v>
      </c>
      <c r="B1773" s="40" t="s">
        <v>491</v>
      </c>
      <c r="C1773" s="40" t="s">
        <v>3097</v>
      </c>
      <c r="D1773" s="40" t="s">
        <v>2233</v>
      </c>
      <c r="E1773" s="40" t="s">
        <v>2233</v>
      </c>
      <c r="F1773" s="40">
        <v>1</v>
      </c>
      <c r="G1773" s="40"/>
      <c r="H1773" s="40" t="s">
        <v>2234</v>
      </c>
      <c r="I1773" s="40"/>
      <c r="J1773" s="40" t="s">
        <v>97</v>
      </c>
      <c r="K1773" s="40" t="s">
        <v>97</v>
      </c>
      <c r="L1773" s="40" t="s">
        <v>97</v>
      </c>
    </row>
    <row r="1774" spans="1:12" x14ac:dyDescent="0.25">
      <c r="A1774" s="40" t="s">
        <v>36</v>
      </c>
      <c r="B1774" s="40" t="s">
        <v>1304</v>
      </c>
      <c r="C1774" s="40" t="s">
        <v>3098</v>
      </c>
      <c r="D1774" s="40" t="s">
        <v>2992</v>
      </c>
      <c r="E1774" s="40" t="s">
        <v>2992</v>
      </c>
      <c r="F1774" s="40">
        <v>1</v>
      </c>
      <c r="G1774" s="40"/>
      <c r="H1774" s="40" t="s">
        <v>2234</v>
      </c>
      <c r="I1774" s="40"/>
      <c r="J1774" s="40" t="s">
        <v>97</v>
      </c>
      <c r="K1774" s="40" t="s">
        <v>97</v>
      </c>
      <c r="L1774" s="40" t="s">
        <v>97</v>
      </c>
    </row>
    <row r="1775" spans="1:12" x14ac:dyDescent="0.25">
      <c r="A1775" s="40" t="s">
        <v>36</v>
      </c>
      <c r="B1775" s="40" t="s">
        <v>1307</v>
      </c>
      <c r="C1775" s="40" t="s">
        <v>3099</v>
      </c>
      <c r="D1775" s="40" t="s">
        <v>535</v>
      </c>
      <c r="E1775" s="40" t="s">
        <v>535</v>
      </c>
      <c r="F1775" s="40">
        <v>1</v>
      </c>
      <c r="G1775" s="40"/>
      <c r="H1775" s="40" t="s">
        <v>2234</v>
      </c>
      <c r="I1775" s="40"/>
      <c r="J1775" s="40" t="s">
        <v>97</v>
      </c>
      <c r="K1775" s="40" t="s">
        <v>97</v>
      </c>
      <c r="L1775" s="40" t="s">
        <v>97</v>
      </c>
    </row>
    <row r="1776" spans="1:12" x14ac:dyDescent="0.25">
      <c r="A1776" s="40" t="s">
        <v>36</v>
      </c>
      <c r="B1776" s="40" t="s">
        <v>1309</v>
      </c>
      <c r="C1776" s="40" t="s">
        <v>3100</v>
      </c>
      <c r="D1776" s="40" t="s">
        <v>3101</v>
      </c>
      <c r="E1776" s="40" t="s">
        <v>3101</v>
      </c>
      <c r="F1776" s="40">
        <v>1</v>
      </c>
      <c r="G1776" s="40"/>
      <c r="H1776" s="40" t="s">
        <v>2234</v>
      </c>
      <c r="I1776" s="40"/>
      <c r="J1776" s="40" t="s">
        <v>97</v>
      </c>
      <c r="K1776" s="40" t="s">
        <v>97</v>
      </c>
      <c r="L1776" s="40" t="s">
        <v>97</v>
      </c>
    </row>
    <row r="1777" spans="1:12" x14ac:dyDescent="0.25">
      <c r="A1777" s="40" t="s">
        <v>36</v>
      </c>
      <c r="B1777" s="40" t="s">
        <v>498</v>
      </c>
      <c r="C1777" s="40" t="s">
        <v>3102</v>
      </c>
      <c r="D1777" s="40" t="s">
        <v>2992</v>
      </c>
      <c r="E1777" s="40" t="s">
        <v>2992</v>
      </c>
      <c r="F1777" s="40">
        <v>1</v>
      </c>
      <c r="G1777" s="40"/>
      <c r="H1777" s="40" t="s">
        <v>2234</v>
      </c>
      <c r="I1777" s="40"/>
      <c r="J1777" s="40" t="s">
        <v>97</v>
      </c>
      <c r="K1777" s="40" t="s">
        <v>97</v>
      </c>
      <c r="L1777" s="40" t="s">
        <v>97</v>
      </c>
    </row>
    <row r="1778" spans="1:12" x14ac:dyDescent="0.25">
      <c r="A1778" s="40" t="s">
        <v>36</v>
      </c>
      <c r="B1778" s="40" t="s">
        <v>500</v>
      </c>
      <c r="C1778" s="40" t="s">
        <v>3103</v>
      </c>
      <c r="D1778" s="40" t="s">
        <v>535</v>
      </c>
      <c r="E1778" s="40" t="s">
        <v>535</v>
      </c>
      <c r="F1778" s="40">
        <v>1</v>
      </c>
      <c r="G1778" s="40"/>
      <c r="H1778" s="40" t="s">
        <v>2234</v>
      </c>
      <c r="I1778" s="40"/>
      <c r="J1778" s="40" t="s">
        <v>97</v>
      </c>
      <c r="K1778" s="40" t="s">
        <v>97</v>
      </c>
      <c r="L1778" s="40" t="s">
        <v>97</v>
      </c>
    </row>
    <row r="1779" spans="1:12" x14ac:dyDescent="0.25">
      <c r="A1779" s="40" t="s">
        <v>36</v>
      </c>
      <c r="B1779" s="40" t="s">
        <v>2239</v>
      </c>
      <c r="C1779" s="40" t="s">
        <v>3104</v>
      </c>
      <c r="D1779" s="40" t="s">
        <v>3101</v>
      </c>
      <c r="E1779" s="40" t="s">
        <v>3101</v>
      </c>
      <c r="F1779" s="40">
        <v>1</v>
      </c>
      <c r="G1779" s="40"/>
      <c r="H1779" s="40" t="s">
        <v>2234</v>
      </c>
      <c r="I1779" s="40"/>
      <c r="J1779" s="40" t="s">
        <v>97</v>
      </c>
      <c r="K1779" s="40" t="s">
        <v>97</v>
      </c>
      <c r="L1779" s="40" t="s">
        <v>97</v>
      </c>
    </row>
    <row r="1780" spans="1:12" x14ac:dyDescent="0.25">
      <c r="A1780" s="40" t="s">
        <v>36</v>
      </c>
      <c r="B1780" s="40" t="s">
        <v>527</v>
      </c>
      <c r="C1780" s="40" t="s">
        <v>3105</v>
      </c>
      <c r="D1780" s="40" t="s">
        <v>2233</v>
      </c>
      <c r="E1780" s="40" t="s">
        <v>2233</v>
      </c>
      <c r="F1780" s="40">
        <v>1</v>
      </c>
      <c r="G1780" s="40"/>
      <c r="H1780" s="40" t="s">
        <v>2234</v>
      </c>
      <c r="I1780" s="40"/>
      <c r="J1780" s="40" t="s">
        <v>97</v>
      </c>
      <c r="K1780" s="40" t="s">
        <v>97</v>
      </c>
      <c r="L1780" s="40" t="s">
        <v>97</v>
      </c>
    </row>
    <row r="1781" spans="1:12" x14ac:dyDescent="0.25">
      <c r="A1781" s="40" t="s">
        <v>36</v>
      </c>
      <c r="B1781" s="40" t="s">
        <v>529</v>
      </c>
      <c r="C1781" s="40" t="s">
        <v>3106</v>
      </c>
      <c r="D1781" s="40" t="s">
        <v>2233</v>
      </c>
      <c r="E1781" s="40" t="s">
        <v>2233</v>
      </c>
      <c r="F1781" s="40">
        <v>1</v>
      </c>
      <c r="G1781" s="40"/>
      <c r="H1781" s="40" t="s">
        <v>2234</v>
      </c>
      <c r="I1781" s="40"/>
      <c r="J1781" s="40" t="s">
        <v>97</v>
      </c>
      <c r="K1781" s="40" t="s">
        <v>97</v>
      </c>
      <c r="L1781" s="40" t="s">
        <v>97</v>
      </c>
    </row>
    <row r="1782" spans="1:12" x14ac:dyDescent="0.25">
      <c r="A1782" s="40" t="s">
        <v>36</v>
      </c>
      <c r="B1782" s="40" t="s">
        <v>531</v>
      </c>
      <c r="C1782" s="40" t="s">
        <v>3107</v>
      </c>
      <c r="D1782" s="40" t="s">
        <v>2233</v>
      </c>
      <c r="E1782" s="40" t="s">
        <v>2233</v>
      </c>
      <c r="F1782" s="40">
        <v>1</v>
      </c>
      <c r="G1782" s="40"/>
      <c r="H1782" s="40" t="s">
        <v>2234</v>
      </c>
      <c r="I1782" s="40"/>
      <c r="J1782" s="40" t="s">
        <v>97</v>
      </c>
      <c r="K1782" s="40" t="s">
        <v>97</v>
      </c>
      <c r="L1782" s="40" t="s">
        <v>97</v>
      </c>
    </row>
    <row r="1783" spans="1:12" x14ac:dyDescent="0.25">
      <c r="A1783" s="40" t="s">
        <v>36</v>
      </c>
      <c r="B1783" s="40" t="s">
        <v>535</v>
      </c>
      <c r="C1783" s="40" t="s">
        <v>3108</v>
      </c>
      <c r="D1783" s="40" t="s">
        <v>2233</v>
      </c>
      <c r="E1783" s="40" t="s">
        <v>2233</v>
      </c>
      <c r="F1783" s="40">
        <v>1</v>
      </c>
      <c r="G1783" s="40"/>
      <c r="H1783" s="40" t="s">
        <v>2234</v>
      </c>
      <c r="I1783" s="40"/>
      <c r="J1783" s="40" t="s">
        <v>97</v>
      </c>
      <c r="K1783" s="40" t="s">
        <v>97</v>
      </c>
      <c r="L1783" s="40" t="s">
        <v>97</v>
      </c>
    </row>
    <row r="1784" spans="1:12" x14ac:dyDescent="0.25">
      <c r="A1784" s="40" t="s">
        <v>36</v>
      </c>
      <c r="B1784" s="40" t="s">
        <v>540</v>
      </c>
      <c r="C1784" s="40" t="s">
        <v>3109</v>
      </c>
      <c r="D1784" s="40" t="s">
        <v>2233</v>
      </c>
      <c r="E1784" s="40" t="s">
        <v>2233</v>
      </c>
      <c r="F1784" s="40">
        <v>1</v>
      </c>
      <c r="G1784" s="40"/>
      <c r="H1784" s="40" t="s">
        <v>2234</v>
      </c>
      <c r="I1784" s="40"/>
      <c r="J1784" s="40" t="s">
        <v>97</v>
      </c>
      <c r="K1784" s="40" t="s">
        <v>97</v>
      </c>
      <c r="L1784" s="40" t="s">
        <v>97</v>
      </c>
    </row>
    <row r="1785" spans="1:12" x14ac:dyDescent="0.25">
      <c r="A1785" s="40" t="s">
        <v>36</v>
      </c>
      <c r="B1785" s="40" t="s">
        <v>544</v>
      </c>
      <c r="C1785" s="40" t="s">
        <v>3110</v>
      </c>
      <c r="D1785" s="40" t="s">
        <v>2233</v>
      </c>
      <c r="E1785" s="40" t="s">
        <v>2233</v>
      </c>
      <c r="F1785" s="40">
        <v>1</v>
      </c>
      <c r="G1785" s="40"/>
      <c r="H1785" s="40" t="s">
        <v>2234</v>
      </c>
      <c r="I1785" s="40"/>
      <c r="J1785" s="40" t="s">
        <v>97</v>
      </c>
      <c r="K1785" s="40" t="s">
        <v>97</v>
      </c>
      <c r="L1785" s="40" t="s">
        <v>97</v>
      </c>
    </row>
    <row r="1786" spans="1:12" x14ac:dyDescent="0.25">
      <c r="A1786" s="40" t="s">
        <v>36</v>
      </c>
      <c r="B1786" s="40" t="s">
        <v>1339</v>
      </c>
      <c r="C1786" s="40" t="s">
        <v>3111</v>
      </c>
      <c r="D1786" s="40" t="s">
        <v>2233</v>
      </c>
      <c r="E1786" s="40" t="s">
        <v>2233</v>
      </c>
      <c r="F1786" s="40">
        <v>1</v>
      </c>
      <c r="G1786" s="40"/>
      <c r="H1786" s="40" t="s">
        <v>2234</v>
      </c>
      <c r="I1786" s="40"/>
      <c r="J1786" s="40" t="s">
        <v>97</v>
      </c>
      <c r="K1786" s="40" t="s">
        <v>97</v>
      </c>
      <c r="L1786" s="40" t="s">
        <v>97</v>
      </c>
    </row>
    <row r="1787" spans="1:12" x14ac:dyDescent="0.25">
      <c r="A1787" s="40" t="s">
        <v>36</v>
      </c>
      <c r="B1787" s="40" t="s">
        <v>550</v>
      </c>
      <c r="C1787" s="40" t="s">
        <v>3112</v>
      </c>
      <c r="D1787" s="40" t="s">
        <v>2233</v>
      </c>
      <c r="E1787" s="40" t="s">
        <v>2233</v>
      </c>
      <c r="F1787" s="40">
        <v>1</v>
      </c>
      <c r="G1787" s="40"/>
      <c r="H1787" s="40" t="s">
        <v>2234</v>
      </c>
      <c r="I1787" s="40"/>
      <c r="J1787" s="40" t="s">
        <v>97</v>
      </c>
      <c r="K1787" s="40" t="s">
        <v>97</v>
      </c>
      <c r="L1787" s="40" t="s">
        <v>97</v>
      </c>
    </row>
    <row r="1788" spans="1:12" x14ac:dyDescent="0.25">
      <c r="A1788" s="40" t="s">
        <v>36</v>
      </c>
      <c r="B1788" s="40" t="s">
        <v>1345</v>
      </c>
      <c r="C1788" s="40" t="s">
        <v>3113</v>
      </c>
      <c r="D1788" s="40" t="s">
        <v>2233</v>
      </c>
      <c r="E1788" s="40" t="s">
        <v>2233</v>
      </c>
      <c r="F1788" s="40">
        <v>1</v>
      </c>
      <c r="G1788" s="40"/>
      <c r="H1788" s="40" t="s">
        <v>2234</v>
      </c>
      <c r="I1788" s="40"/>
      <c r="J1788" s="40" t="s">
        <v>97</v>
      </c>
      <c r="K1788" s="40" t="s">
        <v>97</v>
      </c>
      <c r="L1788" s="40" t="s">
        <v>97</v>
      </c>
    </row>
    <row r="1789" spans="1:12" x14ac:dyDescent="0.25">
      <c r="A1789" s="40" t="s">
        <v>36</v>
      </c>
      <c r="B1789" s="40" t="s">
        <v>1347</v>
      </c>
      <c r="C1789" s="40" t="s">
        <v>3114</v>
      </c>
      <c r="D1789" s="40" t="s">
        <v>2233</v>
      </c>
      <c r="E1789" s="40" t="s">
        <v>2233</v>
      </c>
      <c r="F1789" s="40">
        <v>1</v>
      </c>
      <c r="G1789" s="40"/>
      <c r="H1789" s="40" t="s">
        <v>2234</v>
      </c>
      <c r="I1789" s="40"/>
      <c r="J1789" s="40" t="s">
        <v>97</v>
      </c>
      <c r="K1789" s="40" t="s">
        <v>97</v>
      </c>
      <c r="L1789" s="40" t="s">
        <v>97</v>
      </c>
    </row>
    <row r="1790" spans="1:12" x14ac:dyDescent="0.25">
      <c r="A1790" s="40" t="s">
        <v>36</v>
      </c>
      <c r="B1790" s="40" t="s">
        <v>567</v>
      </c>
      <c r="C1790" s="40" t="s">
        <v>3115</v>
      </c>
      <c r="D1790" s="40" t="s">
        <v>2233</v>
      </c>
      <c r="E1790" s="40" t="s">
        <v>2233</v>
      </c>
      <c r="F1790" s="40">
        <v>1</v>
      </c>
      <c r="G1790" s="40"/>
      <c r="H1790" s="40" t="s">
        <v>2234</v>
      </c>
      <c r="I1790" s="40"/>
      <c r="J1790" s="40" t="s">
        <v>97</v>
      </c>
      <c r="K1790" s="40" t="s">
        <v>97</v>
      </c>
      <c r="L1790" s="40" t="s">
        <v>97</v>
      </c>
    </row>
    <row r="1791" spans="1:12" x14ac:dyDescent="0.25">
      <c r="A1791" s="40" t="s">
        <v>36</v>
      </c>
      <c r="B1791" s="40" t="s">
        <v>570</v>
      </c>
      <c r="C1791" s="40" t="s">
        <v>3116</v>
      </c>
      <c r="D1791" s="40" t="s">
        <v>2233</v>
      </c>
      <c r="E1791" s="40" t="s">
        <v>2233</v>
      </c>
      <c r="F1791" s="40">
        <v>1</v>
      </c>
      <c r="G1791" s="40"/>
      <c r="H1791" s="40" t="s">
        <v>2234</v>
      </c>
      <c r="I1791" s="40"/>
      <c r="J1791" s="40" t="s">
        <v>97</v>
      </c>
      <c r="K1791" s="40" t="s">
        <v>97</v>
      </c>
      <c r="L1791" s="40" t="s">
        <v>97</v>
      </c>
    </row>
    <row r="1792" spans="1:12" x14ac:dyDescent="0.25">
      <c r="A1792" s="40" t="s">
        <v>36</v>
      </c>
      <c r="B1792" s="40" t="s">
        <v>574</v>
      </c>
      <c r="C1792" s="40" t="s">
        <v>3117</v>
      </c>
      <c r="D1792" s="40" t="s">
        <v>2233</v>
      </c>
      <c r="E1792" s="40" t="s">
        <v>2233</v>
      </c>
      <c r="F1792" s="40">
        <v>1</v>
      </c>
      <c r="G1792" s="40"/>
      <c r="H1792" s="40" t="s">
        <v>2234</v>
      </c>
      <c r="I1792" s="40"/>
      <c r="J1792" s="40" t="s">
        <v>97</v>
      </c>
      <c r="K1792" s="40" t="s">
        <v>97</v>
      </c>
      <c r="L1792" s="40" t="s">
        <v>97</v>
      </c>
    </row>
    <row r="1793" spans="1:12" x14ac:dyDescent="0.25">
      <c r="A1793" s="40" t="s">
        <v>36</v>
      </c>
      <c r="B1793" s="40" t="s">
        <v>3118</v>
      </c>
      <c r="C1793" s="40" t="s">
        <v>3119</v>
      </c>
      <c r="D1793" s="40" t="s">
        <v>2233</v>
      </c>
      <c r="E1793" s="40" t="s">
        <v>2233</v>
      </c>
      <c r="F1793" s="40">
        <v>1</v>
      </c>
      <c r="G1793" s="40"/>
      <c r="H1793" s="40" t="s">
        <v>2234</v>
      </c>
      <c r="I1793" s="40"/>
      <c r="J1793" s="40" t="s">
        <v>97</v>
      </c>
      <c r="K1793" s="40" t="s">
        <v>97</v>
      </c>
      <c r="L1793" s="40" t="s">
        <v>97</v>
      </c>
    </row>
    <row r="1794" spans="1:12" x14ac:dyDescent="0.25">
      <c r="A1794" s="40" t="s">
        <v>36</v>
      </c>
      <c r="B1794" s="40" t="s">
        <v>3120</v>
      </c>
      <c r="C1794" s="40" t="s">
        <v>3121</v>
      </c>
      <c r="D1794" s="40" t="s">
        <v>2233</v>
      </c>
      <c r="E1794" s="40" t="s">
        <v>2233</v>
      </c>
      <c r="F1794" s="40">
        <v>1</v>
      </c>
      <c r="G1794" s="40"/>
      <c r="H1794" s="40" t="s">
        <v>2234</v>
      </c>
      <c r="I1794" s="40"/>
      <c r="J1794" s="40" t="s">
        <v>97</v>
      </c>
      <c r="K1794" s="40" t="s">
        <v>97</v>
      </c>
      <c r="L1794" s="40" t="s">
        <v>97</v>
      </c>
    </row>
    <row r="1795" spans="1:12" x14ac:dyDescent="0.25">
      <c r="A1795" s="40" t="s">
        <v>36</v>
      </c>
      <c r="B1795" s="40" t="s">
        <v>577</v>
      </c>
      <c r="C1795" s="40" t="s">
        <v>3122</v>
      </c>
      <c r="D1795" s="40" t="s">
        <v>2233</v>
      </c>
      <c r="E1795" s="40" t="s">
        <v>2233</v>
      </c>
      <c r="F1795" s="40">
        <v>1</v>
      </c>
      <c r="G1795" s="40"/>
      <c r="H1795" s="40" t="s">
        <v>2234</v>
      </c>
      <c r="I1795" s="40"/>
      <c r="J1795" s="40" t="s">
        <v>97</v>
      </c>
      <c r="K1795" s="40" t="s">
        <v>97</v>
      </c>
      <c r="L1795" s="40" t="s">
        <v>97</v>
      </c>
    </row>
    <row r="1796" spans="1:12" x14ac:dyDescent="0.25">
      <c r="A1796" s="40" t="s">
        <v>36</v>
      </c>
      <c r="B1796" s="40" t="s">
        <v>588</v>
      </c>
      <c r="C1796" s="40" t="s">
        <v>3123</v>
      </c>
      <c r="D1796" s="40" t="s">
        <v>2233</v>
      </c>
      <c r="E1796" s="40" t="s">
        <v>2233</v>
      </c>
      <c r="F1796" s="40">
        <v>1</v>
      </c>
      <c r="G1796" s="40"/>
      <c r="H1796" s="40" t="s">
        <v>97</v>
      </c>
      <c r="I1796" s="40"/>
      <c r="J1796" s="40">
        <v>1</v>
      </c>
      <c r="K1796" s="40" t="s">
        <v>97</v>
      </c>
      <c r="L1796" s="40" t="s">
        <v>97</v>
      </c>
    </row>
    <row r="1797" spans="1:12" x14ac:dyDescent="0.25">
      <c r="A1797" s="40" t="s">
        <v>36</v>
      </c>
      <c r="B1797" s="40" t="s">
        <v>1353</v>
      </c>
      <c r="C1797" s="40" t="s">
        <v>3124</v>
      </c>
      <c r="D1797" s="40" t="s">
        <v>2233</v>
      </c>
      <c r="E1797" s="40" t="s">
        <v>2233</v>
      </c>
      <c r="F1797" s="40">
        <v>1</v>
      </c>
      <c r="G1797" s="40"/>
      <c r="H1797" s="40" t="s">
        <v>97</v>
      </c>
      <c r="I1797" s="40"/>
      <c r="J1797" s="40">
        <v>1</v>
      </c>
      <c r="K1797" s="40" t="s">
        <v>97</v>
      </c>
      <c r="L1797" s="40" t="s">
        <v>97</v>
      </c>
    </row>
    <row r="1798" spans="1:12" x14ac:dyDescent="0.25">
      <c r="A1798" s="40" t="s">
        <v>36</v>
      </c>
      <c r="B1798" s="40" t="s">
        <v>2331</v>
      </c>
      <c r="C1798" s="40" t="s">
        <v>3125</v>
      </c>
      <c r="D1798" s="40" t="s">
        <v>3126</v>
      </c>
      <c r="E1798" s="40" t="s">
        <v>3126</v>
      </c>
      <c r="F1798" s="40">
        <v>1</v>
      </c>
      <c r="G1798" s="40"/>
      <c r="H1798" s="40" t="s">
        <v>97</v>
      </c>
      <c r="I1798" s="40"/>
      <c r="J1798" s="40">
        <v>1</v>
      </c>
      <c r="K1798" s="40" t="s">
        <v>97</v>
      </c>
      <c r="L1798" s="40" t="s">
        <v>97</v>
      </c>
    </row>
    <row r="1799" spans="1:12" x14ac:dyDescent="0.25">
      <c r="A1799" s="40" t="s">
        <v>36</v>
      </c>
      <c r="B1799" s="40" t="s">
        <v>590</v>
      </c>
      <c r="C1799" s="40" t="s">
        <v>3127</v>
      </c>
      <c r="D1799" s="40" t="s">
        <v>577</v>
      </c>
      <c r="E1799" s="40" t="s">
        <v>577</v>
      </c>
      <c r="F1799" s="40">
        <v>1</v>
      </c>
      <c r="G1799" s="40"/>
      <c r="H1799" s="40" t="s">
        <v>97</v>
      </c>
      <c r="I1799" s="40"/>
      <c r="J1799" s="40">
        <v>1</v>
      </c>
      <c r="K1799" s="40" t="s">
        <v>97</v>
      </c>
      <c r="L1799" s="40" t="s">
        <v>97</v>
      </c>
    </row>
    <row r="1800" spans="1:12" x14ac:dyDescent="0.25">
      <c r="A1800" s="40" t="s">
        <v>36</v>
      </c>
      <c r="B1800" s="40" t="s">
        <v>595</v>
      </c>
      <c r="C1800" s="40" t="s">
        <v>3128</v>
      </c>
      <c r="D1800" s="40" t="s">
        <v>2318</v>
      </c>
      <c r="E1800" s="40" t="s">
        <v>2318</v>
      </c>
      <c r="F1800" s="40">
        <v>1</v>
      </c>
      <c r="G1800" s="40"/>
      <c r="H1800" s="40" t="s">
        <v>97</v>
      </c>
      <c r="I1800" s="40"/>
      <c r="J1800" s="40">
        <v>2</v>
      </c>
      <c r="K1800" s="40" t="s">
        <v>97</v>
      </c>
      <c r="L1800" s="40" t="s">
        <v>97</v>
      </c>
    </row>
    <row r="1801" spans="1:12" x14ac:dyDescent="0.25">
      <c r="A1801" s="40" t="s">
        <v>36</v>
      </c>
      <c r="B1801" s="40" t="s">
        <v>598</v>
      </c>
      <c r="C1801" s="40" t="s">
        <v>3129</v>
      </c>
      <c r="D1801" s="40" t="s">
        <v>2233</v>
      </c>
      <c r="E1801" s="40" t="s">
        <v>2233</v>
      </c>
      <c r="F1801" s="40">
        <v>1</v>
      </c>
      <c r="G1801" s="40"/>
      <c r="H1801" s="40" t="s">
        <v>97</v>
      </c>
      <c r="I1801" s="40"/>
      <c r="J1801" s="40">
        <v>2</v>
      </c>
      <c r="K1801" s="40" t="s">
        <v>97</v>
      </c>
      <c r="L1801" s="40" t="s">
        <v>97</v>
      </c>
    </row>
    <row r="1802" spans="1:12" x14ac:dyDescent="0.25">
      <c r="A1802" s="40" t="s">
        <v>36</v>
      </c>
      <c r="B1802" s="40" t="s">
        <v>2266</v>
      </c>
      <c r="C1802" s="40" t="s">
        <v>3130</v>
      </c>
      <c r="D1802" s="40" t="s">
        <v>2233</v>
      </c>
      <c r="E1802" s="40" t="s">
        <v>2233</v>
      </c>
      <c r="F1802" s="40">
        <v>1</v>
      </c>
      <c r="G1802" s="40"/>
      <c r="H1802" s="40" t="s">
        <v>97</v>
      </c>
      <c r="I1802" s="40"/>
      <c r="J1802" s="40">
        <v>2</v>
      </c>
      <c r="K1802" s="40" t="s">
        <v>97</v>
      </c>
      <c r="L1802" s="40" t="s">
        <v>97</v>
      </c>
    </row>
    <row r="1803" spans="1:12" x14ac:dyDescent="0.25">
      <c r="A1803" s="40" t="s">
        <v>36</v>
      </c>
      <c r="B1803" s="40" t="s">
        <v>601</v>
      </c>
      <c r="C1803" s="40" t="s">
        <v>3131</v>
      </c>
      <c r="D1803" s="40" t="s">
        <v>2530</v>
      </c>
      <c r="E1803" s="40" t="s">
        <v>2530</v>
      </c>
      <c r="F1803" s="40">
        <v>1</v>
      </c>
      <c r="G1803" s="40"/>
      <c r="H1803" s="40" t="s">
        <v>97</v>
      </c>
      <c r="I1803" s="40"/>
      <c r="J1803" s="40">
        <v>2</v>
      </c>
      <c r="K1803" s="40" t="s">
        <v>97</v>
      </c>
      <c r="L1803" s="40" t="s">
        <v>97</v>
      </c>
    </row>
    <row r="1804" spans="1:12" x14ac:dyDescent="0.25">
      <c r="A1804" s="40" t="s">
        <v>36</v>
      </c>
      <c r="B1804" s="40" t="s">
        <v>2268</v>
      </c>
      <c r="C1804" s="40" t="s">
        <v>3132</v>
      </c>
      <c r="D1804" s="40" t="s">
        <v>2233</v>
      </c>
      <c r="E1804" s="40" t="s">
        <v>2233</v>
      </c>
      <c r="F1804" s="40">
        <v>1</v>
      </c>
      <c r="G1804" s="40"/>
      <c r="H1804" s="40" t="s">
        <v>97</v>
      </c>
      <c r="I1804" s="40"/>
      <c r="J1804" s="40">
        <v>2</v>
      </c>
      <c r="K1804" s="40" t="s">
        <v>97</v>
      </c>
      <c r="L1804" s="40" t="s">
        <v>97</v>
      </c>
    </row>
    <row r="1805" spans="1:12" x14ac:dyDescent="0.25">
      <c r="A1805" s="40" t="s">
        <v>36</v>
      </c>
      <c r="B1805" s="40" t="s">
        <v>2270</v>
      </c>
      <c r="C1805" s="40" t="s">
        <v>3133</v>
      </c>
      <c r="D1805" s="40" t="s">
        <v>2233</v>
      </c>
      <c r="E1805" s="40" t="s">
        <v>2233</v>
      </c>
      <c r="F1805" s="40">
        <v>1</v>
      </c>
      <c r="G1805" s="40"/>
      <c r="H1805" s="40" t="s">
        <v>97</v>
      </c>
      <c r="I1805" s="40"/>
      <c r="J1805" s="40">
        <v>2</v>
      </c>
      <c r="K1805" s="40" t="s">
        <v>97</v>
      </c>
      <c r="L1805" s="40" t="s">
        <v>97</v>
      </c>
    </row>
    <row r="1806" spans="1:12" x14ac:dyDescent="0.25">
      <c r="A1806" s="40" t="s">
        <v>36</v>
      </c>
      <c r="B1806" s="40" t="s">
        <v>2434</v>
      </c>
      <c r="C1806" s="40" t="s">
        <v>3134</v>
      </c>
      <c r="D1806" s="40" t="s">
        <v>2233</v>
      </c>
      <c r="E1806" s="40" t="s">
        <v>2233</v>
      </c>
      <c r="F1806" s="40">
        <v>1</v>
      </c>
      <c r="G1806" s="40"/>
      <c r="H1806" s="40" t="s">
        <v>97</v>
      </c>
      <c r="I1806" s="40"/>
      <c r="J1806" s="40">
        <v>3</v>
      </c>
      <c r="K1806" s="40" t="s">
        <v>97</v>
      </c>
      <c r="L1806" s="40" t="s">
        <v>97</v>
      </c>
    </row>
    <row r="1807" spans="1:12" x14ac:dyDescent="0.25">
      <c r="A1807" s="40" t="s">
        <v>36</v>
      </c>
      <c r="B1807" s="40" t="s">
        <v>2436</v>
      </c>
      <c r="C1807" s="40" t="s">
        <v>3135</v>
      </c>
      <c r="D1807" s="40" t="s">
        <v>2233</v>
      </c>
      <c r="E1807" s="40" t="s">
        <v>2233</v>
      </c>
      <c r="F1807" s="40">
        <v>1</v>
      </c>
      <c r="G1807" s="40"/>
      <c r="H1807" s="40" t="s">
        <v>97</v>
      </c>
      <c r="I1807" s="40"/>
      <c r="J1807" s="40">
        <v>3</v>
      </c>
      <c r="K1807" s="40" t="s">
        <v>97</v>
      </c>
      <c r="L1807" s="40" t="s">
        <v>97</v>
      </c>
    </row>
    <row r="1808" spans="1:12" x14ac:dyDescent="0.25">
      <c r="A1808" s="40" t="s">
        <v>36</v>
      </c>
      <c r="B1808" s="40" t="s">
        <v>610</v>
      </c>
      <c r="C1808" s="40" t="s">
        <v>3136</v>
      </c>
      <c r="D1808" s="40" t="s">
        <v>2233</v>
      </c>
      <c r="E1808" s="40" t="s">
        <v>2233</v>
      </c>
      <c r="F1808" s="40">
        <v>1</v>
      </c>
      <c r="G1808" s="40"/>
      <c r="H1808" s="40" t="s">
        <v>97</v>
      </c>
      <c r="I1808" s="40"/>
      <c r="J1808" s="40">
        <v>3</v>
      </c>
      <c r="K1808" s="40" t="s">
        <v>97</v>
      </c>
      <c r="L1808" s="40" t="s">
        <v>97</v>
      </c>
    </row>
    <row r="1809" spans="1:12" x14ac:dyDescent="0.25">
      <c r="A1809" s="40" t="s">
        <v>36</v>
      </c>
      <c r="B1809" s="40" t="s">
        <v>612</v>
      </c>
      <c r="C1809" s="40" t="s">
        <v>3137</v>
      </c>
      <c r="D1809" s="40" t="s">
        <v>2233</v>
      </c>
      <c r="E1809" s="40" t="s">
        <v>2233</v>
      </c>
      <c r="F1809" s="40">
        <v>1</v>
      </c>
      <c r="G1809" s="40"/>
      <c r="H1809" s="40" t="s">
        <v>97</v>
      </c>
      <c r="I1809" s="40"/>
      <c r="J1809" s="40">
        <v>3</v>
      </c>
      <c r="K1809" s="40" t="s">
        <v>97</v>
      </c>
      <c r="L1809" s="40" t="s">
        <v>97</v>
      </c>
    </row>
    <row r="1810" spans="1:12" x14ac:dyDescent="0.25">
      <c r="A1810" s="40" t="s">
        <v>36</v>
      </c>
      <c r="B1810" s="40" t="s">
        <v>620</v>
      </c>
      <c r="C1810" s="40" t="s">
        <v>3138</v>
      </c>
      <c r="D1810" s="40" t="s">
        <v>2233</v>
      </c>
      <c r="E1810" s="40" t="s">
        <v>2233</v>
      </c>
      <c r="F1810" s="40">
        <v>1</v>
      </c>
      <c r="G1810" s="40"/>
      <c r="H1810" s="40" t="s">
        <v>97</v>
      </c>
      <c r="I1810" s="40"/>
      <c r="J1810" s="40">
        <v>3</v>
      </c>
      <c r="K1810" s="40" t="s">
        <v>97</v>
      </c>
      <c r="L1810" s="40" t="s">
        <v>97</v>
      </c>
    </row>
    <row r="1811" spans="1:12" x14ac:dyDescent="0.25">
      <c r="A1811" s="40" t="s">
        <v>36</v>
      </c>
      <c r="B1811" s="40" t="s">
        <v>632</v>
      </c>
      <c r="C1811" s="40" t="s">
        <v>3139</v>
      </c>
      <c r="D1811" s="40" t="s">
        <v>2233</v>
      </c>
      <c r="E1811" s="40" t="s">
        <v>2233</v>
      </c>
      <c r="F1811" s="40">
        <v>1</v>
      </c>
      <c r="G1811" s="40"/>
      <c r="H1811" s="40" t="s">
        <v>97</v>
      </c>
      <c r="I1811" s="40"/>
      <c r="J1811" s="40">
        <v>3</v>
      </c>
      <c r="K1811" s="40" t="s">
        <v>97</v>
      </c>
      <c r="L1811" s="40" t="s">
        <v>97</v>
      </c>
    </row>
    <row r="1812" spans="1:12" x14ac:dyDescent="0.25">
      <c r="A1812" s="40" t="s">
        <v>36</v>
      </c>
      <c r="B1812" s="40" t="s">
        <v>634</v>
      </c>
      <c r="C1812" s="40" t="s">
        <v>3140</v>
      </c>
      <c r="D1812" s="40" t="s">
        <v>2233</v>
      </c>
      <c r="E1812" s="40" t="s">
        <v>2233</v>
      </c>
      <c r="F1812" s="40">
        <v>1</v>
      </c>
      <c r="G1812" s="40"/>
      <c r="H1812" s="40" t="s">
        <v>97</v>
      </c>
      <c r="I1812" s="40"/>
      <c r="J1812" s="40">
        <v>3</v>
      </c>
      <c r="K1812" s="40" t="s">
        <v>97</v>
      </c>
      <c r="L1812" s="40" t="s">
        <v>97</v>
      </c>
    </row>
    <row r="1813" spans="1:12" x14ac:dyDescent="0.25">
      <c r="A1813" s="40" t="s">
        <v>36</v>
      </c>
      <c r="B1813" s="40" t="s">
        <v>636</v>
      </c>
      <c r="C1813" s="40" t="s">
        <v>3141</v>
      </c>
      <c r="D1813" s="40" t="s">
        <v>2233</v>
      </c>
      <c r="E1813" s="40" t="s">
        <v>2233</v>
      </c>
      <c r="F1813" s="40">
        <v>1</v>
      </c>
      <c r="G1813" s="40"/>
      <c r="H1813" s="40" t="s">
        <v>97</v>
      </c>
      <c r="I1813" s="40"/>
      <c r="J1813" s="40">
        <v>3</v>
      </c>
      <c r="K1813" s="40" t="s">
        <v>97</v>
      </c>
      <c r="L1813" s="40" t="s">
        <v>97</v>
      </c>
    </row>
    <row r="1814" spans="1:12" x14ac:dyDescent="0.25">
      <c r="A1814" s="40" t="s">
        <v>36</v>
      </c>
      <c r="B1814" s="40" t="s">
        <v>638</v>
      </c>
      <c r="C1814" s="40" t="s">
        <v>3142</v>
      </c>
      <c r="D1814" s="40" t="s">
        <v>2233</v>
      </c>
      <c r="E1814" s="40" t="s">
        <v>2233</v>
      </c>
      <c r="F1814" s="40">
        <v>1</v>
      </c>
      <c r="G1814" s="40"/>
      <c r="H1814" s="40" t="s">
        <v>97</v>
      </c>
      <c r="I1814" s="40"/>
      <c r="J1814" s="40">
        <v>3</v>
      </c>
      <c r="K1814" s="40" t="s">
        <v>97</v>
      </c>
      <c r="L1814" s="40" t="s">
        <v>97</v>
      </c>
    </row>
    <row r="1815" spans="1:12" x14ac:dyDescent="0.25">
      <c r="A1815" s="40" t="s">
        <v>27</v>
      </c>
      <c r="B1815" s="40" t="s">
        <v>2233</v>
      </c>
      <c r="C1815" s="40" t="s">
        <v>3143</v>
      </c>
      <c r="D1815" s="40" t="s">
        <v>2233</v>
      </c>
      <c r="E1815" s="40" t="s">
        <v>2233</v>
      </c>
      <c r="F1815" s="40">
        <v>1</v>
      </c>
      <c r="G1815" s="40"/>
      <c r="H1815" s="40" t="s">
        <v>2234</v>
      </c>
      <c r="I1815" s="40"/>
      <c r="J1815" s="40" t="s">
        <v>97</v>
      </c>
      <c r="K1815" s="40" t="s">
        <v>97</v>
      </c>
      <c r="L1815" s="40" t="s">
        <v>97</v>
      </c>
    </row>
    <row r="1816" spans="1:12" x14ac:dyDescent="0.25">
      <c r="A1816" s="40" t="s">
        <v>27</v>
      </c>
      <c r="B1816" s="40" t="s">
        <v>2298</v>
      </c>
      <c r="C1816" s="40" t="s">
        <v>3144</v>
      </c>
      <c r="D1816" s="40" t="s">
        <v>3145</v>
      </c>
      <c r="E1816" s="40" t="s">
        <v>3146</v>
      </c>
      <c r="F1816" s="40">
        <v>0</v>
      </c>
      <c r="G1816" s="40"/>
      <c r="H1816" s="40" t="s">
        <v>2234</v>
      </c>
      <c r="I1816" s="40"/>
      <c r="J1816" s="40" t="s">
        <v>97</v>
      </c>
      <c r="K1816" s="40" t="s">
        <v>97</v>
      </c>
      <c r="L1816" s="40" t="s">
        <v>97</v>
      </c>
    </row>
    <row r="1817" spans="1:12" x14ac:dyDescent="0.25">
      <c r="A1817" s="40" t="s">
        <v>27</v>
      </c>
      <c r="B1817" s="40" t="s">
        <v>483</v>
      </c>
      <c r="C1817" s="40" t="s">
        <v>3147</v>
      </c>
      <c r="D1817" s="40" t="s">
        <v>1300</v>
      </c>
      <c r="E1817" s="40" t="s">
        <v>2233</v>
      </c>
      <c r="F1817" s="40">
        <v>1</v>
      </c>
      <c r="G1817" s="40"/>
      <c r="H1817" s="40" t="s">
        <v>2234</v>
      </c>
      <c r="I1817" s="40"/>
      <c r="J1817" s="40" t="s">
        <v>97</v>
      </c>
      <c r="K1817" s="40" t="s">
        <v>97</v>
      </c>
      <c r="L1817" s="40" t="s">
        <v>97</v>
      </c>
    </row>
    <row r="1818" spans="1:12" x14ac:dyDescent="0.25">
      <c r="A1818" s="40" t="s">
        <v>27</v>
      </c>
      <c r="B1818" s="40" t="s">
        <v>487</v>
      </c>
      <c r="C1818" s="40" t="s">
        <v>3148</v>
      </c>
      <c r="D1818" s="40" t="s">
        <v>3149</v>
      </c>
      <c r="E1818" s="40" t="s">
        <v>2233</v>
      </c>
      <c r="F1818" s="40">
        <v>1</v>
      </c>
      <c r="G1818" s="40"/>
      <c r="H1818" s="40" t="s">
        <v>2234</v>
      </c>
      <c r="I1818" s="40"/>
      <c r="J1818" s="40" t="s">
        <v>97</v>
      </c>
      <c r="K1818" s="40" t="s">
        <v>97</v>
      </c>
      <c r="L1818" s="40" t="s">
        <v>97</v>
      </c>
    </row>
    <row r="1819" spans="1:12" x14ac:dyDescent="0.25">
      <c r="A1819" s="40" t="s">
        <v>27</v>
      </c>
      <c r="B1819" s="40" t="s">
        <v>491</v>
      </c>
      <c r="C1819" s="40" t="s">
        <v>3150</v>
      </c>
      <c r="D1819" s="40" t="s">
        <v>2233</v>
      </c>
      <c r="E1819" s="40" t="s">
        <v>2233</v>
      </c>
      <c r="F1819" s="40">
        <v>1</v>
      </c>
      <c r="G1819" s="40"/>
      <c r="H1819" s="40" t="s">
        <v>2234</v>
      </c>
      <c r="I1819" s="40"/>
      <c r="J1819" s="40" t="s">
        <v>97</v>
      </c>
      <c r="K1819" s="40" t="s">
        <v>97</v>
      </c>
      <c r="L1819" s="40" t="s">
        <v>97</v>
      </c>
    </row>
    <row r="1820" spans="1:12" x14ac:dyDescent="0.25">
      <c r="A1820" s="40" t="s">
        <v>27</v>
      </c>
      <c r="B1820" s="40" t="s">
        <v>496</v>
      </c>
      <c r="C1820" s="40" t="s">
        <v>3151</v>
      </c>
      <c r="D1820" s="40" t="s">
        <v>3152</v>
      </c>
      <c r="E1820" s="40" t="s">
        <v>2233</v>
      </c>
      <c r="F1820" s="40">
        <v>0</v>
      </c>
      <c r="G1820" s="40"/>
      <c r="H1820" s="40" t="s">
        <v>2234</v>
      </c>
      <c r="I1820" s="40"/>
      <c r="J1820" s="40" t="s">
        <v>97</v>
      </c>
      <c r="K1820" s="40" t="s">
        <v>97</v>
      </c>
      <c r="L1820" s="40" t="s">
        <v>97</v>
      </c>
    </row>
    <row r="1821" spans="1:12" x14ac:dyDescent="0.25">
      <c r="A1821" s="40" t="s">
        <v>27</v>
      </c>
      <c r="B1821" s="40" t="s">
        <v>1297</v>
      </c>
      <c r="C1821" s="40" t="s">
        <v>3153</v>
      </c>
      <c r="D1821" s="40" t="s">
        <v>2499</v>
      </c>
      <c r="E1821" s="40" t="s">
        <v>2233</v>
      </c>
      <c r="F1821" s="40">
        <v>0</v>
      </c>
      <c r="G1821" s="40"/>
      <c r="H1821" s="40" t="s">
        <v>2234</v>
      </c>
      <c r="I1821" s="40"/>
      <c r="J1821" s="40" t="s">
        <v>97</v>
      </c>
      <c r="K1821" s="40" t="s">
        <v>97</v>
      </c>
      <c r="L1821" s="40" t="s">
        <v>97</v>
      </c>
    </row>
    <row r="1822" spans="1:12" x14ac:dyDescent="0.25">
      <c r="A1822" s="40" t="s">
        <v>27</v>
      </c>
      <c r="B1822" s="40" t="s">
        <v>502</v>
      </c>
      <c r="C1822" s="40" t="s">
        <v>3154</v>
      </c>
      <c r="D1822" s="40" t="s">
        <v>3155</v>
      </c>
      <c r="E1822" s="40" t="s">
        <v>2233</v>
      </c>
      <c r="F1822" s="40">
        <v>0</v>
      </c>
      <c r="G1822" s="40"/>
      <c r="H1822" s="40" t="s">
        <v>2234</v>
      </c>
      <c r="I1822" s="40"/>
      <c r="J1822" s="40" t="s">
        <v>97</v>
      </c>
      <c r="K1822" s="40" t="s">
        <v>97</v>
      </c>
      <c r="L1822" s="40" t="s">
        <v>97</v>
      </c>
    </row>
    <row r="1823" spans="1:12" x14ac:dyDescent="0.25">
      <c r="A1823" s="40" t="s">
        <v>27</v>
      </c>
      <c r="B1823" s="40" t="s">
        <v>506</v>
      </c>
      <c r="C1823" s="40" t="s">
        <v>3156</v>
      </c>
      <c r="D1823" s="40" t="s">
        <v>3157</v>
      </c>
      <c r="E1823" s="40" t="s">
        <v>2233</v>
      </c>
      <c r="F1823" s="40">
        <v>0</v>
      </c>
      <c r="G1823" s="40"/>
      <c r="H1823" s="40" t="s">
        <v>2234</v>
      </c>
      <c r="I1823" s="40"/>
      <c r="J1823" s="40" t="s">
        <v>97</v>
      </c>
      <c r="K1823" s="40" t="s">
        <v>97</v>
      </c>
      <c r="L1823" s="40" t="s">
        <v>97</v>
      </c>
    </row>
    <row r="1824" spans="1:12" x14ac:dyDescent="0.25">
      <c r="A1824" s="40" t="s">
        <v>27</v>
      </c>
      <c r="B1824" s="40" t="s">
        <v>510</v>
      </c>
      <c r="C1824" s="40" t="s">
        <v>3158</v>
      </c>
      <c r="D1824" s="40" t="s">
        <v>2233</v>
      </c>
      <c r="E1824" s="40" t="s">
        <v>2233</v>
      </c>
      <c r="F1824" s="40">
        <v>1</v>
      </c>
      <c r="G1824" s="40"/>
      <c r="H1824" s="40" t="s">
        <v>2234</v>
      </c>
      <c r="I1824" s="40"/>
      <c r="J1824" s="40" t="s">
        <v>97</v>
      </c>
      <c r="K1824" s="40" t="s">
        <v>97</v>
      </c>
      <c r="L1824" s="40" t="s">
        <v>97</v>
      </c>
    </row>
    <row r="1825" spans="1:12" x14ac:dyDescent="0.25">
      <c r="A1825" s="40" t="s">
        <v>27</v>
      </c>
      <c r="B1825" s="40" t="s">
        <v>514</v>
      </c>
      <c r="C1825" s="40" t="s">
        <v>3159</v>
      </c>
      <c r="D1825" s="40" t="s">
        <v>2233</v>
      </c>
      <c r="E1825" s="40" t="s">
        <v>2233</v>
      </c>
      <c r="F1825" s="40">
        <v>1</v>
      </c>
      <c r="G1825" s="40"/>
      <c r="H1825" s="40" t="s">
        <v>2234</v>
      </c>
      <c r="I1825" s="40"/>
      <c r="J1825" s="40" t="s">
        <v>97</v>
      </c>
      <c r="K1825" s="40" t="s">
        <v>97</v>
      </c>
      <c r="L1825" s="40" t="s">
        <v>97</v>
      </c>
    </row>
    <row r="1826" spans="1:12" x14ac:dyDescent="0.25">
      <c r="A1826" s="40" t="s">
        <v>27</v>
      </c>
      <c r="B1826" s="40" t="s">
        <v>518</v>
      </c>
      <c r="C1826" s="40" t="s">
        <v>3160</v>
      </c>
      <c r="D1826" s="40" t="s">
        <v>2233</v>
      </c>
      <c r="E1826" s="40" t="s">
        <v>2233</v>
      </c>
      <c r="F1826" s="40">
        <v>1</v>
      </c>
      <c r="G1826" s="40"/>
      <c r="H1826" s="40" t="s">
        <v>2234</v>
      </c>
      <c r="I1826" s="40"/>
      <c r="J1826" s="40" t="s">
        <v>97</v>
      </c>
      <c r="K1826" s="40" t="s">
        <v>97</v>
      </c>
      <c r="L1826" s="40" t="s">
        <v>97</v>
      </c>
    </row>
    <row r="1827" spans="1:12" x14ac:dyDescent="0.25">
      <c r="A1827" s="40" t="s">
        <v>27</v>
      </c>
      <c r="B1827" s="40" t="s">
        <v>521</v>
      </c>
      <c r="C1827" s="40" t="s">
        <v>3161</v>
      </c>
      <c r="D1827" s="40" t="s">
        <v>2233</v>
      </c>
      <c r="E1827" s="40" t="s">
        <v>2233</v>
      </c>
      <c r="F1827" s="40">
        <v>1</v>
      </c>
      <c r="G1827" s="40"/>
      <c r="H1827" s="40" t="s">
        <v>2234</v>
      </c>
      <c r="I1827" s="40"/>
      <c r="J1827" s="40" t="s">
        <v>97</v>
      </c>
      <c r="K1827" s="40" t="s">
        <v>97</v>
      </c>
      <c r="L1827" s="40" t="s">
        <v>97</v>
      </c>
    </row>
    <row r="1828" spans="1:12" x14ac:dyDescent="0.25">
      <c r="A1828" s="40" t="s">
        <v>27</v>
      </c>
      <c r="B1828" s="40" t="s">
        <v>527</v>
      </c>
      <c r="C1828" s="40" t="s">
        <v>3162</v>
      </c>
      <c r="D1828" s="40" t="s">
        <v>577</v>
      </c>
      <c r="E1828" s="40" t="s">
        <v>577</v>
      </c>
      <c r="F1828" s="40">
        <v>1</v>
      </c>
      <c r="G1828" s="40"/>
      <c r="H1828" s="40" t="s">
        <v>2234</v>
      </c>
      <c r="I1828" s="40"/>
      <c r="J1828" s="40" t="s">
        <v>97</v>
      </c>
      <c r="K1828" s="40" t="s">
        <v>97</v>
      </c>
      <c r="L1828" s="40" t="s">
        <v>97</v>
      </c>
    </row>
    <row r="1829" spans="1:12" x14ac:dyDescent="0.25">
      <c r="A1829" s="40" t="s">
        <v>27</v>
      </c>
      <c r="B1829" s="40" t="s">
        <v>529</v>
      </c>
      <c r="C1829" s="40" t="s">
        <v>3163</v>
      </c>
      <c r="D1829" s="40" t="s">
        <v>3164</v>
      </c>
      <c r="E1829" s="40" t="s">
        <v>3165</v>
      </c>
      <c r="F1829" s="40">
        <v>0</v>
      </c>
      <c r="G1829" s="40"/>
      <c r="H1829" s="40" t="s">
        <v>2234</v>
      </c>
      <c r="I1829" s="40"/>
      <c r="J1829" s="40" t="s">
        <v>97</v>
      </c>
      <c r="K1829" s="40" t="s">
        <v>97</v>
      </c>
      <c r="L1829" s="40" t="s">
        <v>97</v>
      </c>
    </row>
    <row r="1830" spans="1:12" x14ac:dyDescent="0.25">
      <c r="A1830" s="40" t="s">
        <v>27</v>
      </c>
      <c r="B1830" s="40" t="s">
        <v>531</v>
      </c>
      <c r="C1830" s="40" t="s">
        <v>3166</v>
      </c>
      <c r="D1830" s="40" t="s">
        <v>3167</v>
      </c>
      <c r="E1830" s="40" t="s">
        <v>2233</v>
      </c>
      <c r="F1830" s="40">
        <v>0</v>
      </c>
      <c r="G1830" s="40"/>
      <c r="H1830" s="40" t="s">
        <v>2234</v>
      </c>
      <c r="I1830" s="40"/>
      <c r="J1830" s="40" t="s">
        <v>97</v>
      </c>
      <c r="K1830" s="40" t="s">
        <v>97</v>
      </c>
      <c r="L1830" s="40" t="s">
        <v>97</v>
      </c>
    </row>
    <row r="1831" spans="1:12" x14ac:dyDescent="0.25">
      <c r="A1831" s="40" t="s">
        <v>27</v>
      </c>
      <c r="B1831" s="40" t="s">
        <v>533</v>
      </c>
      <c r="C1831" s="40" t="s">
        <v>3168</v>
      </c>
      <c r="D1831" s="40" t="s">
        <v>3169</v>
      </c>
      <c r="E1831" s="40" t="s">
        <v>2233</v>
      </c>
      <c r="F1831" s="40">
        <v>0</v>
      </c>
      <c r="G1831" s="40"/>
      <c r="H1831" s="40" t="s">
        <v>2234</v>
      </c>
      <c r="I1831" s="40"/>
      <c r="J1831" s="40" t="s">
        <v>97</v>
      </c>
      <c r="K1831" s="40" t="s">
        <v>97</v>
      </c>
      <c r="L1831" s="40" t="s">
        <v>97</v>
      </c>
    </row>
    <row r="1832" spans="1:12" x14ac:dyDescent="0.25">
      <c r="A1832" s="40" t="s">
        <v>27</v>
      </c>
      <c r="B1832" s="40" t="s">
        <v>535</v>
      </c>
      <c r="C1832" s="40" t="s">
        <v>3170</v>
      </c>
      <c r="D1832" s="40" t="s">
        <v>2233</v>
      </c>
      <c r="E1832" s="40" t="s">
        <v>2233</v>
      </c>
      <c r="F1832" s="40">
        <v>1</v>
      </c>
      <c r="G1832" s="40"/>
      <c r="H1832" s="40" t="s">
        <v>2234</v>
      </c>
      <c r="I1832" s="40"/>
      <c r="J1832" s="40" t="s">
        <v>97</v>
      </c>
      <c r="K1832" s="40" t="s">
        <v>97</v>
      </c>
      <c r="L1832" s="40" t="s">
        <v>97</v>
      </c>
    </row>
    <row r="1833" spans="1:12" x14ac:dyDescent="0.25">
      <c r="A1833" s="40" t="s">
        <v>27</v>
      </c>
      <c r="B1833" s="40" t="s">
        <v>537</v>
      </c>
      <c r="C1833" s="40" t="s">
        <v>3171</v>
      </c>
      <c r="D1833" s="40" t="s">
        <v>2233</v>
      </c>
      <c r="E1833" s="40" t="s">
        <v>2233</v>
      </c>
      <c r="F1833" s="40">
        <v>1</v>
      </c>
      <c r="G1833" s="40"/>
      <c r="H1833" s="40" t="s">
        <v>2234</v>
      </c>
      <c r="I1833" s="40"/>
      <c r="J1833" s="40" t="s">
        <v>97</v>
      </c>
      <c r="K1833" s="40" t="s">
        <v>97</v>
      </c>
      <c r="L1833" s="40" t="s">
        <v>97</v>
      </c>
    </row>
    <row r="1834" spans="1:12" x14ac:dyDescent="0.25">
      <c r="A1834" s="40" t="s">
        <v>27</v>
      </c>
      <c r="B1834" s="40" t="s">
        <v>540</v>
      </c>
      <c r="C1834" s="40" t="s">
        <v>3172</v>
      </c>
      <c r="D1834" s="40" t="s">
        <v>2233</v>
      </c>
      <c r="E1834" s="40" t="s">
        <v>2233</v>
      </c>
      <c r="F1834" s="40">
        <v>1</v>
      </c>
      <c r="G1834" s="40"/>
      <c r="H1834" s="40" t="s">
        <v>2234</v>
      </c>
      <c r="I1834" s="40"/>
      <c r="J1834" s="40" t="s">
        <v>97</v>
      </c>
      <c r="K1834" s="40" t="s">
        <v>97</v>
      </c>
      <c r="L1834" s="40" t="s">
        <v>97</v>
      </c>
    </row>
    <row r="1835" spans="1:12" x14ac:dyDescent="0.25">
      <c r="A1835" s="40" t="s">
        <v>27</v>
      </c>
      <c r="B1835" s="40" t="s">
        <v>542</v>
      </c>
      <c r="C1835" s="40" t="s">
        <v>3173</v>
      </c>
      <c r="D1835" s="40" t="s">
        <v>2233</v>
      </c>
      <c r="E1835" s="40" t="s">
        <v>2233</v>
      </c>
      <c r="F1835" s="40">
        <v>1</v>
      </c>
      <c r="G1835" s="40"/>
      <c r="H1835" s="40" t="s">
        <v>2234</v>
      </c>
      <c r="I1835" s="40"/>
      <c r="J1835" s="40" t="s">
        <v>97</v>
      </c>
      <c r="K1835" s="40" t="s">
        <v>97</v>
      </c>
      <c r="L1835" s="40" t="s">
        <v>97</v>
      </c>
    </row>
    <row r="1836" spans="1:12" x14ac:dyDescent="0.25">
      <c r="A1836" s="40" t="s">
        <v>27</v>
      </c>
      <c r="B1836" s="40" t="s">
        <v>544</v>
      </c>
      <c r="C1836" s="40" t="s">
        <v>3174</v>
      </c>
      <c r="D1836" s="40" t="s">
        <v>2233</v>
      </c>
      <c r="E1836" s="40" t="s">
        <v>2233</v>
      </c>
      <c r="F1836" s="40">
        <v>1</v>
      </c>
      <c r="G1836" s="40"/>
      <c r="H1836" s="40" t="s">
        <v>2234</v>
      </c>
      <c r="I1836" s="40"/>
      <c r="J1836" s="40" t="s">
        <v>97</v>
      </c>
      <c r="K1836" s="40" t="s">
        <v>97</v>
      </c>
      <c r="L1836" s="40" t="s">
        <v>97</v>
      </c>
    </row>
    <row r="1837" spans="1:12" x14ac:dyDescent="0.25">
      <c r="A1837" s="40" t="s">
        <v>27</v>
      </c>
      <c r="B1837" s="40" t="s">
        <v>1337</v>
      </c>
      <c r="C1837" s="40" t="s">
        <v>3175</v>
      </c>
      <c r="D1837" s="40" t="s">
        <v>2233</v>
      </c>
      <c r="E1837" s="40" t="s">
        <v>2233</v>
      </c>
      <c r="F1837" s="40">
        <v>1</v>
      </c>
      <c r="G1837" s="40"/>
      <c r="H1837" s="40" t="s">
        <v>2234</v>
      </c>
      <c r="I1837" s="40"/>
      <c r="J1837" s="40" t="s">
        <v>97</v>
      </c>
      <c r="K1837" s="40" t="s">
        <v>97</v>
      </c>
      <c r="L1837" s="40" t="s">
        <v>97</v>
      </c>
    </row>
    <row r="1838" spans="1:12" x14ac:dyDescent="0.25">
      <c r="A1838" s="40" t="s">
        <v>27</v>
      </c>
      <c r="B1838" s="40" t="s">
        <v>548</v>
      </c>
      <c r="C1838" s="40" t="s">
        <v>3176</v>
      </c>
      <c r="D1838" s="40" t="s">
        <v>2233</v>
      </c>
      <c r="E1838" s="40" t="s">
        <v>2233</v>
      </c>
      <c r="F1838" s="40">
        <v>1</v>
      </c>
      <c r="G1838" s="40"/>
      <c r="H1838" s="40" t="s">
        <v>2234</v>
      </c>
      <c r="I1838" s="40"/>
      <c r="J1838" s="40" t="s">
        <v>97</v>
      </c>
      <c r="K1838" s="40" t="s">
        <v>97</v>
      </c>
      <c r="L1838" s="40" t="s">
        <v>97</v>
      </c>
    </row>
    <row r="1839" spans="1:12" x14ac:dyDescent="0.25">
      <c r="A1839" s="40" t="s">
        <v>27</v>
      </c>
      <c r="B1839" s="40" t="s">
        <v>3177</v>
      </c>
      <c r="C1839" s="40" t="s">
        <v>3178</v>
      </c>
      <c r="D1839" s="40" t="s">
        <v>2233</v>
      </c>
      <c r="E1839" s="40" t="s">
        <v>2233</v>
      </c>
      <c r="F1839" s="40">
        <v>1</v>
      </c>
      <c r="G1839" s="40"/>
      <c r="H1839" s="40" t="s">
        <v>2234</v>
      </c>
      <c r="I1839" s="40"/>
      <c r="J1839" s="40" t="s">
        <v>97</v>
      </c>
      <c r="K1839" s="40" t="s">
        <v>97</v>
      </c>
      <c r="L1839" s="40" t="s">
        <v>97</v>
      </c>
    </row>
    <row r="1840" spans="1:12" x14ac:dyDescent="0.25">
      <c r="A1840" s="40" t="s">
        <v>27</v>
      </c>
      <c r="B1840" s="40" t="s">
        <v>550</v>
      </c>
      <c r="C1840" s="40" t="s">
        <v>3179</v>
      </c>
      <c r="D1840" s="40" t="s">
        <v>3180</v>
      </c>
      <c r="E1840" s="40" t="s">
        <v>3181</v>
      </c>
      <c r="F1840" s="40">
        <v>0</v>
      </c>
      <c r="G1840" s="40"/>
      <c r="H1840" s="40" t="s">
        <v>2234</v>
      </c>
      <c r="I1840" s="40"/>
      <c r="J1840" s="40" t="s">
        <v>97</v>
      </c>
      <c r="K1840" s="40" t="s">
        <v>97</v>
      </c>
      <c r="L1840" s="40" t="s">
        <v>97</v>
      </c>
    </row>
    <row r="1841" spans="1:12" x14ac:dyDescent="0.25">
      <c r="A1841" s="40" t="s">
        <v>27</v>
      </c>
      <c r="B1841" s="40" t="s">
        <v>553</v>
      </c>
      <c r="C1841" s="40" t="s">
        <v>3182</v>
      </c>
      <c r="D1841" s="40" t="s">
        <v>2233</v>
      </c>
      <c r="E1841" s="40" t="s">
        <v>2233</v>
      </c>
      <c r="F1841" s="40">
        <v>1</v>
      </c>
      <c r="G1841" s="40"/>
      <c r="H1841" s="40" t="s">
        <v>2234</v>
      </c>
      <c r="I1841" s="40"/>
      <c r="J1841" s="40" t="s">
        <v>97</v>
      </c>
      <c r="K1841" s="40" t="s">
        <v>97</v>
      </c>
      <c r="L1841" s="40" t="s">
        <v>97</v>
      </c>
    </row>
    <row r="1842" spans="1:12" x14ac:dyDescent="0.25">
      <c r="A1842" s="40" t="s">
        <v>27</v>
      </c>
      <c r="B1842" s="40" t="s">
        <v>555</v>
      </c>
      <c r="C1842" s="40" t="s">
        <v>3183</v>
      </c>
      <c r="D1842" s="40" t="s">
        <v>2233</v>
      </c>
      <c r="E1842" s="40" t="s">
        <v>2233</v>
      </c>
      <c r="F1842" s="40">
        <v>1</v>
      </c>
      <c r="G1842" s="40"/>
      <c r="H1842" s="40" t="s">
        <v>2234</v>
      </c>
      <c r="I1842" s="40"/>
      <c r="J1842" s="40" t="s">
        <v>97</v>
      </c>
      <c r="K1842" s="40" t="s">
        <v>97</v>
      </c>
      <c r="L1842" s="40" t="s">
        <v>97</v>
      </c>
    </row>
    <row r="1843" spans="1:12" x14ac:dyDescent="0.25">
      <c r="A1843" s="40" t="s">
        <v>27</v>
      </c>
      <c r="B1843" s="40" t="s">
        <v>558</v>
      </c>
      <c r="C1843" s="40" t="s">
        <v>3184</v>
      </c>
      <c r="D1843" s="40" t="s">
        <v>2233</v>
      </c>
      <c r="E1843" s="40" t="s">
        <v>2233</v>
      </c>
      <c r="F1843" s="40">
        <v>1</v>
      </c>
      <c r="G1843" s="40"/>
      <c r="H1843" s="40" t="s">
        <v>2234</v>
      </c>
      <c r="I1843" s="40"/>
      <c r="J1843" s="40" t="s">
        <v>97</v>
      </c>
      <c r="K1843" s="40" t="s">
        <v>97</v>
      </c>
      <c r="L1843" s="40" t="s">
        <v>97</v>
      </c>
    </row>
    <row r="1844" spans="1:12" x14ac:dyDescent="0.25">
      <c r="A1844" s="40" t="s">
        <v>27</v>
      </c>
      <c r="B1844" s="40" t="s">
        <v>1345</v>
      </c>
      <c r="C1844" s="40" t="s">
        <v>3185</v>
      </c>
      <c r="D1844" s="40" t="s">
        <v>2233</v>
      </c>
      <c r="E1844" s="40" t="s">
        <v>2233</v>
      </c>
      <c r="F1844" s="40">
        <v>1</v>
      </c>
      <c r="G1844" s="40"/>
      <c r="H1844" s="40" t="s">
        <v>2234</v>
      </c>
      <c r="I1844" s="40"/>
      <c r="J1844" s="40" t="s">
        <v>97</v>
      </c>
      <c r="K1844" s="40" t="s">
        <v>97</v>
      </c>
      <c r="L1844" s="40" t="s">
        <v>97</v>
      </c>
    </row>
    <row r="1845" spans="1:12" x14ac:dyDescent="0.25">
      <c r="A1845" s="40" t="s">
        <v>27</v>
      </c>
      <c r="B1845" s="40" t="s">
        <v>1347</v>
      </c>
      <c r="C1845" s="40" t="s">
        <v>3186</v>
      </c>
      <c r="D1845" s="40" t="s">
        <v>2233</v>
      </c>
      <c r="E1845" s="40" t="s">
        <v>2233</v>
      </c>
      <c r="F1845" s="40">
        <v>1</v>
      </c>
      <c r="G1845" s="40"/>
      <c r="H1845" s="40" t="s">
        <v>2234</v>
      </c>
      <c r="I1845" s="40"/>
      <c r="J1845" s="40" t="s">
        <v>97</v>
      </c>
      <c r="K1845" s="40" t="s">
        <v>97</v>
      </c>
      <c r="L1845" s="40" t="s">
        <v>97</v>
      </c>
    </row>
    <row r="1846" spans="1:12" x14ac:dyDescent="0.25">
      <c r="A1846" s="40" t="s">
        <v>27</v>
      </c>
      <c r="B1846" s="40" t="s">
        <v>577</v>
      </c>
      <c r="C1846" s="40" t="s">
        <v>3187</v>
      </c>
      <c r="D1846" s="40" t="s">
        <v>3188</v>
      </c>
      <c r="E1846" s="40" t="s">
        <v>3189</v>
      </c>
      <c r="F1846" s="40">
        <v>0</v>
      </c>
      <c r="G1846" s="40"/>
      <c r="H1846" s="40" t="s">
        <v>2234</v>
      </c>
      <c r="I1846" s="40"/>
      <c r="J1846" s="40" t="s">
        <v>97</v>
      </c>
      <c r="K1846" s="40" t="s">
        <v>97</v>
      </c>
      <c r="L1846" s="40" t="s">
        <v>97</v>
      </c>
    </row>
    <row r="1847" spans="1:12" x14ac:dyDescent="0.25">
      <c r="A1847" s="40" t="s">
        <v>27</v>
      </c>
      <c r="B1847" s="40" t="s">
        <v>580</v>
      </c>
      <c r="C1847" s="40" t="s">
        <v>3190</v>
      </c>
      <c r="D1847" s="40" t="s">
        <v>3191</v>
      </c>
      <c r="E1847" s="40" t="s">
        <v>3189</v>
      </c>
      <c r="F1847" s="40">
        <v>0</v>
      </c>
      <c r="G1847" s="40"/>
      <c r="H1847" s="40" t="s">
        <v>2234</v>
      </c>
      <c r="I1847" s="40"/>
      <c r="J1847" s="40" t="s">
        <v>97</v>
      </c>
      <c r="K1847" s="40" t="s">
        <v>97</v>
      </c>
      <c r="L1847" s="40" t="s">
        <v>97</v>
      </c>
    </row>
    <row r="1848" spans="1:12" x14ac:dyDescent="0.25">
      <c r="A1848" s="40" t="s">
        <v>27</v>
      </c>
      <c r="B1848" s="40" t="s">
        <v>582</v>
      </c>
      <c r="C1848" s="40" t="s">
        <v>3192</v>
      </c>
      <c r="D1848" s="40" t="s">
        <v>3193</v>
      </c>
      <c r="E1848" s="40" t="s">
        <v>3189</v>
      </c>
      <c r="F1848" s="40">
        <v>0</v>
      </c>
      <c r="G1848" s="40"/>
      <c r="H1848" s="40" t="s">
        <v>2234</v>
      </c>
      <c r="I1848" s="40"/>
      <c r="J1848" s="40" t="s">
        <v>97</v>
      </c>
      <c r="K1848" s="40" t="s">
        <v>97</v>
      </c>
      <c r="L1848" s="40" t="s">
        <v>97</v>
      </c>
    </row>
    <row r="1849" spans="1:12" x14ac:dyDescent="0.25">
      <c r="A1849" s="40" t="s">
        <v>27</v>
      </c>
      <c r="B1849" s="40" t="s">
        <v>586</v>
      </c>
      <c r="C1849" s="40" t="s">
        <v>3194</v>
      </c>
      <c r="D1849" s="40" t="s">
        <v>3195</v>
      </c>
      <c r="E1849" s="40" t="s">
        <v>3189</v>
      </c>
      <c r="F1849" s="40">
        <v>0</v>
      </c>
      <c r="G1849" s="40"/>
      <c r="H1849" s="40" t="s">
        <v>2234</v>
      </c>
      <c r="I1849" s="40"/>
      <c r="J1849" s="40" t="s">
        <v>97</v>
      </c>
      <c r="K1849" s="40" t="s">
        <v>97</v>
      </c>
      <c r="L1849" s="40" t="s">
        <v>97</v>
      </c>
    </row>
    <row r="1850" spans="1:12" x14ac:dyDescent="0.25">
      <c r="A1850" s="40" t="s">
        <v>27</v>
      </c>
      <c r="B1850" s="40" t="s">
        <v>588</v>
      </c>
      <c r="C1850" s="40" t="s">
        <v>3196</v>
      </c>
      <c r="D1850" s="40" t="s">
        <v>3197</v>
      </c>
      <c r="E1850" s="40" t="s">
        <v>3189</v>
      </c>
      <c r="F1850" s="40">
        <v>0</v>
      </c>
      <c r="G1850" s="40"/>
      <c r="H1850" s="40" t="s">
        <v>2234</v>
      </c>
      <c r="I1850" s="40"/>
      <c r="J1850" s="40" t="s">
        <v>97</v>
      </c>
      <c r="K1850" s="40" t="s">
        <v>97</v>
      </c>
      <c r="L1850" s="40" t="s">
        <v>97</v>
      </c>
    </row>
    <row r="1851" spans="1:12" x14ac:dyDescent="0.25">
      <c r="A1851" s="40" t="s">
        <v>27</v>
      </c>
      <c r="B1851" s="40" t="s">
        <v>593</v>
      </c>
      <c r="C1851" s="40" t="s">
        <v>3198</v>
      </c>
      <c r="D1851" s="40" t="s">
        <v>3199</v>
      </c>
      <c r="E1851" s="40" t="s">
        <v>2233</v>
      </c>
      <c r="F1851" s="40">
        <v>0</v>
      </c>
      <c r="G1851" s="40"/>
      <c r="H1851" s="40" t="s">
        <v>2234</v>
      </c>
      <c r="I1851" s="40"/>
      <c r="J1851" s="40" t="s">
        <v>97</v>
      </c>
      <c r="K1851" s="40" t="s">
        <v>97</v>
      </c>
      <c r="L1851" s="40" t="s">
        <v>97</v>
      </c>
    </row>
    <row r="1852" spans="1:12" x14ac:dyDescent="0.25">
      <c r="A1852" s="40" t="s">
        <v>27</v>
      </c>
      <c r="B1852" s="40" t="s">
        <v>595</v>
      </c>
      <c r="C1852" s="40" t="s">
        <v>3200</v>
      </c>
      <c r="D1852" s="40" t="s">
        <v>2233</v>
      </c>
      <c r="E1852" s="40" t="s">
        <v>2233</v>
      </c>
      <c r="F1852" s="40">
        <v>1</v>
      </c>
      <c r="G1852" s="40"/>
      <c r="H1852" s="40" t="s">
        <v>2234</v>
      </c>
      <c r="I1852" s="40"/>
      <c r="J1852" s="40" t="s">
        <v>97</v>
      </c>
      <c r="K1852" s="40" t="s">
        <v>97</v>
      </c>
      <c r="L1852" s="40" t="s">
        <v>97</v>
      </c>
    </row>
    <row r="1853" spans="1:12" x14ac:dyDescent="0.25">
      <c r="A1853" s="40" t="s">
        <v>27</v>
      </c>
      <c r="B1853" s="40" t="s">
        <v>598</v>
      </c>
      <c r="C1853" s="40" t="s">
        <v>3201</v>
      </c>
      <c r="D1853" s="40" t="s">
        <v>2300</v>
      </c>
      <c r="E1853" s="40" t="s">
        <v>2233</v>
      </c>
      <c r="F1853" s="40">
        <v>0</v>
      </c>
      <c r="G1853" s="40"/>
      <c r="H1853" s="40" t="s">
        <v>2234</v>
      </c>
      <c r="I1853" s="40"/>
      <c r="J1853" s="40" t="s">
        <v>97</v>
      </c>
      <c r="K1853" s="40" t="s">
        <v>97</v>
      </c>
      <c r="L1853" s="40" t="s">
        <v>97</v>
      </c>
    </row>
    <row r="1854" spans="1:12" x14ac:dyDescent="0.25">
      <c r="A1854" s="40" t="s">
        <v>27</v>
      </c>
      <c r="B1854" s="40" t="s">
        <v>601</v>
      </c>
      <c r="C1854" s="40" t="s">
        <v>3202</v>
      </c>
      <c r="D1854" s="40" t="s">
        <v>2233</v>
      </c>
      <c r="E1854" s="40" t="s">
        <v>2233</v>
      </c>
      <c r="F1854" s="40">
        <v>1</v>
      </c>
      <c r="G1854" s="40"/>
      <c r="H1854" s="40" t="s">
        <v>2234</v>
      </c>
      <c r="I1854" s="40"/>
      <c r="J1854" s="40" t="s">
        <v>97</v>
      </c>
      <c r="K1854" s="40" t="s">
        <v>97</v>
      </c>
      <c r="L1854" s="40" t="s">
        <v>97</v>
      </c>
    </row>
    <row r="1855" spans="1:12" x14ac:dyDescent="0.25">
      <c r="A1855" s="40" t="s">
        <v>27</v>
      </c>
      <c r="B1855" s="40" t="s">
        <v>603</v>
      </c>
      <c r="C1855" s="40" t="s">
        <v>3203</v>
      </c>
      <c r="D1855" s="40" t="s">
        <v>2233</v>
      </c>
      <c r="E1855" s="40" t="s">
        <v>2233</v>
      </c>
      <c r="F1855" s="40">
        <v>1</v>
      </c>
      <c r="G1855" s="40"/>
      <c r="H1855" s="40" t="s">
        <v>2234</v>
      </c>
      <c r="I1855" s="40"/>
      <c r="J1855" s="40" t="s">
        <v>97</v>
      </c>
      <c r="K1855" s="40" t="s">
        <v>97</v>
      </c>
      <c r="L1855" s="40" t="s">
        <v>97</v>
      </c>
    </row>
    <row r="1856" spans="1:12" x14ac:dyDescent="0.25">
      <c r="A1856" s="40" t="s">
        <v>27</v>
      </c>
      <c r="B1856" s="40" t="s">
        <v>2268</v>
      </c>
      <c r="C1856" s="40" t="s">
        <v>3204</v>
      </c>
      <c r="D1856" s="40" t="s">
        <v>2233</v>
      </c>
      <c r="E1856" s="40" t="s">
        <v>2233</v>
      </c>
      <c r="F1856" s="40">
        <v>1</v>
      </c>
      <c r="G1856" s="40"/>
      <c r="H1856" s="40" t="s">
        <v>2234</v>
      </c>
      <c r="I1856" s="40"/>
      <c r="J1856" s="40" t="s">
        <v>97</v>
      </c>
      <c r="K1856" s="40" t="s">
        <v>97</v>
      </c>
      <c r="L1856" s="40" t="s">
        <v>97</v>
      </c>
    </row>
    <row r="1857" spans="1:12" x14ac:dyDescent="0.25">
      <c r="A1857" s="40" t="s">
        <v>27</v>
      </c>
      <c r="B1857" s="40" t="s">
        <v>2270</v>
      </c>
      <c r="C1857" s="40" t="s">
        <v>3205</v>
      </c>
      <c r="D1857" s="40" t="s">
        <v>2233</v>
      </c>
      <c r="E1857" s="40" t="s">
        <v>2233</v>
      </c>
      <c r="F1857" s="40">
        <v>1</v>
      </c>
      <c r="G1857" s="40"/>
      <c r="H1857" s="40" t="s">
        <v>2234</v>
      </c>
      <c r="I1857" s="40"/>
      <c r="J1857" s="40" t="s">
        <v>97</v>
      </c>
      <c r="K1857" s="40" t="s">
        <v>97</v>
      </c>
      <c r="L1857" s="40" t="s">
        <v>97</v>
      </c>
    </row>
    <row r="1858" spans="1:12" x14ac:dyDescent="0.25">
      <c r="A1858" s="40" t="s">
        <v>27</v>
      </c>
      <c r="B1858" s="40" t="s">
        <v>2434</v>
      </c>
      <c r="C1858" s="40" t="s">
        <v>3206</v>
      </c>
      <c r="D1858" s="40" t="s">
        <v>3207</v>
      </c>
      <c r="E1858" s="40" t="s">
        <v>3208</v>
      </c>
      <c r="F1858" s="40">
        <v>0</v>
      </c>
      <c r="G1858" s="40"/>
      <c r="H1858" s="40" t="s">
        <v>2234</v>
      </c>
      <c r="I1858" s="40"/>
      <c r="J1858" s="40" t="s">
        <v>97</v>
      </c>
      <c r="K1858" s="40" t="s">
        <v>97</v>
      </c>
      <c r="L1858" s="40" t="s">
        <v>97</v>
      </c>
    </row>
    <row r="1859" spans="1:12" x14ac:dyDescent="0.25">
      <c r="A1859" s="40" t="s">
        <v>27</v>
      </c>
      <c r="B1859" s="40" t="s">
        <v>2436</v>
      </c>
      <c r="C1859" s="40" t="s">
        <v>3209</v>
      </c>
      <c r="D1859" s="40" t="s">
        <v>3210</v>
      </c>
      <c r="E1859" s="40" t="s">
        <v>3211</v>
      </c>
      <c r="F1859" s="40">
        <v>0</v>
      </c>
      <c r="G1859" s="40"/>
      <c r="H1859" s="40" t="s">
        <v>2234</v>
      </c>
      <c r="I1859" s="40"/>
      <c r="J1859" s="40" t="s">
        <v>97</v>
      </c>
      <c r="K1859" s="40" t="s">
        <v>97</v>
      </c>
      <c r="L1859" s="40" t="s">
        <v>97</v>
      </c>
    </row>
    <row r="1860" spans="1:12" x14ac:dyDescent="0.25">
      <c r="A1860" s="40" t="s">
        <v>27</v>
      </c>
      <c r="B1860" s="40" t="s">
        <v>632</v>
      </c>
      <c r="C1860" s="40" t="s">
        <v>3212</v>
      </c>
      <c r="D1860" s="40" t="s">
        <v>3096</v>
      </c>
      <c r="E1860" s="40" t="s">
        <v>3096</v>
      </c>
      <c r="F1860" s="40">
        <v>1</v>
      </c>
      <c r="G1860" s="40"/>
      <c r="H1860" s="40" t="s">
        <v>2234</v>
      </c>
      <c r="I1860" s="40"/>
      <c r="J1860" s="40" t="s">
        <v>97</v>
      </c>
      <c r="K1860" s="40" t="s">
        <v>97</v>
      </c>
      <c r="L1860" s="40" t="s">
        <v>97</v>
      </c>
    </row>
    <row r="1861" spans="1:12" x14ac:dyDescent="0.25">
      <c r="A1861" s="40" t="s">
        <v>27</v>
      </c>
      <c r="B1861" s="40" t="s">
        <v>634</v>
      </c>
      <c r="C1861" s="40" t="s">
        <v>3213</v>
      </c>
      <c r="D1861" s="40" t="s">
        <v>3096</v>
      </c>
      <c r="E1861" s="40" t="s">
        <v>3096</v>
      </c>
      <c r="F1861" s="40">
        <v>1</v>
      </c>
      <c r="G1861" s="40"/>
      <c r="H1861" s="40" t="s">
        <v>2234</v>
      </c>
      <c r="I1861" s="40"/>
      <c r="J1861" s="40" t="s">
        <v>97</v>
      </c>
      <c r="K1861" s="40" t="s">
        <v>97</v>
      </c>
      <c r="L1861" s="40" t="s">
        <v>97</v>
      </c>
    </row>
    <row r="1862" spans="1:12" x14ac:dyDescent="0.25">
      <c r="A1862" s="40" t="s">
        <v>27</v>
      </c>
      <c r="B1862" s="40" t="s">
        <v>636</v>
      </c>
      <c r="C1862" s="40" t="s">
        <v>3214</v>
      </c>
      <c r="D1862" s="40" t="s">
        <v>3096</v>
      </c>
      <c r="E1862" s="40" t="s">
        <v>3096</v>
      </c>
      <c r="F1862" s="40">
        <v>1</v>
      </c>
      <c r="G1862" s="40"/>
      <c r="H1862" s="40" t="s">
        <v>2234</v>
      </c>
      <c r="I1862" s="40"/>
      <c r="J1862" s="40" t="s">
        <v>97</v>
      </c>
      <c r="K1862" s="40" t="s">
        <v>97</v>
      </c>
      <c r="L1862" s="40" t="s">
        <v>97</v>
      </c>
    </row>
    <row r="1863" spans="1:12" x14ac:dyDescent="0.25">
      <c r="A1863" s="40" t="s">
        <v>27</v>
      </c>
      <c r="B1863" s="40" t="s">
        <v>638</v>
      </c>
      <c r="C1863" s="40" t="s">
        <v>3215</v>
      </c>
      <c r="D1863" s="40" t="s">
        <v>3096</v>
      </c>
      <c r="E1863" s="40" t="s">
        <v>3096</v>
      </c>
      <c r="F1863" s="40">
        <v>1</v>
      </c>
      <c r="G1863" s="40"/>
      <c r="H1863" s="40" t="s">
        <v>2234</v>
      </c>
      <c r="I1863" s="40"/>
      <c r="J1863" s="40" t="s">
        <v>97</v>
      </c>
      <c r="K1863" s="40" t="s">
        <v>97</v>
      </c>
      <c r="L1863" s="40" t="s">
        <v>97</v>
      </c>
    </row>
    <row r="1864" spans="1:12" x14ac:dyDescent="0.25">
      <c r="A1864" s="40" t="s">
        <v>27</v>
      </c>
      <c r="B1864" s="40" t="s">
        <v>676</v>
      </c>
      <c r="C1864" s="40" t="s">
        <v>3216</v>
      </c>
      <c r="D1864" s="40" t="s">
        <v>2233</v>
      </c>
      <c r="E1864" s="40" t="s">
        <v>2233</v>
      </c>
      <c r="F1864" s="40">
        <v>1</v>
      </c>
      <c r="G1864" s="40"/>
      <c r="H1864" s="40" t="s">
        <v>2234</v>
      </c>
      <c r="I1864" s="40"/>
      <c r="J1864" s="40" t="s">
        <v>97</v>
      </c>
      <c r="K1864" s="40" t="s">
        <v>97</v>
      </c>
      <c r="L1864" s="40" t="s">
        <v>97</v>
      </c>
    </row>
    <row r="1865" spans="1:12" x14ac:dyDescent="0.25">
      <c r="A1865" s="40" t="s">
        <v>27</v>
      </c>
      <c r="B1865" s="40" t="s">
        <v>2538</v>
      </c>
      <c r="C1865" s="40" t="s">
        <v>3217</v>
      </c>
      <c r="D1865" s="40" t="s">
        <v>2233</v>
      </c>
      <c r="E1865" s="40" t="s">
        <v>2233</v>
      </c>
      <c r="F1865" s="40">
        <v>1</v>
      </c>
      <c r="G1865" s="40"/>
      <c r="H1865" s="40" t="s">
        <v>2234</v>
      </c>
      <c r="I1865" s="40"/>
      <c r="J1865" s="40" t="s">
        <v>97</v>
      </c>
      <c r="K1865" s="40" t="s">
        <v>97</v>
      </c>
      <c r="L1865" s="40" t="s">
        <v>97</v>
      </c>
    </row>
    <row r="1866" spans="1:12" x14ac:dyDescent="0.25">
      <c r="A1866" s="40" t="s">
        <v>27</v>
      </c>
      <c r="B1866" s="40" t="s">
        <v>2540</v>
      </c>
      <c r="C1866" s="40" t="s">
        <v>3218</v>
      </c>
      <c r="D1866" s="40" t="s">
        <v>2233</v>
      </c>
      <c r="E1866" s="40" t="s">
        <v>2233</v>
      </c>
      <c r="F1866" s="40">
        <v>1</v>
      </c>
      <c r="G1866" s="40"/>
      <c r="H1866" s="40" t="s">
        <v>2234</v>
      </c>
      <c r="I1866" s="40"/>
      <c r="J1866" s="40" t="s">
        <v>97</v>
      </c>
      <c r="K1866" s="40" t="s">
        <v>97</v>
      </c>
      <c r="L1866" s="40" t="s">
        <v>97</v>
      </c>
    </row>
    <row r="1867" spans="1:12" x14ac:dyDescent="0.25">
      <c r="A1867" s="40" t="s">
        <v>27</v>
      </c>
      <c r="B1867" s="40" t="s">
        <v>2543</v>
      </c>
      <c r="C1867" s="40" t="s">
        <v>3219</v>
      </c>
      <c r="D1867" s="40" t="s">
        <v>3101</v>
      </c>
      <c r="E1867" s="40" t="s">
        <v>2233</v>
      </c>
      <c r="F1867" s="40">
        <v>0</v>
      </c>
      <c r="G1867" s="40"/>
      <c r="H1867" s="40" t="s">
        <v>2234</v>
      </c>
      <c r="I1867" s="40"/>
      <c r="J1867" s="40" t="s">
        <v>97</v>
      </c>
      <c r="K1867" s="40" t="s">
        <v>97</v>
      </c>
      <c r="L1867" s="40" t="s">
        <v>97</v>
      </c>
    </row>
    <row r="1868" spans="1:12" x14ac:dyDescent="0.25">
      <c r="A1868" s="40" t="s">
        <v>27</v>
      </c>
      <c r="B1868" s="40" t="s">
        <v>2470</v>
      </c>
      <c r="C1868" s="40" t="s">
        <v>3220</v>
      </c>
      <c r="D1868" s="40" t="s">
        <v>2233</v>
      </c>
      <c r="E1868" s="40" t="s">
        <v>2233</v>
      </c>
      <c r="F1868" s="40">
        <v>1</v>
      </c>
      <c r="G1868" s="40"/>
      <c r="H1868" s="40" t="s">
        <v>2234</v>
      </c>
      <c r="I1868" s="40"/>
      <c r="J1868" s="40" t="s">
        <v>97</v>
      </c>
      <c r="K1868" s="40" t="s">
        <v>97</v>
      </c>
      <c r="L1868" s="40" t="s">
        <v>97</v>
      </c>
    </row>
    <row r="1869" spans="1:12" x14ac:dyDescent="0.25">
      <c r="A1869" s="40" t="s">
        <v>27</v>
      </c>
      <c r="B1869" s="40" t="s">
        <v>2475</v>
      </c>
      <c r="C1869" s="40" t="s">
        <v>3221</v>
      </c>
      <c r="D1869" s="40" t="s">
        <v>2233</v>
      </c>
      <c r="E1869" s="40" t="s">
        <v>2233</v>
      </c>
      <c r="F1869" s="40">
        <v>1</v>
      </c>
      <c r="G1869" s="40"/>
      <c r="H1869" s="40" t="s">
        <v>2234</v>
      </c>
      <c r="I1869" s="40"/>
      <c r="J1869" s="40" t="s">
        <v>97</v>
      </c>
      <c r="K1869" s="40" t="s">
        <v>97</v>
      </c>
      <c r="L1869" s="40" t="s">
        <v>97</v>
      </c>
    </row>
    <row r="1870" spans="1:12" x14ac:dyDescent="0.25">
      <c r="A1870" s="40" t="s">
        <v>27</v>
      </c>
      <c r="B1870" s="40" t="s">
        <v>686</v>
      </c>
      <c r="C1870" s="40" t="s">
        <v>3222</v>
      </c>
      <c r="D1870" s="40" t="s">
        <v>2233</v>
      </c>
      <c r="E1870" s="40" t="s">
        <v>2233</v>
      </c>
      <c r="F1870" s="40">
        <v>1</v>
      </c>
      <c r="G1870" s="40"/>
      <c r="H1870" s="40" t="s">
        <v>2234</v>
      </c>
      <c r="I1870" s="40"/>
      <c r="J1870" s="40" t="s">
        <v>97</v>
      </c>
      <c r="K1870" s="40" t="s">
        <v>97</v>
      </c>
      <c r="L1870" s="40" t="s">
        <v>97</v>
      </c>
    </row>
    <row r="1871" spans="1:12" x14ac:dyDescent="0.25">
      <c r="A1871" s="40" t="s">
        <v>27</v>
      </c>
      <c r="B1871" s="40" t="s">
        <v>689</v>
      </c>
      <c r="C1871" s="40" t="s">
        <v>3223</v>
      </c>
      <c r="D1871" s="40" t="s">
        <v>2233</v>
      </c>
      <c r="E1871" s="40" t="s">
        <v>2233</v>
      </c>
      <c r="F1871" s="40">
        <v>1</v>
      </c>
      <c r="G1871" s="40"/>
      <c r="H1871" s="40" t="s">
        <v>2234</v>
      </c>
      <c r="I1871" s="40"/>
      <c r="J1871" s="40" t="s">
        <v>97</v>
      </c>
      <c r="K1871" s="40" t="s">
        <v>97</v>
      </c>
      <c r="L1871" s="40" t="s">
        <v>97</v>
      </c>
    </row>
    <row r="1872" spans="1:12" x14ac:dyDescent="0.25">
      <c r="A1872" s="40" t="s">
        <v>27</v>
      </c>
      <c r="B1872" s="40" t="s">
        <v>697</v>
      </c>
      <c r="C1872" s="40" t="s">
        <v>3224</v>
      </c>
      <c r="D1872" s="40" t="s">
        <v>2233</v>
      </c>
      <c r="E1872" s="40" t="s">
        <v>2233</v>
      </c>
      <c r="F1872" s="40">
        <v>1</v>
      </c>
      <c r="G1872" s="40"/>
      <c r="H1872" s="40" t="s">
        <v>2234</v>
      </c>
      <c r="I1872" s="40"/>
      <c r="J1872" s="40" t="s">
        <v>97</v>
      </c>
      <c r="K1872" s="40" t="s">
        <v>97</v>
      </c>
      <c r="L1872" s="40" t="s">
        <v>97</v>
      </c>
    </row>
    <row r="1873" spans="1:12" x14ac:dyDescent="0.25">
      <c r="A1873" s="40" t="s">
        <v>27</v>
      </c>
      <c r="B1873" s="40" t="s">
        <v>2483</v>
      </c>
      <c r="C1873" s="40" t="s">
        <v>3225</v>
      </c>
      <c r="D1873" s="40" t="s">
        <v>2233</v>
      </c>
      <c r="E1873" s="40" t="s">
        <v>2233</v>
      </c>
      <c r="F1873" s="40">
        <v>1</v>
      </c>
      <c r="G1873" s="40"/>
      <c r="H1873" s="40" t="s">
        <v>2234</v>
      </c>
      <c r="I1873" s="40"/>
      <c r="J1873" s="40" t="s">
        <v>97</v>
      </c>
      <c r="K1873" s="40" t="s">
        <v>97</v>
      </c>
      <c r="L1873" s="40" t="s">
        <v>97</v>
      </c>
    </row>
    <row r="1874" spans="1:12" x14ac:dyDescent="0.25">
      <c r="A1874" s="40" t="s">
        <v>27</v>
      </c>
      <c r="B1874" s="40" t="s">
        <v>2485</v>
      </c>
      <c r="C1874" s="40" t="s">
        <v>3226</v>
      </c>
      <c r="D1874" s="40" t="s">
        <v>2233</v>
      </c>
      <c r="E1874" s="40" t="s">
        <v>2233</v>
      </c>
      <c r="F1874" s="40">
        <v>1</v>
      </c>
      <c r="G1874" s="40"/>
      <c r="H1874" s="40" t="s">
        <v>2234</v>
      </c>
      <c r="I1874" s="40"/>
      <c r="J1874" s="40" t="s">
        <v>97</v>
      </c>
      <c r="K1874" s="40" t="s">
        <v>97</v>
      </c>
      <c r="L1874" s="40" t="s">
        <v>97</v>
      </c>
    </row>
    <row r="1875" spans="1:12" x14ac:dyDescent="0.25">
      <c r="A1875" s="40" t="s">
        <v>27</v>
      </c>
      <c r="B1875" s="40" t="s">
        <v>2487</v>
      </c>
      <c r="C1875" s="40" t="s">
        <v>3227</v>
      </c>
      <c r="D1875" s="40" t="s">
        <v>2233</v>
      </c>
      <c r="E1875" s="40" t="s">
        <v>2233</v>
      </c>
      <c r="F1875" s="40">
        <v>1</v>
      </c>
      <c r="G1875" s="40"/>
      <c r="H1875" s="40" t="s">
        <v>2234</v>
      </c>
      <c r="I1875" s="40"/>
      <c r="J1875" s="40" t="s">
        <v>97</v>
      </c>
      <c r="K1875" s="40" t="s">
        <v>97</v>
      </c>
      <c r="L1875" s="40" t="s">
        <v>97</v>
      </c>
    </row>
    <row r="1876" spans="1:12" x14ac:dyDescent="0.25">
      <c r="A1876" s="40" t="s">
        <v>27</v>
      </c>
      <c r="B1876" s="40" t="s">
        <v>715</v>
      </c>
      <c r="C1876" s="40" t="s">
        <v>3228</v>
      </c>
      <c r="D1876" s="40" t="s">
        <v>2233</v>
      </c>
      <c r="E1876" s="40" t="s">
        <v>2233</v>
      </c>
      <c r="F1876" s="40">
        <v>1</v>
      </c>
      <c r="G1876" s="40"/>
      <c r="H1876" s="40" t="s">
        <v>2234</v>
      </c>
      <c r="I1876" s="40"/>
      <c r="J1876" s="40" t="s">
        <v>97</v>
      </c>
      <c r="K1876" s="40" t="s">
        <v>97</v>
      </c>
      <c r="L1876" s="40" t="s">
        <v>97</v>
      </c>
    </row>
    <row r="1877" spans="1:12" x14ac:dyDescent="0.25">
      <c r="A1877" s="40" t="s">
        <v>27</v>
      </c>
      <c r="B1877" s="40" t="s">
        <v>2794</v>
      </c>
      <c r="C1877" s="40" t="s">
        <v>3229</v>
      </c>
      <c r="D1877" s="40" t="s">
        <v>2233</v>
      </c>
      <c r="E1877" s="40" t="s">
        <v>2233</v>
      </c>
      <c r="F1877" s="40">
        <v>1</v>
      </c>
      <c r="G1877" s="40"/>
      <c r="H1877" s="40" t="s">
        <v>97</v>
      </c>
      <c r="I1877" s="40"/>
      <c r="J1877" s="40">
        <v>2</v>
      </c>
      <c r="K1877" s="40" t="s">
        <v>97</v>
      </c>
      <c r="L1877" s="40" t="s">
        <v>97</v>
      </c>
    </row>
    <row r="1878" spans="1:12" x14ac:dyDescent="0.25">
      <c r="A1878" s="40" t="s">
        <v>27</v>
      </c>
      <c r="B1878" s="40" t="s">
        <v>3230</v>
      </c>
      <c r="C1878" s="40" t="s">
        <v>3231</v>
      </c>
      <c r="D1878" s="40" t="s">
        <v>3232</v>
      </c>
      <c r="E1878" s="40" t="s">
        <v>3232</v>
      </c>
      <c r="F1878" s="40">
        <v>1</v>
      </c>
      <c r="G1878" s="40"/>
      <c r="H1878" s="40" t="s">
        <v>97</v>
      </c>
      <c r="I1878" s="40"/>
      <c r="J1878" s="40">
        <v>1</v>
      </c>
      <c r="K1878" s="40" t="s">
        <v>97</v>
      </c>
      <c r="L1878" s="40" t="s">
        <v>97</v>
      </c>
    </row>
    <row r="1879" spans="1:12" x14ac:dyDescent="0.25">
      <c r="A1879" s="40" t="s">
        <v>27</v>
      </c>
      <c r="B1879" s="40" t="s">
        <v>3233</v>
      </c>
      <c r="C1879" s="40" t="s">
        <v>3234</v>
      </c>
      <c r="D1879" s="40" t="s">
        <v>2737</v>
      </c>
      <c r="E1879" s="40" t="s">
        <v>2737</v>
      </c>
      <c r="F1879" s="40">
        <v>1</v>
      </c>
      <c r="G1879" s="40"/>
      <c r="H1879" s="40" t="s">
        <v>97</v>
      </c>
      <c r="I1879" s="40"/>
      <c r="J1879" s="40">
        <v>1</v>
      </c>
      <c r="K1879" s="40" t="s">
        <v>97</v>
      </c>
      <c r="L1879" s="40" t="s">
        <v>97</v>
      </c>
    </row>
    <row r="1880" spans="1:12" x14ac:dyDescent="0.25">
      <c r="A1880" s="40" t="s">
        <v>27</v>
      </c>
      <c r="B1880" s="40" t="s">
        <v>3235</v>
      </c>
      <c r="C1880" s="40" t="s">
        <v>3236</v>
      </c>
      <c r="D1880" s="40" t="s">
        <v>2233</v>
      </c>
      <c r="E1880" s="40" t="s">
        <v>2233</v>
      </c>
      <c r="F1880" s="40">
        <v>1</v>
      </c>
      <c r="G1880" s="40"/>
      <c r="H1880" s="40" t="s">
        <v>97</v>
      </c>
      <c r="I1880" s="40"/>
      <c r="J1880" s="40">
        <v>1</v>
      </c>
      <c r="K1880" s="40" t="s">
        <v>97</v>
      </c>
      <c r="L1880" s="40" t="s">
        <v>97</v>
      </c>
    </row>
    <row r="1881" spans="1:12" x14ac:dyDescent="0.25">
      <c r="A1881" s="40" t="s">
        <v>27</v>
      </c>
      <c r="B1881" s="40" t="s">
        <v>3237</v>
      </c>
      <c r="C1881" s="40" t="s">
        <v>3238</v>
      </c>
      <c r="D1881" s="40" t="s">
        <v>2233</v>
      </c>
      <c r="E1881" s="40" t="s">
        <v>2233</v>
      </c>
      <c r="F1881" s="40">
        <v>1</v>
      </c>
      <c r="G1881" s="40"/>
      <c r="H1881" s="40" t="s">
        <v>97</v>
      </c>
      <c r="I1881" s="40"/>
      <c r="J1881" s="40">
        <v>1</v>
      </c>
      <c r="K1881" s="40" t="s">
        <v>97</v>
      </c>
      <c r="L1881" s="40" t="s">
        <v>97</v>
      </c>
    </row>
    <row r="1882" spans="1:12" x14ac:dyDescent="0.25">
      <c r="A1882" s="40" t="s">
        <v>27</v>
      </c>
      <c r="B1882" s="40" t="s">
        <v>722</v>
      </c>
      <c r="C1882" s="40" t="s">
        <v>3239</v>
      </c>
      <c r="D1882" s="40" t="s">
        <v>2233</v>
      </c>
      <c r="E1882" s="40" t="s">
        <v>2233</v>
      </c>
      <c r="F1882" s="40">
        <v>1</v>
      </c>
      <c r="G1882" s="40"/>
      <c r="H1882" s="40" t="s">
        <v>97</v>
      </c>
      <c r="I1882" s="40"/>
      <c r="J1882" s="40">
        <v>1</v>
      </c>
      <c r="K1882" s="40" t="s">
        <v>97</v>
      </c>
      <c r="L1882" s="40" t="s">
        <v>97</v>
      </c>
    </row>
    <row r="1883" spans="1:12" x14ac:dyDescent="0.25">
      <c r="A1883" s="40" t="s">
        <v>27</v>
      </c>
      <c r="B1883" s="40" t="s">
        <v>724</v>
      </c>
      <c r="C1883" s="40" t="s">
        <v>3240</v>
      </c>
      <c r="D1883" s="40" t="s">
        <v>2233</v>
      </c>
      <c r="E1883" s="40" t="s">
        <v>2233</v>
      </c>
      <c r="F1883" s="40">
        <v>1</v>
      </c>
      <c r="G1883" s="40"/>
      <c r="H1883" s="40" t="s">
        <v>97</v>
      </c>
      <c r="I1883" s="40"/>
      <c r="J1883" s="40">
        <v>1</v>
      </c>
      <c r="K1883" s="40" t="s">
        <v>97</v>
      </c>
      <c r="L1883" s="40" t="s">
        <v>97</v>
      </c>
    </row>
    <row r="1884" spans="1:12" x14ac:dyDescent="0.25">
      <c r="A1884" s="40" t="s">
        <v>27</v>
      </c>
      <c r="B1884" s="40" t="s">
        <v>3241</v>
      </c>
      <c r="C1884" s="40" t="s">
        <v>3242</v>
      </c>
      <c r="D1884" s="40" t="s">
        <v>2233</v>
      </c>
      <c r="E1884" s="40" t="s">
        <v>2233</v>
      </c>
      <c r="F1884" s="40">
        <v>1</v>
      </c>
      <c r="G1884" s="40"/>
      <c r="H1884" s="40" t="s">
        <v>97</v>
      </c>
      <c r="I1884" s="40"/>
      <c r="J1884" s="40">
        <v>1</v>
      </c>
      <c r="K1884" s="40" t="s">
        <v>97</v>
      </c>
      <c r="L1884" s="40" t="s">
        <v>97</v>
      </c>
    </row>
    <row r="1885" spans="1:12" x14ac:dyDescent="0.25">
      <c r="A1885" s="40" t="s">
        <v>38</v>
      </c>
      <c r="B1885" s="40" t="s">
        <v>2233</v>
      </c>
      <c r="C1885" s="40" t="s">
        <v>3243</v>
      </c>
      <c r="D1885" s="40" t="s">
        <v>3244</v>
      </c>
      <c r="E1885" s="40" t="s">
        <v>3244</v>
      </c>
      <c r="F1885" s="40">
        <v>1</v>
      </c>
      <c r="G1885" s="40"/>
      <c r="H1885" s="40" t="s">
        <v>97</v>
      </c>
      <c r="I1885" s="40"/>
      <c r="J1885" s="40" t="s">
        <v>97</v>
      </c>
      <c r="K1885" s="40" t="s">
        <v>97</v>
      </c>
      <c r="L1885" s="40" t="s">
        <v>97</v>
      </c>
    </row>
    <row r="1886" spans="1:12" x14ac:dyDescent="0.25">
      <c r="A1886" s="40" t="s">
        <v>38</v>
      </c>
      <c r="B1886" s="40" t="s">
        <v>2298</v>
      </c>
      <c r="C1886" s="40" t="s">
        <v>3245</v>
      </c>
      <c r="D1886" s="40" t="s">
        <v>3246</v>
      </c>
      <c r="E1886" s="40" t="s">
        <v>3246</v>
      </c>
      <c r="F1886" s="40">
        <v>1</v>
      </c>
      <c r="G1886" s="40"/>
      <c r="H1886" s="40" t="s">
        <v>97</v>
      </c>
      <c r="I1886" s="40"/>
      <c r="J1886" s="40" t="s">
        <v>97</v>
      </c>
      <c r="K1886" s="40" t="s">
        <v>97</v>
      </c>
      <c r="L1886" s="40" t="s">
        <v>97</v>
      </c>
    </row>
    <row r="1887" spans="1:12" x14ac:dyDescent="0.25">
      <c r="A1887" s="40" t="s">
        <v>38</v>
      </c>
      <c r="B1887" s="40" t="s">
        <v>2300</v>
      </c>
      <c r="C1887" s="40" t="s">
        <v>3247</v>
      </c>
      <c r="D1887" s="40" t="s">
        <v>2281</v>
      </c>
      <c r="E1887" s="40" t="s">
        <v>2233</v>
      </c>
      <c r="F1887" s="40">
        <v>0</v>
      </c>
      <c r="G1887" s="40"/>
      <c r="H1887" s="40" t="s">
        <v>2234</v>
      </c>
      <c r="I1887" s="40"/>
      <c r="J1887" s="40" t="s">
        <v>97</v>
      </c>
      <c r="K1887" s="40" t="s">
        <v>97</v>
      </c>
      <c r="L1887" s="40" t="s">
        <v>97</v>
      </c>
    </row>
    <row r="1888" spans="1:12" x14ac:dyDescent="0.25">
      <c r="A1888" s="40" t="s">
        <v>38</v>
      </c>
      <c r="B1888" s="40" t="s">
        <v>483</v>
      </c>
      <c r="C1888" s="40" t="s">
        <v>3248</v>
      </c>
      <c r="D1888" s="40" t="s">
        <v>2233</v>
      </c>
      <c r="E1888" s="40" t="s">
        <v>2233</v>
      </c>
      <c r="F1888" s="40">
        <v>1</v>
      </c>
      <c r="G1888" s="40"/>
      <c r="H1888" s="40" t="s">
        <v>97</v>
      </c>
      <c r="I1888" s="40"/>
      <c r="J1888" s="40" t="s">
        <v>97</v>
      </c>
      <c r="K1888" s="40" t="s">
        <v>97</v>
      </c>
      <c r="L1888" s="40" t="s">
        <v>97</v>
      </c>
    </row>
    <row r="1889" spans="1:12" x14ac:dyDescent="0.25">
      <c r="A1889" s="40" t="s">
        <v>38</v>
      </c>
      <c r="B1889" s="40" t="s">
        <v>491</v>
      </c>
      <c r="C1889" s="40" t="s">
        <v>3249</v>
      </c>
      <c r="D1889" s="40" t="s">
        <v>2233</v>
      </c>
      <c r="E1889" s="40" t="s">
        <v>2233</v>
      </c>
      <c r="F1889" s="40">
        <v>1</v>
      </c>
      <c r="G1889" s="40"/>
      <c r="H1889" s="40" t="s">
        <v>2234</v>
      </c>
      <c r="I1889" s="40"/>
      <c r="J1889" s="40" t="s">
        <v>97</v>
      </c>
      <c r="K1889" s="40" t="s">
        <v>97</v>
      </c>
      <c r="L1889" s="40" t="s">
        <v>97</v>
      </c>
    </row>
    <row r="1890" spans="1:12" x14ac:dyDescent="0.25">
      <c r="A1890" s="40" t="s">
        <v>38</v>
      </c>
      <c r="B1890" s="40" t="s">
        <v>496</v>
      </c>
      <c r="C1890" s="40" t="s">
        <v>3250</v>
      </c>
      <c r="D1890" s="40" t="s">
        <v>2233</v>
      </c>
      <c r="E1890" s="40" t="s">
        <v>2233</v>
      </c>
      <c r="F1890" s="40">
        <v>1</v>
      </c>
      <c r="G1890" s="40"/>
      <c r="H1890" s="40" t="s">
        <v>97</v>
      </c>
      <c r="I1890" s="40"/>
      <c r="J1890" s="40" t="s">
        <v>97</v>
      </c>
      <c r="K1890" s="40" t="s">
        <v>97</v>
      </c>
      <c r="L1890" s="40" t="s">
        <v>97</v>
      </c>
    </row>
    <row r="1891" spans="1:12" x14ac:dyDescent="0.25">
      <c r="A1891" s="40" t="s">
        <v>38</v>
      </c>
      <c r="B1891" s="40" t="s">
        <v>1297</v>
      </c>
      <c r="C1891" s="40" t="s">
        <v>3251</v>
      </c>
      <c r="D1891" s="40" t="s">
        <v>2233</v>
      </c>
      <c r="E1891" s="40" t="s">
        <v>2233</v>
      </c>
      <c r="F1891" s="40">
        <v>1</v>
      </c>
      <c r="G1891" s="40"/>
      <c r="H1891" s="40" t="s">
        <v>97</v>
      </c>
      <c r="I1891" s="40"/>
      <c r="J1891" s="40" t="s">
        <v>97</v>
      </c>
      <c r="K1891" s="40" t="s">
        <v>97</v>
      </c>
      <c r="L1891" s="40" t="s">
        <v>97</v>
      </c>
    </row>
    <row r="1892" spans="1:12" x14ac:dyDescent="0.25">
      <c r="A1892" s="40" t="s">
        <v>38</v>
      </c>
      <c r="B1892" s="40" t="s">
        <v>1300</v>
      </c>
      <c r="C1892" s="40" t="s">
        <v>3252</v>
      </c>
      <c r="D1892" s="40" t="s">
        <v>2233</v>
      </c>
      <c r="E1892" s="40" t="s">
        <v>2233</v>
      </c>
      <c r="F1892" s="40">
        <v>1</v>
      </c>
      <c r="G1892" s="40"/>
      <c r="H1892" s="40" t="s">
        <v>97</v>
      </c>
      <c r="I1892" s="40"/>
      <c r="J1892" s="40" t="s">
        <v>97</v>
      </c>
      <c r="K1892" s="40" t="s">
        <v>97</v>
      </c>
      <c r="L1892" s="40" t="s">
        <v>97</v>
      </c>
    </row>
    <row r="1893" spans="1:12" x14ac:dyDescent="0.25">
      <c r="A1893" s="40" t="s">
        <v>38</v>
      </c>
      <c r="B1893" s="40" t="s">
        <v>1302</v>
      </c>
      <c r="C1893" s="40" t="s">
        <v>3253</v>
      </c>
      <c r="D1893" s="40" t="s">
        <v>2233</v>
      </c>
      <c r="E1893" s="40" t="s">
        <v>2233</v>
      </c>
      <c r="F1893" s="40">
        <v>1</v>
      </c>
      <c r="G1893" s="40"/>
      <c r="H1893" s="40" t="s">
        <v>97</v>
      </c>
      <c r="I1893" s="40"/>
      <c r="J1893" s="40" t="s">
        <v>97</v>
      </c>
      <c r="K1893" s="40" t="s">
        <v>97</v>
      </c>
      <c r="L1893" s="40" t="s">
        <v>97</v>
      </c>
    </row>
    <row r="1894" spans="1:12" x14ac:dyDescent="0.25">
      <c r="A1894" s="40" t="s">
        <v>38</v>
      </c>
      <c r="B1894" s="40" t="s">
        <v>1304</v>
      </c>
      <c r="C1894" s="40" t="s">
        <v>3254</v>
      </c>
      <c r="D1894" s="40" t="s">
        <v>2233</v>
      </c>
      <c r="E1894" s="40" t="s">
        <v>2233</v>
      </c>
      <c r="F1894" s="40">
        <v>1</v>
      </c>
      <c r="G1894" s="40"/>
      <c r="H1894" s="40" t="s">
        <v>97</v>
      </c>
      <c r="I1894" s="40"/>
      <c r="J1894" s="40" t="s">
        <v>97</v>
      </c>
      <c r="K1894" s="40" t="s">
        <v>97</v>
      </c>
      <c r="L1894" s="40" t="s">
        <v>97</v>
      </c>
    </row>
    <row r="1895" spans="1:12" x14ac:dyDescent="0.25">
      <c r="A1895" s="40" t="s">
        <v>38</v>
      </c>
      <c r="B1895" s="40" t="s">
        <v>1307</v>
      </c>
      <c r="C1895" s="40" t="s">
        <v>3255</v>
      </c>
      <c r="D1895" s="40" t="s">
        <v>2233</v>
      </c>
      <c r="E1895" s="40" t="s">
        <v>2233</v>
      </c>
      <c r="F1895" s="40">
        <v>1</v>
      </c>
      <c r="G1895" s="40"/>
      <c r="H1895" s="40" t="s">
        <v>97</v>
      </c>
      <c r="I1895" s="40"/>
      <c r="J1895" s="40" t="s">
        <v>97</v>
      </c>
      <c r="K1895" s="40" t="s">
        <v>97</v>
      </c>
      <c r="L1895" s="40" t="s">
        <v>97</v>
      </c>
    </row>
    <row r="1896" spans="1:12" x14ac:dyDescent="0.25">
      <c r="A1896" s="40" t="s">
        <v>38</v>
      </c>
      <c r="B1896" s="40" t="s">
        <v>1309</v>
      </c>
      <c r="C1896" s="40" t="s">
        <v>3256</v>
      </c>
      <c r="D1896" s="40" t="s">
        <v>2233</v>
      </c>
      <c r="E1896" s="40" t="s">
        <v>2233</v>
      </c>
      <c r="F1896" s="40">
        <v>1</v>
      </c>
      <c r="G1896" s="40"/>
      <c r="H1896" s="40" t="s">
        <v>97</v>
      </c>
      <c r="I1896" s="40"/>
      <c r="J1896" s="40" t="s">
        <v>97</v>
      </c>
      <c r="K1896" s="40" t="s">
        <v>97</v>
      </c>
      <c r="L1896" s="40" t="s">
        <v>97</v>
      </c>
    </row>
    <row r="1897" spans="1:12" x14ac:dyDescent="0.25">
      <c r="A1897" s="40" t="s">
        <v>38</v>
      </c>
      <c r="B1897" s="40" t="s">
        <v>2311</v>
      </c>
      <c r="C1897" s="40" t="s">
        <v>3257</v>
      </c>
      <c r="D1897" s="40" t="s">
        <v>2233</v>
      </c>
      <c r="E1897" s="40" t="s">
        <v>2233</v>
      </c>
      <c r="F1897" s="40">
        <v>1</v>
      </c>
      <c r="G1897" s="40"/>
      <c r="H1897" s="40" t="s">
        <v>97</v>
      </c>
      <c r="I1897" s="40"/>
      <c r="J1897" s="40" t="s">
        <v>97</v>
      </c>
      <c r="K1897" s="40" t="s">
        <v>97</v>
      </c>
      <c r="L1897" s="40" t="s">
        <v>97</v>
      </c>
    </row>
    <row r="1898" spans="1:12" x14ac:dyDescent="0.25">
      <c r="A1898" s="40" t="s">
        <v>38</v>
      </c>
      <c r="B1898" s="40" t="s">
        <v>676</v>
      </c>
      <c r="C1898" s="40" t="s">
        <v>3258</v>
      </c>
      <c r="D1898" s="40" t="s">
        <v>3259</v>
      </c>
      <c r="E1898" s="40" t="s">
        <v>3259</v>
      </c>
      <c r="F1898" s="40">
        <v>1</v>
      </c>
      <c r="G1898" s="40"/>
      <c r="H1898" s="40" t="s">
        <v>97</v>
      </c>
      <c r="I1898" s="40"/>
      <c r="J1898" s="40" t="s">
        <v>97</v>
      </c>
      <c r="K1898" s="40" t="s">
        <v>97</v>
      </c>
      <c r="L1898" s="40" t="s">
        <v>97</v>
      </c>
    </row>
    <row r="1899" spans="1:12" x14ac:dyDescent="0.25">
      <c r="A1899" s="40" t="s">
        <v>38</v>
      </c>
      <c r="B1899" s="40" t="s">
        <v>678</v>
      </c>
      <c r="C1899" s="40" t="s">
        <v>3260</v>
      </c>
      <c r="D1899" s="40" t="s">
        <v>3246</v>
      </c>
      <c r="E1899" s="40" t="s">
        <v>3246</v>
      </c>
      <c r="F1899" s="40">
        <v>1</v>
      </c>
      <c r="G1899" s="40"/>
      <c r="H1899" s="40" t="s">
        <v>97</v>
      </c>
      <c r="I1899" s="40"/>
      <c r="J1899" s="40" t="s">
        <v>97</v>
      </c>
      <c r="K1899" s="40" t="s">
        <v>97</v>
      </c>
      <c r="L1899" s="40" t="s">
        <v>97</v>
      </c>
    </row>
    <row r="1900" spans="1:12" x14ac:dyDescent="0.25">
      <c r="A1900" s="40" t="s">
        <v>38</v>
      </c>
      <c r="B1900" s="40" t="s">
        <v>681</v>
      </c>
      <c r="C1900" s="40" t="s">
        <v>3261</v>
      </c>
      <c r="D1900" s="40" t="s">
        <v>2233</v>
      </c>
      <c r="E1900" s="40" t="s">
        <v>2233</v>
      </c>
      <c r="F1900" s="40">
        <v>1</v>
      </c>
      <c r="G1900" s="40"/>
      <c r="H1900" s="40" t="s">
        <v>2234</v>
      </c>
      <c r="I1900" s="40"/>
      <c r="J1900" s="40" t="s">
        <v>97</v>
      </c>
      <c r="K1900" s="40" t="s">
        <v>97</v>
      </c>
      <c r="L1900" s="40" t="s">
        <v>97</v>
      </c>
    </row>
    <row r="1901" spans="1:12" x14ac:dyDescent="0.25">
      <c r="A1901" s="40" t="s">
        <v>38</v>
      </c>
      <c r="B1901" s="40" t="s">
        <v>2538</v>
      </c>
      <c r="C1901" s="40" t="s">
        <v>3262</v>
      </c>
      <c r="D1901" s="40" t="s">
        <v>2233</v>
      </c>
      <c r="E1901" s="40" t="s">
        <v>2233</v>
      </c>
      <c r="F1901" s="40">
        <v>1</v>
      </c>
      <c r="G1901" s="40"/>
      <c r="H1901" s="40" t="s">
        <v>2234</v>
      </c>
      <c r="I1901" s="40"/>
      <c r="J1901" s="40" t="s">
        <v>97</v>
      </c>
      <c r="K1901" s="40" t="s">
        <v>97</v>
      </c>
      <c r="L1901" s="40" t="s">
        <v>97</v>
      </c>
    </row>
    <row r="1902" spans="1:12" x14ac:dyDescent="0.25">
      <c r="A1902" s="40" t="s">
        <v>38</v>
      </c>
      <c r="B1902" s="40" t="s">
        <v>858</v>
      </c>
      <c r="C1902" s="40" t="s">
        <v>3263</v>
      </c>
      <c r="D1902" s="40" t="s">
        <v>3264</v>
      </c>
      <c r="E1902" s="40" t="s">
        <v>3264</v>
      </c>
      <c r="F1902" s="40">
        <v>1</v>
      </c>
      <c r="G1902" s="40"/>
      <c r="H1902" s="40" t="s">
        <v>97</v>
      </c>
      <c r="I1902" s="40"/>
      <c r="J1902" s="40" t="s">
        <v>97</v>
      </c>
      <c r="K1902" s="40" t="s">
        <v>97</v>
      </c>
      <c r="L1902" s="40" t="s">
        <v>97</v>
      </c>
    </row>
    <row r="1903" spans="1:12" x14ac:dyDescent="0.25">
      <c r="A1903" s="40" t="s">
        <v>38</v>
      </c>
      <c r="B1903" s="40" t="s">
        <v>860</v>
      </c>
      <c r="C1903" s="40" t="s">
        <v>3265</v>
      </c>
      <c r="D1903" s="40" t="s">
        <v>3246</v>
      </c>
      <c r="E1903" s="40" t="s">
        <v>3246</v>
      </c>
      <c r="F1903" s="40">
        <v>1</v>
      </c>
      <c r="G1903" s="40"/>
      <c r="H1903" s="40" t="s">
        <v>97</v>
      </c>
      <c r="I1903" s="40"/>
      <c r="J1903" s="40" t="s">
        <v>97</v>
      </c>
      <c r="K1903" s="40" t="s">
        <v>97</v>
      </c>
      <c r="L1903" s="40" t="s">
        <v>97</v>
      </c>
    </row>
    <row r="1904" spans="1:12" x14ac:dyDescent="0.25">
      <c r="A1904" s="40" t="s">
        <v>38</v>
      </c>
      <c r="B1904" s="40" t="s">
        <v>2350</v>
      </c>
      <c r="C1904" s="40" t="s">
        <v>3266</v>
      </c>
      <c r="D1904" s="40" t="s">
        <v>2318</v>
      </c>
      <c r="E1904" s="40" t="s">
        <v>2233</v>
      </c>
      <c r="F1904" s="40">
        <v>0</v>
      </c>
      <c r="G1904" s="40"/>
      <c r="H1904" s="40" t="s">
        <v>2234</v>
      </c>
      <c r="I1904" s="40"/>
      <c r="J1904" s="40" t="s">
        <v>97</v>
      </c>
      <c r="K1904" s="40" t="s">
        <v>97</v>
      </c>
      <c r="L1904" s="40" t="s">
        <v>97</v>
      </c>
    </row>
    <row r="1905" spans="1:12" x14ac:dyDescent="0.25">
      <c r="A1905" s="40" t="s">
        <v>38</v>
      </c>
      <c r="B1905" s="40" t="s">
        <v>2352</v>
      </c>
      <c r="C1905" s="40" t="s">
        <v>3267</v>
      </c>
      <c r="D1905" s="40" t="s">
        <v>2233</v>
      </c>
      <c r="E1905" s="40" t="s">
        <v>2233</v>
      </c>
      <c r="F1905" s="40">
        <v>1</v>
      </c>
      <c r="G1905" s="40"/>
      <c r="H1905" s="40" t="s">
        <v>97</v>
      </c>
      <c r="I1905" s="40"/>
      <c r="J1905" s="40" t="s">
        <v>97</v>
      </c>
      <c r="K1905" s="40" t="s">
        <v>97</v>
      </c>
      <c r="L1905" s="40" t="s">
        <v>97</v>
      </c>
    </row>
    <row r="1906" spans="1:12" x14ac:dyDescent="0.25">
      <c r="A1906" s="40" t="s">
        <v>38</v>
      </c>
      <c r="B1906" s="40" t="s">
        <v>1236</v>
      </c>
      <c r="C1906" s="40" t="s">
        <v>3268</v>
      </c>
      <c r="D1906" s="40" t="s">
        <v>3269</v>
      </c>
      <c r="E1906" s="40" t="s">
        <v>3269</v>
      </c>
      <c r="F1906" s="40">
        <v>1</v>
      </c>
      <c r="G1906" s="40"/>
      <c r="H1906" s="40" t="s">
        <v>97</v>
      </c>
      <c r="I1906" s="40"/>
      <c r="J1906" s="40" t="s">
        <v>97</v>
      </c>
      <c r="K1906" s="40" t="s">
        <v>97</v>
      </c>
      <c r="L1906" s="40" t="s">
        <v>97</v>
      </c>
    </row>
    <row r="1907" spans="1:12" x14ac:dyDescent="0.25">
      <c r="A1907" s="40" t="s">
        <v>38</v>
      </c>
      <c r="B1907" s="40" t="s">
        <v>1238</v>
      </c>
      <c r="C1907" s="40" t="s">
        <v>3270</v>
      </c>
      <c r="D1907" s="40" t="s">
        <v>3246</v>
      </c>
      <c r="E1907" s="40" t="s">
        <v>3246</v>
      </c>
      <c r="F1907" s="40">
        <v>1</v>
      </c>
      <c r="G1907" s="40"/>
      <c r="H1907" s="40" t="s">
        <v>97</v>
      </c>
      <c r="I1907" s="40"/>
      <c r="J1907" s="40" t="s">
        <v>97</v>
      </c>
      <c r="K1907" s="40" t="s">
        <v>97</v>
      </c>
      <c r="L1907" s="40" t="s">
        <v>97</v>
      </c>
    </row>
    <row r="1908" spans="1:12" x14ac:dyDescent="0.25">
      <c r="A1908" s="40" t="s">
        <v>38</v>
      </c>
      <c r="B1908" s="40" t="s">
        <v>1635</v>
      </c>
      <c r="C1908" s="40" t="s">
        <v>3271</v>
      </c>
      <c r="D1908" s="40" t="s">
        <v>2233</v>
      </c>
      <c r="E1908" s="40" t="s">
        <v>2233</v>
      </c>
      <c r="F1908" s="40">
        <v>1</v>
      </c>
      <c r="G1908" s="40"/>
      <c r="H1908" s="40" t="s">
        <v>2234</v>
      </c>
      <c r="I1908" s="40"/>
      <c r="J1908" s="40" t="s">
        <v>97</v>
      </c>
      <c r="K1908" s="40" t="s">
        <v>97</v>
      </c>
      <c r="L1908" s="40" t="s">
        <v>97</v>
      </c>
    </row>
    <row r="1909" spans="1:12" x14ac:dyDescent="0.25">
      <c r="A1909" s="40" t="s">
        <v>38</v>
      </c>
      <c r="B1909" s="40" t="s">
        <v>1637</v>
      </c>
      <c r="C1909" s="40" t="s">
        <v>3272</v>
      </c>
      <c r="D1909" s="40" t="s">
        <v>2233</v>
      </c>
      <c r="E1909" s="40" t="s">
        <v>2233</v>
      </c>
      <c r="F1909" s="40">
        <v>1</v>
      </c>
      <c r="G1909" s="40"/>
      <c r="H1909" s="40" t="s">
        <v>2234</v>
      </c>
      <c r="I1909" s="40"/>
      <c r="J1909" s="40" t="s">
        <v>97</v>
      </c>
      <c r="K1909" s="40" t="s">
        <v>97</v>
      </c>
      <c r="L1909" s="40" t="s">
        <v>97</v>
      </c>
    </row>
    <row r="1910" spans="1:12" x14ac:dyDescent="0.25">
      <c r="A1910" s="40" t="s">
        <v>38</v>
      </c>
      <c r="B1910" s="40" t="s">
        <v>1639</v>
      </c>
      <c r="C1910" s="40" t="s">
        <v>3273</v>
      </c>
      <c r="D1910" s="40" t="s">
        <v>2233</v>
      </c>
      <c r="E1910" s="40" t="s">
        <v>2233</v>
      </c>
      <c r="F1910" s="40">
        <v>1</v>
      </c>
      <c r="G1910" s="40"/>
      <c r="H1910" s="40" t="s">
        <v>2234</v>
      </c>
      <c r="I1910" s="40"/>
      <c r="J1910" s="40" t="s">
        <v>97</v>
      </c>
      <c r="K1910" s="40" t="s">
        <v>97</v>
      </c>
      <c r="L1910" s="40" t="s">
        <v>97</v>
      </c>
    </row>
    <row r="1911" spans="1:12" x14ac:dyDescent="0.25">
      <c r="A1911" s="40" t="s">
        <v>38</v>
      </c>
      <c r="B1911" s="40" t="s">
        <v>1641</v>
      </c>
      <c r="C1911" s="40" t="s">
        <v>3274</v>
      </c>
      <c r="D1911" s="40" t="s">
        <v>2233</v>
      </c>
      <c r="E1911" s="40" t="s">
        <v>2233</v>
      </c>
      <c r="F1911" s="40">
        <v>1</v>
      </c>
      <c r="G1911" s="40"/>
      <c r="H1911" s="40" t="s">
        <v>2234</v>
      </c>
      <c r="I1911" s="40"/>
      <c r="J1911" s="40" t="s">
        <v>97</v>
      </c>
      <c r="K1911" s="40" t="s">
        <v>97</v>
      </c>
      <c r="L1911" s="40" t="s">
        <v>97</v>
      </c>
    </row>
    <row r="1912" spans="1:12" x14ac:dyDescent="0.25">
      <c r="A1912" s="40" t="s">
        <v>38</v>
      </c>
      <c r="B1912" s="40" t="s">
        <v>1643</v>
      </c>
      <c r="C1912" s="40" t="s">
        <v>3275</v>
      </c>
      <c r="D1912" s="40" t="s">
        <v>2233</v>
      </c>
      <c r="E1912" s="40" t="s">
        <v>2233</v>
      </c>
      <c r="F1912" s="40">
        <v>1</v>
      </c>
      <c r="G1912" s="40"/>
      <c r="H1912" s="40" t="s">
        <v>97</v>
      </c>
      <c r="I1912" s="40"/>
      <c r="J1912" s="40" t="s">
        <v>97</v>
      </c>
      <c r="K1912" s="40" t="s">
        <v>97</v>
      </c>
      <c r="L1912" s="40" t="s">
        <v>97</v>
      </c>
    </row>
    <row r="1913" spans="1:12" x14ac:dyDescent="0.25">
      <c r="A1913" s="40" t="s">
        <v>38</v>
      </c>
      <c r="B1913" s="40" t="s">
        <v>1645</v>
      </c>
      <c r="C1913" s="40" t="s">
        <v>3276</v>
      </c>
      <c r="D1913" s="40" t="s">
        <v>2233</v>
      </c>
      <c r="E1913" s="40" t="s">
        <v>2233</v>
      </c>
      <c r="F1913" s="40">
        <v>1</v>
      </c>
      <c r="G1913" s="40"/>
      <c r="H1913" s="40" t="s">
        <v>97</v>
      </c>
      <c r="I1913" s="40"/>
      <c r="J1913" s="40" t="s">
        <v>97</v>
      </c>
      <c r="K1913" s="40" t="s">
        <v>97</v>
      </c>
      <c r="L1913" s="40" t="s">
        <v>97</v>
      </c>
    </row>
    <row r="1914" spans="1:12" x14ac:dyDescent="0.25">
      <c r="A1914" s="40" t="s">
        <v>38</v>
      </c>
      <c r="B1914" s="40" t="s">
        <v>1676</v>
      </c>
      <c r="C1914" s="40" t="s">
        <v>3277</v>
      </c>
      <c r="D1914" s="40" t="s">
        <v>2233</v>
      </c>
      <c r="E1914" s="40" t="s">
        <v>2233</v>
      </c>
      <c r="F1914" s="40">
        <v>1</v>
      </c>
      <c r="G1914" s="40"/>
      <c r="H1914" s="40" t="s">
        <v>97</v>
      </c>
      <c r="I1914" s="40"/>
      <c r="J1914" s="40" t="s">
        <v>97</v>
      </c>
      <c r="K1914" s="40" t="s">
        <v>2234</v>
      </c>
      <c r="L1914" s="40" t="s">
        <v>97</v>
      </c>
    </row>
    <row r="1915" spans="1:12" x14ac:dyDescent="0.25">
      <c r="A1915" s="40" t="s">
        <v>38</v>
      </c>
      <c r="B1915" s="40" t="s">
        <v>1678</v>
      </c>
      <c r="C1915" s="40" t="s">
        <v>3278</v>
      </c>
      <c r="D1915" s="40" t="s">
        <v>2233</v>
      </c>
      <c r="E1915" s="40" t="s">
        <v>2233</v>
      </c>
      <c r="F1915" s="40">
        <v>1</v>
      </c>
      <c r="G1915" s="40"/>
      <c r="H1915" s="40" t="s">
        <v>97</v>
      </c>
      <c r="I1915" s="40"/>
      <c r="J1915" s="40" t="s">
        <v>97</v>
      </c>
      <c r="K1915" s="40" t="s">
        <v>2234</v>
      </c>
      <c r="L1915" s="40" t="s">
        <v>97</v>
      </c>
    </row>
    <row r="1916" spans="1:12" x14ac:dyDescent="0.25">
      <c r="A1916" s="40" t="s">
        <v>38</v>
      </c>
      <c r="B1916" s="40" t="s">
        <v>1680</v>
      </c>
      <c r="C1916" s="40" t="s">
        <v>3279</v>
      </c>
      <c r="D1916" s="40" t="s">
        <v>2233</v>
      </c>
      <c r="E1916" s="40" t="s">
        <v>2233</v>
      </c>
      <c r="F1916" s="40">
        <v>1</v>
      </c>
      <c r="G1916" s="40"/>
      <c r="H1916" s="40" t="s">
        <v>97</v>
      </c>
      <c r="I1916" s="40"/>
      <c r="J1916" s="40" t="s">
        <v>97</v>
      </c>
      <c r="K1916" s="40" t="s">
        <v>2234</v>
      </c>
      <c r="L1916" s="40" t="s">
        <v>97</v>
      </c>
    </row>
    <row r="1917" spans="1:12" x14ac:dyDescent="0.25">
      <c r="A1917" s="40" t="s">
        <v>38</v>
      </c>
      <c r="B1917" s="40" t="s">
        <v>1682</v>
      </c>
      <c r="C1917" s="40" t="s">
        <v>3280</v>
      </c>
      <c r="D1917" s="40" t="s">
        <v>2233</v>
      </c>
      <c r="E1917" s="40" t="s">
        <v>2233</v>
      </c>
      <c r="F1917" s="40">
        <v>1</v>
      </c>
      <c r="G1917" s="40"/>
      <c r="H1917" s="40" t="s">
        <v>97</v>
      </c>
      <c r="I1917" s="40"/>
      <c r="J1917" s="40" t="s">
        <v>97</v>
      </c>
      <c r="K1917" s="40" t="s">
        <v>2234</v>
      </c>
      <c r="L1917" s="40" t="s">
        <v>97</v>
      </c>
    </row>
    <row r="1918" spans="1:12" x14ac:dyDescent="0.25">
      <c r="A1918" s="40" t="s">
        <v>38</v>
      </c>
      <c r="B1918" s="40" t="s">
        <v>1684</v>
      </c>
      <c r="C1918" s="40" t="s">
        <v>3281</v>
      </c>
      <c r="D1918" s="40" t="s">
        <v>2233</v>
      </c>
      <c r="E1918" s="40" t="s">
        <v>2233</v>
      </c>
      <c r="F1918" s="40">
        <v>1</v>
      </c>
      <c r="G1918" s="40"/>
      <c r="H1918" s="40" t="s">
        <v>97</v>
      </c>
      <c r="I1918" s="40"/>
      <c r="J1918" s="40" t="s">
        <v>97</v>
      </c>
      <c r="K1918" s="40" t="s">
        <v>2234</v>
      </c>
      <c r="L1918" s="40" t="s">
        <v>97</v>
      </c>
    </row>
    <row r="1919" spans="1:12" x14ac:dyDescent="0.25">
      <c r="A1919" s="40" t="s">
        <v>38</v>
      </c>
      <c r="B1919" s="40" t="s">
        <v>1686</v>
      </c>
      <c r="C1919" s="40" t="s">
        <v>3282</v>
      </c>
      <c r="D1919" s="40" t="s">
        <v>2233</v>
      </c>
      <c r="E1919" s="40" t="s">
        <v>2233</v>
      </c>
      <c r="F1919" s="40">
        <v>1</v>
      </c>
      <c r="G1919" s="40"/>
      <c r="H1919" s="40" t="s">
        <v>97</v>
      </c>
      <c r="I1919" s="40"/>
      <c r="J1919" s="40" t="s">
        <v>97</v>
      </c>
      <c r="K1919" s="40" t="s">
        <v>2234</v>
      </c>
      <c r="L1919" s="40" t="s">
        <v>97</v>
      </c>
    </row>
    <row r="1920" spans="1:12" x14ac:dyDescent="0.25">
      <c r="A1920" s="40" t="s">
        <v>38</v>
      </c>
      <c r="B1920" s="40" t="s">
        <v>1688</v>
      </c>
      <c r="C1920" s="40" t="s">
        <v>3283</v>
      </c>
      <c r="D1920" s="40" t="s">
        <v>2233</v>
      </c>
      <c r="E1920" s="40" t="s">
        <v>2233</v>
      </c>
      <c r="F1920" s="40">
        <v>1</v>
      </c>
      <c r="G1920" s="40"/>
      <c r="H1920" s="40" t="s">
        <v>97</v>
      </c>
      <c r="I1920" s="40"/>
      <c r="J1920" s="40" t="s">
        <v>97</v>
      </c>
      <c r="K1920" s="40" t="s">
        <v>2234</v>
      </c>
      <c r="L1920" s="40" t="s">
        <v>97</v>
      </c>
    </row>
    <row r="1921" spans="1:12" x14ac:dyDescent="0.25">
      <c r="A1921" s="40" t="s">
        <v>38</v>
      </c>
      <c r="B1921" s="40" t="s">
        <v>1690</v>
      </c>
      <c r="C1921" s="40" t="s">
        <v>3284</v>
      </c>
      <c r="D1921" s="40" t="s">
        <v>2233</v>
      </c>
      <c r="E1921" s="40" t="s">
        <v>2233</v>
      </c>
      <c r="F1921" s="40">
        <v>1</v>
      </c>
      <c r="G1921" s="40"/>
      <c r="H1921" s="40" t="s">
        <v>97</v>
      </c>
      <c r="I1921" s="40"/>
      <c r="J1921" s="40" t="s">
        <v>97</v>
      </c>
      <c r="K1921" s="40" t="s">
        <v>2234</v>
      </c>
      <c r="L1921" s="40" t="s">
        <v>97</v>
      </c>
    </row>
    <row r="1922" spans="1:12" x14ac:dyDescent="0.25">
      <c r="A1922" s="40" t="s">
        <v>38</v>
      </c>
      <c r="B1922" s="40" t="s">
        <v>2715</v>
      </c>
      <c r="C1922" s="40" t="s">
        <v>3285</v>
      </c>
      <c r="D1922" s="40" t="s">
        <v>3286</v>
      </c>
      <c r="E1922" s="40" t="s">
        <v>3286</v>
      </c>
      <c r="F1922" s="40">
        <v>1</v>
      </c>
      <c r="G1922" s="40"/>
      <c r="H1922" s="40" t="s">
        <v>97</v>
      </c>
      <c r="I1922" s="40"/>
      <c r="J1922" s="40" t="s">
        <v>97</v>
      </c>
      <c r="K1922" s="40" t="s">
        <v>97</v>
      </c>
      <c r="L1922" s="40" t="s">
        <v>97</v>
      </c>
    </row>
    <row r="1923" spans="1:12" x14ac:dyDescent="0.25">
      <c r="A1923" s="40" t="s">
        <v>38</v>
      </c>
      <c r="B1923" s="40" t="s">
        <v>2717</v>
      </c>
      <c r="C1923" s="40" t="s">
        <v>3287</v>
      </c>
      <c r="D1923" s="40" t="s">
        <v>3246</v>
      </c>
      <c r="E1923" s="40" t="s">
        <v>3246</v>
      </c>
      <c r="F1923" s="40">
        <v>1</v>
      </c>
      <c r="G1923" s="40"/>
      <c r="H1923" s="40" t="s">
        <v>97</v>
      </c>
      <c r="I1923" s="40"/>
      <c r="J1923" s="40" t="s">
        <v>97</v>
      </c>
      <c r="K1923" s="40" t="s">
        <v>97</v>
      </c>
      <c r="L1923" s="40" t="s">
        <v>97</v>
      </c>
    </row>
    <row r="1924" spans="1:12" x14ac:dyDescent="0.25">
      <c r="A1924" s="40" t="s">
        <v>38</v>
      </c>
      <c r="B1924" s="40" t="s">
        <v>2046</v>
      </c>
      <c r="C1924" s="40" t="s">
        <v>3288</v>
      </c>
      <c r="D1924" s="40" t="s">
        <v>2233</v>
      </c>
      <c r="E1924" s="40" t="s">
        <v>2233</v>
      </c>
      <c r="F1924" s="40">
        <v>1</v>
      </c>
      <c r="G1924" s="40"/>
      <c r="H1924" s="40" t="s">
        <v>2234</v>
      </c>
      <c r="I1924" s="40"/>
      <c r="J1924" s="40" t="s">
        <v>97</v>
      </c>
      <c r="K1924" s="40" t="s">
        <v>97</v>
      </c>
      <c r="L1924" s="40" t="s">
        <v>97</v>
      </c>
    </row>
    <row r="1925" spans="1:12" x14ac:dyDescent="0.25">
      <c r="A1925" s="40" t="s">
        <v>38</v>
      </c>
      <c r="B1925" s="40" t="s">
        <v>2050</v>
      </c>
      <c r="C1925" s="40" t="s">
        <v>3289</v>
      </c>
      <c r="D1925" s="40" t="s">
        <v>2233</v>
      </c>
      <c r="E1925" s="40" t="s">
        <v>2233</v>
      </c>
      <c r="F1925" s="40">
        <v>1</v>
      </c>
      <c r="G1925" s="40"/>
      <c r="H1925" s="40" t="s">
        <v>2234</v>
      </c>
      <c r="I1925" s="40"/>
      <c r="J1925" s="40" t="s">
        <v>97</v>
      </c>
      <c r="K1925" s="40" t="s">
        <v>97</v>
      </c>
      <c r="L1925" s="40" t="s">
        <v>97</v>
      </c>
    </row>
    <row r="1926" spans="1:12" x14ac:dyDescent="0.25">
      <c r="A1926" s="40" t="s">
        <v>38</v>
      </c>
      <c r="B1926" s="40" t="s">
        <v>2056</v>
      </c>
      <c r="C1926" s="40" t="s">
        <v>3290</v>
      </c>
      <c r="D1926" s="40" t="s">
        <v>2233</v>
      </c>
      <c r="E1926" s="40" t="s">
        <v>2233</v>
      </c>
      <c r="F1926" s="40">
        <v>1</v>
      </c>
      <c r="G1926" s="40"/>
      <c r="H1926" s="40" t="s">
        <v>97</v>
      </c>
      <c r="I1926" s="40"/>
      <c r="J1926" s="40" t="s">
        <v>97</v>
      </c>
      <c r="K1926" s="40" t="s">
        <v>97</v>
      </c>
      <c r="L1926" s="40" t="s">
        <v>97</v>
      </c>
    </row>
    <row r="1927" spans="1:12" x14ac:dyDescent="0.25">
      <c r="A1927" s="40" t="s">
        <v>38</v>
      </c>
      <c r="B1927" s="40" t="s">
        <v>2113</v>
      </c>
      <c r="C1927" s="40" t="s">
        <v>3291</v>
      </c>
      <c r="D1927" s="40" t="s">
        <v>2233</v>
      </c>
      <c r="E1927" s="40" t="s">
        <v>2233</v>
      </c>
      <c r="F1927" s="40">
        <v>1</v>
      </c>
      <c r="G1927" s="40"/>
      <c r="H1927" s="40" t="s">
        <v>97</v>
      </c>
      <c r="I1927" s="40"/>
      <c r="J1927" s="40" t="s">
        <v>97</v>
      </c>
      <c r="K1927" s="40" t="s">
        <v>2234</v>
      </c>
      <c r="L1927" s="40" t="s">
        <v>97</v>
      </c>
    </row>
    <row r="1928" spans="1:12" x14ac:dyDescent="0.25">
      <c r="A1928" s="40" t="s">
        <v>38</v>
      </c>
      <c r="B1928" s="40" t="s">
        <v>2115</v>
      </c>
      <c r="C1928" s="40" t="s">
        <v>3292</v>
      </c>
      <c r="D1928" s="40" t="s">
        <v>2233</v>
      </c>
      <c r="E1928" s="40" t="s">
        <v>2233</v>
      </c>
      <c r="F1928" s="40">
        <v>1</v>
      </c>
      <c r="G1928" s="40"/>
      <c r="H1928" s="40" t="s">
        <v>97</v>
      </c>
      <c r="I1928" s="40"/>
      <c r="J1928" s="40" t="s">
        <v>97</v>
      </c>
      <c r="K1928" s="40" t="s">
        <v>2234</v>
      </c>
      <c r="L1928" s="40" t="s">
        <v>97</v>
      </c>
    </row>
    <row r="1929" spans="1:12" x14ac:dyDescent="0.25">
      <c r="A1929" s="40" t="s">
        <v>38</v>
      </c>
      <c r="B1929" s="40" t="s">
        <v>2118</v>
      </c>
      <c r="C1929" s="40" t="s">
        <v>3293</v>
      </c>
      <c r="D1929" s="40" t="s">
        <v>2233</v>
      </c>
      <c r="E1929" s="40" t="s">
        <v>2233</v>
      </c>
      <c r="F1929" s="40">
        <v>1</v>
      </c>
      <c r="G1929" s="40"/>
      <c r="H1929" s="40" t="s">
        <v>97</v>
      </c>
      <c r="I1929" s="40"/>
      <c r="J1929" s="40" t="s">
        <v>97</v>
      </c>
      <c r="K1929" s="40" t="s">
        <v>2234</v>
      </c>
      <c r="L1929" s="40" t="s">
        <v>97</v>
      </c>
    </row>
    <row r="1930" spans="1:12" x14ac:dyDescent="0.25">
      <c r="A1930" s="40" t="s">
        <v>38</v>
      </c>
      <c r="B1930" s="40" t="s">
        <v>2120</v>
      </c>
      <c r="C1930" s="40" t="s">
        <v>3294</v>
      </c>
      <c r="D1930" s="40" t="s">
        <v>2233</v>
      </c>
      <c r="E1930" s="40" t="s">
        <v>2233</v>
      </c>
      <c r="F1930" s="40">
        <v>1</v>
      </c>
      <c r="G1930" s="40"/>
      <c r="H1930" s="40" t="s">
        <v>97</v>
      </c>
      <c r="I1930" s="40"/>
      <c r="J1930" s="40" t="s">
        <v>97</v>
      </c>
      <c r="K1930" s="40" t="s">
        <v>2234</v>
      </c>
      <c r="L1930" s="40" t="s">
        <v>97</v>
      </c>
    </row>
    <row r="1931" spans="1:12" x14ac:dyDescent="0.25">
      <c r="A1931" s="40" t="s">
        <v>38</v>
      </c>
      <c r="B1931" s="40" t="s">
        <v>2122</v>
      </c>
      <c r="C1931" s="40" t="s">
        <v>3295</v>
      </c>
      <c r="D1931" s="40" t="s">
        <v>2233</v>
      </c>
      <c r="E1931" s="40" t="s">
        <v>2233</v>
      </c>
      <c r="F1931" s="40">
        <v>1</v>
      </c>
      <c r="G1931" s="40"/>
      <c r="H1931" s="40" t="s">
        <v>97</v>
      </c>
      <c r="I1931" s="40"/>
      <c r="J1931" s="40" t="s">
        <v>97</v>
      </c>
      <c r="K1931" s="40" t="s">
        <v>2234</v>
      </c>
      <c r="L1931" s="40" t="s">
        <v>97</v>
      </c>
    </row>
    <row r="1932" spans="1:12" x14ac:dyDescent="0.25">
      <c r="A1932" s="40" t="s">
        <v>38</v>
      </c>
      <c r="B1932" s="40" t="s">
        <v>2263</v>
      </c>
      <c r="C1932" s="40" t="s">
        <v>3296</v>
      </c>
      <c r="D1932" s="40" t="s">
        <v>3297</v>
      </c>
      <c r="E1932" s="40" t="s">
        <v>3297</v>
      </c>
      <c r="F1932" s="40">
        <v>1</v>
      </c>
      <c r="G1932" s="40"/>
      <c r="H1932" s="40" t="s">
        <v>97</v>
      </c>
      <c r="I1932" s="40"/>
      <c r="J1932" s="40" t="s">
        <v>97</v>
      </c>
      <c r="K1932" s="40" t="s">
        <v>97</v>
      </c>
      <c r="L1932" s="40" t="s">
        <v>97</v>
      </c>
    </row>
    <row r="1933" spans="1:12" x14ac:dyDescent="0.25">
      <c r="A1933" s="40" t="s">
        <v>38</v>
      </c>
      <c r="B1933" s="40" t="s">
        <v>3298</v>
      </c>
      <c r="C1933" s="40" t="s">
        <v>3299</v>
      </c>
      <c r="D1933" s="40" t="s">
        <v>3246</v>
      </c>
      <c r="E1933" s="40" t="s">
        <v>3246</v>
      </c>
      <c r="F1933" s="40">
        <v>1</v>
      </c>
      <c r="G1933" s="40"/>
      <c r="H1933" s="40" t="s">
        <v>97</v>
      </c>
      <c r="I1933" s="40"/>
      <c r="J1933" s="40" t="s">
        <v>97</v>
      </c>
      <c r="K1933" s="40" t="s">
        <v>97</v>
      </c>
      <c r="L1933" s="40" t="s">
        <v>97</v>
      </c>
    </row>
    <row r="1934" spans="1:12" x14ac:dyDescent="0.25">
      <c r="A1934" s="40" t="s">
        <v>38</v>
      </c>
      <c r="B1934" s="40" t="s">
        <v>3300</v>
      </c>
      <c r="C1934" s="40" t="s">
        <v>3301</v>
      </c>
      <c r="D1934" s="40" t="s">
        <v>2233</v>
      </c>
      <c r="E1934" s="40" t="s">
        <v>2233</v>
      </c>
      <c r="F1934" s="40">
        <v>1</v>
      </c>
      <c r="G1934" s="40"/>
      <c r="H1934" s="40" t="s">
        <v>2234</v>
      </c>
      <c r="I1934" s="40"/>
      <c r="J1934" s="40" t="s">
        <v>97</v>
      </c>
      <c r="K1934" s="40" t="s">
        <v>97</v>
      </c>
      <c r="L1934" s="40" t="s">
        <v>97</v>
      </c>
    </row>
    <row r="1935" spans="1:12" x14ac:dyDescent="0.25">
      <c r="A1935" s="40" t="s">
        <v>38</v>
      </c>
      <c r="B1935" s="40" t="s">
        <v>3302</v>
      </c>
      <c r="C1935" s="40" t="s">
        <v>3303</v>
      </c>
      <c r="D1935" s="40" t="s">
        <v>2233</v>
      </c>
      <c r="E1935" s="40" t="s">
        <v>2233</v>
      </c>
      <c r="F1935" s="40">
        <v>1</v>
      </c>
      <c r="G1935" s="40"/>
      <c r="H1935" s="40" t="s">
        <v>2234</v>
      </c>
      <c r="I1935" s="40"/>
      <c r="J1935" s="40" t="s">
        <v>97</v>
      </c>
      <c r="K1935" s="40" t="s">
        <v>97</v>
      </c>
      <c r="L1935" s="40" t="s">
        <v>97</v>
      </c>
    </row>
    <row r="1936" spans="1:12" x14ac:dyDescent="0.25">
      <c r="A1936" s="40" t="s">
        <v>38</v>
      </c>
      <c r="B1936" s="40" t="s">
        <v>3304</v>
      </c>
      <c r="C1936" s="40" t="s">
        <v>3305</v>
      </c>
      <c r="D1936" s="40" t="s">
        <v>2233</v>
      </c>
      <c r="E1936" s="40" t="s">
        <v>2233</v>
      </c>
      <c r="F1936" s="40">
        <v>1</v>
      </c>
      <c r="G1936" s="40"/>
      <c r="H1936" s="40" t="s">
        <v>2234</v>
      </c>
      <c r="I1936" s="40"/>
      <c r="J1936" s="40" t="s">
        <v>97</v>
      </c>
      <c r="K1936" s="40" t="s">
        <v>97</v>
      </c>
      <c r="L1936" s="40" t="s">
        <v>97</v>
      </c>
    </row>
    <row r="1937" spans="1:12" x14ac:dyDescent="0.25">
      <c r="A1937" s="40" t="s">
        <v>38</v>
      </c>
      <c r="B1937" s="40" t="s">
        <v>3306</v>
      </c>
      <c r="C1937" s="40" t="s">
        <v>3307</v>
      </c>
      <c r="D1937" s="40" t="s">
        <v>2233</v>
      </c>
      <c r="E1937" s="40" t="s">
        <v>2233</v>
      </c>
      <c r="F1937" s="40">
        <v>1</v>
      </c>
      <c r="G1937" s="40"/>
      <c r="H1937" s="40" t="s">
        <v>2234</v>
      </c>
      <c r="I1937" s="40"/>
      <c r="J1937" s="40" t="s">
        <v>97</v>
      </c>
      <c r="K1937" s="40" t="s">
        <v>97</v>
      </c>
      <c r="L1937" s="40" t="s">
        <v>97</v>
      </c>
    </row>
    <row r="1938" spans="1:12" x14ac:dyDescent="0.25">
      <c r="A1938" s="40" t="s">
        <v>38</v>
      </c>
      <c r="B1938" s="40" t="s">
        <v>3308</v>
      </c>
      <c r="C1938" s="40" t="s">
        <v>3309</v>
      </c>
      <c r="D1938" s="40" t="s">
        <v>2233</v>
      </c>
      <c r="E1938" s="40" t="s">
        <v>2233</v>
      </c>
      <c r="F1938" s="40">
        <v>1</v>
      </c>
      <c r="G1938" s="40"/>
      <c r="H1938" s="40" t="s">
        <v>97</v>
      </c>
      <c r="I1938" s="40"/>
      <c r="J1938" s="40" t="s">
        <v>97</v>
      </c>
      <c r="K1938" s="40" t="s">
        <v>97</v>
      </c>
      <c r="L1938" s="40" t="s">
        <v>97</v>
      </c>
    </row>
    <row r="1939" spans="1:12" x14ac:dyDescent="0.25">
      <c r="A1939" s="40" t="s">
        <v>38</v>
      </c>
      <c r="B1939" s="40" t="s">
        <v>3310</v>
      </c>
      <c r="C1939" s="40" t="s">
        <v>3311</v>
      </c>
      <c r="D1939" s="40" t="s">
        <v>2233</v>
      </c>
      <c r="E1939" s="40" t="s">
        <v>2233</v>
      </c>
      <c r="F1939" s="40">
        <v>1</v>
      </c>
      <c r="G1939" s="40"/>
      <c r="H1939" s="40" t="s">
        <v>97</v>
      </c>
      <c r="I1939" s="40"/>
      <c r="J1939" s="40" t="s">
        <v>97</v>
      </c>
      <c r="K1939" s="40" t="s">
        <v>97</v>
      </c>
      <c r="L1939" s="40" t="s">
        <v>97</v>
      </c>
    </row>
    <row r="1940" spans="1:12" x14ac:dyDescent="0.25">
      <c r="A1940" s="40" t="s">
        <v>38</v>
      </c>
      <c r="B1940" s="40" t="s">
        <v>3312</v>
      </c>
      <c r="C1940" s="40" t="s">
        <v>3313</v>
      </c>
      <c r="D1940" s="40" t="s">
        <v>2233</v>
      </c>
      <c r="E1940" s="40" t="s">
        <v>2233</v>
      </c>
      <c r="F1940" s="40">
        <v>1</v>
      </c>
      <c r="G1940" s="40"/>
      <c r="H1940" s="40" t="s">
        <v>97</v>
      </c>
      <c r="I1940" s="40"/>
      <c r="J1940" s="40" t="s">
        <v>97</v>
      </c>
      <c r="K1940" s="40" t="s">
        <v>97</v>
      </c>
      <c r="L1940" s="40" t="s">
        <v>97</v>
      </c>
    </row>
    <row r="1941" spans="1:12" x14ac:dyDescent="0.25">
      <c r="A1941" s="40" t="s">
        <v>38</v>
      </c>
      <c r="B1941" s="40" t="s">
        <v>3314</v>
      </c>
      <c r="C1941" s="40" t="s">
        <v>3315</v>
      </c>
      <c r="D1941" s="40" t="s">
        <v>2233</v>
      </c>
      <c r="E1941" s="40" t="s">
        <v>2233</v>
      </c>
      <c r="F1941" s="40">
        <v>1</v>
      </c>
      <c r="G1941" s="40"/>
      <c r="H1941" s="40" t="s">
        <v>97</v>
      </c>
      <c r="I1941" s="40"/>
      <c r="J1941" s="40" t="s">
        <v>97</v>
      </c>
      <c r="K1941" s="40" t="s">
        <v>97</v>
      </c>
      <c r="L1941" s="40" t="s">
        <v>97</v>
      </c>
    </row>
    <row r="1942" spans="1:12" x14ac:dyDescent="0.25">
      <c r="A1942" s="40" t="s">
        <v>38</v>
      </c>
      <c r="B1942" s="40" t="s">
        <v>3316</v>
      </c>
      <c r="C1942" s="40" t="s">
        <v>3317</v>
      </c>
      <c r="D1942" s="40" t="s">
        <v>2233</v>
      </c>
      <c r="E1942" s="40" t="s">
        <v>2233</v>
      </c>
      <c r="F1942" s="40">
        <v>1</v>
      </c>
      <c r="G1942" s="40"/>
      <c r="H1942" s="40" t="s">
        <v>97</v>
      </c>
      <c r="I1942" s="40"/>
      <c r="J1942" s="40" t="s">
        <v>97</v>
      </c>
      <c r="K1942" s="40" t="s">
        <v>97</v>
      </c>
      <c r="L1942" s="40" t="s">
        <v>97</v>
      </c>
    </row>
    <row r="1943" spans="1:12" x14ac:dyDescent="0.25">
      <c r="A1943" s="40" t="s">
        <v>38</v>
      </c>
      <c r="B1943" s="40" t="s">
        <v>3318</v>
      </c>
      <c r="C1943" s="40" t="s">
        <v>3319</v>
      </c>
      <c r="D1943" s="40" t="s">
        <v>2233</v>
      </c>
      <c r="E1943" s="40" t="s">
        <v>2233</v>
      </c>
      <c r="F1943" s="40">
        <v>1</v>
      </c>
      <c r="G1943" s="40"/>
      <c r="H1943" s="40" t="s">
        <v>97</v>
      </c>
      <c r="I1943" s="40"/>
      <c r="J1943" s="40" t="s">
        <v>97</v>
      </c>
      <c r="K1943" s="40" t="s">
        <v>97</v>
      </c>
      <c r="L1943" s="40" t="s">
        <v>97</v>
      </c>
    </row>
    <row r="1944" spans="1:12" x14ac:dyDescent="0.25">
      <c r="A1944" s="40" t="s">
        <v>38</v>
      </c>
      <c r="B1944" s="40" t="s">
        <v>3320</v>
      </c>
      <c r="C1944" s="40" t="s">
        <v>3321</v>
      </c>
      <c r="D1944" s="40" t="s">
        <v>2233</v>
      </c>
      <c r="E1944" s="40" t="s">
        <v>2233</v>
      </c>
      <c r="F1944" s="40">
        <v>1</v>
      </c>
      <c r="G1944" s="40"/>
      <c r="H1944" s="40" t="s">
        <v>97</v>
      </c>
      <c r="I1944" s="40"/>
      <c r="J1944" s="40" t="s">
        <v>97</v>
      </c>
      <c r="K1944" s="40" t="s">
        <v>97</v>
      </c>
      <c r="L1944" s="40" t="s">
        <v>97</v>
      </c>
    </row>
    <row r="1945" spans="1:12" x14ac:dyDescent="0.25">
      <c r="A1945" s="40" t="s">
        <v>38</v>
      </c>
      <c r="B1945" s="40" t="s">
        <v>3322</v>
      </c>
      <c r="C1945" s="40" t="s">
        <v>3323</v>
      </c>
      <c r="D1945" s="40" t="s">
        <v>2233</v>
      </c>
      <c r="E1945" s="40" t="s">
        <v>2233</v>
      </c>
      <c r="F1945" s="40">
        <v>1</v>
      </c>
      <c r="G1945" s="40"/>
      <c r="H1945" s="40" t="s">
        <v>97</v>
      </c>
      <c r="I1945" s="40"/>
      <c r="J1945" s="40" t="s">
        <v>97</v>
      </c>
      <c r="K1945" s="40" t="s">
        <v>97</v>
      </c>
      <c r="L1945" s="40" t="s">
        <v>97</v>
      </c>
    </row>
    <row r="1946" spans="1:12" x14ac:dyDescent="0.25">
      <c r="A1946" s="40" t="s">
        <v>38</v>
      </c>
      <c r="B1946" s="40" t="s">
        <v>3324</v>
      </c>
      <c r="C1946" s="40" t="s">
        <v>3325</v>
      </c>
      <c r="D1946" s="40" t="s">
        <v>2233</v>
      </c>
      <c r="E1946" s="40" t="s">
        <v>2233</v>
      </c>
      <c r="F1946" s="40">
        <v>1</v>
      </c>
      <c r="G1946" s="40"/>
      <c r="H1946" s="40" t="s">
        <v>97</v>
      </c>
      <c r="I1946" s="40"/>
      <c r="J1946" s="40" t="s">
        <v>97</v>
      </c>
      <c r="K1946" s="40" t="s">
        <v>97</v>
      </c>
      <c r="L1946" s="40" t="s">
        <v>97</v>
      </c>
    </row>
    <row r="1947" spans="1:12" x14ac:dyDescent="0.25">
      <c r="A1947" s="40" t="s">
        <v>38</v>
      </c>
      <c r="B1947" s="40" t="s">
        <v>3326</v>
      </c>
      <c r="C1947" s="40" t="s">
        <v>3327</v>
      </c>
      <c r="D1947" s="40" t="s">
        <v>2233</v>
      </c>
      <c r="E1947" s="40" t="s">
        <v>2233</v>
      </c>
      <c r="F1947" s="40">
        <v>1</v>
      </c>
      <c r="G1947" s="40"/>
      <c r="H1947" s="40" t="s">
        <v>97</v>
      </c>
      <c r="I1947" s="40"/>
      <c r="J1947" s="40" t="s">
        <v>97</v>
      </c>
      <c r="K1947" s="40" t="s">
        <v>97</v>
      </c>
      <c r="L1947" s="40" t="s">
        <v>97</v>
      </c>
    </row>
    <row r="1948" spans="1:12" x14ac:dyDescent="0.25">
      <c r="A1948" s="40" t="s">
        <v>38</v>
      </c>
      <c r="B1948" s="40" t="s">
        <v>3328</v>
      </c>
      <c r="C1948" s="40" t="s">
        <v>3329</v>
      </c>
      <c r="D1948" s="40" t="s">
        <v>2233</v>
      </c>
      <c r="E1948" s="40" t="s">
        <v>2233</v>
      </c>
      <c r="F1948" s="40">
        <v>1</v>
      </c>
      <c r="G1948" s="40"/>
      <c r="H1948" s="40" t="s">
        <v>2234</v>
      </c>
      <c r="I1948" s="40"/>
      <c r="J1948" s="40" t="s">
        <v>97</v>
      </c>
      <c r="K1948" s="40" t="s">
        <v>97</v>
      </c>
      <c r="L1948" s="40" t="s">
        <v>97</v>
      </c>
    </row>
    <row r="1949" spans="1:12" x14ac:dyDescent="0.25">
      <c r="A1949" s="40" t="s">
        <v>38</v>
      </c>
      <c r="B1949" s="40" t="s">
        <v>3330</v>
      </c>
      <c r="C1949" s="40" t="s">
        <v>3331</v>
      </c>
      <c r="D1949" s="40" t="s">
        <v>2233</v>
      </c>
      <c r="E1949" s="40" t="s">
        <v>2233</v>
      </c>
      <c r="F1949" s="40">
        <v>1</v>
      </c>
      <c r="G1949" s="40"/>
      <c r="H1949" s="40" t="s">
        <v>2234</v>
      </c>
      <c r="I1949" s="40"/>
      <c r="J1949" s="40" t="s">
        <v>97</v>
      </c>
      <c r="K1949" s="40" t="s">
        <v>97</v>
      </c>
      <c r="L1949" s="40" t="s">
        <v>97</v>
      </c>
    </row>
    <row r="1950" spans="1:12" x14ac:dyDescent="0.25">
      <c r="A1950" s="40" t="s">
        <v>38</v>
      </c>
      <c r="B1950" s="40" t="s">
        <v>3332</v>
      </c>
      <c r="C1950" s="40" t="s">
        <v>3333</v>
      </c>
      <c r="D1950" s="40" t="s">
        <v>2233</v>
      </c>
      <c r="E1950" s="40" t="s">
        <v>2233</v>
      </c>
      <c r="F1950" s="40">
        <v>1</v>
      </c>
      <c r="G1950" s="40"/>
      <c r="H1950" s="40" t="s">
        <v>2234</v>
      </c>
      <c r="I1950" s="40"/>
      <c r="J1950" s="40" t="s">
        <v>97</v>
      </c>
      <c r="K1950" s="40" t="s">
        <v>97</v>
      </c>
      <c r="L1950" s="40" t="s">
        <v>97</v>
      </c>
    </row>
    <row r="1951" spans="1:12" x14ac:dyDescent="0.25">
      <c r="A1951" s="40" t="s">
        <v>38</v>
      </c>
      <c r="B1951" s="40" t="s">
        <v>3334</v>
      </c>
      <c r="C1951" s="40" t="s">
        <v>3335</v>
      </c>
      <c r="D1951" s="40" t="s">
        <v>2233</v>
      </c>
      <c r="E1951" s="40" t="s">
        <v>2233</v>
      </c>
      <c r="F1951" s="40">
        <v>1</v>
      </c>
      <c r="G1951" s="40"/>
      <c r="H1951" s="40" t="s">
        <v>2234</v>
      </c>
      <c r="I1951" s="40"/>
      <c r="J1951" s="40" t="s">
        <v>97</v>
      </c>
      <c r="K1951" s="40" t="s">
        <v>97</v>
      </c>
      <c r="L1951" s="40" t="s">
        <v>97</v>
      </c>
    </row>
    <row r="1952" spans="1:12" x14ac:dyDescent="0.25">
      <c r="A1952" s="40" t="s">
        <v>38</v>
      </c>
      <c r="B1952" s="40" t="s">
        <v>3336</v>
      </c>
      <c r="C1952" s="40" t="s">
        <v>3337</v>
      </c>
      <c r="D1952" s="40" t="s">
        <v>2233</v>
      </c>
      <c r="E1952" s="40" t="s">
        <v>2233</v>
      </c>
      <c r="F1952" s="40">
        <v>1</v>
      </c>
      <c r="G1952" s="40"/>
      <c r="H1952" s="40" t="s">
        <v>2234</v>
      </c>
      <c r="I1952" s="40"/>
      <c r="J1952" s="40" t="s">
        <v>97</v>
      </c>
      <c r="K1952" s="40" t="s">
        <v>97</v>
      </c>
      <c r="L1952" s="40" t="s">
        <v>97</v>
      </c>
    </row>
    <row r="1953" spans="1:12" x14ac:dyDescent="0.25">
      <c r="A1953" s="40" t="s">
        <v>38</v>
      </c>
      <c r="B1953" s="40" t="s">
        <v>3338</v>
      </c>
      <c r="C1953" s="40" t="s">
        <v>3339</v>
      </c>
      <c r="D1953" s="40" t="s">
        <v>2233</v>
      </c>
      <c r="E1953" s="40" t="s">
        <v>2233</v>
      </c>
      <c r="F1953" s="40">
        <v>1</v>
      </c>
      <c r="G1953" s="40"/>
      <c r="H1953" s="40" t="s">
        <v>2234</v>
      </c>
      <c r="I1953" s="40"/>
      <c r="J1953" s="40" t="s">
        <v>97</v>
      </c>
      <c r="K1953" s="40" t="s">
        <v>97</v>
      </c>
      <c r="L1953" s="40" t="s">
        <v>97</v>
      </c>
    </row>
    <row r="1954" spans="1:12" x14ac:dyDescent="0.25">
      <c r="A1954" s="40" t="s">
        <v>38</v>
      </c>
      <c r="B1954" s="40" t="s">
        <v>3340</v>
      </c>
      <c r="C1954" s="40" t="s">
        <v>3341</v>
      </c>
      <c r="D1954" s="40" t="s">
        <v>2233</v>
      </c>
      <c r="E1954" s="40" t="s">
        <v>2233</v>
      </c>
      <c r="F1954" s="40">
        <v>1</v>
      </c>
      <c r="G1954" s="40"/>
      <c r="H1954" s="40" t="s">
        <v>2234</v>
      </c>
      <c r="I1954" s="40"/>
      <c r="J1954" s="40" t="s">
        <v>97</v>
      </c>
      <c r="K1954" s="40" t="s">
        <v>97</v>
      </c>
      <c r="L1954" s="40" t="s">
        <v>97</v>
      </c>
    </row>
    <row r="1955" spans="1:12" x14ac:dyDescent="0.25">
      <c r="A1955" s="40" t="s">
        <v>38</v>
      </c>
      <c r="B1955" s="40" t="s">
        <v>3342</v>
      </c>
      <c r="C1955" s="40" t="s">
        <v>3343</v>
      </c>
      <c r="D1955" s="40" t="s">
        <v>2233</v>
      </c>
      <c r="E1955" s="40" t="s">
        <v>2233</v>
      </c>
      <c r="F1955" s="40">
        <v>1</v>
      </c>
      <c r="G1955" s="40"/>
      <c r="H1955" s="40" t="s">
        <v>2234</v>
      </c>
      <c r="I1955" s="40"/>
      <c r="J1955" s="40" t="s">
        <v>97</v>
      </c>
      <c r="K1955" s="40" t="s">
        <v>97</v>
      </c>
      <c r="L1955" s="40" t="s">
        <v>97</v>
      </c>
    </row>
    <row r="1956" spans="1:12" x14ac:dyDescent="0.25">
      <c r="A1956" s="40" t="s">
        <v>38</v>
      </c>
      <c r="B1956" s="40" t="s">
        <v>3344</v>
      </c>
      <c r="C1956" s="40" t="s">
        <v>3345</v>
      </c>
      <c r="D1956" s="40" t="s">
        <v>2233</v>
      </c>
      <c r="E1956" s="40" t="s">
        <v>2233</v>
      </c>
      <c r="F1956" s="40">
        <v>1</v>
      </c>
      <c r="G1956" s="40"/>
      <c r="H1956" s="40" t="s">
        <v>2234</v>
      </c>
      <c r="I1956" s="40"/>
      <c r="J1956" s="40" t="s">
        <v>97</v>
      </c>
      <c r="K1956" s="40" t="s">
        <v>97</v>
      </c>
      <c r="L1956" s="40" t="s">
        <v>97</v>
      </c>
    </row>
    <row r="1957" spans="1:12" x14ac:dyDescent="0.25">
      <c r="A1957" s="40" t="s">
        <v>38</v>
      </c>
      <c r="B1957" s="40" t="s">
        <v>3346</v>
      </c>
      <c r="C1957" s="40" t="s">
        <v>3347</v>
      </c>
      <c r="D1957" s="40" t="s">
        <v>2233</v>
      </c>
      <c r="E1957" s="40" t="s">
        <v>2233</v>
      </c>
      <c r="F1957" s="40">
        <v>1</v>
      </c>
      <c r="G1957" s="40"/>
      <c r="H1957" s="40" t="s">
        <v>2234</v>
      </c>
      <c r="I1957" s="40"/>
      <c r="J1957" s="40" t="s">
        <v>97</v>
      </c>
      <c r="K1957" s="40" t="s">
        <v>97</v>
      </c>
      <c r="L1957" s="40" t="s">
        <v>97</v>
      </c>
    </row>
    <row r="1958" spans="1:12" x14ac:dyDescent="0.25">
      <c r="A1958" s="40" t="s">
        <v>38</v>
      </c>
      <c r="B1958" s="40" t="s">
        <v>3348</v>
      </c>
      <c r="C1958" s="40" t="s">
        <v>3349</v>
      </c>
      <c r="D1958" s="40" t="s">
        <v>2233</v>
      </c>
      <c r="E1958" s="40" t="s">
        <v>2233</v>
      </c>
      <c r="F1958" s="40">
        <v>1</v>
      </c>
      <c r="G1958" s="40"/>
      <c r="H1958" s="40" t="s">
        <v>2234</v>
      </c>
      <c r="I1958" s="40"/>
      <c r="J1958" s="40" t="s">
        <v>97</v>
      </c>
      <c r="K1958" s="40" t="s">
        <v>97</v>
      </c>
      <c r="L1958" s="40" t="s">
        <v>97</v>
      </c>
    </row>
    <row r="1959" spans="1:12" x14ac:dyDescent="0.25">
      <c r="A1959" s="40" t="s">
        <v>38</v>
      </c>
      <c r="B1959" s="40" t="s">
        <v>3350</v>
      </c>
      <c r="C1959" s="40" t="s">
        <v>3351</v>
      </c>
      <c r="D1959" s="40" t="s">
        <v>3352</v>
      </c>
      <c r="E1959" s="40" t="s">
        <v>3352</v>
      </c>
      <c r="F1959" s="40">
        <v>1</v>
      </c>
      <c r="G1959" s="40"/>
      <c r="H1959" s="40" t="s">
        <v>97</v>
      </c>
      <c r="I1959" s="40"/>
      <c r="J1959" s="40" t="s">
        <v>97</v>
      </c>
      <c r="K1959" s="40" t="s">
        <v>97</v>
      </c>
      <c r="L1959" s="40" t="s">
        <v>97</v>
      </c>
    </row>
    <row r="1960" spans="1:12" x14ac:dyDescent="0.25">
      <c r="A1960" s="40" t="s">
        <v>38</v>
      </c>
      <c r="B1960" s="40" t="s">
        <v>3353</v>
      </c>
      <c r="C1960" s="40" t="s">
        <v>3354</v>
      </c>
      <c r="D1960" s="40" t="s">
        <v>3246</v>
      </c>
      <c r="E1960" s="40" t="s">
        <v>3246</v>
      </c>
      <c r="F1960" s="40">
        <v>1</v>
      </c>
      <c r="G1960" s="40"/>
      <c r="H1960" s="40" t="s">
        <v>97</v>
      </c>
      <c r="I1960" s="40"/>
      <c r="J1960" s="40" t="s">
        <v>97</v>
      </c>
      <c r="K1960" s="40" t="s">
        <v>97</v>
      </c>
      <c r="L1960" s="40" t="s">
        <v>97</v>
      </c>
    </row>
    <row r="1961" spans="1:12" x14ac:dyDescent="0.25">
      <c r="A1961" s="40" t="s">
        <v>38</v>
      </c>
      <c r="B1961" s="40" t="s">
        <v>3355</v>
      </c>
      <c r="C1961" s="40" t="s">
        <v>3356</v>
      </c>
      <c r="D1961" s="40" t="s">
        <v>2233</v>
      </c>
      <c r="E1961" s="40" t="s">
        <v>2233</v>
      </c>
      <c r="F1961" s="40">
        <v>1</v>
      </c>
      <c r="G1961" s="40"/>
      <c r="H1961" s="40" t="s">
        <v>2234</v>
      </c>
      <c r="I1961" s="40"/>
      <c r="J1961" s="40" t="s">
        <v>97</v>
      </c>
      <c r="K1961" s="40" t="s">
        <v>97</v>
      </c>
      <c r="L1961" s="40" t="s">
        <v>97</v>
      </c>
    </row>
    <row r="1962" spans="1:12" x14ac:dyDescent="0.25">
      <c r="A1962" s="40" t="s">
        <v>38</v>
      </c>
      <c r="B1962" s="40" t="s">
        <v>3357</v>
      </c>
      <c r="C1962" s="40" t="s">
        <v>3358</v>
      </c>
      <c r="D1962" s="40" t="s">
        <v>2233</v>
      </c>
      <c r="E1962" s="40" t="s">
        <v>2233</v>
      </c>
      <c r="F1962" s="40">
        <v>1</v>
      </c>
      <c r="G1962" s="40"/>
      <c r="H1962" s="40" t="s">
        <v>2234</v>
      </c>
      <c r="I1962" s="40"/>
      <c r="J1962" s="40" t="s">
        <v>97</v>
      </c>
      <c r="K1962" s="40" t="s">
        <v>97</v>
      </c>
      <c r="L1962" s="40" t="s">
        <v>97</v>
      </c>
    </row>
    <row r="1963" spans="1:12" x14ac:dyDescent="0.25">
      <c r="A1963" s="40" t="s">
        <v>38</v>
      </c>
      <c r="B1963" s="40" t="s">
        <v>3359</v>
      </c>
      <c r="C1963" s="40" t="s">
        <v>3360</v>
      </c>
      <c r="D1963" s="40" t="s">
        <v>2233</v>
      </c>
      <c r="E1963" s="40" t="s">
        <v>2233</v>
      </c>
      <c r="F1963" s="40">
        <v>1</v>
      </c>
      <c r="G1963" s="40"/>
      <c r="H1963" s="40" t="s">
        <v>2234</v>
      </c>
      <c r="I1963" s="40"/>
      <c r="J1963" s="40" t="s">
        <v>97</v>
      </c>
      <c r="K1963" s="40" t="s">
        <v>97</v>
      </c>
      <c r="L1963" s="40" t="s">
        <v>97</v>
      </c>
    </row>
    <row r="1964" spans="1:12" x14ac:dyDescent="0.25">
      <c r="A1964" s="40" t="s">
        <v>38</v>
      </c>
      <c r="B1964" s="40" t="s">
        <v>3361</v>
      </c>
      <c r="C1964" s="40" t="s">
        <v>3362</v>
      </c>
      <c r="D1964" s="40" t="s">
        <v>2233</v>
      </c>
      <c r="E1964" s="40" t="s">
        <v>2233</v>
      </c>
      <c r="F1964" s="40">
        <v>1</v>
      </c>
      <c r="G1964" s="40"/>
      <c r="H1964" s="40" t="s">
        <v>2234</v>
      </c>
      <c r="I1964" s="40"/>
      <c r="J1964" s="40" t="s">
        <v>97</v>
      </c>
      <c r="K1964" s="40" t="s">
        <v>97</v>
      </c>
      <c r="L1964" s="40" t="s">
        <v>97</v>
      </c>
    </row>
    <row r="1965" spans="1:12" x14ac:dyDescent="0.25">
      <c r="A1965" s="40" t="s">
        <v>38</v>
      </c>
      <c r="B1965" s="40" t="s">
        <v>3363</v>
      </c>
      <c r="C1965" s="40" t="s">
        <v>3364</v>
      </c>
      <c r="D1965" s="40" t="s">
        <v>2233</v>
      </c>
      <c r="E1965" s="40" t="s">
        <v>2233</v>
      </c>
      <c r="F1965" s="40">
        <v>1</v>
      </c>
      <c r="G1965" s="40"/>
      <c r="H1965" s="40" t="s">
        <v>97</v>
      </c>
      <c r="I1965" s="40"/>
      <c r="J1965" s="40" t="s">
        <v>97</v>
      </c>
      <c r="K1965" s="40" t="s">
        <v>97</v>
      </c>
      <c r="L1965" s="40" t="s">
        <v>97</v>
      </c>
    </row>
    <row r="1966" spans="1:12" x14ac:dyDescent="0.25">
      <c r="A1966" s="40" t="s">
        <v>38</v>
      </c>
      <c r="B1966" s="40" t="s">
        <v>3365</v>
      </c>
      <c r="C1966" s="40" t="s">
        <v>3366</v>
      </c>
      <c r="D1966" s="40" t="s">
        <v>2233</v>
      </c>
      <c r="E1966" s="40" t="s">
        <v>2233</v>
      </c>
      <c r="F1966" s="40">
        <v>1</v>
      </c>
      <c r="G1966" s="40"/>
      <c r="H1966" s="40" t="s">
        <v>97</v>
      </c>
      <c r="I1966" s="40"/>
      <c r="J1966" s="40" t="s">
        <v>97</v>
      </c>
      <c r="K1966" s="40" t="s">
        <v>97</v>
      </c>
      <c r="L1966" s="40" t="s">
        <v>97</v>
      </c>
    </row>
    <row r="1967" spans="1:12" x14ac:dyDescent="0.25">
      <c r="A1967" s="40" t="s">
        <v>38</v>
      </c>
      <c r="B1967" s="40" t="s">
        <v>3367</v>
      </c>
      <c r="C1967" s="40" t="s">
        <v>3368</v>
      </c>
      <c r="D1967" s="40" t="s">
        <v>2233</v>
      </c>
      <c r="E1967" s="40" t="s">
        <v>2233</v>
      </c>
      <c r="F1967" s="40">
        <v>1</v>
      </c>
      <c r="G1967" s="40"/>
      <c r="H1967" s="40" t="s">
        <v>97</v>
      </c>
      <c r="I1967" s="40"/>
      <c r="J1967" s="40" t="s">
        <v>97</v>
      </c>
      <c r="K1967" s="40" t="s">
        <v>97</v>
      </c>
      <c r="L1967" s="40" t="s">
        <v>97</v>
      </c>
    </row>
    <row r="1968" spans="1:12" x14ac:dyDescent="0.25">
      <c r="A1968" s="40" t="s">
        <v>38</v>
      </c>
      <c r="B1968" s="40" t="s">
        <v>3369</v>
      </c>
      <c r="C1968" s="40" t="s">
        <v>3370</v>
      </c>
      <c r="D1968" s="40" t="s">
        <v>2233</v>
      </c>
      <c r="E1968" s="40" t="s">
        <v>2233</v>
      </c>
      <c r="F1968" s="40">
        <v>1</v>
      </c>
      <c r="G1968" s="40"/>
      <c r="H1968" s="40" t="s">
        <v>97</v>
      </c>
      <c r="I1968" s="40"/>
      <c r="J1968" s="40" t="s">
        <v>97</v>
      </c>
      <c r="K1968" s="40" t="s">
        <v>97</v>
      </c>
      <c r="L1968" s="40" t="s">
        <v>97</v>
      </c>
    </row>
    <row r="1969" spans="1:12" x14ac:dyDescent="0.25">
      <c r="A1969" s="40" t="s">
        <v>38</v>
      </c>
      <c r="B1969" s="40" t="s">
        <v>3371</v>
      </c>
      <c r="C1969" s="40" t="s">
        <v>3372</v>
      </c>
      <c r="D1969" s="40" t="s">
        <v>2233</v>
      </c>
      <c r="E1969" s="40" t="s">
        <v>2233</v>
      </c>
      <c r="F1969" s="40">
        <v>1</v>
      </c>
      <c r="G1969" s="40"/>
      <c r="H1969" s="40" t="s">
        <v>97</v>
      </c>
      <c r="I1969" s="40"/>
      <c r="J1969" s="40" t="s">
        <v>97</v>
      </c>
      <c r="K1969" s="40" t="s">
        <v>97</v>
      </c>
      <c r="L1969" s="40" t="s">
        <v>97</v>
      </c>
    </row>
    <row r="1970" spans="1:12" x14ac:dyDescent="0.25">
      <c r="A1970" s="40" t="s">
        <v>38</v>
      </c>
      <c r="B1970" s="40" t="s">
        <v>3373</v>
      </c>
      <c r="C1970" s="40" t="s">
        <v>3374</v>
      </c>
      <c r="D1970" s="40" t="s">
        <v>2233</v>
      </c>
      <c r="E1970" s="40" t="s">
        <v>2233</v>
      </c>
      <c r="F1970" s="40">
        <v>1</v>
      </c>
      <c r="G1970" s="40"/>
      <c r="H1970" s="40" t="s">
        <v>97</v>
      </c>
      <c r="I1970" s="40"/>
      <c r="J1970" s="40" t="s">
        <v>97</v>
      </c>
      <c r="K1970" s="40" t="s">
        <v>97</v>
      </c>
      <c r="L1970" s="40" t="s">
        <v>97</v>
      </c>
    </row>
    <row r="1971" spans="1:12" x14ac:dyDescent="0.25">
      <c r="A1971" s="40" t="s">
        <v>38</v>
      </c>
      <c r="B1971" s="40" t="s">
        <v>3375</v>
      </c>
      <c r="C1971" s="40" t="s">
        <v>3376</v>
      </c>
      <c r="D1971" s="40" t="s">
        <v>2233</v>
      </c>
      <c r="E1971" s="40" t="s">
        <v>2233</v>
      </c>
      <c r="F1971" s="40">
        <v>1</v>
      </c>
      <c r="G1971" s="40"/>
      <c r="H1971" s="40" t="s">
        <v>97</v>
      </c>
      <c r="I1971" s="40"/>
      <c r="J1971" s="40" t="s">
        <v>97</v>
      </c>
      <c r="K1971" s="40" t="s">
        <v>97</v>
      </c>
      <c r="L1971" s="40" t="s">
        <v>97</v>
      </c>
    </row>
    <row r="1972" spans="1:12" x14ac:dyDescent="0.25">
      <c r="A1972" s="40" t="s">
        <v>38</v>
      </c>
      <c r="B1972" s="40" t="s">
        <v>3377</v>
      </c>
      <c r="C1972" s="40" t="s">
        <v>3378</v>
      </c>
      <c r="D1972" s="40" t="s">
        <v>2233</v>
      </c>
      <c r="E1972" s="40" t="s">
        <v>2233</v>
      </c>
      <c r="F1972" s="40">
        <v>1</v>
      </c>
      <c r="G1972" s="40"/>
      <c r="H1972" s="40" t="s">
        <v>97</v>
      </c>
      <c r="I1972" s="40"/>
      <c r="J1972" s="40" t="s">
        <v>97</v>
      </c>
      <c r="K1972" s="40" t="s">
        <v>97</v>
      </c>
      <c r="L1972" s="40" t="s">
        <v>97</v>
      </c>
    </row>
    <row r="1973" spans="1:12" x14ac:dyDescent="0.25">
      <c r="A1973" s="40" t="s">
        <v>38</v>
      </c>
      <c r="B1973" s="40" t="s">
        <v>3379</v>
      </c>
      <c r="C1973" s="40" t="s">
        <v>3380</v>
      </c>
      <c r="D1973" s="40" t="s">
        <v>2233</v>
      </c>
      <c r="E1973" s="40" t="s">
        <v>2233</v>
      </c>
      <c r="F1973" s="40">
        <v>1</v>
      </c>
      <c r="G1973" s="40"/>
      <c r="H1973" s="40" t="s">
        <v>97</v>
      </c>
      <c r="I1973" s="40"/>
      <c r="J1973" s="40" t="s">
        <v>97</v>
      </c>
      <c r="K1973" s="40" t="s">
        <v>97</v>
      </c>
      <c r="L1973" s="40" t="s">
        <v>97</v>
      </c>
    </row>
    <row r="1974" spans="1:12" x14ac:dyDescent="0.25">
      <c r="A1974" s="40" t="s">
        <v>38</v>
      </c>
      <c r="B1974" s="40" t="s">
        <v>3381</v>
      </c>
      <c r="C1974" s="40" t="s">
        <v>3382</v>
      </c>
      <c r="D1974" s="40" t="s">
        <v>2233</v>
      </c>
      <c r="E1974" s="40" t="s">
        <v>2233</v>
      </c>
      <c r="F1974" s="40">
        <v>1</v>
      </c>
      <c r="G1974" s="40"/>
      <c r="H1974" s="40" t="s">
        <v>97</v>
      </c>
      <c r="I1974" s="40"/>
      <c r="J1974" s="40" t="s">
        <v>97</v>
      </c>
      <c r="K1974" s="40" t="s">
        <v>97</v>
      </c>
      <c r="L1974" s="40" t="s">
        <v>97</v>
      </c>
    </row>
    <row r="1975" spans="1:12" x14ac:dyDescent="0.25">
      <c r="A1975" s="40" t="s">
        <v>38</v>
      </c>
      <c r="B1975" s="40" t="s">
        <v>3383</v>
      </c>
      <c r="C1975" s="40" t="s">
        <v>3384</v>
      </c>
      <c r="D1975" s="40" t="s">
        <v>2233</v>
      </c>
      <c r="E1975" s="40" t="s">
        <v>2233</v>
      </c>
      <c r="F1975" s="40">
        <v>1</v>
      </c>
      <c r="G1975" s="40"/>
      <c r="H1975" s="40" t="s">
        <v>2234</v>
      </c>
      <c r="I1975" s="40"/>
      <c r="J1975" s="40" t="s">
        <v>97</v>
      </c>
      <c r="K1975" s="40" t="s">
        <v>97</v>
      </c>
      <c r="L1975" s="40" t="s">
        <v>97</v>
      </c>
    </row>
    <row r="1976" spans="1:12" x14ac:dyDescent="0.25">
      <c r="A1976" s="40" t="s">
        <v>38</v>
      </c>
      <c r="B1976" s="40" t="s">
        <v>3385</v>
      </c>
      <c r="C1976" s="40" t="s">
        <v>3386</v>
      </c>
      <c r="D1976" s="40" t="s">
        <v>2233</v>
      </c>
      <c r="E1976" s="40" t="s">
        <v>2233</v>
      </c>
      <c r="F1976" s="40">
        <v>1</v>
      </c>
      <c r="G1976" s="40"/>
      <c r="H1976" s="40" t="s">
        <v>2234</v>
      </c>
      <c r="I1976" s="40"/>
      <c r="J1976" s="40" t="s">
        <v>97</v>
      </c>
      <c r="K1976" s="40" t="s">
        <v>97</v>
      </c>
      <c r="L1976" s="40" t="s">
        <v>97</v>
      </c>
    </row>
    <row r="1977" spans="1:12" x14ac:dyDescent="0.25">
      <c r="A1977" s="40" t="s">
        <v>38</v>
      </c>
      <c r="B1977" s="40" t="s">
        <v>3387</v>
      </c>
      <c r="C1977" s="40" t="s">
        <v>3388</v>
      </c>
      <c r="D1977" s="40" t="s">
        <v>2233</v>
      </c>
      <c r="E1977" s="40" t="s">
        <v>2233</v>
      </c>
      <c r="F1977" s="40">
        <v>1</v>
      </c>
      <c r="G1977" s="40"/>
      <c r="H1977" s="40" t="s">
        <v>2234</v>
      </c>
      <c r="I1977" s="40"/>
      <c r="J1977" s="40" t="s">
        <v>97</v>
      </c>
      <c r="K1977" s="40" t="s">
        <v>97</v>
      </c>
      <c r="L1977" s="40" t="s">
        <v>97</v>
      </c>
    </row>
    <row r="1978" spans="1:12" x14ac:dyDescent="0.25">
      <c r="A1978" s="40" t="s">
        <v>38</v>
      </c>
      <c r="B1978" s="40" t="s">
        <v>3389</v>
      </c>
      <c r="C1978" s="40" t="s">
        <v>3390</v>
      </c>
      <c r="D1978" s="40" t="s">
        <v>2233</v>
      </c>
      <c r="E1978" s="40" t="s">
        <v>2233</v>
      </c>
      <c r="F1978" s="40">
        <v>1</v>
      </c>
      <c r="G1978" s="40"/>
      <c r="H1978" s="40" t="s">
        <v>2234</v>
      </c>
      <c r="I1978" s="40"/>
      <c r="J1978" s="40" t="s">
        <v>97</v>
      </c>
      <c r="K1978" s="40" t="s">
        <v>97</v>
      </c>
      <c r="L1978" s="40" t="s">
        <v>97</v>
      </c>
    </row>
    <row r="1979" spans="1:12" x14ac:dyDescent="0.25">
      <c r="A1979" s="40" t="s">
        <v>38</v>
      </c>
      <c r="B1979" s="40" t="s">
        <v>3391</v>
      </c>
      <c r="C1979" s="40" t="s">
        <v>3392</v>
      </c>
      <c r="D1979" s="40" t="s">
        <v>2233</v>
      </c>
      <c r="E1979" s="40" t="s">
        <v>2233</v>
      </c>
      <c r="F1979" s="40">
        <v>1</v>
      </c>
      <c r="G1979" s="40"/>
      <c r="H1979" s="40" t="s">
        <v>2234</v>
      </c>
      <c r="I1979" s="40"/>
      <c r="J1979" s="40" t="s">
        <v>97</v>
      </c>
      <c r="K1979" s="40" t="s">
        <v>97</v>
      </c>
      <c r="L1979" s="40" t="s">
        <v>97</v>
      </c>
    </row>
    <row r="1980" spans="1:12" x14ac:dyDescent="0.25">
      <c r="A1980" s="40" t="s">
        <v>38</v>
      </c>
      <c r="B1980" s="40" t="s">
        <v>3393</v>
      </c>
      <c r="C1980" s="40" t="s">
        <v>3394</v>
      </c>
      <c r="D1980" s="40" t="s">
        <v>2233</v>
      </c>
      <c r="E1980" s="40" t="s">
        <v>2233</v>
      </c>
      <c r="F1980" s="40">
        <v>1</v>
      </c>
      <c r="G1980" s="40"/>
      <c r="H1980" s="40" t="s">
        <v>2234</v>
      </c>
      <c r="I1980" s="40"/>
      <c r="J1980" s="40" t="s">
        <v>97</v>
      </c>
      <c r="K1980" s="40" t="s">
        <v>97</v>
      </c>
      <c r="L1980" s="40" t="s">
        <v>97</v>
      </c>
    </row>
    <row r="1981" spans="1:12" x14ac:dyDescent="0.25">
      <c r="A1981" s="40" t="s">
        <v>38</v>
      </c>
      <c r="B1981" s="40" t="s">
        <v>3395</v>
      </c>
      <c r="C1981" s="40" t="s">
        <v>3396</v>
      </c>
      <c r="D1981" s="40" t="s">
        <v>2233</v>
      </c>
      <c r="E1981" s="40" t="s">
        <v>2233</v>
      </c>
      <c r="F1981" s="40">
        <v>1</v>
      </c>
      <c r="G1981" s="40"/>
      <c r="H1981" s="40" t="s">
        <v>2234</v>
      </c>
      <c r="I1981" s="40"/>
      <c r="J1981" s="40" t="s">
        <v>97</v>
      </c>
      <c r="K1981" s="40" t="s">
        <v>97</v>
      </c>
      <c r="L1981" s="40" t="s">
        <v>97</v>
      </c>
    </row>
    <row r="1982" spans="1:12" x14ac:dyDescent="0.25">
      <c r="A1982" s="40" t="s">
        <v>38</v>
      </c>
      <c r="B1982" s="40" t="s">
        <v>3397</v>
      </c>
      <c r="C1982" s="40" t="s">
        <v>3398</v>
      </c>
      <c r="D1982" s="40" t="s">
        <v>2233</v>
      </c>
      <c r="E1982" s="40" t="s">
        <v>2233</v>
      </c>
      <c r="F1982" s="40">
        <v>1</v>
      </c>
      <c r="G1982" s="40"/>
      <c r="H1982" s="40" t="s">
        <v>2234</v>
      </c>
      <c r="I1982" s="40"/>
      <c r="J1982" s="40" t="s">
        <v>97</v>
      </c>
      <c r="K1982" s="40" t="s">
        <v>97</v>
      </c>
      <c r="L1982" s="40" t="s">
        <v>97</v>
      </c>
    </row>
    <row r="1983" spans="1:12" x14ac:dyDescent="0.25">
      <c r="A1983" s="40" t="s">
        <v>38</v>
      </c>
      <c r="B1983" s="40" t="s">
        <v>3399</v>
      </c>
      <c r="C1983" s="40" t="s">
        <v>3400</v>
      </c>
      <c r="D1983" s="40" t="s">
        <v>2233</v>
      </c>
      <c r="E1983" s="40" t="s">
        <v>2233</v>
      </c>
      <c r="F1983" s="40">
        <v>1</v>
      </c>
      <c r="G1983" s="40"/>
      <c r="H1983" s="40" t="s">
        <v>2234</v>
      </c>
      <c r="I1983" s="40"/>
      <c r="J1983" s="40" t="s">
        <v>97</v>
      </c>
      <c r="K1983" s="40" t="s">
        <v>97</v>
      </c>
      <c r="L1983" s="40" t="s">
        <v>97</v>
      </c>
    </row>
    <row r="1984" spans="1:12" x14ac:dyDescent="0.25">
      <c r="A1984" s="40" t="s">
        <v>38</v>
      </c>
      <c r="B1984" s="40" t="s">
        <v>3401</v>
      </c>
      <c r="C1984" s="40" t="s">
        <v>3402</v>
      </c>
      <c r="D1984" s="40" t="s">
        <v>2233</v>
      </c>
      <c r="E1984" s="40" t="s">
        <v>2233</v>
      </c>
      <c r="F1984" s="40">
        <v>1</v>
      </c>
      <c r="G1984" s="40"/>
      <c r="H1984" s="40" t="s">
        <v>2234</v>
      </c>
      <c r="I1984" s="40"/>
      <c r="J1984" s="40" t="s">
        <v>97</v>
      </c>
      <c r="K1984" s="40" t="s">
        <v>97</v>
      </c>
      <c r="L1984" s="40" t="s">
        <v>97</v>
      </c>
    </row>
    <row r="1985" spans="1:12" x14ac:dyDescent="0.25">
      <c r="A1985" s="40" t="s">
        <v>38</v>
      </c>
      <c r="B1985" s="40" t="s">
        <v>3403</v>
      </c>
      <c r="C1985" s="40" t="s">
        <v>3404</v>
      </c>
      <c r="D1985" s="40" t="s">
        <v>2233</v>
      </c>
      <c r="E1985" s="40" t="s">
        <v>2233</v>
      </c>
      <c r="F1985" s="40">
        <v>1</v>
      </c>
      <c r="G1985" s="40"/>
      <c r="H1985" s="40" t="s">
        <v>2234</v>
      </c>
      <c r="I1985" s="40"/>
      <c r="J1985" s="40" t="s">
        <v>97</v>
      </c>
      <c r="K1985" s="40" t="s">
        <v>97</v>
      </c>
      <c r="L1985" s="40" t="s">
        <v>97</v>
      </c>
    </row>
    <row r="1986" spans="1:12" x14ac:dyDescent="0.25">
      <c r="A1986" s="40" t="s">
        <v>38</v>
      </c>
      <c r="B1986" s="40" t="s">
        <v>3405</v>
      </c>
      <c r="C1986" s="40" t="s">
        <v>3406</v>
      </c>
      <c r="D1986" s="40" t="s">
        <v>3407</v>
      </c>
      <c r="E1986" s="40" t="s">
        <v>3407</v>
      </c>
      <c r="F1986" s="40">
        <v>1</v>
      </c>
      <c r="G1986" s="40"/>
      <c r="H1986" s="40" t="s">
        <v>97</v>
      </c>
      <c r="I1986" s="40"/>
      <c r="J1986" s="40" t="s">
        <v>97</v>
      </c>
      <c r="K1986" s="40" t="s">
        <v>97</v>
      </c>
      <c r="L1986" s="40" t="s">
        <v>97</v>
      </c>
    </row>
    <row r="1987" spans="1:12" x14ac:dyDescent="0.25">
      <c r="A1987" s="40" t="s">
        <v>38</v>
      </c>
      <c r="B1987" s="40" t="s">
        <v>3408</v>
      </c>
      <c r="C1987" s="40" t="s">
        <v>3409</v>
      </c>
      <c r="D1987" s="40" t="s">
        <v>3246</v>
      </c>
      <c r="E1987" s="40" t="s">
        <v>3246</v>
      </c>
      <c r="F1987" s="40">
        <v>1</v>
      </c>
      <c r="G1987" s="40"/>
      <c r="H1987" s="40" t="s">
        <v>97</v>
      </c>
      <c r="I1987" s="40"/>
      <c r="J1987" s="40" t="s">
        <v>97</v>
      </c>
      <c r="K1987" s="40" t="s">
        <v>97</v>
      </c>
      <c r="L1987" s="40" t="s">
        <v>97</v>
      </c>
    </row>
    <row r="1988" spans="1:12" x14ac:dyDescent="0.25">
      <c r="A1988" s="40" t="s">
        <v>38</v>
      </c>
      <c r="B1988" s="40" t="s">
        <v>3410</v>
      </c>
      <c r="C1988" s="40" t="s">
        <v>3411</v>
      </c>
      <c r="D1988" s="40" t="s">
        <v>2233</v>
      </c>
      <c r="E1988" s="40" t="s">
        <v>2233</v>
      </c>
      <c r="F1988" s="40">
        <v>1</v>
      </c>
      <c r="G1988" s="40"/>
      <c r="H1988" s="40" t="s">
        <v>2234</v>
      </c>
      <c r="I1988" s="40"/>
      <c r="J1988" s="40" t="s">
        <v>97</v>
      </c>
      <c r="K1988" s="40" t="s">
        <v>97</v>
      </c>
      <c r="L1988" s="40" t="s">
        <v>97</v>
      </c>
    </row>
    <row r="1989" spans="1:12" x14ac:dyDescent="0.25">
      <c r="A1989" s="40" t="s">
        <v>38</v>
      </c>
      <c r="B1989" s="40" t="s">
        <v>3412</v>
      </c>
      <c r="C1989" s="40" t="s">
        <v>3413</v>
      </c>
      <c r="D1989" s="40" t="s">
        <v>2233</v>
      </c>
      <c r="E1989" s="40" t="s">
        <v>2233</v>
      </c>
      <c r="F1989" s="40">
        <v>1</v>
      </c>
      <c r="G1989" s="40"/>
      <c r="H1989" s="40" t="s">
        <v>2234</v>
      </c>
      <c r="I1989" s="40"/>
      <c r="J1989" s="40" t="s">
        <v>97</v>
      </c>
      <c r="K1989" s="40" t="s">
        <v>97</v>
      </c>
      <c r="L1989" s="40" t="s">
        <v>97</v>
      </c>
    </row>
    <row r="1990" spans="1:12" x14ac:dyDescent="0.25">
      <c r="A1990" s="40" t="s">
        <v>38</v>
      </c>
      <c r="B1990" s="40" t="s">
        <v>3414</v>
      </c>
      <c r="C1990" s="40" t="s">
        <v>3415</v>
      </c>
      <c r="D1990" s="40" t="s">
        <v>2233</v>
      </c>
      <c r="E1990" s="40" t="s">
        <v>2233</v>
      </c>
      <c r="F1990" s="40">
        <v>1</v>
      </c>
      <c r="G1990" s="40"/>
      <c r="H1990" s="40" t="s">
        <v>2234</v>
      </c>
      <c r="I1990" s="40"/>
      <c r="J1990" s="40" t="s">
        <v>97</v>
      </c>
      <c r="K1990" s="40" t="s">
        <v>97</v>
      </c>
      <c r="L1990" s="40" t="s">
        <v>97</v>
      </c>
    </row>
    <row r="1991" spans="1:12" x14ac:dyDescent="0.25">
      <c r="A1991" s="40" t="s">
        <v>38</v>
      </c>
      <c r="B1991" s="40" t="s">
        <v>3416</v>
      </c>
      <c r="C1991" s="40" t="s">
        <v>3417</v>
      </c>
      <c r="D1991" s="40" t="s">
        <v>2233</v>
      </c>
      <c r="E1991" s="40" t="s">
        <v>2233</v>
      </c>
      <c r="F1991" s="40">
        <v>1</v>
      </c>
      <c r="G1991" s="40"/>
      <c r="H1991" s="40" t="s">
        <v>2234</v>
      </c>
      <c r="I1991" s="40"/>
      <c r="J1991" s="40" t="s">
        <v>97</v>
      </c>
      <c r="K1991" s="40" t="s">
        <v>97</v>
      </c>
      <c r="L1991" s="40" t="s">
        <v>97</v>
      </c>
    </row>
    <row r="1992" spans="1:12" x14ac:dyDescent="0.25">
      <c r="A1992" s="40" t="s">
        <v>38</v>
      </c>
      <c r="B1992" s="40" t="s">
        <v>3418</v>
      </c>
      <c r="C1992" s="40" t="s">
        <v>3419</v>
      </c>
      <c r="D1992" s="40" t="s">
        <v>2233</v>
      </c>
      <c r="E1992" s="40" t="s">
        <v>2233</v>
      </c>
      <c r="F1992" s="40">
        <v>1</v>
      </c>
      <c r="G1992" s="40"/>
      <c r="H1992" s="40" t="s">
        <v>97</v>
      </c>
      <c r="I1992" s="40"/>
      <c r="J1992" s="40" t="s">
        <v>97</v>
      </c>
      <c r="K1992" s="40" t="s">
        <v>97</v>
      </c>
      <c r="L1992" s="40" t="s">
        <v>97</v>
      </c>
    </row>
    <row r="1993" spans="1:12" x14ac:dyDescent="0.25">
      <c r="A1993" s="40" t="s">
        <v>38</v>
      </c>
      <c r="B1993" s="40" t="s">
        <v>3420</v>
      </c>
      <c r="C1993" s="40" t="s">
        <v>3421</v>
      </c>
      <c r="D1993" s="40" t="s">
        <v>2233</v>
      </c>
      <c r="E1993" s="40" t="s">
        <v>2233</v>
      </c>
      <c r="F1993" s="40">
        <v>1</v>
      </c>
      <c r="G1993" s="40"/>
      <c r="H1993" s="40" t="s">
        <v>97</v>
      </c>
      <c r="I1993" s="40"/>
      <c r="J1993" s="40" t="s">
        <v>97</v>
      </c>
      <c r="K1993" s="40" t="s">
        <v>97</v>
      </c>
      <c r="L1993" s="40" t="s">
        <v>97</v>
      </c>
    </row>
    <row r="1994" spans="1:12" x14ac:dyDescent="0.25">
      <c r="A1994" s="40" t="s">
        <v>38</v>
      </c>
      <c r="B1994" s="40" t="s">
        <v>3422</v>
      </c>
      <c r="C1994" s="40" t="s">
        <v>3423</v>
      </c>
      <c r="D1994" s="40" t="s">
        <v>2233</v>
      </c>
      <c r="E1994" s="40" t="s">
        <v>2233</v>
      </c>
      <c r="F1994" s="40">
        <v>1</v>
      </c>
      <c r="G1994" s="40"/>
      <c r="H1994" s="40" t="s">
        <v>97</v>
      </c>
      <c r="I1994" s="40"/>
      <c r="J1994" s="40" t="s">
        <v>97</v>
      </c>
      <c r="K1994" s="40" t="s">
        <v>97</v>
      </c>
      <c r="L1994" s="40" t="s">
        <v>97</v>
      </c>
    </row>
    <row r="1995" spans="1:12" x14ac:dyDescent="0.25">
      <c r="A1995" s="40" t="s">
        <v>38</v>
      </c>
      <c r="B1995" s="40" t="s">
        <v>3424</v>
      </c>
      <c r="C1995" s="40" t="s">
        <v>3425</v>
      </c>
      <c r="D1995" s="40" t="s">
        <v>2233</v>
      </c>
      <c r="E1995" s="40" t="s">
        <v>2233</v>
      </c>
      <c r="F1995" s="40">
        <v>1</v>
      </c>
      <c r="G1995" s="40"/>
      <c r="H1995" s="40" t="s">
        <v>97</v>
      </c>
      <c r="I1995" s="40"/>
      <c r="J1995" s="40" t="s">
        <v>97</v>
      </c>
      <c r="K1995" s="40" t="s">
        <v>97</v>
      </c>
      <c r="L1995" s="40" t="s">
        <v>97</v>
      </c>
    </row>
    <row r="1996" spans="1:12" x14ac:dyDescent="0.25">
      <c r="A1996" s="40" t="s">
        <v>38</v>
      </c>
      <c r="B1996" s="40" t="s">
        <v>3426</v>
      </c>
      <c r="C1996" s="40" t="s">
        <v>3427</v>
      </c>
      <c r="D1996" s="40" t="s">
        <v>2233</v>
      </c>
      <c r="E1996" s="40" t="s">
        <v>2233</v>
      </c>
      <c r="F1996" s="40">
        <v>1</v>
      </c>
      <c r="G1996" s="40"/>
      <c r="H1996" s="40" t="s">
        <v>97</v>
      </c>
      <c r="I1996" s="40"/>
      <c r="J1996" s="40" t="s">
        <v>97</v>
      </c>
      <c r="K1996" s="40" t="s">
        <v>97</v>
      </c>
      <c r="L1996" s="40" t="s">
        <v>97</v>
      </c>
    </row>
    <row r="1997" spans="1:12" x14ac:dyDescent="0.25">
      <c r="A1997" s="40" t="s">
        <v>38</v>
      </c>
      <c r="B1997" s="40" t="s">
        <v>3428</v>
      </c>
      <c r="C1997" s="40" t="s">
        <v>3429</v>
      </c>
      <c r="D1997" s="40" t="s">
        <v>2233</v>
      </c>
      <c r="E1997" s="40" t="s">
        <v>2233</v>
      </c>
      <c r="F1997" s="40">
        <v>1</v>
      </c>
      <c r="G1997" s="40"/>
      <c r="H1997" s="40" t="s">
        <v>97</v>
      </c>
      <c r="I1997" s="40"/>
      <c r="J1997" s="40" t="s">
        <v>97</v>
      </c>
      <c r="K1997" s="40" t="s">
        <v>97</v>
      </c>
      <c r="L1997" s="40" t="s">
        <v>97</v>
      </c>
    </row>
    <row r="1998" spans="1:12" x14ac:dyDescent="0.25">
      <c r="A1998" s="40" t="s">
        <v>38</v>
      </c>
      <c r="B1998" s="40" t="s">
        <v>3430</v>
      </c>
      <c r="C1998" s="40" t="s">
        <v>3431</v>
      </c>
      <c r="D1998" s="40" t="s">
        <v>2233</v>
      </c>
      <c r="E1998" s="40" t="s">
        <v>2233</v>
      </c>
      <c r="F1998" s="40">
        <v>1</v>
      </c>
      <c r="G1998" s="40"/>
      <c r="H1998" s="40" t="s">
        <v>97</v>
      </c>
      <c r="I1998" s="40"/>
      <c r="J1998" s="40" t="s">
        <v>97</v>
      </c>
      <c r="K1998" s="40" t="s">
        <v>97</v>
      </c>
      <c r="L1998" s="40" t="s">
        <v>97</v>
      </c>
    </row>
    <row r="1999" spans="1:12" x14ac:dyDescent="0.25">
      <c r="A1999" s="40" t="s">
        <v>38</v>
      </c>
      <c r="B1999" s="40" t="s">
        <v>3432</v>
      </c>
      <c r="C1999" s="40" t="s">
        <v>3433</v>
      </c>
      <c r="D1999" s="40" t="s">
        <v>2233</v>
      </c>
      <c r="E1999" s="40" t="s">
        <v>2233</v>
      </c>
      <c r="F1999" s="40">
        <v>1</v>
      </c>
      <c r="G1999" s="40"/>
      <c r="H1999" s="40" t="s">
        <v>97</v>
      </c>
      <c r="I1999" s="40"/>
      <c r="J1999" s="40" t="s">
        <v>97</v>
      </c>
      <c r="K1999" s="40" t="s">
        <v>97</v>
      </c>
      <c r="L1999" s="40" t="s">
        <v>97</v>
      </c>
    </row>
    <row r="2000" spans="1:12" x14ac:dyDescent="0.25">
      <c r="A2000" s="40" t="s">
        <v>38</v>
      </c>
      <c r="B2000" s="40" t="s">
        <v>3434</v>
      </c>
      <c r="C2000" s="40" t="s">
        <v>3435</v>
      </c>
      <c r="D2000" s="40" t="s">
        <v>2233</v>
      </c>
      <c r="E2000" s="40" t="s">
        <v>2233</v>
      </c>
      <c r="F2000" s="40">
        <v>1</v>
      </c>
      <c r="G2000" s="40"/>
      <c r="H2000" s="40" t="s">
        <v>97</v>
      </c>
      <c r="I2000" s="40"/>
      <c r="J2000" s="40" t="s">
        <v>97</v>
      </c>
      <c r="K2000" s="40" t="s">
        <v>97</v>
      </c>
      <c r="L2000" s="40" t="s">
        <v>97</v>
      </c>
    </row>
    <row r="2001" spans="1:12" x14ac:dyDescent="0.25">
      <c r="A2001" s="40" t="s">
        <v>38</v>
      </c>
      <c r="B2001" s="40" t="s">
        <v>3436</v>
      </c>
      <c r="C2001" s="40" t="s">
        <v>3437</v>
      </c>
      <c r="D2001" s="40" t="s">
        <v>2233</v>
      </c>
      <c r="E2001" s="40" t="s">
        <v>2233</v>
      </c>
      <c r="F2001" s="40">
        <v>1</v>
      </c>
      <c r="G2001" s="40"/>
      <c r="H2001" s="40" t="s">
        <v>97</v>
      </c>
      <c r="I2001" s="40"/>
      <c r="J2001" s="40" t="s">
        <v>97</v>
      </c>
      <c r="K2001" s="40" t="s">
        <v>97</v>
      </c>
      <c r="L2001" s="40" t="s">
        <v>97</v>
      </c>
    </row>
    <row r="2002" spans="1:12" x14ac:dyDescent="0.25">
      <c r="A2002" s="40" t="s">
        <v>38</v>
      </c>
      <c r="B2002" s="40" t="s">
        <v>3438</v>
      </c>
      <c r="C2002" s="40" t="s">
        <v>3439</v>
      </c>
      <c r="D2002" s="40" t="s">
        <v>2233</v>
      </c>
      <c r="E2002" s="40" t="s">
        <v>2233</v>
      </c>
      <c r="F2002" s="40">
        <v>1</v>
      </c>
      <c r="G2002" s="40"/>
      <c r="H2002" s="40" t="s">
        <v>2234</v>
      </c>
      <c r="I2002" s="40"/>
      <c r="J2002" s="40" t="s">
        <v>97</v>
      </c>
      <c r="K2002" s="40" t="s">
        <v>97</v>
      </c>
      <c r="L2002" s="40" t="s">
        <v>97</v>
      </c>
    </row>
    <row r="2003" spans="1:12" x14ac:dyDescent="0.25">
      <c r="A2003" s="40" t="s">
        <v>38</v>
      </c>
      <c r="B2003" s="40" t="s">
        <v>3440</v>
      </c>
      <c r="C2003" s="40" t="s">
        <v>3441</v>
      </c>
      <c r="D2003" s="40" t="s">
        <v>2233</v>
      </c>
      <c r="E2003" s="40" t="s">
        <v>2233</v>
      </c>
      <c r="F2003" s="40">
        <v>1</v>
      </c>
      <c r="G2003" s="40"/>
      <c r="H2003" s="40" t="s">
        <v>2234</v>
      </c>
      <c r="I2003" s="40"/>
      <c r="J2003" s="40" t="s">
        <v>97</v>
      </c>
      <c r="K2003" s="40" t="s">
        <v>97</v>
      </c>
      <c r="L2003" s="40" t="s">
        <v>97</v>
      </c>
    </row>
    <row r="2004" spans="1:12" x14ac:dyDescent="0.25">
      <c r="A2004" s="40" t="s">
        <v>38</v>
      </c>
      <c r="B2004" s="40" t="s">
        <v>3442</v>
      </c>
      <c r="C2004" s="40" t="s">
        <v>3443</v>
      </c>
      <c r="D2004" s="40" t="s">
        <v>2233</v>
      </c>
      <c r="E2004" s="40" t="s">
        <v>2233</v>
      </c>
      <c r="F2004" s="40">
        <v>1</v>
      </c>
      <c r="G2004" s="40"/>
      <c r="H2004" s="40" t="s">
        <v>2234</v>
      </c>
      <c r="I2004" s="40"/>
      <c r="J2004" s="40" t="s">
        <v>97</v>
      </c>
      <c r="K2004" s="40" t="s">
        <v>97</v>
      </c>
      <c r="L2004" s="40" t="s">
        <v>97</v>
      </c>
    </row>
    <row r="2005" spans="1:12" x14ac:dyDescent="0.25">
      <c r="A2005" s="40" t="s">
        <v>38</v>
      </c>
      <c r="B2005" s="40" t="s">
        <v>3444</v>
      </c>
      <c r="C2005" s="40" t="s">
        <v>3445</v>
      </c>
      <c r="D2005" s="40" t="s">
        <v>2233</v>
      </c>
      <c r="E2005" s="40" t="s">
        <v>2233</v>
      </c>
      <c r="F2005" s="40">
        <v>1</v>
      </c>
      <c r="G2005" s="40"/>
      <c r="H2005" s="40" t="s">
        <v>2234</v>
      </c>
      <c r="I2005" s="40"/>
      <c r="J2005" s="40" t="s">
        <v>97</v>
      </c>
      <c r="K2005" s="40" t="s">
        <v>97</v>
      </c>
      <c r="L2005" s="40" t="s">
        <v>97</v>
      </c>
    </row>
    <row r="2006" spans="1:12" x14ac:dyDescent="0.25">
      <c r="A2006" s="40" t="s">
        <v>38</v>
      </c>
      <c r="B2006" s="40" t="s">
        <v>3446</v>
      </c>
      <c r="C2006" s="40" t="s">
        <v>3447</v>
      </c>
      <c r="D2006" s="40" t="s">
        <v>2233</v>
      </c>
      <c r="E2006" s="40" t="s">
        <v>2233</v>
      </c>
      <c r="F2006" s="40">
        <v>1</v>
      </c>
      <c r="G2006" s="40"/>
      <c r="H2006" s="40" t="s">
        <v>2234</v>
      </c>
      <c r="I2006" s="40"/>
      <c r="J2006" s="40" t="s">
        <v>97</v>
      </c>
      <c r="K2006" s="40" t="s">
        <v>97</v>
      </c>
      <c r="L2006" s="40" t="s">
        <v>97</v>
      </c>
    </row>
    <row r="2007" spans="1:12" x14ac:dyDescent="0.25">
      <c r="A2007" s="40" t="s">
        <v>38</v>
      </c>
      <c r="B2007" s="40" t="s">
        <v>3448</v>
      </c>
      <c r="C2007" s="40" t="s">
        <v>3449</v>
      </c>
      <c r="D2007" s="40" t="s">
        <v>2233</v>
      </c>
      <c r="E2007" s="40" t="s">
        <v>2233</v>
      </c>
      <c r="F2007" s="40">
        <v>1</v>
      </c>
      <c r="G2007" s="40"/>
      <c r="H2007" s="40" t="s">
        <v>2234</v>
      </c>
      <c r="I2007" s="40"/>
      <c r="J2007" s="40" t="s">
        <v>97</v>
      </c>
      <c r="K2007" s="40" t="s">
        <v>97</v>
      </c>
      <c r="L2007" s="40" t="s">
        <v>97</v>
      </c>
    </row>
    <row r="2008" spans="1:12" x14ac:dyDescent="0.25">
      <c r="A2008" s="40" t="s">
        <v>38</v>
      </c>
      <c r="B2008" s="40" t="s">
        <v>3450</v>
      </c>
      <c r="C2008" s="40" t="s">
        <v>3451</v>
      </c>
      <c r="D2008" s="40" t="s">
        <v>2233</v>
      </c>
      <c r="E2008" s="40" t="s">
        <v>2233</v>
      </c>
      <c r="F2008" s="40">
        <v>1</v>
      </c>
      <c r="G2008" s="40"/>
      <c r="H2008" s="40" t="s">
        <v>2234</v>
      </c>
      <c r="I2008" s="40"/>
      <c r="J2008" s="40" t="s">
        <v>97</v>
      </c>
      <c r="K2008" s="40" t="s">
        <v>97</v>
      </c>
      <c r="L2008" s="40" t="s">
        <v>97</v>
      </c>
    </row>
    <row r="2009" spans="1:12" x14ac:dyDescent="0.25">
      <c r="A2009" s="40" t="s">
        <v>38</v>
      </c>
      <c r="B2009" s="40" t="s">
        <v>3452</v>
      </c>
      <c r="C2009" s="40" t="s">
        <v>3453</v>
      </c>
      <c r="D2009" s="40" t="s">
        <v>2233</v>
      </c>
      <c r="E2009" s="40" t="s">
        <v>2233</v>
      </c>
      <c r="F2009" s="40">
        <v>1</v>
      </c>
      <c r="G2009" s="40"/>
      <c r="H2009" s="40" t="s">
        <v>2234</v>
      </c>
      <c r="I2009" s="40"/>
      <c r="J2009" s="40" t="s">
        <v>97</v>
      </c>
      <c r="K2009" s="40" t="s">
        <v>97</v>
      </c>
      <c r="L2009" s="40" t="s">
        <v>97</v>
      </c>
    </row>
    <row r="2010" spans="1:12" x14ac:dyDescent="0.25">
      <c r="A2010" s="40" t="s">
        <v>38</v>
      </c>
      <c r="B2010" s="40" t="s">
        <v>3454</v>
      </c>
      <c r="C2010" s="40" t="s">
        <v>3455</v>
      </c>
      <c r="D2010" s="40" t="s">
        <v>2233</v>
      </c>
      <c r="E2010" s="40" t="s">
        <v>2233</v>
      </c>
      <c r="F2010" s="40">
        <v>1</v>
      </c>
      <c r="G2010" s="40"/>
      <c r="H2010" s="40" t="s">
        <v>2234</v>
      </c>
      <c r="I2010" s="40"/>
      <c r="J2010" s="40" t="s">
        <v>97</v>
      </c>
      <c r="K2010" s="40" t="s">
        <v>97</v>
      </c>
      <c r="L2010" s="40" t="s">
        <v>97</v>
      </c>
    </row>
    <row r="2011" spans="1:12" x14ac:dyDescent="0.25">
      <c r="A2011" s="40" t="s">
        <v>38</v>
      </c>
      <c r="B2011" s="40" t="s">
        <v>3456</v>
      </c>
      <c r="C2011" s="40" t="s">
        <v>3457</v>
      </c>
      <c r="D2011" s="40" t="s">
        <v>2233</v>
      </c>
      <c r="E2011" s="40" t="s">
        <v>2233</v>
      </c>
      <c r="F2011" s="40">
        <v>1</v>
      </c>
      <c r="G2011" s="40"/>
      <c r="H2011" s="40" t="s">
        <v>2234</v>
      </c>
      <c r="I2011" s="40"/>
      <c r="J2011" s="40" t="s">
        <v>97</v>
      </c>
      <c r="K2011" s="40" t="s">
        <v>97</v>
      </c>
      <c r="L2011" s="40" t="s">
        <v>97</v>
      </c>
    </row>
    <row r="2012" spans="1:12" x14ac:dyDescent="0.25">
      <c r="A2012" s="40" t="s">
        <v>38</v>
      </c>
      <c r="B2012" s="40" t="s">
        <v>3458</v>
      </c>
      <c r="C2012" s="40" t="s">
        <v>3459</v>
      </c>
      <c r="D2012" s="40" t="s">
        <v>2233</v>
      </c>
      <c r="E2012" s="40" t="s">
        <v>2233</v>
      </c>
      <c r="F2012" s="40">
        <v>1</v>
      </c>
      <c r="G2012" s="40"/>
      <c r="H2012" s="40" t="s">
        <v>2234</v>
      </c>
      <c r="I2012" s="40"/>
      <c r="J2012" s="40" t="s">
        <v>97</v>
      </c>
      <c r="K2012" s="40" t="s">
        <v>97</v>
      </c>
      <c r="L2012" s="40" t="s">
        <v>97</v>
      </c>
    </row>
    <row r="2013" spans="1:12" x14ac:dyDescent="0.25">
      <c r="A2013" s="40" t="s">
        <v>38</v>
      </c>
      <c r="B2013" s="40" t="s">
        <v>3460</v>
      </c>
      <c r="C2013" s="40" t="s">
        <v>3461</v>
      </c>
      <c r="D2013" s="40" t="s">
        <v>3462</v>
      </c>
      <c r="E2013" s="40" t="s">
        <v>3462</v>
      </c>
      <c r="F2013" s="40">
        <v>1</v>
      </c>
      <c r="G2013" s="40"/>
      <c r="H2013" s="40" t="s">
        <v>97</v>
      </c>
      <c r="I2013" s="40"/>
      <c r="J2013" s="40" t="s">
        <v>97</v>
      </c>
      <c r="K2013" s="40" t="s">
        <v>97</v>
      </c>
      <c r="L2013" s="40" t="s">
        <v>97</v>
      </c>
    </row>
    <row r="2014" spans="1:12" x14ac:dyDescent="0.25">
      <c r="A2014" s="40" t="s">
        <v>38</v>
      </c>
      <c r="B2014" s="40" t="s">
        <v>3463</v>
      </c>
      <c r="C2014" s="40" t="s">
        <v>3464</v>
      </c>
      <c r="D2014" s="40" t="s">
        <v>3246</v>
      </c>
      <c r="E2014" s="40" t="s">
        <v>3246</v>
      </c>
      <c r="F2014" s="40">
        <v>1</v>
      </c>
      <c r="G2014" s="40"/>
      <c r="H2014" s="40" t="s">
        <v>97</v>
      </c>
      <c r="I2014" s="40"/>
      <c r="J2014" s="40" t="s">
        <v>97</v>
      </c>
      <c r="K2014" s="40" t="s">
        <v>97</v>
      </c>
      <c r="L2014" s="40" t="s">
        <v>97</v>
      </c>
    </row>
    <row r="2015" spans="1:12" x14ac:dyDescent="0.25">
      <c r="A2015" s="40" t="s">
        <v>38</v>
      </c>
      <c r="B2015" s="40" t="s">
        <v>3465</v>
      </c>
      <c r="C2015" s="40" t="s">
        <v>3466</v>
      </c>
      <c r="D2015" s="40" t="s">
        <v>2233</v>
      </c>
      <c r="E2015" s="40" t="s">
        <v>2233</v>
      </c>
      <c r="F2015" s="40">
        <v>1</v>
      </c>
      <c r="G2015" s="40"/>
      <c r="H2015" s="40" t="s">
        <v>2234</v>
      </c>
      <c r="I2015" s="40"/>
      <c r="J2015" s="40" t="s">
        <v>97</v>
      </c>
      <c r="K2015" s="40" t="s">
        <v>97</v>
      </c>
      <c r="L2015" s="40" t="s">
        <v>97</v>
      </c>
    </row>
    <row r="2016" spans="1:12" x14ac:dyDescent="0.25">
      <c r="A2016" s="40" t="s">
        <v>38</v>
      </c>
      <c r="B2016" s="40" t="s">
        <v>3467</v>
      </c>
      <c r="C2016" s="40" t="s">
        <v>3468</v>
      </c>
      <c r="D2016" s="40" t="s">
        <v>2233</v>
      </c>
      <c r="E2016" s="40" t="s">
        <v>2233</v>
      </c>
      <c r="F2016" s="40">
        <v>1</v>
      </c>
      <c r="G2016" s="40"/>
      <c r="H2016" s="40" t="s">
        <v>2234</v>
      </c>
      <c r="I2016" s="40"/>
      <c r="J2016" s="40" t="s">
        <v>97</v>
      </c>
      <c r="K2016" s="40" t="s">
        <v>97</v>
      </c>
      <c r="L2016" s="40" t="s">
        <v>97</v>
      </c>
    </row>
    <row r="2017" spans="1:12" x14ac:dyDescent="0.25">
      <c r="A2017" s="40" t="s">
        <v>38</v>
      </c>
      <c r="B2017" s="40" t="s">
        <v>3469</v>
      </c>
      <c r="C2017" s="40" t="s">
        <v>3470</v>
      </c>
      <c r="D2017" s="40" t="s">
        <v>2233</v>
      </c>
      <c r="E2017" s="40" t="s">
        <v>2233</v>
      </c>
      <c r="F2017" s="40">
        <v>1</v>
      </c>
      <c r="G2017" s="40"/>
      <c r="H2017" s="40" t="s">
        <v>2234</v>
      </c>
      <c r="I2017" s="40"/>
      <c r="J2017" s="40" t="s">
        <v>97</v>
      </c>
      <c r="K2017" s="40" t="s">
        <v>97</v>
      </c>
      <c r="L2017" s="40" t="s">
        <v>97</v>
      </c>
    </row>
    <row r="2018" spans="1:12" x14ac:dyDescent="0.25">
      <c r="A2018" s="40" t="s">
        <v>38</v>
      </c>
      <c r="B2018" s="40" t="s">
        <v>3471</v>
      </c>
      <c r="C2018" s="40" t="s">
        <v>3472</v>
      </c>
      <c r="D2018" s="40" t="s">
        <v>2233</v>
      </c>
      <c r="E2018" s="40" t="s">
        <v>2233</v>
      </c>
      <c r="F2018" s="40">
        <v>1</v>
      </c>
      <c r="G2018" s="40"/>
      <c r="H2018" s="40" t="s">
        <v>2234</v>
      </c>
      <c r="I2018" s="40"/>
      <c r="J2018" s="40" t="s">
        <v>97</v>
      </c>
      <c r="K2018" s="40" t="s">
        <v>97</v>
      </c>
      <c r="L2018" s="40" t="s">
        <v>97</v>
      </c>
    </row>
    <row r="2019" spans="1:12" x14ac:dyDescent="0.25">
      <c r="A2019" s="40" t="s">
        <v>38</v>
      </c>
      <c r="B2019" s="40" t="s">
        <v>3473</v>
      </c>
      <c r="C2019" s="40" t="s">
        <v>3474</v>
      </c>
      <c r="D2019" s="40" t="s">
        <v>2233</v>
      </c>
      <c r="E2019" s="40" t="s">
        <v>2233</v>
      </c>
      <c r="F2019" s="40">
        <v>1</v>
      </c>
      <c r="G2019" s="40"/>
      <c r="H2019" s="40" t="s">
        <v>97</v>
      </c>
      <c r="I2019" s="40"/>
      <c r="J2019" s="40" t="s">
        <v>97</v>
      </c>
      <c r="K2019" s="40" t="s">
        <v>97</v>
      </c>
      <c r="L2019" s="40" t="s">
        <v>97</v>
      </c>
    </row>
    <row r="2020" spans="1:12" x14ac:dyDescent="0.25">
      <c r="A2020" s="40" t="s">
        <v>38</v>
      </c>
      <c r="B2020" s="40" t="s">
        <v>3475</v>
      </c>
      <c r="C2020" s="40" t="s">
        <v>3476</v>
      </c>
      <c r="D2020" s="40" t="s">
        <v>2233</v>
      </c>
      <c r="E2020" s="40" t="s">
        <v>2233</v>
      </c>
      <c r="F2020" s="40">
        <v>1</v>
      </c>
      <c r="G2020" s="40"/>
      <c r="H2020" s="40" t="s">
        <v>97</v>
      </c>
      <c r="I2020" s="40"/>
      <c r="J2020" s="40" t="s">
        <v>97</v>
      </c>
      <c r="K2020" s="40" t="s">
        <v>97</v>
      </c>
      <c r="L2020" s="40" t="s">
        <v>97</v>
      </c>
    </row>
    <row r="2021" spans="1:12" x14ac:dyDescent="0.25">
      <c r="A2021" s="40" t="s">
        <v>38</v>
      </c>
      <c r="B2021" s="40" t="s">
        <v>3477</v>
      </c>
      <c r="C2021" s="40" t="s">
        <v>3478</v>
      </c>
      <c r="D2021" s="40" t="s">
        <v>2233</v>
      </c>
      <c r="E2021" s="40" t="s">
        <v>2233</v>
      </c>
      <c r="F2021" s="40">
        <v>1</v>
      </c>
      <c r="G2021" s="40"/>
      <c r="H2021" s="40" t="s">
        <v>97</v>
      </c>
      <c r="I2021" s="40"/>
      <c r="J2021" s="40" t="s">
        <v>97</v>
      </c>
      <c r="K2021" s="40" t="s">
        <v>97</v>
      </c>
      <c r="L2021" s="40" t="s">
        <v>97</v>
      </c>
    </row>
    <row r="2022" spans="1:12" x14ac:dyDescent="0.25">
      <c r="A2022" s="40" t="s">
        <v>38</v>
      </c>
      <c r="B2022" s="40" t="s">
        <v>3479</v>
      </c>
      <c r="C2022" s="40" t="s">
        <v>3480</v>
      </c>
      <c r="D2022" s="40" t="s">
        <v>2233</v>
      </c>
      <c r="E2022" s="40" t="s">
        <v>2233</v>
      </c>
      <c r="F2022" s="40">
        <v>1</v>
      </c>
      <c r="G2022" s="40"/>
      <c r="H2022" s="40" t="s">
        <v>97</v>
      </c>
      <c r="I2022" s="40"/>
      <c r="J2022" s="40" t="s">
        <v>97</v>
      </c>
      <c r="K2022" s="40" t="s">
        <v>97</v>
      </c>
      <c r="L2022" s="40" t="s">
        <v>97</v>
      </c>
    </row>
    <row r="2023" spans="1:12" x14ac:dyDescent="0.25">
      <c r="A2023" s="40" t="s">
        <v>38</v>
      </c>
      <c r="B2023" s="40" t="s">
        <v>3481</v>
      </c>
      <c r="C2023" s="40" t="s">
        <v>3482</v>
      </c>
      <c r="D2023" s="40" t="s">
        <v>2233</v>
      </c>
      <c r="E2023" s="40" t="s">
        <v>2233</v>
      </c>
      <c r="F2023" s="40">
        <v>1</v>
      </c>
      <c r="G2023" s="40"/>
      <c r="H2023" s="40" t="s">
        <v>97</v>
      </c>
      <c r="I2023" s="40"/>
      <c r="J2023" s="40" t="s">
        <v>97</v>
      </c>
      <c r="K2023" s="40" t="s">
        <v>97</v>
      </c>
      <c r="L2023" s="40" t="s">
        <v>97</v>
      </c>
    </row>
    <row r="2024" spans="1:12" x14ac:dyDescent="0.25">
      <c r="A2024" s="40" t="s">
        <v>38</v>
      </c>
      <c r="B2024" s="40" t="s">
        <v>3483</v>
      </c>
      <c r="C2024" s="40" t="s">
        <v>3484</v>
      </c>
      <c r="D2024" s="40" t="s">
        <v>2233</v>
      </c>
      <c r="E2024" s="40" t="s">
        <v>2233</v>
      </c>
      <c r="F2024" s="40">
        <v>1</v>
      </c>
      <c r="G2024" s="40"/>
      <c r="H2024" s="40" t="s">
        <v>97</v>
      </c>
      <c r="I2024" s="40"/>
      <c r="J2024" s="40" t="s">
        <v>97</v>
      </c>
      <c r="K2024" s="40" t="s">
        <v>97</v>
      </c>
      <c r="L2024" s="40" t="s">
        <v>97</v>
      </c>
    </row>
    <row r="2025" spans="1:12" x14ac:dyDescent="0.25">
      <c r="A2025" s="40" t="s">
        <v>38</v>
      </c>
      <c r="B2025" s="40" t="s">
        <v>3485</v>
      </c>
      <c r="C2025" s="40" t="s">
        <v>3486</v>
      </c>
      <c r="D2025" s="40" t="s">
        <v>2233</v>
      </c>
      <c r="E2025" s="40" t="s">
        <v>2233</v>
      </c>
      <c r="F2025" s="40">
        <v>1</v>
      </c>
      <c r="G2025" s="40"/>
      <c r="H2025" s="40" t="s">
        <v>97</v>
      </c>
      <c r="I2025" s="40"/>
      <c r="J2025" s="40" t="s">
        <v>97</v>
      </c>
      <c r="K2025" s="40" t="s">
        <v>97</v>
      </c>
      <c r="L2025" s="40" t="s">
        <v>97</v>
      </c>
    </row>
    <row r="2026" spans="1:12" x14ac:dyDescent="0.25">
      <c r="A2026" s="40" t="s">
        <v>38</v>
      </c>
      <c r="B2026" s="40" t="s">
        <v>3487</v>
      </c>
      <c r="C2026" s="40" t="s">
        <v>3488</v>
      </c>
      <c r="D2026" s="40" t="s">
        <v>2233</v>
      </c>
      <c r="E2026" s="40" t="s">
        <v>2233</v>
      </c>
      <c r="F2026" s="40">
        <v>1</v>
      </c>
      <c r="G2026" s="40"/>
      <c r="H2026" s="40" t="s">
        <v>97</v>
      </c>
      <c r="I2026" s="40"/>
      <c r="J2026" s="40" t="s">
        <v>97</v>
      </c>
      <c r="K2026" s="40" t="s">
        <v>97</v>
      </c>
      <c r="L2026" s="40" t="s">
        <v>97</v>
      </c>
    </row>
    <row r="2027" spans="1:12" x14ac:dyDescent="0.25">
      <c r="A2027" s="40" t="s">
        <v>38</v>
      </c>
      <c r="B2027" s="40" t="s">
        <v>3489</v>
      </c>
      <c r="C2027" s="40" t="s">
        <v>3490</v>
      </c>
      <c r="D2027" s="40" t="s">
        <v>2233</v>
      </c>
      <c r="E2027" s="40" t="s">
        <v>2233</v>
      </c>
      <c r="F2027" s="40">
        <v>1</v>
      </c>
      <c r="G2027" s="40"/>
      <c r="H2027" s="40" t="s">
        <v>97</v>
      </c>
      <c r="I2027" s="40"/>
      <c r="J2027" s="40" t="s">
        <v>97</v>
      </c>
      <c r="K2027" s="40" t="s">
        <v>97</v>
      </c>
      <c r="L2027" s="40" t="s">
        <v>97</v>
      </c>
    </row>
    <row r="2028" spans="1:12" x14ac:dyDescent="0.25">
      <c r="A2028" s="40" t="s">
        <v>38</v>
      </c>
      <c r="B2028" s="40" t="s">
        <v>3491</v>
      </c>
      <c r="C2028" s="40" t="s">
        <v>3492</v>
      </c>
      <c r="D2028" s="40" t="s">
        <v>2233</v>
      </c>
      <c r="E2028" s="40" t="s">
        <v>2233</v>
      </c>
      <c r="F2028" s="40">
        <v>1</v>
      </c>
      <c r="G2028" s="40"/>
      <c r="H2028" s="40" t="s">
        <v>97</v>
      </c>
      <c r="I2028" s="40"/>
      <c r="J2028" s="40" t="s">
        <v>97</v>
      </c>
      <c r="K2028" s="40" t="s">
        <v>97</v>
      </c>
      <c r="L2028" s="40" t="s">
        <v>97</v>
      </c>
    </row>
    <row r="2029" spans="1:12" x14ac:dyDescent="0.25">
      <c r="A2029" s="40" t="s">
        <v>38</v>
      </c>
      <c r="B2029" s="40" t="s">
        <v>3493</v>
      </c>
      <c r="C2029" s="40" t="s">
        <v>3494</v>
      </c>
      <c r="D2029" s="40" t="s">
        <v>2233</v>
      </c>
      <c r="E2029" s="40" t="s">
        <v>2233</v>
      </c>
      <c r="F2029" s="40">
        <v>1</v>
      </c>
      <c r="G2029" s="40"/>
      <c r="H2029" s="40" t="s">
        <v>2234</v>
      </c>
      <c r="I2029" s="40"/>
      <c r="J2029" s="40" t="s">
        <v>97</v>
      </c>
      <c r="K2029" s="40" t="s">
        <v>97</v>
      </c>
      <c r="L2029" s="40" t="s">
        <v>97</v>
      </c>
    </row>
    <row r="2030" spans="1:12" x14ac:dyDescent="0.25">
      <c r="A2030" s="40" t="s">
        <v>38</v>
      </c>
      <c r="B2030" s="40" t="s">
        <v>3495</v>
      </c>
      <c r="C2030" s="40" t="s">
        <v>3496</v>
      </c>
      <c r="D2030" s="40" t="s">
        <v>2233</v>
      </c>
      <c r="E2030" s="40" t="s">
        <v>2233</v>
      </c>
      <c r="F2030" s="40">
        <v>1</v>
      </c>
      <c r="G2030" s="40"/>
      <c r="H2030" s="40" t="s">
        <v>2234</v>
      </c>
      <c r="I2030" s="40"/>
      <c r="J2030" s="40" t="s">
        <v>97</v>
      </c>
      <c r="K2030" s="40" t="s">
        <v>97</v>
      </c>
      <c r="L2030" s="40" t="s">
        <v>97</v>
      </c>
    </row>
    <row r="2031" spans="1:12" x14ac:dyDescent="0.25">
      <c r="A2031" s="40" t="s">
        <v>38</v>
      </c>
      <c r="B2031" s="40" t="s">
        <v>3497</v>
      </c>
      <c r="C2031" s="40" t="s">
        <v>3498</v>
      </c>
      <c r="D2031" s="40" t="s">
        <v>2233</v>
      </c>
      <c r="E2031" s="40" t="s">
        <v>2233</v>
      </c>
      <c r="F2031" s="40">
        <v>1</v>
      </c>
      <c r="G2031" s="40"/>
      <c r="H2031" s="40" t="s">
        <v>2234</v>
      </c>
      <c r="I2031" s="40"/>
      <c r="J2031" s="40" t="s">
        <v>97</v>
      </c>
      <c r="K2031" s="40" t="s">
        <v>97</v>
      </c>
      <c r="L2031" s="40" t="s">
        <v>97</v>
      </c>
    </row>
    <row r="2032" spans="1:12" x14ac:dyDescent="0.25">
      <c r="A2032" s="40" t="s">
        <v>38</v>
      </c>
      <c r="B2032" s="40" t="s">
        <v>3499</v>
      </c>
      <c r="C2032" s="40" t="s">
        <v>3500</v>
      </c>
      <c r="D2032" s="40" t="s">
        <v>2233</v>
      </c>
      <c r="E2032" s="40" t="s">
        <v>2233</v>
      </c>
      <c r="F2032" s="40">
        <v>1</v>
      </c>
      <c r="G2032" s="40"/>
      <c r="H2032" s="40" t="s">
        <v>2234</v>
      </c>
      <c r="I2032" s="40"/>
      <c r="J2032" s="40" t="s">
        <v>97</v>
      </c>
      <c r="K2032" s="40" t="s">
        <v>97</v>
      </c>
      <c r="L2032" s="40" t="s">
        <v>97</v>
      </c>
    </row>
    <row r="2033" spans="1:12" x14ac:dyDescent="0.25">
      <c r="A2033" s="40" t="s">
        <v>38</v>
      </c>
      <c r="B2033" s="40" t="s">
        <v>3501</v>
      </c>
      <c r="C2033" s="40" t="s">
        <v>3502</v>
      </c>
      <c r="D2033" s="40" t="s">
        <v>2233</v>
      </c>
      <c r="E2033" s="40" t="s">
        <v>2233</v>
      </c>
      <c r="F2033" s="40">
        <v>1</v>
      </c>
      <c r="G2033" s="40"/>
      <c r="H2033" s="40" t="s">
        <v>2234</v>
      </c>
      <c r="I2033" s="40"/>
      <c r="J2033" s="40" t="s">
        <v>97</v>
      </c>
      <c r="K2033" s="40" t="s">
        <v>97</v>
      </c>
      <c r="L2033" s="40" t="s">
        <v>97</v>
      </c>
    </row>
    <row r="2034" spans="1:12" x14ac:dyDescent="0.25">
      <c r="A2034" s="40" t="s">
        <v>38</v>
      </c>
      <c r="B2034" s="40" t="s">
        <v>3503</v>
      </c>
      <c r="C2034" s="40" t="s">
        <v>3504</v>
      </c>
      <c r="D2034" s="40" t="s">
        <v>2233</v>
      </c>
      <c r="E2034" s="40" t="s">
        <v>2233</v>
      </c>
      <c r="F2034" s="40">
        <v>1</v>
      </c>
      <c r="G2034" s="40"/>
      <c r="H2034" s="40" t="s">
        <v>2234</v>
      </c>
      <c r="I2034" s="40"/>
      <c r="J2034" s="40" t="s">
        <v>97</v>
      </c>
      <c r="K2034" s="40" t="s">
        <v>97</v>
      </c>
      <c r="L2034" s="40" t="s">
        <v>97</v>
      </c>
    </row>
    <row r="2035" spans="1:12" x14ac:dyDescent="0.25">
      <c r="A2035" s="40" t="s">
        <v>38</v>
      </c>
      <c r="B2035" s="40" t="s">
        <v>3505</v>
      </c>
      <c r="C2035" s="40" t="s">
        <v>3506</v>
      </c>
      <c r="D2035" s="40" t="s">
        <v>2233</v>
      </c>
      <c r="E2035" s="40" t="s">
        <v>2233</v>
      </c>
      <c r="F2035" s="40">
        <v>1</v>
      </c>
      <c r="G2035" s="40"/>
      <c r="H2035" s="40" t="s">
        <v>2234</v>
      </c>
      <c r="I2035" s="40"/>
      <c r="J2035" s="40" t="s">
        <v>97</v>
      </c>
      <c r="K2035" s="40" t="s">
        <v>97</v>
      </c>
      <c r="L2035" s="40" t="s">
        <v>97</v>
      </c>
    </row>
    <row r="2036" spans="1:12" x14ac:dyDescent="0.25">
      <c r="A2036" s="40" t="s">
        <v>38</v>
      </c>
      <c r="B2036" s="40" t="s">
        <v>3507</v>
      </c>
      <c r="C2036" s="40" t="s">
        <v>3508</v>
      </c>
      <c r="D2036" s="40" t="s">
        <v>2233</v>
      </c>
      <c r="E2036" s="40" t="s">
        <v>2233</v>
      </c>
      <c r="F2036" s="40">
        <v>1</v>
      </c>
      <c r="G2036" s="40"/>
      <c r="H2036" s="40" t="s">
        <v>2234</v>
      </c>
      <c r="I2036" s="40"/>
      <c r="J2036" s="40" t="s">
        <v>97</v>
      </c>
      <c r="K2036" s="40" t="s">
        <v>97</v>
      </c>
      <c r="L2036" s="40" t="s">
        <v>97</v>
      </c>
    </row>
    <row r="2037" spans="1:12" x14ac:dyDescent="0.25">
      <c r="A2037" s="40" t="s">
        <v>38</v>
      </c>
      <c r="B2037" s="40" t="s">
        <v>3509</v>
      </c>
      <c r="C2037" s="40" t="s">
        <v>3510</v>
      </c>
      <c r="D2037" s="40" t="s">
        <v>2233</v>
      </c>
      <c r="E2037" s="40" t="s">
        <v>2233</v>
      </c>
      <c r="F2037" s="40">
        <v>1</v>
      </c>
      <c r="G2037" s="40"/>
      <c r="H2037" s="40" t="s">
        <v>2234</v>
      </c>
      <c r="I2037" s="40"/>
      <c r="J2037" s="40" t="s">
        <v>97</v>
      </c>
      <c r="K2037" s="40" t="s">
        <v>97</v>
      </c>
      <c r="L2037" s="40" t="s">
        <v>97</v>
      </c>
    </row>
    <row r="2038" spans="1:12" x14ac:dyDescent="0.25">
      <c r="A2038" s="40" t="s">
        <v>38</v>
      </c>
      <c r="B2038" s="40" t="s">
        <v>3511</v>
      </c>
      <c r="C2038" s="40" t="s">
        <v>3512</v>
      </c>
      <c r="D2038" s="40" t="s">
        <v>2233</v>
      </c>
      <c r="E2038" s="40" t="s">
        <v>2233</v>
      </c>
      <c r="F2038" s="40">
        <v>1</v>
      </c>
      <c r="G2038" s="40"/>
      <c r="H2038" s="40" t="s">
        <v>2234</v>
      </c>
      <c r="I2038" s="40"/>
      <c r="J2038" s="40" t="s">
        <v>97</v>
      </c>
      <c r="K2038" s="40" t="s">
        <v>97</v>
      </c>
      <c r="L2038" s="40" t="s">
        <v>97</v>
      </c>
    </row>
    <row r="2039" spans="1:12" x14ac:dyDescent="0.25">
      <c r="A2039" s="40" t="s">
        <v>38</v>
      </c>
      <c r="B2039" s="40" t="s">
        <v>3513</v>
      </c>
      <c r="C2039" s="40" t="s">
        <v>3514</v>
      </c>
      <c r="D2039" s="40" t="s">
        <v>2233</v>
      </c>
      <c r="E2039" s="40" t="s">
        <v>2233</v>
      </c>
      <c r="F2039" s="40">
        <v>1</v>
      </c>
      <c r="G2039" s="40"/>
      <c r="H2039" s="40" t="s">
        <v>2234</v>
      </c>
      <c r="I2039" s="40"/>
      <c r="J2039" s="40" t="s">
        <v>97</v>
      </c>
      <c r="K2039" s="40" t="s">
        <v>97</v>
      </c>
      <c r="L2039" s="40" t="s">
        <v>97</v>
      </c>
    </row>
    <row r="2040" spans="1:12" x14ac:dyDescent="0.25">
      <c r="A2040" s="40" t="s">
        <v>38</v>
      </c>
      <c r="B2040" s="40" t="s">
        <v>3515</v>
      </c>
      <c r="C2040" s="40" t="s">
        <v>3516</v>
      </c>
      <c r="D2040" s="40" t="s">
        <v>3517</v>
      </c>
      <c r="E2040" s="40" t="s">
        <v>3517</v>
      </c>
      <c r="F2040" s="40">
        <v>1</v>
      </c>
      <c r="G2040" s="40"/>
      <c r="H2040" s="40" t="s">
        <v>97</v>
      </c>
      <c r="I2040" s="40"/>
      <c r="J2040" s="40" t="s">
        <v>97</v>
      </c>
      <c r="K2040" s="40" t="s">
        <v>97</v>
      </c>
      <c r="L2040" s="40" t="s">
        <v>97</v>
      </c>
    </row>
    <row r="2041" spans="1:12" x14ac:dyDescent="0.25">
      <c r="A2041" s="40" t="s">
        <v>38</v>
      </c>
      <c r="B2041" s="40" t="s">
        <v>3518</v>
      </c>
      <c r="C2041" s="40" t="s">
        <v>3519</v>
      </c>
      <c r="D2041" s="40" t="s">
        <v>3246</v>
      </c>
      <c r="E2041" s="40" t="s">
        <v>3246</v>
      </c>
      <c r="F2041" s="40">
        <v>1</v>
      </c>
      <c r="G2041" s="40"/>
      <c r="H2041" s="40" t="s">
        <v>97</v>
      </c>
      <c r="I2041" s="40"/>
      <c r="J2041" s="40" t="s">
        <v>97</v>
      </c>
      <c r="K2041" s="40" t="s">
        <v>97</v>
      </c>
      <c r="L2041" s="40" t="s">
        <v>97</v>
      </c>
    </row>
    <row r="2042" spans="1:12" x14ac:dyDescent="0.25">
      <c r="A2042" s="40" t="s">
        <v>38</v>
      </c>
      <c r="B2042" s="40" t="s">
        <v>3520</v>
      </c>
      <c r="C2042" s="40" t="s">
        <v>3521</v>
      </c>
      <c r="D2042" s="40" t="s">
        <v>2233</v>
      </c>
      <c r="E2042" s="40" t="s">
        <v>2233</v>
      </c>
      <c r="F2042" s="40">
        <v>1</v>
      </c>
      <c r="G2042" s="40"/>
      <c r="H2042" s="40" t="s">
        <v>2234</v>
      </c>
      <c r="I2042" s="40"/>
      <c r="J2042" s="40" t="s">
        <v>97</v>
      </c>
      <c r="K2042" s="40" t="s">
        <v>97</v>
      </c>
      <c r="L2042" s="40" t="s">
        <v>97</v>
      </c>
    </row>
    <row r="2043" spans="1:12" x14ac:dyDescent="0.25">
      <c r="A2043" s="40" t="s">
        <v>38</v>
      </c>
      <c r="B2043" s="40" t="s">
        <v>3522</v>
      </c>
      <c r="C2043" s="40" t="s">
        <v>3523</v>
      </c>
      <c r="D2043" s="40" t="s">
        <v>2233</v>
      </c>
      <c r="E2043" s="40" t="s">
        <v>2233</v>
      </c>
      <c r="F2043" s="40">
        <v>1</v>
      </c>
      <c r="G2043" s="40"/>
      <c r="H2043" s="40" t="s">
        <v>2234</v>
      </c>
      <c r="I2043" s="40"/>
      <c r="J2043" s="40" t="s">
        <v>97</v>
      </c>
      <c r="K2043" s="40" t="s">
        <v>97</v>
      </c>
      <c r="L2043" s="40" t="s">
        <v>97</v>
      </c>
    </row>
    <row r="2044" spans="1:12" x14ac:dyDescent="0.25">
      <c r="A2044" s="40" t="s">
        <v>38</v>
      </c>
      <c r="B2044" s="40" t="s">
        <v>3524</v>
      </c>
      <c r="C2044" s="40" t="s">
        <v>3525</v>
      </c>
      <c r="D2044" s="40" t="s">
        <v>2233</v>
      </c>
      <c r="E2044" s="40" t="s">
        <v>2233</v>
      </c>
      <c r="F2044" s="40">
        <v>1</v>
      </c>
      <c r="G2044" s="40"/>
      <c r="H2044" s="40" t="s">
        <v>2234</v>
      </c>
      <c r="I2044" s="40"/>
      <c r="J2044" s="40" t="s">
        <v>97</v>
      </c>
      <c r="K2044" s="40" t="s">
        <v>97</v>
      </c>
      <c r="L2044" s="40" t="s">
        <v>97</v>
      </c>
    </row>
    <row r="2045" spans="1:12" x14ac:dyDescent="0.25">
      <c r="A2045" s="40" t="s">
        <v>38</v>
      </c>
      <c r="B2045" s="40" t="s">
        <v>3526</v>
      </c>
      <c r="C2045" s="40" t="s">
        <v>3527</v>
      </c>
      <c r="D2045" s="40" t="s">
        <v>2233</v>
      </c>
      <c r="E2045" s="40" t="s">
        <v>2233</v>
      </c>
      <c r="F2045" s="40">
        <v>1</v>
      </c>
      <c r="G2045" s="40"/>
      <c r="H2045" s="40" t="s">
        <v>2234</v>
      </c>
      <c r="I2045" s="40"/>
      <c r="J2045" s="40" t="s">
        <v>97</v>
      </c>
      <c r="K2045" s="40" t="s">
        <v>97</v>
      </c>
      <c r="L2045" s="40" t="s">
        <v>97</v>
      </c>
    </row>
    <row r="2046" spans="1:12" x14ac:dyDescent="0.25">
      <c r="A2046" s="40" t="s">
        <v>38</v>
      </c>
      <c r="B2046" s="40" t="s">
        <v>3528</v>
      </c>
      <c r="C2046" s="40" t="s">
        <v>3529</v>
      </c>
      <c r="D2046" s="40" t="s">
        <v>2233</v>
      </c>
      <c r="E2046" s="40" t="s">
        <v>2233</v>
      </c>
      <c r="F2046" s="40">
        <v>1</v>
      </c>
      <c r="G2046" s="40"/>
      <c r="H2046" s="40" t="s">
        <v>97</v>
      </c>
      <c r="I2046" s="40"/>
      <c r="J2046" s="40" t="s">
        <v>97</v>
      </c>
      <c r="K2046" s="40" t="s">
        <v>97</v>
      </c>
      <c r="L2046" s="40" t="s">
        <v>97</v>
      </c>
    </row>
    <row r="2047" spans="1:12" x14ac:dyDescent="0.25">
      <c r="A2047" s="40" t="s">
        <v>38</v>
      </c>
      <c r="B2047" s="40" t="s">
        <v>3530</v>
      </c>
      <c r="C2047" s="40" t="s">
        <v>3531</v>
      </c>
      <c r="D2047" s="40" t="s">
        <v>2233</v>
      </c>
      <c r="E2047" s="40" t="s">
        <v>2233</v>
      </c>
      <c r="F2047" s="40">
        <v>1</v>
      </c>
      <c r="G2047" s="40"/>
      <c r="H2047" s="40" t="s">
        <v>97</v>
      </c>
      <c r="I2047" s="40"/>
      <c r="J2047" s="40" t="s">
        <v>97</v>
      </c>
      <c r="K2047" s="40" t="s">
        <v>97</v>
      </c>
      <c r="L2047" s="40" t="s">
        <v>97</v>
      </c>
    </row>
    <row r="2048" spans="1:12" x14ac:dyDescent="0.25">
      <c r="A2048" s="40" t="s">
        <v>38</v>
      </c>
      <c r="B2048" s="40" t="s">
        <v>3532</v>
      </c>
      <c r="C2048" s="40" t="s">
        <v>3533</v>
      </c>
      <c r="D2048" s="40" t="s">
        <v>2233</v>
      </c>
      <c r="E2048" s="40" t="s">
        <v>2233</v>
      </c>
      <c r="F2048" s="40">
        <v>1</v>
      </c>
      <c r="G2048" s="40"/>
      <c r="H2048" s="40" t="s">
        <v>97</v>
      </c>
      <c r="I2048" s="40"/>
      <c r="J2048" s="40" t="s">
        <v>97</v>
      </c>
      <c r="K2048" s="40" t="s">
        <v>97</v>
      </c>
      <c r="L2048" s="40" t="s">
        <v>97</v>
      </c>
    </row>
    <row r="2049" spans="1:12" x14ac:dyDescent="0.25">
      <c r="A2049" s="40" t="s">
        <v>38</v>
      </c>
      <c r="B2049" s="40" t="s">
        <v>3534</v>
      </c>
      <c r="C2049" s="40" t="s">
        <v>3535</v>
      </c>
      <c r="D2049" s="40" t="s">
        <v>2233</v>
      </c>
      <c r="E2049" s="40" t="s">
        <v>2233</v>
      </c>
      <c r="F2049" s="40">
        <v>1</v>
      </c>
      <c r="G2049" s="40"/>
      <c r="H2049" s="40" t="s">
        <v>97</v>
      </c>
      <c r="I2049" s="40"/>
      <c r="J2049" s="40" t="s">
        <v>97</v>
      </c>
      <c r="K2049" s="40" t="s">
        <v>97</v>
      </c>
      <c r="L2049" s="40" t="s">
        <v>97</v>
      </c>
    </row>
    <row r="2050" spans="1:12" x14ac:dyDescent="0.25">
      <c r="A2050" s="40" t="s">
        <v>38</v>
      </c>
      <c r="B2050" s="40" t="s">
        <v>3536</v>
      </c>
      <c r="C2050" s="40" t="s">
        <v>3537</v>
      </c>
      <c r="D2050" s="40" t="s">
        <v>2233</v>
      </c>
      <c r="E2050" s="40" t="s">
        <v>2233</v>
      </c>
      <c r="F2050" s="40">
        <v>1</v>
      </c>
      <c r="G2050" s="40"/>
      <c r="H2050" s="40" t="s">
        <v>97</v>
      </c>
      <c r="I2050" s="40"/>
      <c r="J2050" s="40" t="s">
        <v>97</v>
      </c>
      <c r="K2050" s="40" t="s">
        <v>97</v>
      </c>
      <c r="L2050" s="40" t="s">
        <v>97</v>
      </c>
    </row>
    <row r="2051" spans="1:12" x14ac:dyDescent="0.25">
      <c r="A2051" s="40" t="s">
        <v>38</v>
      </c>
      <c r="B2051" s="40" t="s">
        <v>3538</v>
      </c>
      <c r="C2051" s="40" t="s">
        <v>3539</v>
      </c>
      <c r="D2051" s="40" t="s">
        <v>2233</v>
      </c>
      <c r="E2051" s="40" t="s">
        <v>2233</v>
      </c>
      <c r="F2051" s="40">
        <v>1</v>
      </c>
      <c r="G2051" s="40"/>
      <c r="H2051" s="40" t="s">
        <v>97</v>
      </c>
      <c r="I2051" s="40"/>
      <c r="J2051" s="40" t="s">
        <v>97</v>
      </c>
      <c r="K2051" s="40" t="s">
        <v>97</v>
      </c>
      <c r="L2051" s="40" t="s">
        <v>97</v>
      </c>
    </row>
    <row r="2052" spans="1:12" x14ac:dyDescent="0.25">
      <c r="A2052" s="40" t="s">
        <v>38</v>
      </c>
      <c r="B2052" s="40" t="s">
        <v>3540</v>
      </c>
      <c r="C2052" s="40" t="s">
        <v>3541</v>
      </c>
      <c r="D2052" s="40" t="s">
        <v>2233</v>
      </c>
      <c r="E2052" s="40" t="s">
        <v>2233</v>
      </c>
      <c r="F2052" s="40">
        <v>1</v>
      </c>
      <c r="G2052" s="40"/>
      <c r="H2052" s="40" t="s">
        <v>97</v>
      </c>
      <c r="I2052" s="40"/>
      <c r="J2052" s="40" t="s">
        <v>97</v>
      </c>
      <c r="K2052" s="40" t="s">
        <v>97</v>
      </c>
      <c r="L2052" s="40" t="s">
        <v>97</v>
      </c>
    </row>
    <row r="2053" spans="1:12" x14ac:dyDescent="0.25">
      <c r="A2053" s="40" t="s">
        <v>38</v>
      </c>
      <c r="B2053" s="40" t="s">
        <v>3542</v>
      </c>
      <c r="C2053" s="40" t="s">
        <v>3543</v>
      </c>
      <c r="D2053" s="40" t="s">
        <v>2233</v>
      </c>
      <c r="E2053" s="40" t="s">
        <v>2233</v>
      </c>
      <c r="F2053" s="40">
        <v>1</v>
      </c>
      <c r="G2053" s="40"/>
      <c r="H2053" s="40" t="s">
        <v>97</v>
      </c>
      <c r="I2053" s="40"/>
      <c r="J2053" s="40" t="s">
        <v>97</v>
      </c>
      <c r="K2053" s="40" t="s">
        <v>97</v>
      </c>
      <c r="L2053" s="40" t="s">
        <v>97</v>
      </c>
    </row>
    <row r="2054" spans="1:12" x14ac:dyDescent="0.25">
      <c r="A2054" s="40" t="s">
        <v>38</v>
      </c>
      <c r="B2054" s="40" t="s">
        <v>3544</v>
      </c>
      <c r="C2054" s="40" t="s">
        <v>3545</v>
      </c>
      <c r="D2054" s="40" t="s">
        <v>2233</v>
      </c>
      <c r="E2054" s="40" t="s">
        <v>2233</v>
      </c>
      <c r="F2054" s="40">
        <v>1</v>
      </c>
      <c r="G2054" s="40"/>
      <c r="H2054" s="40" t="s">
        <v>97</v>
      </c>
      <c r="I2054" s="40"/>
      <c r="J2054" s="40" t="s">
        <v>97</v>
      </c>
      <c r="K2054" s="40" t="s">
        <v>97</v>
      </c>
      <c r="L2054" s="40" t="s">
        <v>97</v>
      </c>
    </row>
    <row r="2055" spans="1:12" x14ac:dyDescent="0.25">
      <c r="A2055" s="40" t="s">
        <v>38</v>
      </c>
      <c r="B2055" s="40" t="s">
        <v>3546</v>
      </c>
      <c r="C2055" s="40" t="s">
        <v>3547</v>
      </c>
      <c r="D2055" s="40" t="s">
        <v>2233</v>
      </c>
      <c r="E2055" s="40" t="s">
        <v>2233</v>
      </c>
      <c r="F2055" s="40">
        <v>1</v>
      </c>
      <c r="G2055" s="40"/>
      <c r="H2055" s="40" t="s">
        <v>97</v>
      </c>
      <c r="I2055" s="40"/>
      <c r="J2055" s="40" t="s">
        <v>97</v>
      </c>
      <c r="K2055" s="40" t="s">
        <v>97</v>
      </c>
      <c r="L2055" s="40" t="s">
        <v>97</v>
      </c>
    </row>
    <row r="2056" spans="1:12" x14ac:dyDescent="0.25">
      <c r="A2056" s="40" t="s">
        <v>38</v>
      </c>
      <c r="B2056" s="40" t="s">
        <v>3548</v>
      </c>
      <c r="C2056" s="40" t="s">
        <v>3549</v>
      </c>
      <c r="D2056" s="40" t="s">
        <v>2233</v>
      </c>
      <c r="E2056" s="40" t="s">
        <v>2233</v>
      </c>
      <c r="F2056" s="40">
        <v>1</v>
      </c>
      <c r="G2056" s="40"/>
      <c r="H2056" s="40" t="s">
        <v>2234</v>
      </c>
      <c r="I2056" s="40"/>
      <c r="J2056" s="40" t="s">
        <v>97</v>
      </c>
      <c r="K2056" s="40" t="s">
        <v>97</v>
      </c>
      <c r="L2056" s="40" t="s">
        <v>97</v>
      </c>
    </row>
    <row r="2057" spans="1:12" x14ac:dyDescent="0.25">
      <c r="A2057" s="40" t="s">
        <v>38</v>
      </c>
      <c r="B2057" s="40" t="s">
        <v>3550</v>
      </c>
      <c r="C2057" s="40" t="s">
        <v>3551</v>
      </c>
      <c r="D2057" s="40" t="s">
        <v>2233</v>
      </c>
      <c r="E2057" s="40" t="s">
        <v>2233</v>
      </c>
      <c r="F2057" s="40">
        <v>1</v>
      </c>
      <c r="G2057" s="40"/>
      <c r="H2057" s="40" t="s">
        <v>2234</v>
      </c>
      <c r="I2057" s="40"/>
      <c r="J2057" s="40" t="s">
        <v>97</v>
      </c>
      <c r="K2057" s="40" t="s">
        <v>97</v>
      </c>
      <c r="L2057" s="40" t="s">
        <v>97</v>
      </c>
    </row>
    <row r="2058" spans="1:12" x14ac:dyDescent="0.25">
      <c r="A2058" s="40" t="s">
        <v>38</v>
      </c>
      <c r="B2058" s="40" t="s">
        <v>3552</v>
      </c>
      <c r="C2058" s="40" t="s">
        <v>3553</v>
      </c>
      <c r="D2058" s="40" t="s">
        <v>2233</v>
      </c>
      <c r="E2058" s="40" t="s">
        <v>2233</v>
      </c>
      <c r="F2058" s="40">
        <v>1</v>
      </c>
      <c r="G2058" s="40"/>
      <c r="H2058" s="40" t="s">
        <v>2234</v>
      </c>
      <c r="I2058" s="40"/>
      <c r="J2058" s="40" t="s">
        <v>97</v>
      </c>
      <c r="K2058" s="40" t="s">
        <v>97</v>
      </c>
      <c r="L2058" s="40" t="s">
        <v>97</v>
      </c>
    </row>
    <row r="2059" spans="1:12" x14ac:dyDescent="0.25">
      <c r="A2059" s="40" t="s">
        <v>38</v>
      </c>
      <c r="B2059" s="40" t="s">
        <v>3554</v>
      </c>
      <c r="C2059" s="40" t="s">
        <v>3555</v>
      </c>
      <c r="D2059" s="40" t="s">
        <v>2233</v>
      </c>
      <c r="E2059" s="40" t="s">
        <v>2233</v>
      </c>
      <c r="F2059" s="40">
        <v>1</v>
      </c>
      <c r="G2059" s="40"/>
      <c r="H2059" s="40" t="s">
        <v>2234</v>
      </c>
      <c r="I2059" s="40"/>
      <c r="J2059" s="40" t="s">
        <v>97</v>
      </c>
      <c r="K2059" s="40" t="s">
        <v>97</v>
      </c>
      <c r="L2059" s="40" t="s">
        <v>97</v>
      </c>
    </row>
    <row r="2060" spans="1:12" x14ac:dyDescent="0.25">
      <c r="A2060" s="40" t="s">
        <v>38</v>
      </c>
      <c r="B2060" s="40" t="s">
        <v>3556</v>
      </c>
      <c r="C2060" s="40" t="s">
        <v>3557</v>
      </c>
      <c r="D2060" s="40" t="s">
        <v>2233</v>
      </c>
      <c r="E2060" s="40" t="s">
        <v>2233</v>
      </c>
      <c r="F2060" s="40">
        <v>1</v>
      </c>
      <c r="G2060" s="40"/>
      <c r="H2060" s="40" t="s">
        <v>2234</v>
      </c>
      <c r="I2060" s="40"/>
      <c r="J2060" s="40" t="s">
        <v>97</v>
      </c>
      <c r="K2060" s="40" t="s">
        <v>97</v>
      </c>
      <c r="L2060" s="40" t="s">
        <v>97</v>
      </c>
    </row>
    <row r="2061" spans="1:12" x14ac:dyDescent="0.25">
      <c r="A2061" s="40" t="s">
        <v>38</v>
      </c>
      <c r="B2061" s="40" t="s">
        <v>3558</v>
      </c>
      <c r="C2061" s="40" t="s">
        <v>3559</v>
      </c>
      <c r="D2061" s="40" t="s">
        <v>2233</v>
      </c>
      <c r="E2061" s="40" t="s">
        <v>2233</v>
      </c>
      <c r="F2061" s="40">
        <v>1</v>
      </c>
      <c r="G2061" s="40"/>
      <c r="H2061" s="40" t="s">
        <v>2234</v>
      </c>
      <c r="I2061" s="40"/>
      <c r="J2061" s="40" t="s">
        <v>97</v>
      </c>
      <c r="K2061" s="40" t="s">
        <v>97</v>
      </c>
      <c r="L2061" s="40" t="s">
        <v>97</v>
      </c>
    </row>
    <row r="2062" spans="1:12" x14ac:dyDescent="0.25">
      <c r="A2062" s="40" t="s">
        <v>38</v>
      </c>
      <c r="B2062" s="40" t="s">
        <v>3560</v>
      </c>
      <c r="C2062" s="40" t="s">
        <v>3561</v>
      </c>
      <c r="D2062" s="40" t="s">
        <v>2233</v>
      </c>
      <c r="E2062" s="40" t="s">
        <v>2233</v>
      </c>
      <c r="F2062" s="40">
        <v>1</v>
      </c>
      <c r="G2062" s="40"/>
      <c r="H2062" s="40" t="s">
        <v>2234</v>
      </c>
      <c r="I2062" s="40"/>
      <c r="J2062" s="40" t="s">
        <v>97</v>
      </c>
      <c r="K2062" s="40" t="s">
        <v>97</v>
      </c>
      <c r="L2062" s="40" t="s">
        <v>97</v>
      </c>
    </row>
    <row r="2063" spans="1:12" x14ac:dyDescent="0.25">
      <c r="A2063" s="40" t="s">
        <v>38</v>
      </c>
      <c r="B2063" s="40" t="s">
        <v>3562</v>
      </c>
      <c r="C2063" s="40" t="s">
        <v>3563</v>
      </c>
      <c r="D2063" s="40" t="s">
        <v>2233</v>
      </c>
      <c r="E2063" s="40" t="s">
        <v>2233</v>
      </c>
      <c r="F2063" s="40">
        <v>1</v>
      </c>
      <c r="G2063" s="40"/>
      <c r="H2063" s="40" t="s">
        <v>2234</v>
      </c>
      <c r="I2063" s="40"/>
      <c r="J2063" s="40" t="s">
        <v>97</v>
      </c>
      <c r="K2063" s="40" t="s">
        <v>97</v>
      </c>
      <c r="L2063" s="40" t="s">
        <v>97</v>
      </c>
    </row>
    <row r="2064" spans="1:12" x14ac:dyDescent="0.25">
      <c r="A2064" s="40" t="s">
        <v>38</v>
      </c>
      <c r="B2064" s="40" t="s">
        <v>3564</v>
      </c>
      <c r="C2064" s="40" t="s">
        <v>3565</v>
      </c>
      <c r="D2064" s="40" t="s">
        <v>2233</v>
      </c>
      <c r="E2064" s="40" t="s">
        <v>2233</v>
      </c>
      <c r="F2064" s="40">
        <v>1</v>
      </c>
      <c r="G2064" s="40"/>
      <c r="H2064" s="40" t="s">
        <v>2234</v>
      </c>
      <c r="I2064" s="40"/>
      <c r="J2064" s="40" t="s">
        <v>97</v>
      </c>
      <c r="K2064" s="40" t="s">
        <v>97</v>
      </c>
      <c r="L2064" s="40" t="s">
        <v>97</v>
      </c>
    </row>
    <row r="2065" spans="1:12" x14ac:dyDescent="0.25">
      <c r="A2065" s="40" t="s">
        <v>38</v>
      </c>
      <c r="B2065" s="40" t="s">
        <v>3566</v>
      </c>
      <c r="C2065" s="40" t="s">
        <v>3567</v>
      </c>
      <c r="D2065" s="40" t="s">
        <v>2233</v>
      </c>
      <c r="E2065" s="40" t="s">
        <v>2233</v>
      </c>
      <c r="F2065" s="40">
        <v>1</v>
      </c>
      <c r="G2065" s="40"/>
      <c r="H2065" s="40" t="s">
        <v>2234</v>
      </c>
      <c r="I2065" s="40"/>
      <c r="J2065" s="40" t="s">
        <v>97</v>
      </c>
      <c r="K2065" s="40" t="s">
        <v>97</v>
      </c>
      <c r="L2065" s="40" t="s">
        <v>97</v>
      </c>
    </row>
    <row r="2066" spans="1:12" x14ac:dyDescent="0.25">
      <c r="A2066" s="40" t="s">
        <v>38</v>
      </c>
      <c r="B2066" s="40" t="s">
        <v>3568</v>
      </c>
      <c r="C2066" s="40" t="s">
        <v>3569</v>
      </c>
      <c r="D2066" s="40" t="s">
        <v>2233</v>
      </c>
      <c r="E2066" s="40" t="s">
        <v>2233</v>
      </c>
      <c r="F2066" s="40">
        <v>1</v>
      </c>
      <c r="G2066" s="40"/>
      <c r="H2066" s="40" t="s">
        <v>2234</v>
      </c>
      <c r="I2066" s="40"/>
      <c r="J2066" s="40" t="s">
        <v>97</v>
      </c>
      <c r="K2066" s="40" t="s">
        <v>97</v>
      </c>
      <c r="L2066" s="40" t="s">
        <v>97</v>
      </c>
    </row>
    <row r="2067" spans="1:12" x14ac:dyDescent="0.25">
      <c r="A2067" s="40" t="s">
        <v>38</v>
      </c>
      <c r="B2067" s="40" t="s">
        <v>3570</v>
      </c>
      <c r="C2067" s="40" t="s">
        <v>3571</v>
      </c>
      <c r="D2067" s="40" t="s">
        <v>3517</v>
      </c>
      <c r="E2067" s="40" t="s">
        <v>3517</v>
      </c>
      <c r="F2067" s="40">
        <v>1</v>
      </c>
      <c r="G2067" s="40"/>
      <c r="H2067" s="40" t="s">
        <v>97</v>
      </c>
      <c r="I2067" s="40"/>
      <c r="J2067" s="40" t="s">
        <v>97</v>
      </c>
      <c r="K2067" s="40" t="s">
        <v>97</v>
      </c>
      <c r="L2067" s="40" t="s">
        <v>97</v>
      </c>
    </row>
    <row r="2068" spans="1:12" x14ac:dyDescent="0.25">
      <c r="A2068" s="40" t="s">
        <v>38</v>
      </c>
      <c r="B2068" s="40" t="s">
        <v>3572</v>
      </c>
      <c r="C2068" s="40" t="s">
        <v>3573</v>
      </c>
      <c r="D2068" s="40" t="s">
        <v>3246</v>
      </c>
      <c r="E2068" s="40" t="s">
        <v>3246</v>
      </c>
      <c r="F2068" s="40">
        <v>1</v>
      </c>
      <c r="G2068" s="40"/>
      <c r="H2068" s="40" t="s">
        <v>97</v>
      </c>
      <c r="I2068" s="40"/>
      <c r="J2068" s="40" t="s">
        <v>97</v>
      </c>
      <c r="K2068" s="40" t="s">
        <v>97</v>
      </c>
      <c r="L2068" s="40" t="s">
        <v>97</v>
      </c>
    </row>
    <row r="2069" spans="1:12" x14ac:dyDescent="0.25">
      <c r="A2069" s="40" t="s">
        <v>38</v>
      </c>
      <c r="B2069" s="40" t="s">
        <v>3574</v>
      </c>
      <c r="C2069" s="40" t="s">
        <v>3575</v>
      </c>
      <c r="D2069" s="40" t="s">
        <v>2233</v>
      </c>
      <c r="E2069" s="40" t="s">
        <v>2233</v>
      </c>
      <c r="F2069" s="40">
        <v>1</v>
      </c>
      <c r="G2069" s="40"/>
      <c r="H2069" s="40" t="s">
        <v>2234</v>
      </c>
      <c r="I2069" s="40"/>
      <c r="J2069" s="40" t="s">
        <v>97</v>
      </c>
      <c r="K2069" s="40" t="s">
        <v>97</v>
      </c>
      <c r="L2069" s="40" t="s">
        <v>97</v>
      </c>
    </row>
    <row r="2070" spans="1:12" x14ac:dyDescent="0.25">
      <c r="A2070" s="40" t="s">
        <v>38</v>
      </c>
      <c r="B2070" s="40" t="s">
        <v>3576</v>
      </c>
      <c r="C2070" s="40" t="s">
        <v>3577</v>
      </c>
      <c r="D2070" s="40" t="s">
        <v>2233</v>
      </c>
      <c r="E2070" s="40" t="s">
        <v>2233</v>
      </c>
      <c r="F2070" s="40">
        <v>1</v>
      </c>
      <c r="G2070" s="40"/>
      <c r="H2070" s="40" t="s">
        <v>2234</v>
      </c>
      <c r="I2070" s="40"/>
      <c r="J2070" s="40" t="s">
        <v>97</v>
      </c>
      <c r="K2070" s="40" t="s">
        <v>97</v>
      </c>
      <c r="L2070" s="40" t="s">
        <v>97</v>
      </c>
    </row>
    <row r="2071" spans="1:12" x14ac:dyDescent="0.25">
      <c r="A2071" s="40" t="s">
        <v>38</v>
      </c>
      <c r="B2071" s="40" t="s">
        <v>3578</v>
      </c>
      <c r="C2071" s="40" t="s">
        <v>3579</v>
      </c>
      <c r="D2071" s="40" t="s">
        <v>2233</v>
      </c>
      <c r="E2071" s="40" t="s">
        <v>2233</v>
      </c>
      <c r="F2071" s="40">
        <v>1</v>
      </c>
      <c r="G2071" s="40"/>
      <c r="H2071" s="40" t="s">
        <v>2234</v>
      </c>
      <c r="I2071" s="40"/>
      <c r="J2071" s="40" t="s">
        <v>97</v>
      </c>
      <c r="K2071" s="40" t="s">
        <v>97</v>
      </c>
      <c r="L2071" s="40" t="s">
        <v>97</v>
      </c>
    </row>
    <row r="2072" spans="1:12" x14ac:dyDescent="0.25">
      <c r="A2072" s="40" t="s">
        <v>38</v>
      </c>
      <c r="B2072" s="40" t="s">
        <v>3580</v>
      </c>
      <c r="C2072" s="40" t="s">
        <v>3581</v>
      </c>
      <c r="D2072" s="40" t="s">
        <v>2233</v>
      </c>
      <c r="E2072" s="40" t="s">
        <v>2233</v>
      </c>
      <c r="F2072" s="40">
        <v>1</v>
      </c>
      <c r="G2072" s="40"/>
      <c r="H2072" s="40" t="s">
        <v>2234</v>
      </c>
      <c r="I2072" s="40"/>
      <c r="J2072" s="40" t="s">
        <v>97</v>
      </c>
      <c r="K2072" s="40" t="s">
        <v>97</v>
      </c>
      <c r="L2072" s="40" t="s">
        <v>97</v>
      </c>
    </row>
    <row r="2073" spans="1:12" x14ac:dyDescent="0.25">
      <c r="A2073" s="40" t="s">
        <v>38</v>
      </c>
      <c r="B2073" s="40" t="s">
        <v>3582</v>
      </c>
      <c r="C2073" s="40" t="s">
        <v>3583</v>
      </c>
      <c r="D2073" s="40" t="s">
        <v>2233</v>
      </c>
      <c r="E2073" s="40" t="s">
        <v>2233</v>
      </c>
      <c r="F2073" s="40">
        <v>1</v>
      </c>
      <c r="G2073" s="40"/>
      <c r="H2073" s="40" t="s">
        <v>97</v>
      </c>
      <c r="I2073" s="40"/>
      <c r="J2073" s="40" t="s">
        <v>97</v>
      </c>
      <c r="K2073" s="40" t="s">
        <v>97</v>
      </c>
      <c r="L2073" s="40" t="s">
        <v>97</v>
      </c>
    </row>
    <row r="2074" spans="1:12" x14ac:dyDescent="0.25">
      <c r="A2074" s="40" t="s">
        <v>38</v>
      </c>
      <c r="B2074" s="40" t="s">
        <v>3584</v>
      </c>
      <c r="C2074" s="40" t="s">
        <v>3585</v>
      </c>
      <c r="D2074" s="40" t="s">
        <v>2233</v>
      </c>
      <c r="E2074" s="40" t="s">
        <v>2233</v>
      </c>
      <c r="F2074" s="40">
        <v>1</v>
      </c>
      <c r="G2074" s="40"/>
      <c r="H2074" s="40" t="s">
        <v>97</v>
      </c>
      <c r="I2074" s="40"/>
      <c r="J2074" s="40" t="s">
        <v>97</v>
      </c>
      <c r="K2074" s="40" t="s">
        <v>97</v>
      </c>
      <c r="L2074" s="40" t="s">
        <v>97</v>
      </c>
    </row>
    <row r="2075" spans="1:12" x14ac:dyDescent="0.25">
      <c r="A2075" s="40" t="s">
        <v>38</v>
      </c>
      <c r="B2075" s="40" t="s">
        <v>3586</v>
      </c>
      <c r="C2075" s="40" t="s">
        <v>3587</v>
      </c>
      <c r="D2075" s="40" t="s">
        <v>2233</v>
      </c>
      <c r="E2075" s="40" t="s">
        <v>2233</v>
      </c>
      <c r="F2075" s="40">
        <v>1</v>
      </c>
      <c r="G2075" s="40"/>
      <c r="H2075" s="40" t="s">
        <v>97</v>
      </c>
      <c r="I2075" s="40"/>
      <c r="J2075" s="40" t="s">
        <v>97</v>
      </c>
      <c r="K2075" s="40" t="s">
        <v>97</v>
      </c>
      <c r="L2075" s="40" t="s">
        <v>97</v>
      </c>
    </row>
    <row r="2076" spans="1:12" x14ac:dyDescent="0.25">
      <c r="A2076" s="40" t="s">
        <v>38</v>
      </c>
      <c r="B2076" s="40" t="s">
        <v>3588</v>
      </c>
      <c r="C2076" s="40" t="s">
        <v>3589</v>
      </c>
      <c r="D2076" s="40" t="s">
        <v>2233</v>
      </c>
      <c r="E2076" s="40" t="s">
        <v>2233</v>
      </c>
      <c r="F2076" s="40">
        <v>1</v>
      </c>
      <c r="G2076" s="40"/>
      <c r="H2076" s="40" t="s">
        <v>97</v>
      </c>
      <c r="I2076" s="40"/>
      <c r="J2076" s="40" t="s">
        <v>97</v>
      </c>
      <c r="K2076" s="40" t="s">
        <v>97</v>
      </c>
      <c r="L2076" s="40" t="s">
        <v>97</v>
      </c>
    </row>
    <row r="2077" spans="1:12" x14ac:dyDescent="0.25">
      <c r="A2077" s="40" t="s">
        <v>38</v>
      </c>
      <c r="B2077" s="40" t="s">
        <v>3590</v>
      </c>
      <c r="C2077" s="40" t="s">
        <v>3591</v>
      </c>
      <c r="D2077" s="40" t="s">
        <v>2233</v>
      </c>
      <c r="E2077" s="40" t="s">
        <v>2233</v>
      </c>
      <c r="F2077" s="40">
        <v>1</v>
      </c>
      <c r="G2077" s="40"/>
      <c r="H2077" s="40" t="s">
        <v>97</v>
      </c>
      <c r="I2077" s="40"/>
      <c r="J2077" s="40" t="s">
        <v>97</v>
      </c>
      <c r="K2077" s="40" t="s">
        <v>97</v>
      </c>
      <c r="L2077" s="40" t="s">
        <v>97</v>
      </c>
    </row>
    <row r="2078" spans="1:12" x14ac:dyDescent="0.25">
      <c r="A2078" s="40" t="s">
        <v>38</v>
      </c>
      <c r="B2078" s="40" t="s">
        <v>3592</v>
      </c>
      <c r="C2078" s="40" t="s">
        <v>3593</v>
      </c>
      <c r="D2078" s="40" t="s">
        <v>2233</v>
      </c>
      <c r="E2078" s="40" t="s">
        <v>2233</v>
      </c>
      <c r="F2078" s="40">
        <v>1</v>
      </c>
      <c r="G2078" s="40"/>
      <c r="H2078" s="40" t="s">
        <v>97</v>
      </c>
      <c r="I2078" s="40"/>
      <c r="J2078" s="40" t="s">
        <v>97</v>
      </c>
      <c r="K2078" s="40" t="s">
        <v>97</v>
      </c>
      <c r="L2078" s="40" t="s">
        <v>97</v>
      </c>
    </row>
    <row r="2079" spans="1:12" x14ac:dyDescent="0.25">
      <c r="A2079" s="40" t="s">
        <v>38</v>
      </c>
      <c r="B2079" s="40" t="s">
        <v>3594</v>
      </c>
      <c r="C2079" s="40" t="s">
        <v>3595</v>
      </c>
      <c r="D2079" s="40" t="s">
        <v>2233</v>
      </c>
      <c r="E2079" s="40" t="s">
        <v>2233</v>
      </c>
      <c r="F2079" s="40">
        <v>1</v>
      </c>
      <c r="G2079" s="40"/>
      <c r="H2079" s="40" t="s">
        <v>97</v>
      </c>
      <c r="I2079" s="40"/>
      <c r="J2079" s="40" t="s">
        <v>97</v>
      </c>
      <c r="K2079" s="40" t="s">
        <v>97</v>
      </c>
      <c r="L2079" s="40" t="s">
        <v>97</v>
      </c>
    </row>
    <row r="2080" spans="1:12" x14ac:dyDescent="0.25">
      <c r="A2080" s="40" t="s">
        <v>38</v>
      </c>
      <c r="B2080" s="40" t="s">
        <v>3596</v>
      </c>
      <c r="C2080" s="40" t="s">
        <v>3597</v>
      </c>
      <c r="D2080" s="40" t="s">
        <v>2233</v>
      </c>
      <c r="E2080" s="40" t="s">
        <v>2233</v>
      </c>
      <c r="F2080" s="40">
        <v>1</v>
      </c>
      <c r="G2080" s="40"/>
      <c r="H2080" s="40" t="s">
        <v>97</v>
      </c>
      <c r="I2080" s="40"/>
      <c r="J2080" s="40" t="s">
        <v>97</v>
      </c>
      <c r="K2080" s="40" t="s">
        <v>97</v>
      </c>
      <c r="L2080" s="40" t="s">
        <v>97</v>
      </c>
    </row>
    <row r="2081" spans="1:12" x14ac:dyDescent="0.25">
      <c r="A2081" s="40" t="s">
        <v>38</v>
      </c>
      <c r="B2081" s="40" t="s">
        <v>3598</v>
      </c>
      <c r="C2081" s="40" t="s">
        <v>3599</v>
      </c>
      <c r="D2081" s="40" t="s">
        <v>2233</v>
      </c>
      <c r="E2081" s="40" t="s">
        <v>2233</v>
      </c>
      <c r="F2081" s="40">
        <v>1</v>
      </c>
      <c r="G2081" s="40"/>
      <c r="H2081" s="40" t="s">
        <v>97</v>
      </c>
      <c r="I2081" s="40"/>
      <c r="J2081" s="40" t="s">
        <v>97</v>
      </c>
      <c r="K2081" s="40" t="s">
        <v>97</v>
      </c>
      <c r="L2081" s="40" t="s">
        <v>97</v>
      </c>
    </row>
    <row r="2082" spans="1:12" x14ac:dyDescent="0.25">
      <c r="A2082" s="40" t="s">
        <v>38</v>
      </c>
      <c r="B2082" s="40" t="s">
        <v>3600</v>
      </c>
      <c r="C2082" s="40" t="s">
        <v>3601</v>
      </c>
      <c r="D2082" s="40" t="s">
        <v>2233</v>
      </c>
      <c r="E2082" s="40" t="s">
        <v>2233</v>
      </c>
      <c r="F2082" s="40">
        <v>1</v>
      </c>
      <c r="G2082" s="40"/>
      <c r="H2082" s="40" t="s">
        <v>97</v>
      </c>
      <c r="I2082" s="40"/>
      <c r="J2082" s="40" t="s">
        <v>97</v>
      </c>
      <c r="K2082" s="40" t="s">
        <v>97</v>
      </c>
      <c r="L2082" s="40" t="s">
        <v>97</v>
      </c>
    </row>
    <row r="2083" spans="1:12" x14ac:dyDescent="0.25">
      <c r="A2083" s="40" t="s">
        <v>38</v>
      </c>
      <c r="B2083" s="40" t="s">
        <v>3602</v>
      </c>
      <c r="C2083" s="40" t="s">
        <v>3603</v>
      </c>
      <c r="D2083" s="40" t="s">
        <v>2233</v>
      </c>
      <c r="E2083" s="40" t="s">
        <v>2233</v>
      </c>
      <c r="F2083" s="40">
        <v>1</v>
      </c>
      <c r="G2083" s="40"/>
      <c r="H2083" s="40" t="s">
        <v>2234</v>
      </c>
      <c r="I2083" s="40"/>
      <c r="J2083" s="40" t="s">
        <v>97</v>
      </c>
      <c r="K2083" s="40" t="s">
        <v>97</v>
      </c>
      <c r="L2083" s="40" t="s">
        <v>97</v>
      </c>
    </row>
    <row r="2084" spans="1:12" x14ac:dyDescent="0.25">
      <c r="A2084" s="40" t="s">
        <v>38</v>
      </c>
      <c r="B2084" s="40" t="s">
        <v>3604</v>
      </c>
      <c r="C2084" s="40" t="s">
        <v>3605</v>
      </c>
      <c r="D2084" s="40" t="s">
        <v>2233</v>
      </c>
      <c r="E2084" s="40" t="s">
        <v>2233</v>
      </c>
      <c r="F2084" s="40">
        <v>1</v>
      </c>
      <c r="G2084" s="40"/>
      <c r="H2084" s="40" t="s">
        <v>2234</v>
      </c>
      <c r="I2084" s="40"/>
      <c r="J2084" s="40" t="s">
        <v>97</v>
      </c>
      <c r="K2084" s="40" t="s">
        <v>97</v>
      </c>
      <c r="L2084" s="40" t="s">
        <v>97</v>
      </c>
    </row>
    <row r="2085" spans="1:12" x14ac:dyDescent="0.25">
      <c r="A2085" s="40" t="s">
        <v>38</v>
      </c>
      <c r="B2085" s="40" t="s">
        <v>3606</v>
      </c>
      <c r="C2085" s="40" t="s">
        <v>3607</v>
      </c>
      <c r="D2085" s="40" t="s">
        <v>2233</v>
      </c>
      <c r="E2085" s="40" t="s">
        <v>2233</v>
      </c>
      <c r="F2085" s="40">
        <v>1</v>
      </c>
      <c r="G2085" s="40"/>
      <c r="H2085" s="40" t="s">
        <v>2234</v>
      </c>
      <c r="I2085" s="40"/>
      <c r="J2085" s="40" t="s">
        <v>97</v>
      </c>
      <c r="K2085" s="40" t="s">
        <v>97</v>
      </c>
      <c r="L2085" s="40" t="s">
        <v>97</v>
      </c>
    </row>
    <row r="2086" spans="1:12" x14ac:dyDescent="0.25">
      <c r="A2086" s="40" t="s">
        <v>38</v>
      </c>
      <c r="B2086" s="40" t="s">
        <v>3608</v>
      </c>
      <c r="C2086" s="40" t="s">
        <v>3609</v>
      </c>
      <c r="D2086" s="40" t="s">
        <v>2233</v>
      </c>
      <c r="E2086" s="40" t="s">
        <v>2233</v>
      </c>
      <c r="F2086" s="40">
        <v>1</v>
      </c>
      <c r="G2086" s="40"/>
      <c r="H2086" s="40" t="s">
        <v>2234</v>
      </c>
      <c r="I2086" s="40"/>
      <c r="J2086" s="40" t="s">
        <v>97</v>
      </c>
      <c r="K2086" s="40" t="s">
        <v>97</v>
      </c>
      <c r="L2086" s="40" t="s">
        <v>97</v>
      </c>
    </row>
    <row r="2087" spans="1:12" x14ac:dyDescent="0.25">
      <c r="A2087" s="40" t="s">
        <v>38</v>
      </c>
      <c r="B2087" s="40" t="s">
        <v>3610</v>
      </c>
      <c r="C2087" s="40" t="s">
        <v>3611</v>
      </c>
      <c r="D2087" s="40" t="s">
        <v>2233</v>
      </c>
      <c r="E2087" s="40" t="s">
        <v>2233</v>
      </c>
      <c r="F2087" s="40">
        <v>1</v>
      </c>
      <c r="G2087" s="40"/>
      <c r="H2087" s="40" t="s">
        <v>2234</v>
      </c>
      <c r="I2087" s="40"/>
      <c r="J2087" s="40" t="s">
        <v>97</v>
      </c>
      <c r="K2087" s="40" t="s">
        <v>97</v>
      </c>
      <c r="L2087" s="40" t="s">
        <v>97</v>
      </c>
    </row>
    <row r="2088" spans="1:12" x14ac:dyDescent="0.25">
      <c r="A2088" s="40" t="s">
        <v>38</v>
      </c>
      <c r="B2088" s="40" t="s">
        <v>3612</v>
      </c>
      <c r="C2088" s="40" t="s">
        <v>3613</v>
      </c>
      <c r="D2088" s="40" t="s">
        <v>2233</v>
      </c>
      <c r="E2088" s="40" t="s">
        <v>2233</v>
      </c>
      <c r="F2088" s="40">
        <v>1</v>
      </c>
      <c r="G2088" s="40"/>
      <c r="H2088" s="40" t="s">
        <v>2234</v>
      </c>
      <c r="I2088" s="40"/>
      <c r="J2088" s="40" t="s">
        <v>97</v>
      </c>
      <c r="K2088" s="40" t="s">
        <v>97</v>
      </c>
      <c r="L2088" s="40" t="s">
        <v>97</v>
      </c>
    </row>
    <row r="2089" spans="1:12" x14ac:dyDescent="0.25">
      <c r="A2089" s="40" t="s">
        <v>38</v>
      </c>
      <c r="B2089" s="40" t="s">
        <v>3614</v>
      </c>
      <c r="C2089" s="40" t="s">
        <v>3615</v>
      </c>
      <c r="D2089" s="40" t="s">
        <v>2233</v>
      </c>
      <c r="E2089" s="40" t="s">
        <v>2233</v>
      </c>
      <c r="F2089" s="40">
        <v>1</v>
      </c>
      <c r="G2089" s="40"/>
      <c r="H2089" s="40" t="s">
        <v>2234</v>
      </c>
      <c r="I2089" s="40"/>
      <c r="J2089" s="40" t="s">
        <v>97</v>
      </c>
      <c r="K2089" s="40" t="s">
        <v>97</v>
      </c>
      <c r="L2089" s="40" t="s">
        <v>97</v>
      </c>
    </row>
    <row r="2090" spans="1:12" x14ac:dyDescent="0.25">
      <c r="A2090" s="40" t="s">
        <v>38</v>
      </c>
      <c r="B2090" s="40" t="s">
        <v>3616</v>
      </c>
      <c r="C2090" s="40" t="s">
        <v>3617</v>
      </c>
      <c r="D2090" s="40" t="s">
        <v>2233</v>
      </c>
      <c r="E2090" s="40" t="s">
        <v>2233</v>
      </c>
      <c r="F2090" s="40">
        <v>1</v>
      </c>
      <c r="G2090" s="40"/>
      <c r="H2090" s="40" t="s">
        <v>2234</v>
      </c>
      <c r="I2090" s="40"/>
      <c r="J2090" s="40" t="s">
        <v>97</v>
      </c>
      <c r="K2090" s="40" t="s">
        <v>97</v>
      </c>
      <c r="L2090" s="40" t="s">
        <v>97</v>
      </c>
    </row>
    <row r="2091" spans="1:12" x14ac:dyDescent="0.25">
      <c r="A2091" s="40" t="s">
        <v>38</v>
      </c>
      <c r="B2091" s="40" t="s">
        <v>3618</v>
      </c>
      <c r="C2091" s="40" t="s">
        <v>3619</v>
      </c>
      <c r="D2091" s="40" t="s">
        <v>2233</v>
      </c>
      <c r="E2091" s="40" t="s">
        <v>2233</v>
      </c>
      <c r="F2091" s="40">
        <v>1</v>
      </c>
      <c r="G2091" s="40"/>
      <c r="H2091" s="40" t="s">
        <v>2234</v>
      </c>
      <c r="I2091" s="40"/>
      <c r="J2091" s="40" t="s">
        <v>97</v>
      </c>
      <c r="K2091" s="40" t="s">
        <v>97</v>
      </c>
      <c r="L2091" s="40" t="s">
        <v>97</v>
      </c>
    </row>
    <row r="2092" spans="1:12" x14ac:dyDescent="0.25">
      <c r="A2092" s="40" t="s">
        <v>38</v>
      </c>
      <c r="B2092" s="40" t="s">
        <v>3620</v>
      </c>
      <c r="C2092" s="40" t="s">
        <v>3621</v>
      </c>
      <c r="D2092" s="40" t="s">
        <v>2233</v>
      </c>
      <c r="E2092" s="40" t="s">
        <v>2233</v>
      </c>
      <c r="F2092" s="40">
        <v>1</v>
      </c>
      <c r="G2092" s="40"/>
      <c r="H2092" s="40" t="s">
        <v>2234</v>
      </c>
      <c r="I2092" s="40"/>
      <c r="J2092" s="40" t="s">
        <v>97</v>
      </c>
      <c r="K2092" s="40" t="s">
        <v>97</v>
      </c>
      <c r="L2092" s="40" t="s">
        <v>97</v>
      </c>
    </row>
    <row r="2093" spans="1:12" x14ac:dyDescent="0.25">
      <c r="A2093" s="40" t="s">
        <v>38</v>
      </c>
      <c r="B2093" s="40" t="s">
        <v>3622</v>
      </c>
      <c r="C2093" s="40" t="s">
        <v>3623</v>
      </c>
      <c r="D2093" s="40" t="s">
        <v>2233</v>
      </c>
      <c r="E2093" s="40" t="s">
        <v>2233</v>
      </c>
      <c r="F2093" s="40">
        <v>1</v>
      </c>
      <c r="G2093" s="40"/>
      <c r="H2093" s="40" t="s">
        <v>2234</v>
      </c>
      <c r="I2093" s="40"/>
      <c r="J2093" s="40" t="s">
        <v>97</v>
      </c>
      <c r="K2093" s="40" t="s">
        <v>97</v>
      </c>
      <c r="L2093" s="40" t="s">
        <v>97</v>
      </c>
    </row>
    <row r="2094" spans="1:12" x14ac:dyDescent="0.25">
      <c r="A2094" s="40" t="s">
        <v>38</v>
      </c>
      <c r="B2094" s="40" t="s">
        <v>3624</v>
      </c>
      <c r="C2094" s="40" t="s">
        <v>3625</v>
      </c>
      <c r="D2094" s="40" t="s">
        <v>3626</v>
      </c>
      <c r="E2094" s="40" t="s">
        <v>3626</v>
      </c>
      <c r="F2094" s="40">
        <v>1</v>
      </c>
      <c r="G2094" s="40"/>
      <c r="H2094" s="40" t="s">
        <v>97</v>
      </c>
      <c r="I2094" s="40"/>
      <c r="J2094" s="40" t="s">
        <v>97</v>
      </c>
      <c r="K2094" s="40" t="s">
        <v>97</v>
      </c>
      <c r="L2094" s="40" t="s">
        <v>97</v>
      </c>
    </row>
    <row r="2095" spans="1:12" x14ac:dyDescent="0.25">
      <c r="A2095" s="40" t="s">
        <v>38</v>
      </c>
      <c r="B2095" s="40" t="s">
        <v>3627</v>
      </c>
      <c r="C2095" s="40" t="s">
        <v>3628</v>
      </c>
      <c r="D2095" s="40" t="s">
        <v>3246</v>
      </c>
      <c r="E2095" s="40" t="s">
        <v>3246</v>
      </c>
      <c r="F2095" s="40">
        <v>1</v>
      </c>
      <c r="G2095" s="40"/>
      <c r="H2095" s="40" t="s">
        <v>97</v>
      </c>
      <c r="I2095" s="40"/>
      <c r="J2095" s="40" t="s">
        <v>97</v>
      </c>
      <c r="K2095" s="40" t="s">
        <v>97</v>
      </c>
      <c r="L2095" s="40" t="s">
        <v>97</v>
      </c>
    </row>
    <row r="2096" spans="1:12" x14ac:dyDescent="0.25">
      <c r="A2096" s="40" t="s">
        <v>38</v>
      </c>
      <c r="B2096" s="40" t="s">
        <v>3629</v>
      </c>
      <c r="C2096" s="40" t="s">
        <v>3630</v>
      </c>
      <c r="D2096" s="40" t="s">
        <v>2233</v>
      </c>
      <c r="E2096" s="40" t="s">
        <v>2233</v>
      </c>
      <c r="F2096" s="40">
        <v>1</v>
      </c>
      <c r="G2096" s="40"/>
      <c r="H2096" s="40" t="s">
        <v>2234</v>
      </c>
      <c r="I2096" s="40"/>
      <c r="J2096" s="40" t="s">
        <v>97</v>
      </c>
      <c r="K2096" s="40" t="s">
        <v>97</v>
      </c>
      <c r="L2096" s="40" t="s">
        <v>97</v>
      </c>
    </row>
    <row r="2097" spans="1:12" x14ac:dyDescent="0.25">
      <c r="A2097" s="40" t="s">
        <v>38</v>
      </c>
      <c r="B2097" s="40" t="s">
        <v>3631</v>
      </c>
      <c r="C2097" s="40" t="s">
        <v>3632</v>
      </c>
      <c r="D2097" s="40" t="s">
        <v>2233</v>
      </c>
      <c r="E2097" s="40" t="s">
        <v>2233</v>
      </c>
      <c r="F2097" s="40">
        <v>1</v>
      </c>
      <c r="G2097" s="40"/>
      <c r="H2097" s="40" t="s">
        <v>2234</v>
      </c>
      <c r="I2097" s="40"/>
      <c r="J2097" s="40" t="s">
        <v>97</v>
      </c>
      <c r="K2097" s="40" t="s">
        <v>97</v>
      </c>
      <c r="L2097" s="40" t="s">
        <v>97</v>
      </c>
    </row>
    <row r="2098" spans="1:12" x14ac:dyDescent="0.25">
      <c r="A2098" s="40" t="s">
        <v>38</v>
      </c>
      <c r="B2098" s="40" t="s">
        <v>3633</v>
      </c>
      <c r="C2098" s="40" t="s">
        <v>3634</v>
      </c>
      <c r="D2098" s="40" t="s">
        <v>2233</v>
      </c>
      <c r="E2098" s="40" t="s">
        <v>2233</v>
      </c>
      <c r="F2098" s="40">
        <v>1</v>
      </c>
      <c r="G2098" s="40"/>
      <c r="H2098" s="40" t="s">
        <v>2234</v>
      </c>
      <c r="I2098" s="40"/>
      <c r="J2098" s="40" t="s">
        <v>97</v>
      </c>
      <c r="K2098" s="40" t="s">
        <v>97</v>
      </c>
      <c r="L2098" s="40" t="s">
        <v>97</v>
      </c>
    </row>
    <row r="2099" spans="1:12" x14ac:dyDescent="0.25">
      <c r="A2099" s="40" t="s">
        <v>38</v>
      </c>
      <c r="B2099" s="40" t="s">
        <v>3635</v>
      </c>
      <c r="C2099" s="40" t="s">
        <v>3636</v>
      </c>
      <c r="D2099" s="40" t="s">
        <v>2233</v>
      </c>
      <c r="E2099" s="40" t="s">
        <v>2233</v>
      </c>
      <c r="F2099" s="40">
        <v>1</v>
      </c>
      <c r="G2099" s="40"/>
      <c r="H2099" s="40" t="s">
        <v>2234</v>
      </c>
      <c r="I2099" s="40"/>
      <c r="J2099" s="40" t="s">
        <v>97</v>
      </c>
      <c r="K2099" s="40" t="s">
        <v>97</v>
      </c>
      <c r="L2099" s="40" t="s">
        <v>97</v>
      </c>
    </row>
    <row r="2100" spans="1:12" x14ac:dyDescent="0.25">
      <c r="A2100" s="40" t="s">
        <v>38</v>
      </c>
      <c r="B2100" s="40" t="s">
        <v>3637</v>
      </c>
      <c r="C2100" s="40" t="s">
        <v>3638</v>
      </c>
      <c r="D2100" s="40" t="s">
        <v>2233</v>
      </c>
      <c r="E2100" s="40" t="s">
        <v>2233</v>
      </c>
      <c r="F2100" s="40">
        <v>1</v>
      </c>
      <c r="G2100" s="40"/>
      <c r="H2100" s="40" t="s">
        <v>97</v>
      </c>
      <c r="I2100" s="40"/>
      <c r="J2100" s="40" t="s">
        <v>97</v>
      </c>
      <c r="K2100" s="40" t="s">
        <v>97</v>
      </c>
      <c r="L2100" s="40" t="s">
        <v>97</v>
      </c>
    </row>
    <row r="2101" spans="1:12" x14ac:dyDescent="0.25">
      <c r="A2101" s="40" t="s">
        <v>38</v>
      </c>
      <c r="B2101" s="40" t="s">
        <v>3639</v>
      </c>
      <c r="C2101" s="40" t="s">
        <v>3640</v>
      </c>
      <c r="D2101" s="40" t="s">
        <v>2233</v>
      </c>
      <c r="E2101" s="40" t="s">
        <v>2233</v>
      </c>
      <c r="F2101" s="40">
        <v>1</v>
      </c>
      <c r="G2101" s="40"/>
      <c r="H2101" s="40" t="s">
        <v>97</v>
      </c>
      <c r="I2101" s="40"/>
      <c r="J2101" s="40" t="s">
        <v>97</v>
      </c>
      <c r="K2101" s="40" t="s">
        <v>97</v>
      </c>
      <c r="L2101" s="40" t="s">
        <v>97</v>
      </c>
    </row>
    <row r="2102" spans="1:12" x14ac:dyDescent="0.25">
      <c r="A2102" s="40" t="s">
        <v>38</v>
      </c>
      <c r="B2102" s="40" t="s">
        <v>3641</v>
      </c>
      <c r="C2102" s="40" t="s">
        <v>3642</v>
      </c>
      <c r="D2102" s="40" t="s">
        <v>2233</v>
      </c>
      <c r="E2102" s="40" t="s">
        <v>2233</v>
      </c>
      <c r="F2102" s="40">
        <v>1</v>
      </c>
      <c r="G2102" s="40"/>
      <c r="H2102" s="40" t="s">
        <v>97</v>
      </c>
      <c r="I2102" s="40"/>
      <c r="J2102" s="40" t="s">
        <v>97</v>
      </c>
      <c r="K2102" s="40" t="s">
        <v>97</v>
      </c>
      <c r="L2102" s="40" t="s">
        <v>97</v>
      </c>
    </row>
    <row r="2103" spans="1:12" x14ac:dyDescent="0.25">
      <c r="A2103" s="40" t="s">
        <v>38</v>
      </c>
      <c r="B2103" s="40" t="s">
        <v>3643</v>
      </c>
      <c r="C2103" s="40" t="s">
        <v>3644</v>
      </c>
      <c r="D2103" s="40" t="s">
        <v>2233</v>
      </c>
      <c r="E2103" s="40" t="s">
        <v>2233</v>
      </c>
      <c r="F2103" s="40">
        <v>1</v>
      </c>
      <c r="G2103" s="40"/>
      <c r="H2103" s="40" t="s">
        <v>97</v>
      </c>
      <c r="I2103" s="40"/>
      <c r="J2103" s="40" t="s">
        <v>97</v>
      </c>
      <c r="K2103" s="40" t="s">
        <v>97</v>
      </c>
      <c r="L2103" s="40" t="s">
        <v>97</v>
      </c>
    </row>
    <row r="2104" spans="1:12" x14ac:dyDescent="0.25">
      <c r="A2104" s="40" t="s">
        <v>38</v>
      </c>
      <c r="B2104" s="40" t="s">
        <v>3645</v>
      </c>
      <c r="C2104" s="40" t="s">
        <v>3646</v>
      </c>
      <c r="D2104" s="40" t="s">
        <v>2233</v>
      </c>
      <c r="E2104" s="40" t="s">
        <v>2233</v>
      </c>
      <c r="F2104" s="40">
        <v>1</v>
      </c>
      <c r="G2104" s="40"/>
      <c r="H2104" s="40" t="s">
        <v>97</v>
      </c>
      <c r="I2104" s="40"/>
      <c r="J2104" s="40" t="s">
        <v>97</v>
      </c>
      <c r="K2104" s="40" t="s">
        <v>97</v>
      </c>
      <c r="L2104" s="40" t="s">
        <v>97</v>
      </c>
    </row>
    <row r="2105" spans="1:12" x14ac:dyDescent="0.25">
      <c r="A2105" s="40" t="s">
        <v>38</v>
      </c>
      <c r="B2105" s="40" t="s">
        <v>3647</v>
      </c>
      <c r="C2105" s="40" t="s">
        <v>3648</v>
      </c>
      <c r="D2105" s="40" t="s">
        <v>2233</v>
      </c>
      <c r="E2105" s="40" t="s">
        <v>2233</v>
      </c>
      <c r="F2105" s="40">
        <v>1</v>
      </c>
      <c r="G2105" s="40"/>
      <c r="H2105" s="40" t="s">
        <v>97</v>
      </c>
      <c r="I2105" s="40"/>
      <c r="J2105" s="40" t="s">
        <v>97</v>
      </c>
      <c r="K2105" s="40" t="s">
        <v>97</v>
      </c>
      <c r="L2105" s="40" t="s">
        <v>97</v>
      </c>
    </row>
    <row r="2106" spans="1:12" x14ac:dyDescent="0.25">
      <c r="A2106" s="40" t="s">
        <v>38</v>
      </c>
      <c r="B2106" s="40" t="s">
        <v>3649</v>
      </c>
      <c r="C2106" s="40" t="s">
        <v>3650</v>
      </c>
      <c r="D2106" s="40" t="s">
        <v>2233</v>
      </c>
      <c r="E2106" s="40" t="s">
        <v>2233</v>
      </c>
      <c r="F2106" s="40">
        <v>1</v>
      </c>
      <c r="G2106" s="40"/>
      <c r="H2106" s="40" t="s">
        <v>97</v>
      </c>
      <c r="I2106" s="40"/>
      <c r="J2106" s="40" t="s">
        <v>97</v>
      </c>
      <c r="K2106" s="40" t="s">
        <v>97</v>
      </c>
      <c r="L2106" s="40" t="s">
        <v>97</v>
      </c>
    </row>
    <row r="2107" spans="1:12" x14ac:dyDescent="0.25">
      <c r="A2107" s="40" t="s">
        <v>38</v>
      </c>
      <c r="B2107" s="40" t="s">
        <v>3651</v>
      </c>
      <c r="C2107" s="40" t="s">
        <v>3652</v>
      </c>
      <c r="D2107" s="40" t="s">
        <v>2233</v>
      </c>
      <c r="E2107" s="40" t="s">
        <v>2233</v>
      </c>
      <c r="F2107" s="40">
        <v>1</v>
      </c>
      <c r="G2107" s="40"/>
      <c r="H2107" s="40" t="s">
        <v>97</v>
      </c>
      <c r="I2107" s="40"/>
      <c r="J2107" s="40" t="s">
        <v>97</v>
      </c>
      <c r="K2107" s="40" t="s">
        <v>97</v>
      </c>
      <c r="L2107" s="40" t="s">
        <v>97</v>
      </c>
    </row>
    <row r="2108" spans="1:12" x14ac:dyDescent="0.25">
      <c r="A2108" s="40" t="s">
        <v>38</v>
      </c>
      <c r="B2108" s="40" t="s">
        <v>3653</v>
      </c>
      <c r="C2108" s="40" t="s">
        <v>3654</v>
      </c>
      <c r="D2108" s="40" t="s">
        <v>2233</v>
      </c>
      <c r="E2108" s="40" t="s">
        <v>2233</v>
      </c>
      <c r="F2108" s="40">
        <v>1</v>
      </c>
      <c r="G2108" s="40"/>
      <c r="H2108" s="40" t="s">
        <v>97</v>
      </c>
      <c r="I2108" s="40"/>
      <c r="J2108" s="40" t="s">
        <v>97</v>
      </c>
      <c r="K2108" s="40" t="s">
        <v>97</v>
      </c>
      <c r="L2108" s="40" t="s">
        <v>97</v>
      </c>
    </row>
    <row r="2109" spans="1:12" x14ac:dyDescent="0.25">
      <c r="A2109" s="40" t="s">
        <v>38</v>
      </c>
      <c r="B2109" s="40" t="s">
        <v>3655</v>
      </c>
      <c r="C2109" s="40" t="s">
        <v>3656</v>
      </c>
      <c r="D2109" s="40" t="s">
        <v>2233</v>
      </c>
      <c r="E2109" s="40" t="s">
        <v>2233</v>
      </c>
      <c r="F2109" s="40">
        <v>1</v>
      </c>
      <c r="G2109" s="40"/>
      <c r="H2109" s="40" t="s">
        <v>97</v>
      </c>
      <c r="I2109" s="40"/>
      <c r="J2109" s="40" t="s">
        <v>97</v>
      </c>
      <c r="K2109" s="40" t="s">
        <v>97</v>
      </c>
      <c r="L2109" s="40" t="s">
        <v>97</v>
      </c>
    </row>
    <row r="2110" spans="1:12" x14ac:dyDescent="0.25">
      <c r="A2110" s="40" t="s">
        <v>38</v>
      </c>
      <c r="B2110" s="40" t="s">
        <v>3657</v>
      </c>
      <c r="C2110" s="40" t="s">
        <v>3658</v>
      </c>
      <c r="D2110" s="40" t="s">
        <v>2233</v>
      </c>
      <c r="E2110" s="40" t="s">
        <v>2233</v>
      </c>
      <c r="F2110" s="40">
        <v>1</v>
      </c>
      <c r="G2110" s="40"/>
      <c r="H2110" s="40" t="s">
        <v>2234</v>
      </c>
      <c r="I2110" s="40"/>
      <c r="J2110" s="40" t="s">
        <v>97</v>
      </c>
      <c r="K2110" s="40" t="s">
        <v>97</v>
      </c>
      <c r="L2110" s="40" t="s">
        <v>97</v>
      </c>
    </row>
    <row r="2111" spans="1:12" x14ac:dyDescent="0.25">
      <c r="A2111" s="40" t="s">
        <v>38</v>
      </c>
      <c r="B2111" s="40" t="s">
        <v>3659</v>
      </c>
      <c r="C2111" s="40" t="s">
        <v>3660</v>
      </c>
      <c r="D2111" s="40" t="s">
        <v>2233</v>
      </c>
      <c r="E2111" s="40" t="s">
        <v>2233</v>
      </c>
      <c r="F2111" s="40">
        <v>1</v>
      </c>
      <c r="G2111" s="40"/>
      <c r="H2111" s="40" t="s">
        <v>2234</v>
      </c>
      <c r="I2111" s="40"/>
      <c r="J2111" s="40" t="s">
        <v>97</v>
      </c>
      <c r="K2111" s="40" t="s">
        <v>97</v>
      </c>
      <c r="L2111" s="40" t="s">
        <v>97</v>
      </c>
    </row>
    <row r="2112" spans="1:12" x14ac:dyDescent="0.25">
      <c r="A2112" s="40" t="s">
        <v>38</v>
      </c>
      <c r="B2112" s="40" t="s">
        <v>3661</v>
      </c>
      <c r="C2112" s="40" t="s">
        <v>3662</v>
      </c>
      <c r="D2112" s="40" t="s">
        <v>2233</v>
      </c>
      <c r="E2112" s="40" t="s">
        <v>2233</v>
      </c>
      <c r="F2112" s="40">
        <v>1</v>
      </c>
      <c r="G2112" s="40"/>
      <c r="H2112" s="40" t="s">
        <v>2234</v>
      </c>
      <c r="I2112" s="40"/>
      <c r="J2112" s="40" t="s">
        <v>97</v>
      </c>
      <c r="K2112" s="40" t="s">
        <v>97</v>
      </c>
      <c r="L2112" s="40" t="s">
        <v>97</v>
      </c>
    </row>
    <row r="2113" spans="1:12" x14ac:dyDescent="0.25">
      <c r="A2113" s="40" t="s">
        <v>38</v>
      </c>
      <c r="B2113" s="40" t="s">
        <v>3663</v>
      </c>
      <c r="C2113" s="40" t="s">
        <v>3664</v>
      </c>
      <c r="D2113" s="40" t="s">
        <v>2233</v>
      </c>
      <c r="E2113" s="40" t="s">
        <v>2233</v>
      </c>
      <c r="F2113" s="40">
        <v>1</v>
      </c>
      <c r="G2113" s="40"/>
      <c r="H2113" s="40" t="s">
        <v>2234</v>
      </c>
      <c r="I2113" s="40"/>
      <c r="J2113" s="40" t="s">
        <v>97</v>
      </c>
      <c r="K2113" s="40" t="s">
        <v>97</v>
      </c>
      <c r="L2113" s="40" t="s">
        <v>97</v>
      </c>
    </row>
    <row r="2114" spans="1:12" x14ac:dyDescent="0.25">
      <c r="A2114" s="40" t="s">
        <v>38</v>
      </c>
      <c r="B2114" s="40" t="s">
        <v>3665</v>
      </c>
      <c r="C2114" s="40" t="s">
        <v>3666</v>
      </c>
      <c r="D2114" s="40" t="s">
        <v>2233</v>
      </c>
      <c r="E2114" s="40" t="s">
        <v>2233</v>
      </c>
      <c r="F2114" s="40">
        <v>1</v>
      </c>
      <c r="G2114" s="40"/>
      <c r="H2114" s="40" t="s">
        <v>2234</v>
      </c>
      <c r="I2114" s="40"/>
      <c r="J2114" s="40" t="s">
        <v>97</v>
      </c>
      <c r="K2114" s="40" t="s">
        <v>97</v>
      </c>
      <c r="L2114" s="40" t="s">
        <v>97</v>
      </c>
    </row>
    <row r="2115" spans="1:12" x14ac:dyDescent="0.25">
      <c r="A2115" s="40" t="s">
        <v>38</v>
      </c>
      <c r="B2115" s="40" t="s">
        <v>3667</v>
      </c>
      <c r="C2115" s="40" t="s">
        <v>3668</v>
      </c>
      <c r="D2115" s="40" t="s">
        <v>2233</v>
      </c>
      <c r="E2115" s="40" t="s">
        <v>2233</v>
      </c>
      <c r="F2115" s="40">
        <v>1</v>
      </c>
      <c r="G2115" s="40"/>
      <c r="H2115" s="40" t="s">
        <v>2234</v>
      </c>
      <c r="I2115" s="40"/>
      <c r="J2115" s="40" t="s">
        <v>97</v>
      </c>
      <c r="K2115" s="40" t="s">
        <v>97</v>
      </c>
      <c r="L2115" s="40" t="s">
        <v>97</v>
      </c>
    </row>
    <row r="2116" spans="1:12" x14ac:dyDescent="0.25">
      <c r="A2116" s="40" t="s">
        <v>38</v>
      </c>
      <c r="B2116" s="40" t="s">
        <v>3669</v>
      </c>
      <c r="C2116" s="40" t="s">
        <v>3670</v>
      </c>
      <c r="D2116" s="40" t="s">
        <v>2233</v>
      </c>
      <c r="E2116" s="40" t="s">
        <v>2233</v>
      </c>
      <c r="F2116" s="40">
        <v>1</v>
      </c>
      <c r="G2116" s="40"/>
      <c r="H2116" s="40" t="s">
        <v>2234</v>
      </c>
      <c r="I2116" s="40"/>
      <c r="J2116" s="40" t="s">
        <v>97</v>
      </c>
      <c r="K2116" s="40" t="s">
        <v>97</v>
      </c>
      <c r="L2116" s="40" t="s">
        <v>97</v>
      </c>
    </row>
    <row r="2117" spans="1:12" x14ac:dyDescent="0.25">
      <c r="A2117" s="40" t="s">
        <v>38</v>
      </c>
      <c r="B2117" s="40" t="s">
        <v>3671</v>
      </c>
      <c r="C2117" s="40" t="s">
        <v>3672</v>
      </c>
      <c r="D2117" s="40" t="s">
        <v>2233</v>
      </c>
      <c r="E2117" s="40" t="s">
        <v>2233</v>
      </c>
      <c r="F2117" s="40">
        <v>1</v>
      </c>
      <c r="G2117" s="40"/>
      <c r="H2117" s="40" t="s">
        <v>2234</v>
      </c>
      <c r="I2117" s="40"/>
      <c r="J2117" s="40" t="s">
        <v>97</v>
      </c>
      <c r="K2117" s="40" t="s">
        <v>97</v>
      </c>
      <c r="L2117" s="40" t="s">
        <v>97</v>
      </c>
    </row>
    <row r="2118" spans="1:12" x14ac:dyDescent="0.25">
      <c r="A2118" s="40" t="s">
        <v>38</v>
      </c>
      <c r="B2118" s="40" t="s">
        <v>3673</v>
      </c>
      <c r="C2118" s="40" t="s">
        <v>3674</v>
      </c>
      <c r="D2118" s="40" t="s">
        <v>2233</v>
      </c>
      <c r="E2118" s="40" t="s">
        <v>2233</v>
      </c>
      <c r="F2118" s="40">
        <v>1</v>
      </c>
      <c r="G2118" s="40"/>
      <c r="H2118" s="40" t="s">
        <v>2234</v>
      </c>
      <c r="I2118" s="40"/>
      <c r="J2118" s="40" t="s">
        <v>97</v>
      </c>
      <c r="K2118" s="40" t="s">
        <v>97</v>
      </c>
      <c r="L2118" s="40" t="s">
        <v>97</v>
      </c>
    </row>
    <row r="2119" spans="1:12" x14ac:dyDescent="0.25">
      <c r="A2119" s="40" t="s">
        <v>38</v>
      </c>
      <c r="B2119" s="40" t="s">
        <v>3675</v>
      </c>
      <c r="C2119" s="40" t="s">
        <v>3676</v>
      </c>
      <c r="D2119" s="40" t="s">
        <v>2233</v>
      </c>
      <c r="E2119" s="40" t="s">
        <v>2233</v>
      </c>
      <c r="F2119" s="40">
        <v>1</v>
      </c>
      <c r="G2119" s="40"/>
      <c r="H2119" s="40" t="s">
        <v>2234</v>
      </c>
      <c r="I2119" s="40"/>
      <c r="J2119" s="40" t="s">
        <v>97</v>
      </c>
      <c r="K2119" s="40" t="s">
        <v>97</v>
      </c>
      <c r="L2119" s="40" t="s">
        <v>97</v>
      </c>
    </row>
    <row r="2120" spans="1:12" x14ac:dyDescent="0.25">
      <c r="A2120" s="40" t="s">
        <v>38</v>
      </c>
      <c r="B2120" s="40" t="s">
        <v>3677</v>
      </c>
      <c r="C2120" s="40" t="s">
        <v>3678</v>
      </c>
      <c r="D2120" s="40" t="s">
        <v>2233</v>
      </c>
      <c r="E2120" s="40" t="s">
        <v>2233</v>
      </c>
      <c r="F2120" s="40">
        <v>1</v>
      </c>
      <c r="G2120" s="40"/>
      <c r="H2120" s="40" t="s">
        <v>2234</v>
      </c>
      <c r="I2120" s="40"/>
      <c r="J2120" s="40" t="s">
        <v>97</v>
      </c>
      <c r="K2120" s="40" t="s">
        <v>97</v>
      </c>
      <c r="L2120" s="40" t="s">
        <v>97</v>
      </c>
    </row>
    <row r="2121" spans="1:12" x14ac:dyDescent="0.25">
      <c r="A2121" s="40" t="s">
        <v>38</v>
      </c>
      <c r="B2121" s="40" t="s">
        <v>3679</v>
      </c>
      <c r="C2121" s="40" t="s">
        <v>3680</v>
      </c>
      <c r="D2121" s="40" t="s">
        <v>3681</v>
      </c>
      <c r="E2121" s="40" t="s">
        <v>3681</v>
      </c>
      <c r="F2121" s="40">
        <v>1</v>
      </c>
      <c r="G2121" s="40"/>
      <c r="H2121" s="40" t="s">
        <v>97</v>
      </c>
      <c r="I2121" s="40"/>
      <c r="J2121" s="40" t="s">
        <v>97</v>
      </c>
      <c r="K2121" s="40" t="s">
        <v>97</v>
      </c>
      <c r="L2121" s="40" t="s">
        <v>97</v>
      </c>
    </row>
    <row r="2122" spans="1:12" x14ac:dyDescent="0.25">
      <c r="A2122" s="40" t="s">
        <v>38</v>
      </c>
      <c r="B2122" s="40" t="s">
        <v>3682</v>
      </c>
      <c r="C2122" s="40" t="s">
        <v>3683</v>
      </c>
      <c r="D2122" s="40" t="s">
        <v>3246</v>
      </c>
      <c r="E2122" s="40" t="s">
        <v>3246</v>
      </c>
      <c r="F2122" s="40">
        <v>1</v>
      </c>
      <c r="G2122" s="40"/>
      <c r="H2122" s="40" t="s">
        <v>97</v>
      </c>
      <c r="I2122" s="40"/>
      <c r="J2122" s="40" t="s">
        <v>97</v>
      </c>
      <c r="K2122" s="40" t="s">
        <v>97</v>
      </c>
      <c r="L2122" s="40" t="s">
        <v>97</v>
      </c>
    </row>
    <row r="2123" spans="1:12" x14ac:dyDescent="0.25">
      <c r="A2123" s="40" t="s">
        <v>38</v>
      </c>
      <c r="B2123" s="40" t="s">
        <v>3684</v>
      </c>
      <c r="C2123" s="40" t="s">
        <v>3685</v>
      </c>
      <c r="D2123" s="40" t="s">
        <v>2233</v>
      </c>
      <c r="E2123" s="40" t="s">
        <v>2233</v>
      </c>
      <c r="F2123" s="40">
        <v>1</v>
      </c>
      <c r="G2123" s="40"/>
      <c r="H2123" s="40" t="s">
        <v>2234</v>
      </c>
      <c r="I2123" s="40"/>
      <c r="J2123" s="40" t="s">
        <v>97</v>
      </c>
      <c r="K2123" s="40" t="s">
        <v>97</v>
      </c>
      <c r="L2123" s="40" t="s">
        <v>97</v>
      </c>
    </row>
    <row r="2124" spans="1:12" x14ac:dyDescent="0.25">
      <c r="A2124" s="40" t="s">
        <v>38</v>
      </c>
      <c r="B2124" s="40" t="s">
        <v>3686</v>
      </c>
      <c r="C2124" s="40" t="s">
        <v>3687</v>
      </c>
      <c r="D2124" s="40" t="s">
        <v>2233</v>
      </c>
      <c r="E2124" s="40" t="s">
        <v>2233</v>
      </c>
      <c r="F2124" s="40">
        <v>1</v>
      </c>
      <c r="G2124" s="40"/>
      <c r="H2124" s="40" t="s">
        <v>2234</v>
      </c>
      <c r="I2124" s="40"/>
      <c r="J2124" s="40" t="s">
        <v>97</v>
      </c>
      <c r="K2124" s="40" t="s">
        <v>97</v>
      </c>
      <c r="L2124" s="40" t="s">
        <v>97</v>
      </c>
    </row>
    <row r="2125" spans="1:12" x14ac:dyDescent="0.25">
      <c r="A2125" s="40" t="s">
        <v>38</v>
      </c>
      <c r="B2125" s="40" t="s">
        <v>3688</v>
      </c>
      <c r="C2125" s="40" t="s">
        <v>3689</v>
      </c>
      <c r="D2125" s="40" t="s">
        <v>2233</v>
      </c>
      <c r="E2125" s="40" t="s">
        <v>2233</v>
      </c>
      <c r="F2125" s="40">
        <v>1</v>
      </c>
      <c r="G2125" s="40"/>
      <c r="H2125" s="40" t="s">
        <v>2234</v>
      </c>
      <c r="I2125" s="40"/>
      <c r="J2125" s="40" t="s">
        <v>97</v>
      </c>
      <c r="K2125" s="40" t="s">
        <v>97</v>
      </c>
      <c r="L2125" s="40" t="s">
        <v>97</v>
      </c>
    </row>
    <row r="2126" spans="1:12" x14ac:dyDescent="0.25">
      <c r="A2126" s="40" t="s">
        <v>38</v>
      </c>
      <c r="B2126" s="40" t="s">
        <v>3690</v>
      </c>
      <c r="C2126" s="40" t="s">
        <v>3691</v>
      </c>
      <c r="D2126" s="40" t="s">
        <v>2233</v>
      </c>
      <c r="E2126" s="40" t="s">
        <v>2233</v>
      </c>
      <c r="F2126" s="40">
        <v>1</v>
      </c>
      <c r="G2126" s="40"/>
      <c r="H2126" s="40" t="s">
        <v>2234</v>
      </c>
      <c r="I2126" s="40"/>
      <c r="J2126" s="40" t="s">
        <v>97</v>
      </c>
      <c r="K2126" s="40" t="s">
        <v>97</v>
      </c>
      <c r="L2126" s="40" t="s">
        <v>97</v>
      </c>
    </row>
    <row r="2127" spans="1:12" x14ac:dyDescent="0.25">
      <c r="A2127" s="40" t="s">
        <v>38</v>
      </c>
      <c r="B2127" s="40" t="s">
        <v>3692</v>
      </c>
      <c r="C2127" s="40" t="s">
        <v>3693</v>
      </c>
      <c r="D2127" s="40" t="s">
        <v>2233</v>
      </c>
      <c r="E2127" s="40" t="s">
        <v>2233</v>
      </c>
      <c r="F2127" s="40">
        <v>1</v>
      </c>
      <c r="G2127" s="40"/>
      <c r="H2127" s="40" t="s">
        <v>97</v>
      </c>
      <c r="I2127" s="40"/>
      <c r="J2127" s="40" t="s">
        <v>97</v>
      </c>
      <c r="K2127" s="40" t="s">
        <v>97</v>
      </c>
      <c r="L2127" s="40" t="s">
        <v>97</v>
      </c>
    </row>
    <row r="2128" spans="1:12" x14ac:dyDescent="0.25">
      <c r="A2128" s="40" t="s">
        <v>38</v>
      </c>
      <c r="B2128" s="40" t="s">
        <v>3694</v>
      </c>
      <c r="C2128" s="40" t="s">
        <v>3695</v>
      </c>
      <c r="D2128" s="40" t="s">
        <v>2233</v>
      </c>
      <c r="E2128" s="40" t="s">
        <v>2233</v>
      </c>
      <c r="F2128" s="40">
        <v>1</v>
      </c>
      <c r="G2128" s="40"/>
      <c r="H2128" s="40" t="s">
        <v>97</v>
      </c>
      <c r="I2128" s="40"/>
      <c r="J2128" s="40" t="s">
        <v>97</v>
      </c>
      <c r="K2128" s="40" t="s">
        <v>97</v>
      </c>
      <c r="L2128" s="40" t="s">
        <v>97</v>
      </c>
    </row>
    <row r="2129" spans="1:12" x14ac:dyDescent="0.25">
      <c r="A2129" s="40" t="s">
        <v>38</v>
      </c>
      <c r="B2129" s="40" t="s">
        <v>3696</v>
      </c>
      <c r="C2129" s="40" t="s">
        <v>3697</v>
      </c>
      <c r="D2129" s="40" t="s">
        <v>2233</v>
      </c>
      <c r="E2129" s="40" t="s">
        <v>2233</v>
      </c>
      <c r="F2129" s="40">
        <v>1</v>
      </c>
      <c r="G2129" s="40"/>
      <c r="H2129" s="40" t="s">
        <v>97</v>
      </c>
      <c r="I2129" s="40"/>
      <c r="J2129" s="40" t="s">
        <v>97</v>
      </c>
      <c r="K2129" s="40" t="s">
        <v>97</v>
      </c>
      <c r="L2129" s="40" t="s">
        <v>97</v>
      </c>
    </row>
    <row r="2130" spans="1:12" x14ac:dyDescent="0.25">
      <c r="A2130" s="40" t="s">
        <v>38</v>
      </c>
      <c r="B2130" s="40" t="s">
        <v>3698</v>
      </c>
      <c r="C2130" s="40" t="s">
        <v>3699</v>
      </c>
      <c r="D2130" s="40" t="s">
        <v>2233</v>
      </c>
      <c r="E2130" s="40" t="s">
        <v>2233</v>
      </c>
      <c r="F2130" s="40">
        <v>1</v>
      </c>
      <c r="G2130" s="40"/>
      <c r="H2130" s="40" t="s">
        <v>97</v>
      </c>
      <c r="I2130" s="40"/>
      <c r="J2130" s="40" t="s">
        <v>97</v>
      </c>
      <c r="K2130" s="40" t="s">
        <v>97</v>
      </c>
      <c r="L2130" s="40" t="s">
        <v>97</v>
      </c>
    </row>
    <row r="2131" spans="1:12" x14ac:dyDescent="0.25">
      <c r="A2131" s="40" t="s">
        <v>38</v>
      </c>
      <c r="B2131" s="40" t="s">
        <v>3700</v>
      </c>
      <c r="C2131" s="40" t="s">
        <v>3701</v>
      </c>
      <c r="D2131" s="40" t="s">
        <v>2233</v>
      </c>
      <c r="E2131" s="40" t="s">
        <v>2233</v>
      </c>
      <c r="F2131" s="40">
        <v>1</v>
      </c>
      <c r="G2131" s="40"/>
      <c r="H2131" s="40" t="s">
        <v>97</v>
      </c>
      <c r="I2131" s="40"/>
      <c r="J2131" s="40" t="s">
        <v>97</v>
      </c>
      <c r="K2131" s="40" t="s">
        <v>97</v>
      </c>
      <c r="L2131" s="40" t="s">
        <v>97</v>
      </c>
    </row>
    <row r="2132" spans="1:12" x14ac:dyDescent="0.25">
      <c r="A2132" s="40" t="s">
        <v>38</v>
      </c>
      <c r="B2132" s="40" t="s">
        <v>3702</v>
      </c>
      <c r="C2132" s="40" t="s">
        <v>3703</v>
      </c>
      <c r="D2132" s="40" t="s">
        <v>2233</v>
      </c>
      <c r="E2132" s="40" t="s">
        <v>2233</v>
      </c>
      <c r="F2132" s="40">
        <v>1</v>
      </c>
      <c r="G2132" s="40"/>
      <c r="H2132" s="40" t="s">
        <v>97</v>
      </c>
      <c r="I2132" s="40"/>
      <c r="J2132" s="40" t="s">
        <v>97</v>
      </c>
      <c r="K2132" s="40" t="s">
        <v>97</v>
      </c>
      <c r="L2132" s="40" t="s">
        <v>97</v>
      </c>
    </row>
    <row r="2133" spans="1:12" x14ac:dyDescent="0.25">
      <c r="A2133" s="40" t="s">
        <v>38</v>
      </c>
      <c r="B2133" s="40" t="s">
        <v>3704</v>
      </c>
      <c r="C2133" s="40" t="s">
        <v>3705</v>
      </c>
      <c r="D2133" s="40" t="s">
        <v>2233</v>
      </c>
      <c r="E2133" s="40" t="s">
        <v>2233</v>
      </c>
      <c r="F2133" s="40">
        <v>1</v>
      </c>
      <c r="G2133" s="40"/>
      <c r="H2133" s="40" t="s">
        <v>97</v>
      </c>
      <c r="I2133" s="40"/>
      <c r="J2133" s="40" t="s">
        <v>97</v>
      </c>
      <c r="K2133" s="40" t="s">
        <v>97</v>
      </c>
      <c r="L2133" s="40" t="s">
        <v>97</v>
      </c>
    </row>
    <row r="2134" spans="1:12" x14ac:dyDescent="0.25">
      <c r="A2134" s="40" t="s">
        <v>38</v>
      </c>
      <c r="B2134" s="40" t="s">
        <v>3706</v>
      </c>
      <c r="C2134" s="40" t="s">
        <v>3707</v>
      </c>
      <c r="D2134" s="40" t="s">
        <v>2233</v>
      </c>
      <c r="E2134" s="40" t="s">
        <v>2233</v>
      </c>
      <c r="F2134" s="40">
        <v>1</v>
      </c>
      <c r="G2134" s="40"/>
      <c r="H2134" s="40" t="s">
        <v>97</v>
      </c>
      <c r="I2134" s="40"/>
      <c r="J2134" s="40" t="s">
        <v>97</v>
      </c>
      <c r="K2134" s="40" t="s">
        <v>97</v>
      </c>
      <c r="L2134" s="40" t="s">
        <v>97</v>
      </c>
    </row>
    <row r="2135" spans="1:12" x14ac:dyDescent="0.25">
      <c r="A2135" s="40" t="s">
        <v>38</v>
      </c>
      <c r="B2135" s="40" t="s">
        <v>3708</v>
      </c>
      <c r="C2135" s="40" t="s">
        <v>3709</v>
      </c>
      <c r="D2135" s="40" t="s">
        <v>2233</v>
      </c>
      <c r="E2135" s="40" t="s">
        <v>2233</v>
      </c>
      <c r="F2135" s="40">
        <v>1</v>
      </c>
      <c r="G2135" s="40"/>
      <c r="H2135" s="40" t="s">
        <v>97</v>
      </c>
      <c r="I2135" s="40"/>
      <c r="J2135" s="40" t="s">
        <v>97</v>
      </c>
      <c r="K2135" s="40" t="s">
        <v>97</v>
      </c>
      <c r="L2135" s="40" t="s">
        <v>97</v>
      </c>
    </row>
    <row r="2136" spans="1:12" x14ac:dyDescent="0.25">
      <c r="A2136" s="40" t="s">
        <v>38</v>
      </c>
      <c r="B2136" s="40" t="s">
        <v>3710</v>
      </c>
      <c r="C2136" s="40" t="s">
        <v>3711</v>
      </c>
      <c r="D2136" s="40" t="s">
        <v>2233</v>
      </c>
      <c r="E2136" s="40" t="s">
        <v>2233</v>
      </c>
      <c r="F2136" s="40">
        <v>1</v>
      </c>
      <c r="G2136" s="40"/>
      <c r="H2136" s="40" t="s">
        <v>97</v>
      </c>
      <c r="I2136" s="40"/>
      <c r="J2136" s="40" t="s">
        <v>97</v>
      </c>
      <c r="K2136" s="40" t="s">
        <v>97</v>
      </c>
      <c r="L2136" s="40" t="s">
        <v>97</v>
      </c>
    </row>
    <row r="2137" spans="1:12" x14ac:dyDescent="0.25">
      <c r="A2137" s="40" t="s">
        <v>38</v>
      </c>
      <c r="B2137" s="40" t="s">
        <v>3712</v>
      </c>
      <c r="C2137" s="40" t="s">
        <v>3713</v>
      </c>
      <c r="D2137" s="40" t="s">
        <v>2233</v>
      </c>
      <c r="E2137" s="40" t="s">
        <v>2233</v>
      </c>
      <c r="F2137" s="40">
        <v>1</v>
      </c>
      <c r="G2137" s="40"/>
      <c r="H2137" s="40" t="s">
        <v>2234</v>
      </c>
      <c r="I2137" s="40"/>
      <c r="J2137" s="40" t="s">
        <v>97</v>
      </c>
      <c r="K2137" s="40" t="s">
        <v>97</v>
      </c>
      <c r="L2137" s="40" t="s">
        <v>97</v>
      </c>
    </row>
    <row r="2138" spans="1:12" x14ac:dyDescent="0.25">
      <c r="A2138" s="40" t="s">
        <v>38</v>
      </c>
      <c r="B2138" s="40" t="s">
        <v>3714</v>
      </c>
      <c r="C2138" s="40" t="s">
        <v>3715</v>
      </c>
      <c r="D2138" s="40" t="s">
        <v>2233</v>
      </c>
      <c r="E2138" s="40" t="s">
        <v>2233</v>
      </c>
      <c r="F2138" s="40">
        <v>1</v>
      </c>
      <c r="G2138" s="40"/>
      <c r="H2138" s="40" t="s">
        <v>2234</v>
      </c>
      <c r="I2138" s="40"/>
      <c r="J2138" s="40" t="s">
        <v>97</v>
      </c>
      <c r="K2138" s="40" t="s">
        <v>97</v>
      </c>
      <c r="L2138" s="40" t="s">
        <v>97</v>
      </c>
    </row>
    <row r="2139" spans="1:12" x14ac:dyDescent="0.25">
      <c r="A2139" s="40" t="s">
        <v>38</v>
      </c>
      <c r="B2139" s="40" t="s">
        <v>3716</v>
      </c>
      <c r="C2139" s="40" t="s">
        <v>3717</v>
      </c>
      <c r="D2139" s="40" t="s">
        <v>2233</v>
      </c>
      <c r="E2139" s="40" t="s">
        <v>2233</v>
      </c>
      <c r="F2139" s="40">
        <v>1</v>
      </c>
      <c r="G2139" s="40"/>
      <c r="H2139" s="40" t="s">
        <v>2234</v>
      </c>
      <c r="I2139" s="40"/>
      <c r="J2139" s="40" t="s">
        <v>97</v>
      </c>
      <c r="K2139" s="40" t="s">
        <v>97</v>
      </c>
      <c r="L2139" s="40" t="s">
        <v>97</v>
      </c>
    </row>
    <row r="2140" spans="1:12" x14ac:dyDescent="0.25">
      <c r="A2140" s="40" t="s">
        <v>38</v>
      </c>
      <c r="B2140" s="40" t="s">
        <v>3718</v>
      </c>
      <c r="C2140" s="40" t="s">
        <v>3719</v>
      </c>
      <c r="D2140" s="40" t="s">
        <v>2233</v>
      </c>
      <c r="E2140" s="40" t="s">
        <v>2233</v>
      </c>
      <c r="F2140" s="40">
        <v>1</v>
      </c>
      <c r="G2140" s="40"/>
      <c r="H2140" s="40" t="s">
        <v>2234</v>
      </c>
      <c r="I2140" s="40"/>
      <c r="J2140" s="40" t="s">
        <v>97</v>
      </c>
      <c r="K2140" s="40" t="s">
        <v>97</v>
      </c>
      <c r="L2140" s="40" t="s">
        <v>97</v>
      </c>
    </row>
    <row r="2141" spans="1:12" x14ac:dyDescent="0.25">
      <c r="A2141" s="40" t="s">
        <v>38</v>
      </c>
      <c r="B2141" s="40" t="s">
        <v>3720</v>
      </c>
      <c r="C2141" s="40" t="s">
        <v>3721</v>
      </c>
      <c r="D2141" s="40" t="s">
        <v>2233</v>
      </c>
      <c r="E2141" s="40" t="s">
        <v>2233</v>
      </c>
      <c r="F2141" s="40">
        <v>1</v>
      </c>
      <c r="G2141" s="40"/>
      <c r="H2141" s="40" t="s">
        <v>2234</v>
      </c>
      <c r="I2141" s="40"/>
      <c r="J2141" s="40" t="s">
        <v>97</v>
      </c>
      <c r="K2141" s="40" t="s">
        <v>97</v>
      </c>
      <c r="L2141" s="40" t="s">
        <v>97</v>
      </c>
    </row>
    <row r="2142" spans="1:12" x14ac:dyDescent="0.25">
      <c r="A2142" s="40" t="s">
        <v>38</v>
      </c>
      <c r="B2142" s="40" t="s">
        <v>3722</v>
      </c>
      <c r="C2142" s="40" t="s">
        <v>3723</v>
      </c>
      <c r="D2142" s="40" t="s">
        <v>2233</v>
      </c>
      <c r="E2142" s="40" t="s">
        <v>2233</v>
      </c>
      <c r="F2142" s="40">
        <v>1</v>
      </c>
      <c r="G2142" s="40"/>
      <c r="H2142" s="40" t="s">
        <v>2234</v>
      </c>
      <c r="I2142" s="40"/>
      <c r="J2142" s="40" t="s">
        <v>97</v>
      </c>
      <c r="K2142" s="40" t="s">
        <v>97</v>
      </c>
      <c r="L2142" s="40" t="s">
        <v>97</v>
      </c>
    </row>
    <row r="2143" spans="1:12" x14ac:dyDescent="0.25">
      <c r="A2143" s="40" t="s">
        <v>38</v>
      </c>
      <c r="B2143" s="40" t="s">
        <v>3724</v>
      </c>
      <c r="C2143" s="40" t="s">
        <v>3725</v>
      </c>
      <c r="D2143" s="40" t="s">
        <v>2233</v>
      </c>
      <c r="E2143" s="40" t="s">
        <v>2233</v>
      </c>
      <c r="F2143" s="40">
        <v>1</v>
      </c>
      <c r="G2143" s="40"/>
      <c r="H2143" s="40" t="s">
        <v>2234</v>
      </c>
      <c r="I2143" s="40"/>
      <c r="J2143" s="40" t="s">
        <v>97</v>
      </c>
      <c r="K2143" s="40" t="s">
        <v>97</v>
      </c>
      <c r="L2143" s="40" t="s">
        <v>97</v>
      </c>
    </row>
    <row r="2144" spans="1:12" x14ac:dyDescent="0.25">
      <c r="A2144" s="40" t="s">
        <v>38</v>
      </c>
      <c r="B2144" s="40" t="s">
        <v>3726</v>
      </c>
      <c r="C2144" s="40" t="s">
        <v>3727</v>
      </c>
      <c r="D2144" s="40" t="s">
        <v>2233</v>
      </c>
      <c r="E2144" s="40" t="s">
        <v>2233</v>
      </c>
      <c r="F2144" s="40">
        <v>1</v>
      </c>
      <c r="G2144" s="40"/>
      <c r="H2144" s="40" t="s">
        <v>2234</v>
      </c>
      <c r="I2144" s="40"/>
      <c r="J2144" s="40" t="s">
        <v>97</v>
      </c>
      <c r="K2144" s="40" t="s">
        <v>97</v>
      </c>
      <c r="L2144" s="40" t="s">
        <v>97</v>
      </c>
    </row>
    <row r="2145" spans="1:12" x14ac:dyDescent="0.25">
      <c r="A2145" s="40" t="s">
        <v>38</v>
      </c>
      <c r="B2145" s="40" t="s">
        <v>3728</v>
      </c>
      <c r="C2145" s="40" t="s">
        <v>3729</v>
      </c>
      <c r="D2145" s="40" t="s">
        <v>2233</v>
      </c>
      <c r="E2145" s="40" t="s">
        <v>2233</v>
      </c>
      <c r="F2145" s="40">
        <v>1</v>
      </c>
      <c r="G2145" s="40"/>
      <c r="H2145" s="40" t="s">
        <v>2234</v>
      </c>
      <c r="I2145" s="40"/>
      <c r="J2145" s="40" t="s">
        <v>97</v>
      </c>
      <c r="K2145" s="40" t="s">
        <v>97</v>
      </c>
      <c r="L2145" s="40" t="s">
        <v>97</v>
      </c>
    </row>
    <row r="2146" spans="1:12" x14ac:dyDescent="0.25">
      <c r="A2146" s="40" t="s">
        <v>38</v>
      </c>
      <c r="B2146" s="40" t="s">
        <v>3730</v>
      </c>
      <c r="C2146" s="40" t="s">
        <v>3731</v>
      </c>
      <c r="D2146" s="40" t="s">
        <v>2233</v>
      </c>
      <c r="E2146" s="40" t="s">
        <v>2233</v>
      </c>
      <c r="F2146" s="40">
        <v>1</v>
      </c>
      <c r="G2146" s="40"/>
      <c r="H2146" s="40" t="s">
        <v>2234</v>
      </c>
      <c r="I2146" s="40"/>
      <c r="J2146" s="40" t="s">
        <v>97</v>
      </c>
      <c r="K2146" s="40" t="s">
        <v>97</v>
      </c>
      <c r="L2146" s="40" t="s">
        <v>97</v>
      </c>
    </row>
    <row r="2147" spans="1:12" x14ac:dyDescent="0.25">
      <c r="A2147" s="40" t="s">
        <v>38</v>
      </c>
      <c r="B2147" s="40" t="s">
        <v>3732</v>
      </c>
      <c r="C2147" s="40" t="s">
        <v>3733</v>
      </c>
      <c r="D2147" s="40" t="s">
        <v>2233</v>
      </c>
      <c r="E2147" s="40" t="s">
        <v>2233</v>
      </c>
      <c r="F2147" s="40">
        <v>1</v>
      </c>
      <c r="G2147" s="40"/>
      <c r="H2147" s="40" t="s">
        <v>2234</v>
      </c>
      <c r="I2147" s="40"/>
      <c r="J2147" s="40" t="s">
        <v>97</v>
      </c>
      <c r="K2147" s="40" t="s">
        <v>97</v>
      </c>
      <c r="L2147" s="40" t="s">
        <v>97</v>
      </c>
    </row>
    <row r="2148" spans="1:12" x14ac:dyDescent="0.25">
      <c r="A2148" s="40" t="s">
        <v>38</v>
      </c>
      <c r="B2148" s="40" t="s">
        <v>3734</v>
      </c>
      <c r="C2148" s="40" t="s">
        <v>3735</v>
      </c>
      <c r="D2148" s="40" t="s">
        <v>3736</v>
      </c>
      <c r="E2148" s="40" t="s">
        <v>3736</v>
      </c>
      <c r="F2148" s="40">
        <v>1</v>
      </c>
      <c r="G2148" s="40"/>
      <c r="H2148" s="40" t="s">
        <v>97</v>
      </c>
      <c r="I2148" s="40"/>
      <c r="J2148" s="40" t="s">
        <v>97</v>
      </c>
      <c r="K2148" s="40" t="s">
        <v>97</v>
      </c>
      <c r="L2148" s="40" t="s">
        <v>97</v>
      </c>
    </row>
    <row r="2149" spans="1:12" x14ac:dyDescent="0.25">
      <c r="A2149" s="40" t="s">
        <v>38</v>
      </c>
      <c r="B2149" s="40" t="s">
        <v>3737</v>
      </c>
      <c r="C2149" s="40" t="s">
        <v>3738</v>
      </c>
      <c r="D2149" s="40" t="s">
        <v>3246</v>
      </c>
      <c r="E2149" s="40" t="s">
        <v>3246</v>
      </c>
      <c r="F2149" s="40">
        <v>1</v>
      </c>
      <c r="G2149" s="40"/>
      <c r="H2149" s="40" t="s">
        <v>97</v>
      </c>
      <c r="I2149" s="40"/>
      <c r="J2149" s="40" t="s">
        <v>97</v>
      </c>
      <c r="K2149" s="40" t="s">
        <v>97</v>
      </c>
      <c r="L2149" s="40" t="s">
        <v>97</v>
      </c>
    </row>
    <row r="2150" spans="1:12" x14ac:dyDescent="0.25">
      <c r="A2150" s="40" t="s">
        <v>38</v>
      </c>
      <c r="B2150" s="40" t="s">
        <v>3739</v>
      </c>
      <c r="C2150" s="40" t="s">
        <v>3740</v>
      </c>
      <c r="D2150" s="40" t="s">
        <v>2233</v>
      </c>
      <c r="E2150" s="40" t="s">
        <v>2233</v>
      </c>
      <c r="F2150" s="40">
        <v>1</v>
      </c>
      <c r="G2150" s="40"/>
      <c r="H2150" s="40" t="s">
        <v>2234</v>
      </c>
      <c r="I2150" s="40"/>
      <c r="J2150" s="40" t="s">
        <v>97</v>
      </c>
      <c r="K2150" s="40" t="s">
        <v>97</v>
      </c>
      <c r="L2150" s="40" t="s">
        <v>97</v>
      </c>
    </row>
    <row r="2151" spans="1:12" x14ac:dyDescent="0.25">
      <c r="A2151" s="40" t="s">
        <v>38</v>
      </c>
      <c r="B2151" s="40" t="s">
        <v>3741</v>
      </c>
      <c r="C2151" s="40" t="s">
        <v>3742</v>
      </c>
      <c r="D2151" s="40" t="s">
        <v>2233</v>
      </c>
      <c r="E2151" s="40" t="s">
        <v>2233</v>
      </c>
      <c r="F2151" s="40">
        <v>1</v>
      </c>
      <c r="G2151" s="40"/>
      <c r="H2151" s="40" t="s">
        <v>2234</v>
      </c>
      <c r="I2151" s="40"/>
      <c r="J2151" s="40" t="s">
        <v>97</v>
      </c>
      <c r="K2151" s="40" t="s">
        <v>97</v>
      </c>
      <c r="L2151" s="40" t="s">
        <v>97</v>
      </c>
    </row>
    <row r="2152" spans="1:12" x14ac:dyDescent="0.25">
      <c r="A2152" s="40" t="s">
        <v>38</v>
      </c>
      <c r="B2152" s="40" t="s">
        <v>3743</v>
      </c>
      <c r="C2152" s="40" t="s">
        <v>3744</v>
      </c>
      <c r="D2152" s="40" t="s">
        <v>2233</v>
      </c>
      <c r="E2152" s="40" t="s">
        <v>2233</v>
      </c>
      <c r="F2152" s="40">
        <v>1</v>
      </c>
      <c r="G2152" s="40"/>
      <c r="H2152" s="40" t="s">
        <v>2234</v>
      </c>
      <c r="I2152" s="40"/>
      <c r="J2152" s="40" t="s">
        <v>97</v>
      </c>
      <c r="K2152" s="40" t="s">
        <v>97</v>
      </c>
      <c r="L2152" s="40" t="s">
        <v>97</v>
      </c>
    </row>
    <row r="2153" spans="1:12" x14ac:dyDescent="0.25">
      <c r="A2153" s="40" t="s">
        <v>38</v>
      </c>
      <c r="B2153" s="40" t="s">
        <v>3745</v>
      </c>
      <c r="C2153" s="40" t="s">
        <v>3746</v>
      </c>
      <c r="D2153" s="40" t="s">
        <v>2233</v>
      </c>
      <c r="E2153" s="40" t="s">
        <v>2233</v>
      </c>
      <c r="F2153" s="40">
        <v>1</v>
      </c>
      <c r="G2153" s="40"/>
      <c r="H2153" s="40" t="s">
        <v>2234</v>
      </c>
      <c r="I2153" s="40"/>
      <c r="J2153" s="40" t="s">
        <v>97</v>
      </c>
      <c r="K2153" s="40" t="s">
        <v>97</v>
      </c>
      <c r="L2153" s="40" t="s">
        <v>97</v>
      </c>
    </row>
    <row r="2154" spans="1:12" x14ac:dyDescent="0.25">
      <c r="A2154" s="40" t="s">
        <v>38</v>
      </c>
      <c r="B2154" s="40" t="s">
        <v>3747</v>
      </c>
      <c r="C2154" s="40" t="s">
        <v>3748</v>
      </c>
      <c r="D2154" s="40" t="s">
        <v>2233</v>
      </c>
      <c r="E2154" s="40" t="s">
        <v>2233</v>
      </c>
      <c r="F2154" s="40">
        <v>1</v>
      </c>
      <c r="G2154" s="40"/>
      <c r="H2154" s="40" t="s">
        <v>97</v>
      </c>
      <c r="I2154" s="40"/>
      <c r="J2154" s="40" t="s">
        <v>97</v>
      </c>
      <c r="K2154" s="40" t="s">
        <v>97</v>
      </c>
      <c r="L2154" s="40" t="s">
        <v>97</v>
      </c>
    </row>
    <row r="2155" spans="1:12" x14ac:dyDescent="0.25">
      <c r="A2155" s="40" t="s">
        <v>38</v>
      </c>
      <c r="B2155" s="40" t="s">
        <v>3749</v>
      </c>
      <c r="C2155" s="40" t="s">
        <v>3750</v>
      </c>
      <c r="D2155" s="40" t="s">
        <v>2233</v>
      </c>
      <c r="E2155" s="40" t="s">
        <v>2233</v>
      </c>
      <c r="F2155" s="40">
        <v>1</v>
      </c>
      <c r="G2155" s="40"/>
      <c r="H2155" s="40" t="s">
        <v>97</v>
      </c>
      <c r="I2155" s="40"/>
      <c r="J2155" s="40" t="s">
        <v>97</v>
      </c>
      <c r="K2155" s="40" t="s">
        <v>97</v>
      </c>
      <c r="L2155" s="40" t="s">
        <v>97</v>
      </c>
    </row>
    <row r="2156" spans="1:12" x14ac:dyDescent="0.25">
      <c r="A2156" s="40" t="s">
        <v>38</v>
      </c>
      <c r="B2156" s="40" t="s">
        <v>3751</v>
      </c>
      <c r="C2156" s="40" t="s">
        <v>3752</v>
      </c>
      <c r="D2156" s="40" t="s">
        <v>2233</v>
      </c>
      <c r="E2156" s="40" t="s">
        <v>2233</v>
      </c>
      <c r="F2156" s="40">
        <v>1</v>
      </c>
      <c r="G2156" s="40"/>
      <c r="H2156" s="40" t="s">
        <v>97</v>
      </c>
      <c r="I2156" s="40"/>
      <c r="J2156" s="40" t="s">
        <v>97</v>
      </c>
      <c r="K2156" s="40" t="s">
        <v>97</v>
      </c>
      <c r="L2156" s="40" t="s">
        <v>97</v>
      </c>
    </row>
    <row r="2157" spans="1:12" x14ac:dyDescent="0.25">
      <c r="A2157" s="40" t="s">
        <v>38</v>
      </c>
      <c r="B2157" s="40" t="s">
        <v>3753</v>
      </c>
      <c r="C2157" s="40" t="s">
        <v>3754</v>
      </c>
      <c r="D2157" s="40" t="s">
        <v>2233</v>
      </c>
      <c r="E2157" s="40" t="s">
        <v>2233</v>
      </c>
      <c r="F2157" s="40">
        <v>1</v>
      </c>
      <c r="G2157" s="40"/>
      <c r="H2157" s="40" t="s">
        <v>97</v>
      </c>
      <c r="I2157" s="40"/>
      <c r="J2157" s="40" t="s">
        <v>97</v>
      </c>
      <c r="K2157" s="40" t="s">
        <v>97</v>
      </c>
      <c r="L2157" s="40" t="s">
        <v>97</v>
      </c>
    </row>
    <row r="2158" spans="1:12" x14ac:dyDescent="0.25">
      <c r="A2158" s="40" t="s">
        <v>38</v>
      </c>
      <c r="B2158" s="40" t="s">
        <v>3755</v>
      </c>
      <c r="C2158" s="40" t="s">
        <v>3756</v>
      </c>
      <c r="D2158" s="40" t="s">
        <v>2233</v>
      </c>
      <c r="E2158" s="40" t="s">
        <v>2233</v>
      </c>
      <c r="F2158" s="40">
        <v>1</v>
      </c>
      <c r="G2158" s="40"/>
      <c r="H2158" s="40" t="s">
        <v>97</v>
      </c>
      <c r="I2158" s="40"/>
      <c r="J2158" s="40" t="s">
        <v>97</v>
      </c>
      <c r="K2158" s="40" t="s">
        <v>97</v>
      </c>
      <c r="L2158" s="40" t="s">
        <v>97</v>
      </c>
    </row>
    <row r="2159" spans="1:12" x14ac:dyDescent="0.25">
      <c r="A2159" s="40" t="s">
        <v>38</v>
      </c>
      <c r="B2159" s="40" t="s">
        <v>3757</v>
      </c>
      <c r="C2159" s="40" t="s">
        <v>3758</v>
      </c>
      <c r="D2159" s="40" t="s">
        <v>2233</v>
      </c>
      <c r="E2159" s="40" t="s">
        <v>2233</v>
      </c>
      <c r="F2159" s="40">
        <v>1</v>
      </c>
      <c r="G2159" s="40"/>
      <c r="H2159" s="40" t="s">
        <v>97</v>
      </c>
      <c r="I2159" s="40"/>
      <c r="J2159" s="40" t="s">
        <v>97</v>
      </c>
      <c r="K2159" s="40" t="s">
        <v>97</v>
      </c>
      <c r="L2159" s="40" t="s">
        <v>97</v>
      </c>
    </row>
    <row r="2160" spans="1:12" x14ac:dyDescent="0.25">
      <c r="A2160" s="40" t="s">
        <v>38</v>
      </c>
      <c r="B2160" s="40" t="s">
        <v>3759</v>
      </c>
      <c r="C2160" s="40" t="s">
        <v>3760</v>
      </c>
      <c r="D2160" s="40" t="s">
        <v>2233</v>
      </c>
      <c r="E2160" s="40" t="s">
        <v>2233</v>
      </c>
      <c r="F2160" s="40">
        <v>1</v>
      </c>
      <c r="G2160" s="40"/>
      <c r="H2160" s="40" t="s">
        <v>97</v>
      </c>
      <c r="I2160" s="40"/>
      <c r="J2160" s="40" t="s">
        <v>97</v>
      </c>
      <c r="K2160" s="40" t="s">
        <v>97</v>
      </c>
      <c r="L2160" s="40" t="s">
        <v>97</v>
      </c>
    </row>
    <row r="2161" spans="1:12" x14ac:dyDescent="0.25">
      <c r="A2161" s="40" t="s">
        <v>38</v>
      </c>
      <c r="B2161" s="40" t="s">
        <v>3761</v>
      </c>
      <c r="C2161" s="40" t="s">
        <v>3762</v>
      </c>
      <c r="D2161" s="40" t="s">
        <v>2233</v>
      </c>
      <c r="E2161" s="40" t="s">
        <v>2233</v>
      </c>
      <c r="F2161" s="40">
        <v>1</v>
      </c>
      <c r="G2161" s="40"/>
      <c r="H2161" s="40" t="s">
        <v>97</v>
      </c>
      <c r="I2161" s="40"/>
      <c r="J2161" s="40" t="s">
        <v>97</v>
      </c>
      <c r="K2161" s="40" t="s">
        <v>97</v>
      </c>
      <c r="L2161" s="40" t="s">
        <v>97</v>
      </c>
    </row>
    <row r="2162" spans="1:12" x14ac:dyDescent="0.25">
      <c r="A2162" s="40" t="s">
        <v>38</v>
      </c>
      <c r="B2162" s="40" t="s">
        <v>3763</v>
      </c>
      <c r="C2162" s="40" t="s">
        <v>3764</v>
      </c>
      <c r="D2162" s="40" t="s">
        <v>2233</v>
      </c>
      <c r="E2162" s="40" t="s">
        <v>2233</v>
      </c>
      <c r="F2162" s="40">
        <v>1</v>
      </c>
      <c r="G2162" s="40"/>
      <c r="H2162" s="40" t="s">
        <v>97</v>
      </c>
      <c r="I2162" s="40"/>
      <c r="J2162" s="40" t="s">
        <v>97</v>
      </c>
      <c r="K2162" s="40" t="s">
        <v>97</v>
      </c>
      <c r="L2162" s="40" t="s">
        <v>97</v>
      </c>
    </row>
    <row r="2163" spans="1:12" x14ac:dyDescent="0.25">
      <c r="A2163" s="40" t="s">
        <v>38</v>
      </c>
      <c r="B2163" s="40" t="s">
        <v>3765</v>
      </c>
      <c r="C2163" s="40" t="s">
        <v>3766</v>
      </c>
      <c r="D2163" s="40" t="s">
        <v>2233</v>
      </c>
      <c r="E2163" s="40" t="s">
        <v>2233</v>
      </c>
      <c r="F2163" s="40">
        <v>1</v>
      </c>
      <c r="G2163" s="40"/>
      <c r="H2163" s="40" t="s">
        <v>97</v>
      </c>
      <c r="I2163" s="40"/>
      <c r="J2163" s="40" t="s">
        <v>97</v>
      </c>
      <c r="K2163" s="40" t="s">
        <v>97</v>
      </c>
      <c r="L2163" s="40" t="s">
        <v>97</v>
      </c>
    </row>
    <row r="2164" spans="1:12" x14ac:dyDescent="0.25">
      <c r="A2164" s="40" t="s">
        <v>38</v>
      </c>
      <c r="B2164" s="40" t="s">
        <v>3767</v>
      </c>
      <c r="C2164" s="40" t="s">
        <v>3768</v>
      </c>
      <c r="D2164" s="40" t="s">
        <v>2233</v>
      </c>
      <c r="E2164" s="40" t="s">
        <v>2233</v>
      </c>
      <c r="F2164" s="40">
        <v>1</v>
      </c>
      <c r="G2164" s="40"/>
      <c r="H2164" s="40" t="s">
        <v>2234</v>
      </c>
      <c r="I2164" s="40"/>
      <c r="J2164" s="40" t="s">
        <v>97</v>
      </c>
      <c r="K2164" s="40" t="s">
        <v>97</v>
      </c>
      <c r="L2164" s="40" t="s">
        <v>97</v>
      </c>
    </row>
    <row r="2165" spans="1:12" x14ac:dyDescent="0.25">
      <c r="A2165" s="40" t="s">
        <v>38</v>
      </c>
      <c r="B2165" s="40" t="s">
        <v>3769</v>
      </c>
      <c r="C2165" s="40" t="s">
        <v>3770</v>
      </c>
      <c r="D2165" s="40" t="s">
        <v>2233</v>
      </c>
      <c r="E2165" s="40" t="s">
        <v>2233</v>
      </c>
      <c r="F2165" s="40">
        <v>1</v>
      </c>
      <c r="G2165" s="40"/>
      <c r="H2165" s="40" t="s">
        <v>2234</v>
      </c>
      <c r="I2165" s="40"/>
      <c r="J2165" s="40" t="s">
        <v>97</v>
      </c>
      <c r="K2165" s="40" t="s">
        <v>97</v>
      </c>
      <c r="L2165" s="40" t="s">
        <v>97</v>
      </c>
    </row>
    <row r="2166" spans="1:12" x14ac:dyDescent="0.25">
      <c r="A2166" s="40" t="s">
        <v>38</v>
      </c>
      <c r="B2166" s="40" t="s">
        <v>3771</v>
      </c>
      <c r="C2166" s="40" t="s">
        <v>3772</v>
      </c>
      <c r="D2166" s="40" t="s">
        <v>2233</v>
      </c>
      <c r="E2166" s="40" t="s">
        <v>2233</v>
      </c>
      <c r="F2166" s="40">
        <v>1</v>
      </c>
      <c r="G2166" s="40"/>
      <c r="H2166" s="40" t="s">
        <v>2234</v>
      </c>
      <c r="I2166" s="40"/>
      <c r="J2166" s="40" t="s">
        <v>97</v>
      </c>
      <c r="K2166" s="40" t="s">
        <v>97</v>
      </c>
      <c r="L2166" s="40" t="s">
        <v>97</v>
      </c>
    </row>
    <row r="2167" spans="1:12" x14ac:dyDescent="0.25">
      <c r="A2167" s="40" t="s">
        <v>38</v>
      </c>
      <c r="B2167" s="40" t="s">
        <v>3773</v>
      </c>
      <c r="C2167" s="40" t="s">
        <v>3774</v>
      </c>
      <c r="D2167" s="40" t="s">
        <v>2233</v>
      </c>
      <c r="E2167" s="40" t="s">
        <v>2233</v>
      </c>
      <c r="F2167" s="40">
        <v>1</v>
      </c>
      <c r="G2167" s="40"/>
      <c r="H2167" s="40" t="s">
        <v>2234</v>
      </c>
      <c r="I2167" s="40"/>
      <c r="J2167" s="40" t="s">
        <v>97</v>
      </c>
      <c r="K2167" s="40" t="s">
        <v>97</v>
      </c>
      <c r="L2167" s="40" t="s">
        <v>97</v>
      </c>
    </row>
    <row r="2168" spans="1:12" x14ac:dyDescent="0.25">
      <c r="A2168" s="40" t="s">
        <v>38</v>
      </c>
      <c r="B2168" s="40" t="s">
        <v>3775</v>
      </c>
      <c r="C2168" s="40" t="s">
        <v>3776</v>
      </c>
      <c r="D2168" s="40" t="s">
        <v>2233</v>
      </c>
      <c r="E2168" s="40" t="s">
        <v>2233</v>
      </c>
      <c r="F2168" s="40">
        <v>1</v>
      </c>
      <c r="G2168" s="40"/>
      <c r="H2168" s="40" t="s">
        <v>2234</v>
      </c>
      <c r="I2168" s="40"/>
      <c r="J2168" s="40" t="s">
        <v>97</v>
      </c>
      <c r="K2168" s="40" t="s">
        <v>97</v>
      </c>
      <c r="L2168" s="40" t="s">
        <v>97</v>
      </c>
    </row>
    <row r="2169" spans="1:12" x14ac:dyDescent="0.25">
      <c r="A2169" s="40" t="s">
        <v>38</v>
      </c>
      <c r="B2169" s="40" t="s">
        <v>3777</v>
      </c>
      <c r="C2169" s="40" t="s">
        <v>3778</v>
      </c>
      <c r="D2169" s="40" t="s">
        <v>2233</v>
      </c>
      <c r="E2169" s="40" t="s">
        <v>2233</v>
      </c>
      <c r="F2169" s="40">
        <v>1</v>
      </c>
      <c r="G2169" s="40"/>
      <c r="H2169" s="40" t="s">
        <v>2234</v>
      </c>
      <c r="I2169" s="40"/>
      <c r="J2169" s="40" t="s">
        <v>97</v>
      </c>
      <c r="K2169" s="40" t="s">
        <v>97</v>
      </c>
      <c r="L2169" s="40" t="s">
        <v>97</v>
      </c>
    </row>
    <row r="2170" spans="1:12" x14ac:dyDescent="0.25">
      <c r="A2170" s="40" t="s">
        <v>38</v>
      </c>
      <c r="B2170" s="40" t="s">
        <v>3779</v>
      </c>
      <c r="C2170" s="40" t="s">
        <v>3780</v>
      </c>
      <c r="D2170" s="40" t="s">
        <v>2233</v>
      </c>
      <c r="E2170" s="40" t="s">
        <v>2233</v>
      </c>
      <c r="F2170" s="40">
        <v>1</v>
      </c>
      <c r="G2170" s="40"/>
      <c r="H2170" s="40" t="s">
        <v>2234</v>
      </c>
      <c r="I2170" s="40"/>
      <c r="J2170" s="40" t="s">
        <v>97</v>
      </c>
      <c r="K2170" s="40" t="s">
        <v>97</v>
      </c>
      <c r="L2170" s="40" t="s">
        <v>97</v>
      </c>
    </row>
    <row r="2171" spans="1:12" x14ac:dyDescent="0.25">
      <c r="A2171" s="40" t="s">
        <v>38</v>
      </c>
      <c r="B2171" s="40" t="s">
        <v>3781</v>
      </c>
      <c r="C2171" s="40" t="s">
        <v>3782</v>
      </c>
      <c r="D2171" s="40" t="s">
        <v>2233</v>
      </c>
      <c r="E2171" s="40" t="s">
        <v>2233</v>
      </c>
      <c r="F2171" s="40">
        <v>1</v>
      </c>
      <c r="G2171" s="40"/>
      <c r="H2171" s="40" t="s">
        <v>2234</v>
      </c>
      <c r="I2171" s="40"/>
      <c r="J2171" s="40" t="s">
        <v>97</v>
      </c>
      <c r="K2171" s="40" t="s">
        <v>97</v>
      </c>
      <c r="L2171" s="40" t="s">
        <v>97</v>
      </c>
    </row>
    <row r="2172" spans="1:12" x14ac:dyDescent="0.25">
      <c r="A2172" s="40" t="s">
        <v>38</v>
      </c>
      <c r="B2172" s="40" t="s">
        <v>3783</v>
      </c>
      <c r="C2172" s="40" t="s">
        <v>3784</v>
      </c>
      <c r="D2172" s="40" t="s">
        <v>2233</v>
      </c>
      <c r="E2172" s="40" t="s">
        <v>2233</v>
      </c>
      <c r="F2172" s="40">
        <v>1</v>
      </c>
      <c r="G2172" s="40"/>
      <c r="H2172" s="40" t="s">
        <v>2234</v>
      </c>
      <c r="I2172" s="40"/>
      <c r="J2172" s="40" t="s">
        <v>97</v>
      </c>
      <c r="K2172" s="40" t="s">
        <v>97</v>
      </c>
      <c r="L2172" s="40" t="s">
        <v>97</v>
      </c>
    </row>
    <row r="2173" spans="1:12" x14ac:dyDescent="0.25">
      <c r="A2173" s="40" t="s">
        <v>38</v>
      </c>
      <c r="B2173" s="40" t="s">
        <v>3785</v>
      </c>
      <c r="C2173" s="40" t="s">
        <v>3786</v>
      </c>
      <c r="D2173" s="40" t="s">
        <v>2233</v>
      </c>
      <c r="E2173" s="40" t="s">
        <v>2233</v>
      </c>
      <c r="F2173" s="40">
        <v>1</v>
      </c>
      <c r="G2173" s="40"/>
      <c r="H2173" s="40" t="s">
        <v>2234</v>
      </c>
      <c r="I2173" s="40"/>
      <c r="J2173" s="40" t="s">
        <v>97</v>
      </c>
      <c r="K2173" s="40" t="s">
        <v>97</v>
      </c>
      <c r="L2173" s="40" t="s">
        <v>97</v>
      </c>
    </row>
    <row r="2174" spans="1:12" x14ac:dyDescent="0.25">
      <c r="A2174" s="40" t="s">
        <v>38</v>
      </c>
      <c r="B2174" s="40" t="s">
        <v>3787</v>
      </c>
      <c r="C2174" s="40" t="s">
        <v>3788</v>
      </c>
      <c r="D2174" s="40" t="s">
        <v>2233</v>
      </c>
      <c r="E2174" s="40" t="s">
        <v>2233</v>
      </c>
      <c r="F2174" s="40">
        <v>1</v>
      </c>
      <c r="G2174" s="40"/>
      <c r="H2174" s="40" t="s">
        <v>2234</v>
      </c>
      <c r="I2174" s="40"/>
      <c r="J2174" s="40" t="s">
        <v>97</v>
      </c>
      <c r="K2174" s="40" t="s">
        <v>97</v>
      </c>
      <c r="L2174" s="40" t="s">
        <v>97</v>
      </c>
    </row>
    <row r="2175" spans="1:12" x14ac:dyDescent="0.25">
      <c r="A2175" s="40" t="s">
        <v>38</v>
      </c>
      <c r="B2175" s="40" t="s">
        <v>3789</v>
      </c>
      <c r="C2175" s="40" t="s">
        <v>3790</v>
      </c>
      <c r="D2175" s="40" t="s">
        <v>3736</v>
      </c>
      <c r="E2175" s="40" t="s">
        <v>3736</v>
      </c>
      <c r="F2175" s="40">
        <v>1</v>
      </c>
      <c r="G2175" s="40"/>
      <c r="H2175" s="40" t="s">
        <v>97</v>
      </c>
      <c r="I2175" s="40"/>
      <c r="J2175" s="40" t="s">
        <v>97</v>
      </c>
      <c r="K2175" s="40" t="s">
        <v>97</v>
      </c>
      <c r="L2175" s="40" t="s">
        <v>97</v>
      </c>
    </row>
    <row r="2176" spans="1:12" x14ac:dyDescent="0.25">
      <c r="A2176" s="40" t="s">
        <v>38</v>
      </c>
      <c r="B2176" s="40" t="s">
        <v>3791</v>
      </c>
      <c r="C2176" s="40" t="s">
        <v>3792</v>
      </c>
      <c r="D2176" s="40" t="s">
        <v>3246</v>
      </c>
      <c r="E2176" s="40" t="s">
        <v>3246</v>
      </c>
      <c r="F2176" s="40">
        <v>1</v>
      </c>
      <c r="G2176" s="40"/>
      <c r="H2176" s="40" t="s">
        <v>97</v>
      </c>
      <c r="I2176" s="40"/>
      <c r="J2176" s="40" t="s">
        <v>97</v>
      </c>
      <c r="K2176" s="40" t="s">
        <v>97</v>
      </c>
      <c r="L2176" s="40" t="s">
        <v>97</v>
      </c>
    </row>
    <row r="2177" spans="1:12" x14ac:dyDescent="0.25">
      <c r="A2177" s="40" t="s">
        <v>38</v>
      </c>
      <c r="B2177" s="40" t="s">
        <v>3793</v>
      </c>
      <c r="C2177" s="40" t="s">
        <v>3794</v>
      </c>
      <c r="D2177" s="40" t="s">
        <v>2233</v>
      </c>
      <c r="E2177" s="40" t="s">
        <v>2233</v>
      </c>
      <c r="F2177" s="40">
        <v>1</v>
      </c>
      <c r="G2177" s="40"/>
      <c r="H2177" s="40" t="s">
        <v>2234</v>
      </c>
      <c r="I2177" s="40"/>
      <c r="J2177" s="40" t="s">
        <v>97</v>
      </c>
      <c r="K2177" s="40" t="s">
        <v>97</v>
      </c>
      <c r="L2177" s="40" t="s">
        <v>97</v>
      </c>
    </row>
    <row r="2178" spans="1:12" x14ac:dyDescent="0.25">
      <c r="A2178" s="40" t="s">
        <v>38</v>
      </c>
      <c r="B2178" s="40" t="s">
        <v>3795</v>
      </c>
      <c r="C2178" s="40" t="s">
        <v>3796</v>
      </c>
      <c r="D2178" s="40" t="s">
        <v>2233</v>
      </c>
      <c r="E2178" s="40" t="s">
        <v>2233</v>
      </c>
      <c r="F2178" s="40">
        <v>1</v>
      </c>
      <c r="G2178" s="40"/>
      <c r="H2178" s="40" t="s">
        <v>2234</v>
      </c>
      <c r="I2178" s="40"/>
      <c r="J2178" s="40" t="s">
        <v>97</v>
      </c>
      <c r="K2178" s="40" t="s">
        <v>97</v>
      </c>
      <c r="L2178" s="40" t="s">
        <v>97</v>
      </c>
    </row>
    <row r="2179" spans="1:12" x14ac:dyDescent="0.25">
      <c r="A2179" s="40" t="s">
        <v>38</v>
      </c>
      <c r="B2179" s="40" t="s">
        <v>3797</v>
      </c>
      <c r="C2179" s="40" t="s">
        <v>3798</v>
      </c>
      <c r="D2179" s="40" t="s">
        <v>2233</v>
      </c>
      <c r="E2179" s="40" t="s">
        <v>2233</v>
      </c>
      <c r="F2179" s="40">
        <v>1</v>
      </c>
      <c r="G2179" s="40"/>
      <c r="H2179" s="40" t="s">
        <v>2234</v>
      </c>
      <c r="I2179" s="40"/>
      <c r="J2179" s="40" t="s">
        <v>97</v>
      </c>
      <c r="K2179" s="40" t="s">
        <v>97</v>
      </c>
      <c r="L2179" s="40" t="s">
        <v>97</v>
      </c>
    </row>
    <row r="2180" spans="1:12" x14ac:dyDescent="0.25">
      <c r="A2180" s="40" t="s">
        <v>38</v>
      </c>
      <c r="B2180" s="40" t="s">
        <v>3799</v>
      </c>
      <c r="C2180" s="40" t="s">
        <v>3800</v>
      </c>
      <c r="D2180" s="40" t="s">
        <v>2233</v>
      </c>
      <c r="E2180" s="40" t="s">
        <v>2233</v>
      </c>
      <c r="F2180" s="40">
        <v>1</v>
      </c>
      <c r="G2180" s="40"/>
      <c r="H2180" s="40" t="s">
        <v>2234</v>
      </c>
      <c r="I2180" s="40"/>
      <c r="J2180" s="40" t="s">
        <v>97</v>
      </c>
      <c r="K2180" s="40" t="s">
        <v>97</v>
      </c>
      <c r="L2180" s="40" t="s">
        <v>97</v>
      </c>
    </row>
    <row r="2181" spans="1:12" x14ac:dyDescent="0.25">
      <c r="A2181" s="40" t="s">
        <v>38</v>
      </c>
      <c r="B2181" s="40" t="s">
        <v>3801</v>
      </c>
      <c r="C2181" s="40" t="s">
        <v>3802</v>
      </c>
      <c r="D2181" s="40" t="s">
        <v>2233</v>
      </c>
      <c r="E2181" s="40" t="s">
        <v>2233</v>
      </c>
      <c r="F2181" s="40">
        <v>1</v>
      </c>
      <c r="G2181" s="40"/>
      <c r="H2181" s="40" t="s">
        <v>97</v>
      </c>
      <c r="I2181" s="40"/>
      <c r="J2181" s="40" t="s">
        <v>97</v>
      </c>
      <c r="K2181" s="40" t="s">
        <v>97</v>
      </c>
      <c r="L2181" s="40" t="s">
        <v>97</v>
      </c>
    </row>
    <row r="2182" spans="1:12" x14ac:dyDescent="0.25">
      <c r="A2182" s="40" t="s">
        <v>38</v>
      </c>
      <c r="B2182" s="40" t="s">
        <v>3803</v>
      </c>
      <c r="C2182" s="40" t="s">
        <v>3804</v>
      </c>
      <c r="D2182" s="40" t="s">
        <v>2233</v>
      </c>
      <c r="E2182" s="40" t="s">
        <v>2233</v>
      </c>
      <c r="F2182" s="40">
        <v>1</v>
      </c>
      <c r="G2182" s="40"/>
      <c r="H2182" s="40" t="s">
        <v>97</v>
      </c>
      <c r="I2182" s="40"/>
      <c r="J2182" s="40" t="s">
        <v>97</v>
      </c>
      <c r="K2182" s="40" t="s">
        <v>97</v>
      </c>
      <c r="L2182" s="40" t="s">
        <v>97</v>
      </c>
    </row>
    <row r="2183" spans="1:12" x14ac:dyDescent="0.25">
      <c r="A2183" s="40" t="s">
        <v>38</v>
      </c>
      <c r="B2183" s="40" t="s">
        <v>3805</v>
      </c>
      <c r="C2183" s="40" t="s">
        <v>3806</v>
      </c>
      <c r="D2183" s="40" t="s">
        <v>2233</v>
      </c>
      <c r="E2183" s="40" t="s">
        <v>2233</v>
      </c>
      <c r="F2183" s="40">
        <v>1</v>
      </c>
      <c r="G2183" s="40"/>
      <c r="H2183" s="40" t="s">
        <v>97</v>
      </c>
      <c r="I2183" s="40"/>
      <c r="J2183" s="40" t="s">
        <v>97</v>
      </c>
      <c r="K2183" s="40" t="s">
        <v>97</v>
      </c>
      <c r="L2183" s="40" t="s">
        <v>97</v>
      </c>
    </row>
    <row r="2184" spans="1:12" x14ac:dyDescent="0.25">
      <c r="A2184" s="40" t="s">
        <v>38</v>
      </c>
      <c r="B2184" s="40" t="s">
        <v>3807</v>
      </c>
      <c r="C2184" s="40" t="s">
        <v>3808</v>
      </c>
      <c r="D2184" s="40" t="s">
        <v>2233</v>
      </c>
      <c r="E2184" s="40" t="s">
        <v>2233</v>
      </c>
      <c r="F2184" s="40">
        <v>1</v>
      </c>
      <c r="G2184" s="40"/>
      <c r="H2184" s="40" t="s">
        <v>97</v>
      </c>
      <c r="I2184" s="40"/>
      <c r="J2184" s="40" t="s">
        <v>97</v>
      </c>
      <c r="K2184" s="40" t="s">
        <v>97</v>
      </c>
      <c r="L2184" s="40" t="s">
        <v>97</v>
      </c>
    </row>
    <row r="2185" spans="1:12" x14ac:dyDescent="0.25">
      <c r="A2185" s="40" t="s">
        <v>38</v>
      </c>
      <c r="B2185" s="40" t="s">
        <v>3809</v>
      </c>
      <c r="C2185" s="40" t="s">
        <v>3810</v>
      </c>
      <c r="D2185" s="40" t="s">
        <v>2233</v>
      </c>
      <c r="E2185" s="40" t="s">
        <v>2233</v>
      </c>
      <c r="F2185" s="40">
        <v>1</v>
      </c>
      <c r="G2185" s="40"/>
      <c r="H2185" s="40" t="s">
        <v>97</v>
      </c>
      <c r="I2185" s="40"/>
      <c r="J2185" s="40" t="s">
        <v>97</v>
      </c>
      <c r="K2185" s="40" t="s">
        <v>97</v>
      </c>
      <c r="L2185" s="40" t="s">
        <v>97</v>
      </c>
    </row>
    <row r="2186" spans="1:12" x14ac:dyDescent="0.25">
      <c r="A2186" s="40" t="s">
        <v>38</v>
      </c>
      <c r="B2186" s="40" t="s">
        <v>3811</v>
      </c>
      <c r="C2186" s="40" t="s">
        <v>3812</v>
      </c>
      <c r="D2186" s="40" t="s">
        <v>2233</v>
      </c>
      <c r="E2186" s="40" t="s">
        <v>2233</v>
      </c>
      <c r="F2186" s="40">
        <v>1</v>
      </c>
      <c r="G2186" s="40"/>
      <c r="H2186" s="40" t="s">
        <v>97</v>
      </c>
      <c r="I2186" s="40"/>
      <c r="J2186" s="40" t="s">
        <v>97</v>
      </c>
      <c r="K2186" s="40" t="s">
        <v>97</v>
      </c>
      <c r="L2186" s="40" t="s">
        <v>97</v>
      </c>
    </row>
    <row r="2187" spans="1:12" x14ac:dyDescent="0.25">
      <c r="A2187" s="40" t="s">
        <v>38</v>
      </c>
      <c r="B2187" s="40" t="s">
        <v>3813</v>
      </c>
      <c r="C2187" s="40" t="s">
        <v>3814</v>
      </c>
      <c r="D2187" s="40" t="s">
        <v>2233</v>
      </c>
      <c r="E2187" s="40" t="s">
        <v>2233</v>
      </c>
      <c r="F2187" s="40">
        <v>1</v>
      </c>
      <c r="G2187" s="40"/>
      <c r="H2187" s="40" t="s">
        <v>97</v>
      </c>
      <c r="I2187" s="40"/>
      <c r="J2187" s="40" t="s">
        <v>97</v>
      </c>
      <c r="K2187" s="40" t="s">
        <v>97</v>
      </c>
      <c r="L2187" s="40" t="s">
        <v>97</v>
      </c>
    </row>
    <row r="2188" spans="1:12" x14ac:dyDescent="0.25">
      <c r="A2188" s="40" t="s">
        <v>38</v>
      </c>
      <c r="B2188" s="40" t="s">
        <v>3815</v>
      </c>
      <c r="C2188" s="40" t="s">
        <v>3816</v>
      </c>
      <c r="D2188" s="40" t="s">
        <v>2233</v>
      </c>
      <c r="E2188" s="40" t="s">
        <v>2233</v>
      </c>
      <c r="F2188" s="40">
        <v>1</v>
      </c>
      <c r="G2188" s="40"/>
      <c r="H2188" s="40" t="s">
        <v>97</v>
      </c>
      <c r="I2188" s="40"/>
      <c r="J2188" s="40" t="s">
        <v>97</v>
      </c>
      <c r="K2188" s="40" t="s">
        <v>97</v>
      </c>
      <c r="L2188" s="40" t="s">
        <v>97</v>
      </c>
    </row>
    <row r="2189" spans="1:12" x14ac:dyDescent="0.25">
      <c r="A2189" s="40" t="s">
        <v>38</v>
      </c>
      <c r="B2189" s="40" t="s">
        <v>3817</v>
      </c>
      <c r="C2189" s="40" t="s">
        <v>3818</v>
      </c>
      <c r="D2189" s="40" t="s">
        <v>2233</v>
      </c>
      <c r="E2189" s="40" t="s">
        <v>2233</v>
      </c>
      <c r="F2189" s="40">
        <v>1</v>
      </c>
      <c r="G2189" s="40"/>
      <c r="H2189" s="40" t="s">
        <v>97</v>
      </c>
      <c r="I2189" s="40"/>
      <c r="J2189" s="40" t="s">
        <v>97</v>
      </c>
      <c r="K2189" s="40" t="s">
        <v>97</v>
      </c>
      <c r="L2189" s="40" t="s">
        <v>97</v>
      </c>
    </row>
    <row r="2190" spans="1:12" x14ac:dyDescent="0.25">
      <c r="A2190" s="40" t="s">
        <v>38</v>
      </c>
      <c r="B2190" s="40" t="s">
        <v>3819</v>
      </c>
      <c r="C2190" s="40" t="s">
        <v>3820</v>
      </c>
      <c r="D2190" s="40" t="s">
        <v>2233</v>
      </c>
      <c r="E2190" s="40" t="s">
        <v>2233</v>
      </c>
      <c r="F2190" s="40">
        <v>1</v>
      </c>
      <c r="G2190" s="40"/>
      <c r="H2190" s="40" t="s">
        <v>97</v>
      </c>
      <c r="I2190" s="40"/>
      <c r="J2190" s="40" t="s">
        <v>97</v>
      </c>
      <c r="K2190" s="40" t="s">
        <v>97</v>
      </c>
      <c r="L2190" s="40" t="s">
        <v>97</v>
      </c>
    </row>
    <row r="2191" spans="1:12" x14ac:dyDescent="0.25">
      <c r="A2191" s="40" t="s">
        <v>38</v>
      </c>
      <c r="B2191" s="40" t="s">
        <v>3821</v>
      </c>
      <c r="C2191" s="40" t="s">
        <v>3822</v>
      </c>
      <c r="D2191" s="40" t="s">
        <v>2233</v>
      </c>
      <c r="E2191" s="40" t="s">
        <v>2233</v>
      </c>
      <c r="F2191" s="40">
        <v>1</v>
      </c>
      <c r="G2191" s="40"/>
      <c r="H2191" s="40" t="s">
        <v>2234</v>
      </c>
      <c r="I2191" s="40"/>
      <c r="J2191" s="40" t="s">
        <v>97</v>
      </c>
      <c r="K2191" s="40" t="s">
        <v>97</v>
      </c>
      <c r="L2191" s="40" t="s">
        <v>97</v>
      </c>
    </row>
    <row r="2192" spans="1:12" x14ac:dyDescent="0.25">
      <c r="A2192" s="40" t="s">
        <v>38</v>
      </c>
      <c r="B2192" s="40" t="s">
        <v>3823</v>
      </c>
      <c r="C2192" s="40" t="s">
        <v>3824</v>
      </c>
      <c r="D2192" s="40" t="s">
        <v>2233</v>
      </c>
      <c r="E2192" s="40" t="s">
        <v>2233</v>
      </c>
      <c r="F2192" s="40">
        <v>1</v>
      </c>
      <c r="G2192" s="40"/>
      <c r="H2192" s="40" t="s">
        <v>2234</v>
      </c>
      <c r="I2192" s="40"/>
      <c r="J2192" s="40" t="s">
        <v>97</v>
      </c>
      <c r="K2192" s="40" t="s">
        <v>97</v>
      </c>
      <c r="L2192" s="40" t="s">
        <v>97</v>
      </c>
    </row>
    <row r="2193" spans="1:12" x14ac:dyDescent="0.25">
      <c r="A2193" s="40" t="s">
        <v>38</v>
      </c>
      <c r="B2193" s="40" t="s">
        <v>3825</v>
      </c>
      <c r="C2193" s="40" t="s">
        <v>3826</v>
      </c>
      <c r="D2193" s="40" t="s">
        <v>2233</v>
      </c>
      <c r="E2193" s="40" t="s">
        <v>2233</v>
      </c>
      <c r="F2193" s="40">
        <v>1</v>
      </c>
      <c r="G2193" s="40"/>
      <c r="H2193" s="40" t="s">
        <v>2234</v>
      </c>
      <c r="I2193" s="40"/>
      <c r="J2193" s="40" t="s">
        <v>97</v>
      </c>
      <c r="K2193" s="40" t="s">
        <v>97</v>
      </c>
      <c r="L2193" s="40" t="s">
        <v>97</v>
      </c>
    </row>
    <row r="2194" spans="1:12" x14ac:dyDescent="0.25">
      <c r="A2194" s="40" t="s">
        <v>38</v>
      </c>
      <c r="B2194" s="40" t="s">
        <v>3827</v>
      </c>
      <c r="C2194" s="40" t="s">
        <v>3828</v>
      </c>
      <c r="D2194" s="40" t="s">
        <v>2233</v>
      </c>
      <c r="E2194" s="40" t="s">
        <v>2233</v>
      </c>
      <c r="F2194" s="40">
        <v>1</v>
      </c>
      <c r="G2194" s="40"/>
      <c r="H2194" s="40" t="s">
        <v>2234</v>
      </c>
      <c r="I2194" s="40"/>
      <c r="J2194" s="40" t="s">
        <v>97</v>
      </c>
      <c r="K2194" s="40" t="s">
        <v>97</v>
      </c>
      <c r="L2194" s="40" t="s">
        <v>97</v>
      </c>
    </row>
    <row r="2195" spans="1:12" x14ac:dyDescent="0.25">
      <c r="A2195" s="40" t="s">
        <v>38</v>
      </c>
      <c r="B2195" s="40" t="s">
        <v>3829</v>
      </c>
      <c r="C2195" s="40" t="s">
        <v>3830</v>
      </c>
      <c r="D2195" s="40" t="s">
        <v>2233</v>
      </c>
      <c r="E2195" s="40" t="s">
        <v>2233</v>
      </c>
      <c r="F2195" s="40">
        <v>1</v>
      </c>
      <c r="G2195" s="40"/>
      <c r="H2195" s="40" t="s">
        <v>2234</v>
      </c>
      <c r="I2195" s="40"/>
      <c r="J2195" s="40" t="s">
        <v>97</v>
      </c>
      <c r="K2195" s="40" t="s">
        <v>97</v>
      </c>
      <c r="L2195" s="40" t="s">
        <v>97</v>
      </c>
    </row>
    <row r="2196" spans="1:12" x14ac:dyDescent="0.25">
      <c r="A2196" s="40" t="s">
        <v>38</v>
      </c>
      <c r="B2196" s="40" t="s">
        <v>3831</v>
      </c>
      <c r="C2196" s="40" t="s">
        <v>3832</v>
      </c>
      <c r="D2196" s="40" t="s">
        <v>2233</v>
      </c>
      <c r="E2196" s="40" t="s">
        <v>2233</v>
      </c>
      <c r="F2196" s="40">
        <v>1</v>
      </c>
      <c r="G2196" s="40"/>
      <c r="H2196" s="40" t="s">
        <v>2234</v>
      </c>
      <c r="I2196" s="40"/>
      <c r="J2196" s="40" t="s">
        <v>97</v>
      </c>
      <c r="K2196" s="40" t="s">
        <v>97</v>
      </c>
      <c r="L2196" s="40" t="s">
        <v>97</v>
      </c>
    </row>
    <row r="2197" spans="1:12" x14ac:dyDescent="0.25">
      <c r="A2197" s="40" t="s">
        <v>38</v>
      </c>
      <c r="B2197" s="40" t="s">
        <v>3833</v>
      </c>
      <c r="C2197" s="40" t="s">
        <v>3834</v>
      </c>
      <c r="D2197" s="40" t="s">
        <v>2233</v>
      </c>
      <c r="E2197" s="40" t="s">
        <v>2233</v>
      </c>
      <c r="F2197" s="40">
        <v>1</v>
      </c>
      <c r="G2197" s="40"/>
      <c r="H2197" s="40" t="s">
        <v>2234</v>
      </c>
      <c r="I2197" s="40"/>
      <c r="J2197" s="40" t="s">
        <v>97</v>
      </c>
      <c r="K2197" s="40" t="s">
        <v>97</v>
      </c>
      <c r="L2197" s="40" t="s">
        <v>97</v>
      </c>
    </row>
    <row r="2198" spans="1:12" x14ac:dyDescent="0.25">
      <c r="A2198" s="40" t="s">
        <v>38</v>
      </c>
      <c r="B2198" s="40" t="s">
        <v>3835</v>
      </c>
      <c r="C2198" s="40" t="s">
        <v>3836</v>
      </c>
      <c r="D2198" s="40" t="s">
        <v>2233</v>
      </c>
      <c r="E2198" s="40" t="s">
        <v>2233</v>
      </c>
      <c r="F2198" s="40">
        <v>1</v>
      </c>
      <c r="G2198" s="40"/>
      <c r="H2198" s="40" t="s">
        <v>2234</v>
      </c>
      <c r="I2198" s="40"/>
      <c r="J2198" s="40" t="s">
        <v>97</v>
      </c>
      <c r="K2198" s="40" t="s">
        <v>97</v>
      </c>
      <c r="L2198" s="40" t="s">
        <v>97</v>
      </c>
    </row>
    <row r="2199" spans="1:12" x14ac:dyDescent="0.25">
      <c r="A2199" s="40" t="s">
        <v>38</v>
      </c>
      <c r="B2199" s="40" t="s">
        <v>3837</v>
      </c>
      <c r="C2199" s="40" t="s">
        <v>3838</v>
      </c>
      <c r="D2199" s="40" t="s">
        <v>2233</v>
      </c>
      <c r="E2199" s="40" t="s">
        <v>2233</v>
      </c>
      <c r="F2199" s="40">
        <v>1</v>
      </c>
      <c r="G2199" s="40"/>
      <c r="H2199" s="40" t="s">
        <v>2234</v>
      </c>
      <c r="I2199" s="40"/>
      <c r="J2199" s="40" t="s">
        <v>97</v>
      </c>
      <c r="K2199" s="40" t="s">
        <v>97</v>
      </c>
      <c r="L2199" s="40" t="s">
        <v>97</v>
      </c>
    </row>
    <row r="2200" spans="1:12" x14ac:dyDescent="0.25">
      <c r="A2200" s="40" t="s">
        <v>38</v>
      </c>
      <c r="B2200" s="40" t="s">
        <v>3839</v>
      </c>
      <c r="C2200" s="40" t="s">
        <v>3840</v>
      </c>
      <c r="D2200" s="40" t="s">
        <v>2233</v>
      </c>
      <c r="E2200" s="40" t="s">
        <v>2233</v>
      </c>
      <c r="F2200" s="40">
        <v>1</v>
      </c>
      <c r="G2200" s="40"/>
      <c r="H2200" s="40" t="s">
        <v>2234</v>
      </c>
      <c r="I2200" s="40"/>
      <c r="J2200" s="40" t="s">
        <v>97</v>
      </c>
      <c r="K2200" s="40" t="s">
        <v>97</v>
      </c>
      <c r="L2200" s="40" t="s">
        <v>97</v>
      </c>
    </row>
    <row r="2201" spans="1:12" x14ac:dyDescent="0.25">
      <c r="A2201" s="40" t="s">
        <v>38</v>
      </c>
      <c r="B2201" s="40" t="s">
        <v>3841</v>
      </c>
      <c r="C2201" s="40" t="s">
        <v>3842</v>
      </c>
      <c r="D2201" s="40" t="s">
        <v>2233</v>
      </c>
      <c r="E2201" s="40" t="s">
        <v>2233</v>
      </c>
      <c r="F2201" s="40">
        <v>1</v>
      </c>
      <c r="G2201" s="40"/>
      <c r="H2201" s="40" t="s">
        <v>2234</v>
      </c>
      <c r="I2201" s="40"/>
      <c r="J2201" s="40" t="s">
        <v>97</v>
      </c>
      <c r="K2201" s="40" t="s">
        <v>97</v>
      </c>
      <c r="L2201" s="40" t="s">
        <v>97</v>
      </c>
    </row>
    <row r="2202" spans="1:12" x14ac:dyDescent="0.25">
      <c r="A2202" s="40" t="s">
        <v>38</v>
      </c>
      <c r="B2202" s="40" t="s">
        <v>3843</v>
      </c>
      <c r="C2202" s="40" t="s">
        <v>3844</v>
      </c>
      <c r="D2202" s="40" t="s">
        <v>3845</v>
      </c>
      <c r="E2202" s="40" t="s">
        <v>3845</v>
      </c>
      <c r="F2202" s="40">
        <v>1</v>
      </c>
      <c r="G2202" s="40"/>
      <c r="H2202" s="40" t="s">
        <v>97</v>
      </c>
      <c r="I2202" s="40"/>
      <c r="J2202" s="40" t="s">
        <v>97</v>
      </c>
      <c r="K2202" s="40" t="s">
        <v>97</v>
      </c>
      <c r="L2202" s="40" t="s">
        <v>97</v>
      </c>
    </row>
    <row r="2203" spans="1:12" x14ac:dyDescent="0.25">
      <c r="A2203" s="40" t="s">
        <v>38</v>
      </c>
      <c r="B2203" s="40" t="s">
        <v>3846</v>
      </c>
      <c r="C2203" s="40" t="s">
        <v>3847</v>
      </c>
      <c r="D2203" s="40" t="s">
        <v>3246</v>
      </c>
      <c r="E2203" s="40" t="s">
        <v>3246</v>
      </c>
      <c r="F2203" s="40">
        <v>1</v>
      </c>
      <c r="G2203" s="40"/>
      <c r="H2203" s="40" t="s">
        <v>97</v>
      </c>
      <c r="I2203" s="40"/>
      <c r="J2203" s="40" t="s">
        <v>97</v>
      </c>
      <c r="K2203" s="40" t="s">
        <v>97</v>
      </c>
      <c r="L2203" s="40" t="s">
        <v>97</v>
      </c>
    </row>
    <row r="2204" spans="1:12" x14ac:dyDescent="0.25">
      <c r="A2204" s="40" t="s">
        <v>38</v>
      </c>
      <c r="B2204" s="40" t="s">
        <v>3848</v>
      </c>
      <c r="C2204" s="40" t="s">
        <v>3849</v>
      </c>
      <c r="D2204" s="40" t="s">
        <v>2233</v>
      </c>
      <c r="E2204" s="40" t="s">
        <v>2233</v>
      </c>
      <c r="F2204" s="40">
        <v>1</v>
      </c>
      <c r="G2204" s="40"/>
      <c r="H2204" s="40" t="s">
        <v>2234</v>
      </c>
      <c r="I2204" s="40"/>
      <c r="J2204" s="40" t="s">
        <v>97</v>
      </c>
      <c r="K2204" s="40" t="s">
        <v>97</v>
      </c>
      <c r="L2204" s="40" t="s">
        <v>97</v>
      </c>
    </row>
    <row r="2205" spans="1:12" x14ac:dyDescent="0.25">
      <c r="A2205" s="40" t="s">
        <v>38</v>
      </c>
      <c r="B2205" s="40" t="s">
        <v>3850</v>
      </c>
      <c r="C2205" s="40" t="s">
        <v>3851</v>
      </c>
      <c r="D2205" s="40" t="s">
        <v>2233</v>
      </c>
      <c r="E2205" s="40" t="s">
        <v>2233</v>
      </c>
      <c r="F2205" s="40">
        <v>1</v>
      </c>
      <c r="G2205" s="40"/>
      <c r="H2205" s="40" t="s">
        <v>2234</v>
      </c>
      <c r="I2205" s="40"/>
      <c r="J2205" s="40" t="s">
        <v>97</v>
      </c>
      <c r="K2205" s="40" t="s">
        <v>97</v>
      </c>
      <c r="L2205" s="40" t="s">
        <v>97</v>
      </c>
    </row>
    <row r="2206" spans="1:12" x14ac:dyDescent="0.25">
      <c r="A2206" s="40" t="s">
        <v>38</v>
      </c>
      <c r="B2206" s="40" t="s">
        <v>3852</v>
      </c>
      <c r="C2206" s="40" t="s">
        <v>3853</v>
      </c>
      <c r="D2206" s="40" t="s">
        <v>2233</v>
      </c>
      <c r="E2206" s="40" t="s">
        <v>2233</v>
      </c>
      <c r="F2206" s="40">
        <v>1</v>
      </c>
      <c r="G2206" s="40"/>
      <c r="H2206" s="40" t="s">
        <v>2234</v>
      </c>
      <c r="I2206" s="40"/>
      <c r="J2206" s="40" t="s">
        <v>97</v>
      </c>
      <c r="K2206" s="40" t="s">
        <v>97</v>
      </c>
      <c r="L2206" s="40" t="s">
        <v>97</v>
      </c>
    </row>
    <row r="2207" spans="1:12" x14ac:dyDescent="0.25">
      <c r="A2207" s="40" t="s">
        <v>38</v>
      </c>
      <c r="B2207" s="40" t="s">
        <v>3854</v>
      </c>
      <c r="C2207" s="40" t="s">
        <v>3855</v>
      </c>
      <c r="D2207" s="40" t="s">
        <v>2233</v>
      </c>
      <c r="E2207" s="40" t="s">
        <v>2233</v>
      </c>
      <c r="F2207" s="40">
        <v>1</v>
      </c>
      <c r="G2207" s="40"/>
      <c r="H2207" s="40" t="s">
        <v>2234</v>
      </c>
      <c r="I2207" s="40"/>
      <c r="J2207" s="40" t="s">
        <v>97</v>
      </c>
      <c r="K2207" s="40" t="s">
        <v>97</v>
      </c>
      <c r="L2207" s="40" t="s">
        <v>97</v>
      </c>
    </row>
    <row r="2208" spans="1:12" x14ac:dyDescent="0.25">
      <c r="A2208" s="40" t="s">
        <v>38</v>
      </c>
      <c r="B2208" s="40" t="s">
        <v>3856</v>
      </c>
      <c r="C2208" s="40" t="s">
        <v>3857</v>
      </c>
      <c r="D2208" s="40" t="s">
        <v>2233</v>
      </c>
      <c r="E2208" s="40" t="s">
        <v>2233</v>
      </c>
      <c r="F2208" s="40">
        <v>1</v>
      </c>
      <c r="G2208" s="40"/>
      <c r="H2208" s="40" t="s">
        <v>97</v>
      </c>
      <c r="I2208" s="40"/>
      <c r="J2208" s="40" t="s">
        <v>97</v>
      </c>
      <c r="K2208" s="40" t="s">
        <v>97</v>
      </c>
      <c r="L2208" s="40" t="s">
        <v>97</v>
      </c>
    </row>
    <row r="2209" spans="1:12" x14ac:dyDescent="0.25">
      <c r="A2209" s="40" t="s">
        <v>38</v>
      </c>
      <c r="B2209" s="40" t="s">
        <v>3858</v>
      </c>
      <c r="C2209" s="40" t="s">
        <v>3859</v>
      </c>
      <c r="D2209" s="40" t="s">
        <v>2233</v>
      </c>
      <c r="E2209" s="40" t="s">
        <v>2233</v>
      </c>
      <c r="F2209" s="40">
        <v>1</v>
      </c>
      <c r="G2209" s="40"/>
      <c r="H2209" s="40" t="s">
        <v>97</v>
      </c>
      <c r="I2209" s="40"/>
      <c r="J2209" s="40" t="s">
        <v>97</v>
      </c>
      <c r="K2209" s="40" t="s">
        <v>97</v>
      </c>
      <c r="L2209" s="40" t="s">
        <v>97</v>
      </c>
    </row>
    <row r="2210" spans="1:12" x14ac:dyDescent="0.25">
      <c r="A2210" s="40" t="s">
        <v>38</v>
      </c>
      <c r="B2210" s="40" t="s">
        <v>3860</v>
      </c>
      <c r="C2210" s="40" t="s">
        <v>3861</v>
      </c>
      <c r="D2210" s="40" t="s">
        <v>2233</v>
      </c>
      <c r="E2210" s="40" t="s">
        <v>2233</v>
      </c>
      <c r="F2210" s="40">
        <v>1</v>
      </c>
      <c r="G2210" s="40"/>
      <c r="H2210" s="40" t="s">
        <v>97</v>
      </c>
      <c r="I2210" s="40"/>
      <c r="J2210" s="40" t="s">
        <v>97</v>
      </c>
      <c r="K2210" s="40" t="s">
        <v>97</v>
      </c>
      <c r="L2210" s="40" t="s">
        <v>97</v>
      </c>
    </row>
    <row r="2211" spans="1:12" x14ac:dyDescent="0.25">
      <c r="A2211" s="40" t="s">
        <v>38</v>
      </c>
      <c r="B2211" s="40" t="s">
        <v>3862</v>
      </c>
      <c r="C2211" s="40" t="s">
        <v>3863</v>
      </c>
      <c r="D2211" s="40" t="s">
        <v>2233</v>
      </c>
      <c r="E2211" s="40" t="s">
        <v>2233</v>
      </c>
      <c r="F2211" s="40">
        <v>1</v>
      </c>
      <c r="G2211" s="40"/>
      <c r="H2211" s="40" t="s">
        <v>97</v>
      </c>
      <c r="I2211" s="40"/>
      <c r="J2211" s="40" t="s">
        <v>97</v>
      </c>
      <c r="K2211" s="40" t="s">
        <v>97</v>
      </c>
      <c r="L2211" s="40" t="s">
        <v>97</v>
      </c>
    </row>
    <row r="2212" spans="1:12" x14ac:dyDescent="0.25">
      <c r="A2212" s="40" t="s">
        <v>38</v>
      </c>
      <c r="B2212" s="40" t="s">
        <v>3864</v>
      </c>
      <c r="C2212" s="40" t="s">
        <v>3865</v>
      </c>
      <c r="D2212" s="40" t="s">
        <v>2233</v>
      </c>
      <c r="E2212" s="40" t="s">
        <v>2233</v>
      </c>
      <c r="F2212" s="40">
        <v>1</v>
      </c>
      <c r="G2212" s="40"/>
      <c r="H2212" s="40" t="s">
        <v>97</v>
      </c>
      <c r="I2212" s="40"/>
      <c r="J2212" s="40" t="s">
        <v>97</v>
      </c>
      <c r="K2212" s="40" t="s">
        <v>97</v>
      </c>
      <c r="L2212" s="40" t="s">
        <v>97</v>
      </c>
    </row>
    <row r="2213" spans="1:12" x14ac:dyDescent="0.25">
      <c r="A2213" s="40" t="s">
        <v>38</v>
      </c>
      <c r="B2213" s="40" t="s">
        <v>3866</v>
      </c>
      <c r="C2213" s="40" t="s">
        <v>3867</v>
      </c>
      <c r="D2213" s="40" t="s">
        <v>2233</v>
      </c>
      <c r="E2213" s="40" t="s">
        <v>2233</v>
      </c>
      <c r="F2213" s="40">
        <v>1</v>
      </c>
      <c r="G2213" s="40"/>
      <c r="H2213" s="40" t="s">
        <v>97</v>
      </c>
      <c r="I2213" s="40"/>
      <c r="J2213" s="40" t="s">
        <v>97</v>
      </c>
      <c r="K2213" s="40" t="s">
        <v>97</v>
      </c>
      <c r="L2213" s="40" t="s">
        <v>97</v>
      </c>
    </row>
    <row r="2214" spans="1:12" x14ac:dyDescent="0.25">
      <c r="A2214" s="40" t="s">
        <v>38</v>
      </c>
      <c r="B2214" s="40" t="s">
        <v>3868</v>
      </c>
      <c r="C2214" s="40" t="s">
        <v>3869</v>
      </c>
      <c r="D2214" s="40" t="s">
        <v>2233</v>
      </c>
      <c r="E2214" s="40" t="s">
        <v>2233</v>
      </c>
      <c r="F2214" s="40">
        <v>1</v>
      </c>
      <c r="G2214" s="40"/>
      <c r="H2214" s="40" t="s">
        <v>97</v>
      </c>
      <c r="I2214" s="40"/>
      <c r="J2214" s="40" t="s">
        <v>97</v>
      </c>
      <c r="K2214" s="40" t="s">
        <v>97</v>
      </c>
      <c r="L2214" s="40" t="s">
        <v>97</v>
      </c>
    </row>
    <row r="2215" spans="1:12" x14ac:dyDescent="0.25">
      <c r="A2215" s="40" t="s">
        <v>38</v>
      </c>
      <c r="B2215" s="40" t="s">
        <v>3870</v>
      </c>
      <c r="C2215" s="40" t="s">
        <v>3871</v>
      </c>
      <c r="D2215" s="40" t="s">
        <v>2233</v>
      </c>
      <c r="E2215" s="40" t="s">
        <v>2233</v>
      </c>
      <c r="F2215" s="40">
        <v>1</v>
      </c>
      <c r="G2215" s="40"/>
      <c r="H2215" s="40" t="s">
        <v>97</v>
      </c>
      <c r="I2215" s="40"/>
      <c r="J2215" s="40" t="s">
        <v>97</v>
      </c>
      <c r="K2215" s="40" t="s">
        <v>97</v>
      </c>
      <c r="L2215" s="40" t="s">
        <v>97</v>
      </c>
    </row>
    <row r="2216" spans="1:12" x14ac:dyDescent="0.25">
      <c r="A2216" s="40" t="s">
        <v>38</v>
      </c>
      <c r="B2216" s="40" t="s">
        <v>3872</v>
      </c>
      <c r="C2216" s="40" t="s">
        <v>3873</v>
      </c>
      <c r="D2216" s="40" t="s">
        <v>2233</v>
      </c>
      <c r="E2216" s="40" t="s">
        <v>2233</v>
      </c>
      <c r="F2216" s="40">
        <v>1</v>
      </c>
      <c r="G2216" s="40"/>
      <c r="H2216" s="40" t="s">
        <v>97</v>
      </c>
      <c r="I2216" s="40"/>
      <c r="J2216" s="40" t="s">
        <v>97</v>
      </c>
      <c r="K2216" s="40" t="s">
        <v>97</v>
      </c>
      <c r="L2216" s="40" t="s">
        <v>97</v>
      </c>
    </row>
    <row r="2217" spans="1:12" x14ac:dyDescent="0.25">
      <c r="A2217" s="40" t="s">
        <v>38</v>
      </c>
      <c r="B2217" s="40" t="s">
        <v>3874</v>
      </c>
      <c r="C2217" s="40" t="s">
        <v>3875</v>
      </c>
      <c r="D2217" s="40" t="s">
        <v>2233</v>
      </c>
      <c r="E2217" s="40" t="s">
        <v>2233</v>
      </c>
      <c r="F2217" s="40">
        <v>1</v>
      </c>
      <c r="G2217" s="40"/>
      <c r="H2217" s="40" t="s">
        <v>97</v>
      </c>
      <c r="I2217" s="40"/>
      <c r="J2217" s="40" t="s">
        <v>97</v>
      </c>
      <c r="K2217" s="40" t="s">
        <v>97</v>
      </c>
      <c r="L2217" s="40" t="s">
        <v>97</v>
      </c>
    </row>
    <row r="2218" spans="1:12" x14ac:dyDescent="0.25">
      <c r="A2218" s="40" t="s">
        <v>38</v>
      </c>
      <c r="B2218" s="40" t="s">
        <v>3876</v>
      </c>
      <c r="C2218" s="40" t="s">
        <v>3877</v>
      </c>
      <c r="D2218" s="40" t="s">
        <v>2233</v>
      </c>
      <c r="E2218" s="40" t="s">
        <v>2233</v>
      </c>
      <c r="F2218" s="40">
        <v>1</v>
      </c>
      <c r="G2218" s="40"/>
      <c r="H2218" s="40" t="s">
        <v>2234</v>
      </c>
      <c r="I2218" s="40"/>
      <c r="J2218" s="40" t="s">
        <v>97</v>
      </c>
      <c r="K2218" s="40" t="s">
        <v>97</v>
      </c>
      <c r="L2218" s="40" t="s">
        <v>97</v>
      </c>
    </row>
    <row r="2219" spans="1:12" x14ac:dyDescent="0.25">
      <c r="A2219" s="40" t="s">
        <v>38</v>
      </c>
      <c r="B2219" s="40" t="s">
        <v>3878</v>
      </c>
      <c r="C2219" s="40" t="s">
        <v>3879</v>
      </c>
      <c r="D2219" s="40" t="s">
        <v>2233</v>
      </c>
      <c r="E2219" s="40" t="s">
        <v>2233</v>
      </c>
      <c r="F2219" s="40">
        <v>1</v>
      </c>
      <c r="G2219" s="40"/>
      <c r="H2219" s="40" t="s">
        <v>2234</v>
      </c>
      <c r="I2219" s="40"/>
      <c r="J2219" s="40" t="s">
        <v>97</v>
      </c>
      <c r="K2219" s="40" t="s">
        <v>97</v>
      </c>
      <c r="L2219" s="40" t="s">
        <v>97</v>
      </c>
    </row>
    <row r="2220" spans="1:12" x14ac:dyDescent="0.25">
      <c r="A2220" s="40" t="s">
        <v>38</v>
      </c>
      <c r="B2220" s="40" t="s">
        <v>3880</v>
      </c>
      <c r="C2220" s="40" t="s">
        <v>3881</v>
      </c>
      <c r="D2220" s="40" t="s">
        <v>2233</v>
      </c>
      <c r="E2220" s="40" t="s">
        <v>2233</v>
      </c>
      <c r="F2220" s="40">
        <v>1</v>
      </c>
      <c r="G2220" s="40"/>
      <c r="H2220" s="40" t="s">
        <v>2234</v>
      </c>
      <c r="I2220" s="40"/>
      <c r="J2220" s="40" t="s">
        <v>97</v>
      </c>
      <c r="K2220" s="40" t="s">
        <v>97</v>
      </c>
      <c r="L2220" s="40" t="s">
        <v>97</v>
      </c>
    </row>
    <row r="2221" spans="1:12" x14ac:dyDescent="0.25">
      <c r="A2221" s="40" t="s">
        <v>38</v>
      </c>
      <c r="B2221" s="40" t="s">
        <v>3882</v>
      </c>
      <c r="C2221" s="40" t="s">
        <v>3883</v>
      </c>
      <c r="D2221" s="40" t="s">
        <v>2233</v>
      </c>
      <c r="E2221" s="40" t="s">
        <v>2233</v>
      </c>
      <c r="F2221" s="40">
        <v>1</v>
      </c>
      <c r="G2221" s="40"/>
      <c r="H2221" s="40" t="s">
        <v>2234</v>
      </c>
      <c r="I2221" s="40"/>
      <c r="J2221" s="40" t="s">
        <v>97</v>
      </c>
      <c r="K2221" s="40" t="s">
        <v>97</v>
      </c>
      <c r="L2221" s="40" t="s">
        <v>97</v>
      </c>
    </row>
    <row r="2222" spans="1:12" x14ac:dyDescent="0.25">
      <c r="A2222" s="40" t="s">
        <v>38</v>
      </c>
      <c r="B2222" s="40" t="s">
        <v>3884</v>
      </c>
      <c r="C2222" s="40" t="s">
        <v>3885</v>
      </c>
      <c r="D2222" s="40" t="s">
        <v>2233</v>
      </c>
      <c r="E2222" s="40" t="s">
        <v>2233</v>
      </c>
      <c r="F2222" s="40">
        <v>1</v>
      </c>
      <c r="G2222" s="40"/>
      <c r="H2222" s="40" t="s">
        <v>2234</v>
      </c>
      <c r="I2222" s="40"/>
      <c r="J2222" s="40" t="s">
        <v>97</v>
      </c>
      <c r="K2222" s="40" t="s">
        <v>97</v>
      </c>
      <c r="L2222" s="40" t="s">
        <v>97</v>
      </c>
    </row>
    <row r="2223" spans="1:12" x14ac:dyDescent="0.25">
      <c r="A2223" s="40" t="s">
        <v>38</v>
      </c>
      <c r="B2223" s="40" t="s">
        <v>3886</v>
      </c>
      <c r="C2223" s="40" t="s">
        <v>3887</v>
      </c>
      <c r="D2223" s="40" t="s">
        <v>2233</v>
      </c>
      <c r="E2223" s="40" t="s">
        <v>2233</v>
      </c>
      <c r="F2223" s="40">
        <v>1</v>
      </c>
      <c r="G2223" s="40"/>
      <c r="H2223" s="40" t="s">
        <v>2234</v>
      </c>
      <c r="I2223" s="40"/>
      <c r="J2223" s="40" t="s">
        <v>97</v>
      </c>
      <c r="K2223" s="40" t="s">
        <v>97</v>
      </c>
      <c r="L2223" s="40" t="s">
        <v>97</v>
      </c>
    </row>
    <row r="2224" spans="1:12" x14ac:dyDescent="0.25">
      <c r="A2224" s="40" t="s">
        <v>38</v>
      </c>
      <c r="B2224" s="40" t="s">
        <v>3888</v>
      </c>
      <c r="C2224" s="40" t="s">
        <v>3889</v>
      </c>
      <c r="D2224" s="40" t="s">
        <v>2233</v>
      </c>
      <c r="E2224" s="40" t="s">
        <v>2233</v>
      </c>
      <c r="F2224" s="40">
        <v>1</v>
      </c>
      <c r="G2224" s="40"/>
      <c r="H2224" s="40" t="s">
        <v>2234</v>
      </c>
      <c r="I2224" s="40"/>
      <c r="J2224" s="40" t="s">
        <v>97</v>
      </c>
      <c r="K2224" s="40" t="s">
        <v>97</v>
      </c>
      <c r="L2224" s="40" t="s">
        <v>97</v>
      </c>
    </row>
    <row r="2225" spans="1:12" x14ac:dyDescent="0.25">
      <c r="A2225" s="40" t="s">
        <v>38</v>
      </c>
      <c r="B2225" s="40" t="s">
        <v>3890</v>
      </c>
      <c r="C2225" s="40" t="s">
        <v>3891</v>
      </c>
      <c r="D2225" s="40" t="s">
        <v>2233</v>
      </c>
      <c r="E2225" s="40" t="s">
        <v>2233</v>
      </c>
      <c r="F2225" s="40">
        <v>1</v>
      </c>
      <c r="G2225" s="40"/>
      <c r="H2225" s="40" t="s">
        <v>2234</v>
      </c>
      <c r="I2225" s="40"/>
      <c r="J2225" s="40" t="s">
        <v>97</v>
      </c>
      <c r="K2225" s="40" t="s">
        <v>97</v>
      </c>
      <c r="L2225" s="40" t="s">
        <v>97</v>
      </c>
    </row>
    <row r="2226" spans="1:12" x14ac:dyDescent="0.25">
      <c r="A2226" s="40" t="s">
        <v>38</v>
      </c>
      <c r="B2226" s="40" t="s">
        <v>3892</v>
      </c>
      <c r="C2226" s="40" t="s">
        <v>3893</v>
      </c>
      <c r="D2226" s="40" t="s">
        <v>2233</v>
      </c>
      <c r="E2226" s="40" t="s">
        <v>2233</v>
      </c>
      <c r="F2226" s="40">
        <v>1</v>
      </c>
      <c r="G2226" s="40"/>
      <c r="H2226" s="40" t="s">
        <v>2234</v>
      </c>
      <c r="I2226" s="40"/>
      <c r="J2226" s="40" t="s">
        <v>97</v>
      </c>
      <c r="K2226" s="40" t="s">
        <v>97</v>
      </c>
      <c r="L2226" s="40" t="s">
        <v>97</v>
      </c>
    </row>
    <row r="2227" spans="1:12" x14ac:dyDescent="0.25">
      <c r="A2227" s="40" t="s">
        <v>38</v>
      </c>
      <c r="B2227" s="40" t="s">
        <v>3894</v>
      </c>
      <c r="C2227" s="40" t="s">
        <v>3895</v>
      </c>
      <c r="D2227" s="40" t="s">
        <v>2233</v>
      </c>
      <c r="E2227" s="40" t="s">
        <v>2233</v>
      </c>
      <c r="F2227" s="40">
        <v>1</v>
      </c>
      <c r="G2227" s="40"/>
      <c r="H2227" s="40" t="s">
        <v>2234</v>
      </c>
      <c r="I2227" s="40"/>
      <c r="J2227" s="40" t="s">
        <v>97</v>
      </c>
      <c r="K2227" s="40" t="s">
        <v>97</v>
      </c>
      <c r="L2227" s="40" t="s">
        <v>97</v>
      </c>
    </row>
    <row r="2228" spans="1:12" x14ac:dyDescent="0.25">
      <c r="A2228" s="40" t="s">
        <v>38</v>
      </c>
      <c r="B2228" s="40" t="s">
        <v>3896</v>
      </c>
      <c r="C2228" s="40" t="s">
        <v>3897</v>
      </c>
      <c r="D2228" s="40" t="s">
        <v>2233</v>
      </c>
      <c r="E2228" s="40" t="s">
        <v>2233</v>
      </c>
      <c r="F2228" s="40">
        <v>1</v>
      </c>
      <c r="G2228" s="40"/>
      <c r="H2228" s="40" t="s">
        <v>2234</v>
      </c>
      <c r="I2228" s="40"/>
      <c r="J2228" s="40" t="s">
        <v>97</v>
      </c>
      <c r="K2228" s="40" t="s">
        <v>97</v>
      </c>
      <c r="L2228" s="40" t="s">
        <v>97</v>
      </c>
    </row>
    <row r="2229" spans="1:12" x14ac:dyDescent="0.25">
      <c r="A2229" s="40" t="s">
        <v>38</v>
      </c>
      <c r="B2229" s="40" t="s">
        <v>3898</v>
      </c>
      <c r="C2229" s="40" t="s">
        <v>3899</v>
      </c>
      <c r="D2229" s="40" t="s">
        <v>3900</v>
      </c>
      <c r="E2229" s="40" t="s">
        <v>3900</v>
      </c>
      <c r="F2229" s="40">
        <v>1</v>
      </c>
      <c r="G2229" s="40"/>
      <c r="H2229" s="40" t="s">
        <v>97</v>
      </c>
      <c r="I2229" s="40"/>
      <c r="J2229" s="40" t="s">
        <v>97</v>
      </c>
      <c r="K2229" s="40" t="s">
        <v>97</v>
      </c>
      <c r="L2229" s="40" t="s">
        <v>97</v>
      </c>
    </row>
    <row r="2230" spans="1:12" x14ac:dyDescent="0.25">
      <c r="A2230" s="40" t="s">
        <v>38</v>
      </c>
      <c r="B2230" s="40" t="s">
        <v>3901</v>
      </c>
      <c r="C2230" s="40" t="s">
        <v>3902</v>
      </c>
      <c r="D2230" s="40" t="s">
        <v>3246</v>
      </c>
      <c r="E2230" s="40" t="s">
        <v>3246</v>
      </c>
      <c r="F2230" s="40">
        <v>1</v>
      </c>
      <c r="G2230" s="40"/>
      <c r="H2230" s="40" t="s">
        <v>97</v>
      </c>
      <c r="I2230" s="40"/>
      <c r="J2230" s="40" t="s">
        <v>97</v>
      </c>
      <c r="K2230" s="40" t="s">
        <v>97</v>
      </c>
      <c r="L2230" s="40" t="s">
        <v>97</v>
      </c>
    </row>
    <row r="2231" spans="1:12" x14ac:dyDescent="0.25">
      <c r="A2231" s="40" t="s">
        <v>38</v>
      </c>
      <c r="B2231" s="40" t="s">
        <v>3903</v>
      </c>
      <c r="C2231" s="40" t="s">
        <v>3904</v>
      </c>
      <c r="D2231" s="40" t="s">
        <v>2233</v>
      </c>
      <c r="E2231" s="40" t="s">
        <v>2233</v>
      </c>
      <c r="F2231" s="40">
        <v>1</v>
      </c>
      <c r="G2231" s="40"/>
      <c r="H2231" s="40" t="s">
        <v>2234</v>
      </c>
      <c r="I2231" s="40"/>
      <c r="J2231" s="40" t="s">
        <v>97</v>
      </c>
      <c r="K2231" s="40" t="s">
        <v>97</v>
      </c>
      <c r="L2231" s="40" t="s">
        <v>97</v>
      </c>
    </row>
    <row r="2232" spans="1:12" x14ac:dyDescent="0.25">
      <c r="A2232" s="40" t="s">
        <v>38</v>
      </c>
      <c r="B2232" s="40" t="s">
        <v>3905</v>
      </c>
      <c r="C2232" s="40" t="s">
        <v>3906</v>
      </c>
      <c r="D2232" s="40" t="s">
        <v>2233</v>
      </c>
      <c r="E2232" s="40" t="s">
        <v>2233</v>
      </c>
      <c r="F2232" s="40">
        <v>1</v>
      </c>
      <c r="G2232" s="40"/>
      <c r="H2232" s="40" t="s">
        <v>2234</v>
      </c>
      <c r="I2232" s="40"/>
      <c r="J2232" s="40" t="s">
        <v>97</v>
      </c>
      <c r="K2232" s="40" t="s">
        <v>97</v>
      </c>
      <c r="L2232" s="40" t="s">
        <v>97</v>
      </c>
    </row>
    <row r="2233" spans="1:12" x14ac:dyDescent="0.25">
      <c r="A2233" s="40" t="s">
        <v>38</v>
      </c>
      <c r="B2233" s="40" t="s">
        <v>3907</v>
      </c>
      <c r="C2233" s="40" t="s">
        <v>3908</v>
      </c>
      <c r="D2233" s="40" t="s">
        <v>2233</v>
      </c>
      <c r="E2233" s="40" t="s">
        <v>2233</v>
      </c>
      <c r="F2233" s="40">
        <v>1</v>
      </c>
      <c r="G2233" s="40"/>
      <c r="H2233" s="40" t="s">
        <v>2234</v>
      </c>
      <c r="I2233" s="40"/>
      <c r="J2233" s="40" t="s">
        <v>97</v>
      </c>
      <c r="K2233" s="40" t="s">
        <v>97</v>
      </c>
      <c r="L2233" s="40" t="s">
        <v>97</v>
      </c>
    </row>
    <row r="2234" spans="1:12" x14ac:dyDescent="0.25">
      <c r="A2234" s="40" t="s">
        <v>38</v>
      </c>
      <c r="B2234" s="40" t="s">
        <v>3909</v>
      </c>
      <c r="C2234" s="40" t="s">
        <v>3910</v>
      </c>
      <c r="D2234" s="40" t="s">
        <v>2233</v>
      </c>
      <c r="E2234" s="40" t="s">
        <v>2233</v>
      </c>
      <c r="F2234" s="40">
        <v>1</v>
      </c>
      <c r="G2234" s="40"/>
      <c r="H2234" s="40" t="s">
        <v>2234</v>
      </c>
      <c r="I2234" s="40"/>
      <c r="J2234" s="40" t="s">
        <v>97</v>
      </c>
      <c r="K2234" s="40" t="s">
        <v>97</v>
      </c>
      <c r="L2234" s="40" t="s">
        <v>97</v>
      </c>
    </row>
    <row r="2235" spans="1:12" x14ac:dyDescent="0.25">
      <c r="A2235" s="40" t="s">
        <v>38</v>
      </c>
      <c r="B2235" s="40" t="s">
        <v>3911</v>
      </c>
      <c r="C2235" s="40" t="s">
        <v>3912</v>
      </c>
      <c r="D2235" s="40" t="s">
        <v>2233</v>
      </c>
      <c r="E2235" s="40" t="s">
        <v>2233</v>
      </c>
      <c r="F2235" s="40">
        <v>1</v>
      </c>
      <c r="G2235" s="40"/>
      <c r="H2235" s="40" t="s">
        <v>97</v>
      </c>
      <c r="I2235" s="40"/>
      <c r="J2235" s="40" t="s">
        <v>97</v>
      </c>
      <c r="K2235" s="40" t="s">
        <v>97</v>
      </c>
      <c r="L2235" s="40" t="s">
        <v>97</v>
      </c>
    </row>
    <row r="2236" spans="1:12" x14ac:dyDescent="0.25">
      <c r="A2236" s="40" t="s">
        <v>38</v>
      </c>
      <c r="B2236" s="40" t="s">
        <v>3913</v>
      </c>
      <c r="C2236" s="40" t="s">
        <v>3914</v>
      </c>
      <c r="D2236" s="40" t="s">
        <v>2233</v>
      </c>
      <c r="E2236" s="40" t="s">
        <v>2233</v>
      </c>
      <c r="F2236" s="40">
        <v>1</v>
      </c>
      <c r="G2236" s="40"/>
      <c r="H2236" s="40" t="s">
        <v>97</v>
      </c>
      <c r="I2236" s="40"/>
      <c r="J2236" s="40" t="s">
        <v>97</v>
      </c>
      <c r="K2236" s="40" t="s">
        <v>97</v>
      </c>
      <c r="L2236" s="40" t="s">
        <v>97</v>
      </c>
    </row>
    <row r="2237" spans="1:12" x14ac:dyDescent="0.25">
      <c r="A2237" s="40" t="s">
        <v>38</v>
      </c>
      <c r="B2237" s="40" t="s">
        <v>3915</v>
      </c>
      <c r="C2237" s="40" t="s">
        <v>3916</v>
      </c>
      <c r="D2237" s="40" t="s">
        <v>2233</v>
      </c>
      <c r="E2237" s="40" t="s">
        <v>2233</v>
      </c>
      <c r="F2237" s="40">
        <v>1</v>
      </c>
      <c r="G2237" s="40"/>
      <c r="H2237" s="40" t="s">
        <v>97</v>
      </c>
      <c r="I2237" s="40"/>
      <c r="J2237" s="40" t="s">
        <v>97</v>
      </c>
      <c r="K2237" s="40" t="s">
        <v>97</v>
      </c>
      <c r="L2237" s="40" t="s">
        <v>97</v>
      </c>
    </row>
    <row r="2238" spans="1:12" x14ac:dyDescent="0.25">
      <c r="A2238" s="40" t="s">
        <v>38</v>
      </c>
      <c r="B2238" s="40" t="s">
        <v>3917</v>
      </c>
      <c r="C2238" s="40" t="s">
        <v>3918</v>
      </c>
      <c r="D2238" s="40" t="s">
        <v>2233</v>
      </c>
      <c r="E2238" s="40" t="s">
        <v>2233</v>
      </c>
      <c r="F2238" s="40">
        <v>1</v>
      </c>
      <c r="G2238" s="40"/>
      <c r="H2238" s="40" t="s">
        <v>97</v>
      </c>
      <c r="I2238" s="40"/>
      <c r="J2238" s="40" t="s">
        <v>97</v>
      </c>
      <c r="K2238" s="40" t="s">
        <v>97</v>
      </c>
      <c r="L2238" s="40" t="s">
        <v>97</v>
      </c>
    </row>
    <row r="2239" spans="1:12" x14ac:dyDescent="0.25">
      <c r="A2239" s="40" t="s">
        <v>38</v>
      </c>
      <c r="B2239" s="40" t="s">
        <v>3919</v>
      </c>
      <c r="C2239" s="40" t="s">
        <v>3920</v>
      </c>
      <c r="D2239" s="40" t="s">
        <v>2233</v>
      </c>
      <c r="E2239" s="40" t="s">
        <v>2233</v>
      </c>
      <c r="F2239" s="40">
        <v>1</v>
      </c>
      <c r="G2239" s="40"/>
      <c r="H2239" s="40" t="s">
        <v>97</v>
      </c>
      <c r="I2239" s="40"/>
      <c r="J2239" s="40" t="s">
        <v>97</v>
      </c>
      <c r="K2239" s="40" t="s">
        <v>97</v>
      </c>
      <c r="L2239" s="40" t="s">
        <v>97</v>
      </c>
    </row>
    <row r="2240" spans="1:12" x14ac:dyDescent="0.25">
      <c r="A2240" s="40" t="s">
        <v>38</v>
      </c>
      <c r="B2240" s="40" t="s">
        <v>3921</v>
      </c>
      <c r="C2240" s="40" t="s">
        <v>3922</v>
      </c>
      <c r="D2240" s="40" t="s">
        <v>2233</v>
      </c>
      <c r="E2240" s="40" t="s">
        <v>2233</v>
      </c>
      <c r="F2240" s="40">
        <v>1</v>
      </c>
      <c r="G2240" s="40"/>
      <c r="H2240" s="40" t="s">
        <v>97</v>
      </c>
      <c r="I2240" s="40"/>
      <c r="J2240" s="40" t="s">
        <v>97</v>
      </c>
      <c r="K2240" s="40" t="s">
        <v>97</v>
      </c>
      <c r="L2240" s="40" t="s">
        <v>97</v>
      </c>
    </row>
    <row r="2241" spans="1:12" x14ac:dyDescent="0.25">
      <c r="A2241" s="40" t="s">
        <v>38</v>
      </c>
      <c r="B2241" s="40" t="s">
        <v>3923</v>
      </c>
      <c r="C2241" s="40" t="s">
        <v>3924</v>
      </c>
      <c r="D2241" s="40" t="s">
        <v>2233</v>
      </c>
      <c r="E2241" s="40" t="s">
        <v>2233</v>
      </c>
      <c r="F2241" s="40">
        <v>1</v>
      </c>
      <c r="G2241" s="40"/>
      <c r="H2241" s="40" t="s">
        <v>97</v>
      </c>
      <c r="I2241" s="40"/>
      <c r="J2241" s="40" t="s">
        <v>97</v>
      </c>
      <c r="K2241" s="40" t="s">
        <v>97</v>
      </c>
      <c r="L2241" s="40" t="s">
        <v>97</v>
      </c>
    </row>
    <row r="2242" spans="1:12" x14ac:dyDescent="0.25">
      <c r="A2242" s="40" t="s">
        <v>38</v>
      </c>
      <c r="B2242" s="40" t="s">
        <v>3925</v>
      </c>
      <c r="C2242" s="40" t="s">
        <v>3926</v>
      </c>
      <c r="D2242" s="40" t="s">
        <v>2233</v>
      </c>
      <c r="E2242" s="40" t="s">
        <v>2233</v>
      </c>
      <c r="F2242" s="40">
        <v>1</v>
      </c>
      <c r="G2242" s="40"/>
      <c r="H2242" s="40" t="s">
        <v>97</v>
      </c>
      <c r="I2242" s="40"/>
      <c r="J2242" s="40" t="s">
        <v>97</v>
      </c>
      <c r="K2242" s="40" t="s">
        <v>97</v>
      </c>
      <c r="L2242" s="40" t="s">
        <v>97</v>
      </c>
    </row>
    <row r="2243" spans="1:12" x14ac:dyDescent="0.25">
      <c r="A2243" s="40" t="s">
        <v>38</v>
      </c>
      <c r="B2243" s="40" t="s">
        <v>3927</v>
      </c>
      <c r="C2243" s="40" t="s">
        <v>3928</v>
      </c>
      <c r="D2243" s="40" t="s">
        <v>2233</v>
      </c>
      <c r="E2243" s="40" t="s">
        <v>2233</v>
      </c>
      <c r="F2243" s="40">
        <v>1</v>
      </c>
      <c r="G2243" s="40"/>
      <c r="H2243" s="40" t="s">
        <v>97</v>
      </c>
      <c r="I2243" s="40"/>
      <c r="J2243" s="40" t="s">
        <v>97</v>
      </c>
      <c r="K2243" s="40" t="s">
        <v>97</v>
      </c>
      <c r="L2243" s="40" t="s">
        <v>97</v>
      </c>
    </row>
    <row r="2244" spans="1:12" x14ac:dyDescent="0.25">
      <c r="A2244" s="40" t="s">
        <v>38</v>
      </c>
      <c r="B2244" s="40" t="s">
        <v>3929</v>
      </c>
      <c r="C2244" s="40" t="s">
        <v>3930</v>
      </c>
      <c r="D2244" s="40" t="s">
        <v>2233</v>
      </c>
      <c r="E2244" s="40" t="s">
        <v>2233</v>
      </c>
      <c r="F2244" s="40">
        <v>1</v>
      </c>
      <c r="G2244" s="40"/>
      <c r="H2244" s="40" t="s">
        <v>97</v>
      </c>
      <c r="I2244" s="40"/>
      <c r="J2244" s="40" t="s">
        <v>97</v>
      </c>
      <c r="K2244" s="40" t="s">
        <v>97</v>
      </c>
      <c r="L2244" s="40" t="s">
        <v>97</v>
      </c>
    </row>
    <row r="2245" spans="1:12" x14ac:dyDescent="0.25">
      <c r="A2245" s="40" t="s">
        <v>38</v>
      </c>
      <c r="B2245" s="40" t="s">
        <v>3931</v>
      </c>
      <c r="C2245" s="40" t="s">
        <v>3932</v>
      </c>
      <c r="D2245" s="40" t="s">
        <v>2233</v>
      </c>
      <c r="E2245" s="40" t="s">
        <v>2233</v>
      </c>
      <c r="F2245" s="40">
        <v>1</v>
      </c>
      <c r="G2245" s="40"/>
      <c r="H2245" s="40" t="s">
        <v>2234</v>
      </c>
      <c r="I2245" s="40"/>
      <c r="J2245" s="40" t="s">
        <v>97</v>
      </c>
      <c r="K2245" s="40" t="s">
        <v>97</v>
      </c>
      <c r="L2245" s="40" t="s">
        <v>97</v>
      </c>
    </row>
    <row r="2246" spans="1:12" x14ac:dyDescent="0.25">
      <c r="A2246" s="40" t="s">
        <v>38</v>
      </c>
      <c r="B2246" s="40" t="s">
        <v>3933</v>
      </c>
      <c r="C2246" s="40" t="s">
        <v>3934</v>
      </c>
      <c r="D2246" s="40" t="s">
        <v>2233</v>
      </c>
      <c r="E2246" s="40" t="s">
        <v>2233</v>
      </c>
      <c r="F2246" s="40">
        <v>1</v>
      </c>
      <c r="G2246" s="40"/>
      <c r="H2246" s="40" t="s">
        <v>2234</v>
      </c>
      <c r="I2246" s="40"/>
      <c r="J2246" s="40" t="s">
        <v>97</v>
      </c>
      <c r="K2246" s="40" t="s">
        <v>97</v>
      </c>
      <c r="L2246" s="40" t="s">
        <v>97</v>
      </c>
    </row>
    <row r="2247" spans="1:12" x14ac:dyDescent="0.25">
      <c r="A2247" s="40" t="s">
        <v>38</v>
      </c>
      <c r="B2247" s="40" t="s">
        <v>3935</v>
      </c>
      <c r="C2247" s="40" t="s">
        <v>3936</v>
      </c>
      <c r="D2247" s="40" t="s">
        <v>2233</v>
      </c>
      <c r="E2247" s="40" t="s">
        <v>2233</v>
      </c>
      <c r="F2247" s="40">
        <v>1</v>
      </c>
      <c r="G2247" s="40"/>
      <c r="H2247" s="40" t="s">
        <v>2234</v>
      </c>
      <c r="I2247" s="40"/>
      <c r="J2247" s="40" t="s">
        <v>97</v>
      </c>
      <c r="K2247" s="40" t="s">
        <v>97</v>
      </c>
      <c r="L2247" s="40" t="s">
        <v>97</v>
      </c>
    </row>
    <row r="2248" spans="1:12" x14ac:dyDescent="0.25">
      <c r="A2248" s="40" t="s">
        <v>38</v>
      </c>
      <c r="B2248" s="40" t="s">
        <v>3937</v>
      </c>
      <c r="C2248" s="40" t="s">
        <v>3938</v>
      </c>
      <c r="D2248" s="40" t="s">
        <v>2233</v>
      </c>
      <c r="E2248" s="40" t="s">
        <v>2233</v>
      </c>
      <c r="F2248" s="40">
        <v>1</v>
      </c>
      <c r="G2248" s="40"/>
      <c r="H2248" s="40" t="s">
        <v>2234</v>
      </c>
      <c r="I2248" s="40"/>
      <c r="J2248" s="40" t="s">
        <v>97</v>
      </c>
      <c r="K2248" s="40" t="s">
        <v>97</v>
      </c>
      <c r="L2248" s="40" t="s">
        <v>97</v>
      </c>
    </row>
    <row r="2249" spans="1:12" x14ac:dyDescent="0.25">
      <c r="A2249" s="40" t="s">
        <v>38</v>
      </c>
      <c r="B2249" s="40" t="s">
        <v>3939</v>
      </c>
      <c r="C2249" s="40" t="s">
        <v>3940</v>
      </c>
      <c r="D2249" s="40" t="s">
        <v>2233</v>
      </c>
      <c r="E2249" s="40" t="s">
        <v>2233</v>
      </c>
      <c r="F2249" s="40">
        <v>1</v>
      </c>
      <c r="G2249" s="40"/>
      <c r="H2249" s="40" t="s">
        <v>2234</v>
      </c>
      <c r="I2249" s="40"/>
      <c r="J2249" s="40" t="s">
        <v>97</v>
      </c>
      <c r="K2249" s="40" t="s">
        <v>97</v>
      </c>
      <c r="L2249" s="40" t="s">
        <v>97</v>
      </c>
    </row>
    <row r="2250" spans="1:12" x14ac:dyDescent="0.25">
      <c r="A2250" s="40" t="s">
        <v>38</v>
      </c>
      <c r="B2250" s="40" t="s">
        <v>3941</v>
      </c>
      <c r="C2250" s="40" t="s">
        <v>3942</v>
      </c>
      <c r="D2250" s="40" t="s">
        <v>2233</v>
      </c>
      <c r="E2250" s="40" t="s">
        <v>2233</v>
      </c>
      <c r="F2250" s="40">
        <v>1</v>
      </c>
      <c r="G2250" s="40"/>
      <c r="H2250" s="40" t="s">
        <v>2234</v>
      </c>
      <c r="I2250" s="40"/>
      <c r="J2250" s="40" t="s">
        <v>97</v>
      </c>
      <c r="K2250" s="40" t="s">
        <v>97</v>
      </c>
      <c r="L2250" s="40" t="s">
        <v>97</v>
      </c>
    </row>
    <row r="2251" spans="1:12" x14ac:dyDescent="0.25">
      <c r="A2251" s="40" t="s">
        <v>38</v>
      </c>
      <c r="B2251" s="40" t="s">
        <v>3943</v>
      </c>
      <c r="C2251" s="40" t="s">
        <v>3944</v>
      </c>
      <c r="D2251" s="40" t="s">
        <v>2233</v>
      </c>
      <c r="E2251" s="40" t="s">
        <v>2233</v>
      </c>
      <c r="F2251" s="40">
        <v>1</v>
      </c>
      <c r="G2251" s="40"/>
      <c r="H2251" s="40" t="s">
        <v>2234</v>
      </c>
      <c r="I2251" s="40"/>
      <c r="J2251" s="40" t="s">
        <v>97</v>
      </c>
      <c r="K2251" s="40" t="s">
        <v>97</v>
      </c>
      <c r="L2251" s="40" t="s">
        <v>97</v>
      </c>
    </row>
    <row r="2252" spans="1:12" x14ac:dyDescent="0.25">
      <c r="A2252" s="40" t="s">
        <v>38</v>
      </c>
      <c r="B2252" s="40" t="s">
        <v>3945</v>
      </c>
      <c r="C2252" s="40" t="s">
        <v>3946</v>
      </c>
      <c r="D2252" s="40" t="s">
        <v>2233</v>
      </c>
      <c r="E2252" s="40" t="s">
        <v>2233</v>
      </c>
      <c r="F2252" s="40">
        <v>1</v>
      </c>
      <c r="G2252" s="40"/>
      <c r="H2252" s="40" t="s">
        <v>2234</v>
      </c>
      <c r="I2252" s="40"/>
      <c r="J2252" s="40" t="s">
        <v>97</v>
      </c>
      <c r="K2252" s="40" t="s">
        <v>97</v>
      </c>
      <c r="L2252" s="40" t="s">
        <v>97</v>
      </c>
    </row>
    <row r="2253" spans="1:12" x14ac:dyDescent="0.25">
      <c r="A2253" s="40" t="s">
        <v>38</v>
      </c>
      <c r="B2253" s="40" t="s">
        <v>3947</v>
      </c>
      <c r="C2253" s="40" t="s">
        <v>3948</v>
      </c>
      <c r="D2253" s="40" t="s">
        <v>2233</v>
      </c>
      <c r="E2253" s="40" t="s">
        <v>2233</v>
      </c>
      <c r="F2253" s="40">
        <v>1</v>
      </c>
      <c r="G2253" s="40"/>
      <c r="H2253" s="40" t="s">
        <v>2234</v>
      </c>
      <c r="I2253" s="40"/>
      <c r="J2253" s="40" t="s">
        <v>97</v>
      </c>
      <c r="K2253" s="40" t="s">
        <v>97</v>
      </c>
      <c r="L2253" s="40" t="s">
        <v>97</v>
      </c>
    </row>
    <row r="2254" spans="1:12" x14ac:dyDescent="0.25">
      <c r="A2254" s="40" t="s">
        <v>38</v>
      </c>
      <c r="B2254" s="40" t="s">
        <v>3949</v>
      </c>
      <c r="C2254" s="40" t="s">
        <v>3950</v>
      </c>
      <c r="D2254" s="40" t="s">
        <v>2233</v>
      </c>
      <c r="E2254" s="40" t="s">
        <v>2233</v>
      </c>
      <c r="F2254" s="40">
        <v>1</v>
      </c>
      <c r="G2254" s="40"/>
      <c r="H2254" s="40" t="s">
        <v>2234</v>
      </c>
      <c r="I2254" s="40"/>
      <c r="J2254" s="40" t="s">
        <v>97</v>
      </c>
      <c r="K2254" s="40" t="s">
        <v>97</v>
      </c>
      <c r="L2254" s="40" t="s">
        <v>97</v>
      </c>
    </row>
    <row r="2255" spans="1:12" x14ac:dyDescent="0.25">
      <c r="A2255" s="40" t="s">
        <v>38</v>
      </c>
      <c r="B2255" s="40" t="s">
        <v>3951</v>
      </c>
      <c r="C2255" s="40" t="s">
        <v>3952</v>
      </c>
      <c r="D2255" s="40" t="s">
        <v>2233</v>
      </c>
      <c r="E2255" s="40" t="s">
        <v>2233</v>
      </c>
      <c r="F2255" s="40">
        <v>1</v>
      </c>
      <c r="G2255" s="40"/>
      <c r="H2255" s="40" t="s">
        <v>2234</v>
      </c>
      <c r="I2255" s="40"/>
      <c r="J2255" s="40" t="s">
        <v>97</v>
      </c>
      <c r="K2255" s="40" t="s">
        <v>97</v>
      </c>
      <c r="L2255" s="40" t="s">
        <v>97</v>
      </c>
    </row>
    <row r="2256" spans="1:12" x14ac:dyDescent="0.25">
      <c r="A2256" s="40" t="s">
        <v>38</v>
      </c>
      <c r="B2256" s="40" t="s">
        <v>3953</v>
      </c>
      <c r="C2256" s="40" t="s">
        <v>3954</v>
      </c>
      <c r="D2256" s="40" t="s">
        <v>3955</v>
      </c>
      <c r="E2256" s="40" t="s">
        <v>3955</v>
      </c>
      <c r="F2256" s="40">
        <v>1</v>
      </c>
      <c r="G2256" s="40"/>
      <c r="H2256" s="40" t="s">
        <v>97</v>
      </c>
      <c r="I2256" s="40"/>
      <c r="J2256" s="40" t="s">
        <v>97</v>
      </c>
      <c r="K2256" s="40" t="s">
        <v>97</v>
      </c>
      <c r="L2256" s="40" t="s">
        <v>97</v>
      </c>
    </row>
    <row r="2257" spans="1:12" x14ac:dyDescent="0.25">
      <c r="A2257" s="40" t="s">
        <v>38</v>
      </c>
      <c r="B2257" s="40" t="s">
        <v>3956</v>
      </c>
      <c r="C2257" s="40" t="s">
        <v>3957</v>
      </c>
      <c r="D2257" s="40" t="s">
        <v>3246</v>
      </c>
      <c r="E2257" s="40" t="s">
        <v>3246</v>
      </c>
      <c r="F2257" s="40">
        <v>1</v>
      </c>
      <c r="G2257" s="40"/>
      <c r="H2257" s="40" t="s">
        <v>97</v>
      </c>
      <c r="I2257" s="40"/>
      <c r="J2257" s="40" t="s">
        <v>97</v>
      </c>
      <c r="K2257" s="40" t="s">
        <v>97</v>
      </c>
      <c r="L2257" s="40" t="s">
        <v>97</v>
      </c>
    </row>
    <row r="2258" spans="1:12" x14ac:dyDescent="0.25">
      <c r="A2258" s="40" t="s">
        <v>38</v>
      </c>
      <c r="B2258" s="40" t="s">
        <v>3958</v>
      </c>
      <c r="C2258" s="40" t="s">
        <v>3959</v>
      </c>
      <c r="D2258" s="40" t="s">
        <v>2233</v>
      </c>
      <c r="E2258" s="40" t="s">
        <v>2233</v>
      </c>
      <c r="F2258" s="40">
        <v>1</v>
      </c>
      <c r="G2258" s="40"/>
      <c r="H2258" s="40" t="s">
        <v>2234</v>
      </c>
      <c r="I2258" s="40"/>
      <c r="J2258" s="40" t="s">
        <v>97</v>
      </c>
      <c r="K2258" s="40" t="s">
        <v>97</v>
      </c>
      <c r="L2258" s="40" t="s">
        <v>97</v>
      </c>
    </row>
    <row r="2259" spans="1:12" x14ac:dyDescent="0.25">
      <c r="A2259" s="40" t="s">
        <v>38</v>
      </c>
      <c r="B2259" s="40" t="s">
        <v>3960</v>
      </c>
      <c r="C2259" s="40" t="s">
        <v>3961</v>
      </c>
      <c r="D2259" s="40" t="s">
        <v>2233</v>
      </c>
      <c r="E2259" s="40" t="s">
        <v>2233</v>
      </c>
      <c r="F2259" s="40">
        <v>1</v>
      </c>
      <c r="G2259" s="40"/>
      <c r="H2259" s="40" t="s">
        <v>2234</v>
      </c>
      <c r="I2259" s="40"/>
      <c r="J2259" s="40" t="s">
        <v>97</v>
      </c>
      <c r="K2259" s="40" t="s">
        <v>97</v>
      </c>
      <c r="L2259" s="40" t="s">
        <v>97</v>
      </c>
    </row>
    <row r="2260" spans="1:12" x14ac:dyDescent="0.25">
      <c r="A2260" s="40" t="s">
        <v>38</v>
      </c>
      <c r="B2260" s="40" t="s">
        <v>3962</v>
      </c>
      <c r="C2260" s="40" t="s">
        <v>3963</v>
      </c>
      <c r="D2260" s="40" t="s">
        <v>2233</v>
      </c>
      <c r="E2260" s="40" t="s">
        <v>2233</v>
      </c>
      <c r="F2260" s="40">
        <v>1</v>
      </c>
      <c r="G2260" s="40"/>
      <c r="H2260" s="40" t="s">
        <v>97</v>
      </c>
      <c r="I2260" s="40"/>
      <c r="J2260" s="40" t="s">
        <v>97</v>
      </c>
      <c r="K2260" s="40" t="s">
        <v>97</v>
      </c>
      <c r="L2260" s="40" t="s">
        <v>97</v>
      </c>
    </row>
    <row r="2261" spans="1:12" x14ac:dyDescent="0.25">
      <c r="A2261" s="40" t="s">
        <v>38</v>
      </c>
      <c r="B2261" s="40" t="s">
        <v>3964</v>
      </c>
      <c r="C2261" s="40" t="s">
        <v>3965</v>
      </c>
      <c r="D2261" s="40" t="s">
        <v>2233</v>
      </c>
      <c r="E2261" s="40" t="s">
        <v>2233</v>
      </c>
      <c r="F2261" s="40">
        <v>1</v>
      </c>
      <c r="G2261" s="40"/>
      <c r="H2261" s="40" t="s">
        <v>2234</v>
      </c>
      <c r="I2261" s="40"/>
      <c r="J2261" s="40" t="s">
        <v>97</v>
      </c>
      <c r="K2261" s="40" t="s">
        <v>97</v>
      </c>
      <c r="L2261" s="40" t="s">
        <v>97</v>
      </c>
    </row>
    <row r="2262" spans="1:12" x14ac:dyDescent="0.25">
      <c r="A2262" s="40" t="s">
        <v>38</v>
      </c>
      <c r="B2262" s="40" t="s">
        <v>3966</v>
      </c>
      <c r="C2262" s="40" t="s">
        <v>3967</v>
      </c>
      <c r="D2262" s="40" t="s">
        <v>2233</v>
      </c>
      <c r="E2262" s="40" t="s">
        <v>2233</v>
      </c>
      <c r="F2262" s="40">
        <v>1</v>
      </c>
      <c r="G2262" s="40"/>
      <c r="H2262" s="40" t="s">
        <v>2234</v>
      </c>
      <c r="I2262" s="40"/>
      <c r="J2262" s="40" t="s">
        <v>97</v>
      </c>
      <c r="K2262" s="40" t="s">
        <v>97</v>
      </c>
      <c r="L2262" s="40" t="s">
        <v>97</v>
      </c>
    </row>
    <row r="2263" spans="1:12" x14ac:dyDescent="0.25">
      <c r="A2263" s="40" t="s">
        <v>38</v>
      </c>
      <c r="B2263" s="40" t="s">
        <v>3968</v>
      </c>
      <c r="C2263" s="40" t="s">
        <v>3969</v>
      </c>
      <c r="D2263" s="40" t="s">
        <v>2233</v>
      </c>
      <c r="E2263" s="40" t="s">
        <v>2233</v>
      </c>
      <c r="F2263" s="40">
        <v>1</v>
      </c>
      <c r="G2263" s="40"/>
      <c r="H2263" s="40" t="s">
        <v>2234</v>
      </c>
      <c r="I2263" s="40"/>
      <c r="J2263" s="40" t="s">
        <v>97</v>
      </c>
      <c r="K2263" s="40" t="s">
        <v>97</v>
      </c>
      <c r="L2263" s="40" t="s">
        <v>97</v>
      </c>
    </row>
    <row r="2264" spans="1:12" x14ac:dyDescent="0.25">
      <c r="A2264" s="40" t="s">
        <v>38</v>
      </c>
      <c r="B2264" s="40" t="s">
        <v>3970</v>
      </c>
      <c r="C2264" s="40" t="s">
        <v>3971</v>
      </c>
      <c r="D2264" s="40" t="s">
        <v>2233</v>
      </c>
      <c r="E2264" s="40" t="s">
        <v>2233</v>
      </c>
      <c r="F2264" s="40">
        <v>1</v>
      </c>
      <c r="G2264" s="40"/>
      <c r="H2264" s="40" t="s">
        <v>2234</v>
      </c>
      <c r="I2264" s="40"/>
      <c r="J2264" s="40" t="s">
        <v>97</v>
      </c>
      <c r="K2264" s="40" t="s">
        <v>97</v>
      </c>
      <c r="L2264" s="40" t="s">
        <v>97</v>
      </c>
    </row>
    <row r="2265" spans="1:12" x14ac:dyDescent="0.25">
      <c r="A2265" s="40" t="s">
        <v>38</v>
      </c>
      <c r="B2265" s="40" t="s">
        <v>3972</v>
      </c>
      <c r="C2265" s="40" t="s">
        <v>3973</v>
      </c>
      <c r="D2265" s="40" t="s">
        <v>2233</v>
      </c>
      <c r="E2265" s="40" t="s">
        <v>2233</v>
      </c>
      <c r="F2265" s="40">
        <v>1</v>
      </c>
      <c r="G2265" s="40"/>
      <c r="H2265" s="40" t="s">
        <v>2234</v>
      </c>
      <c r="I2265" s="40"/>
      <c r="J2265" s="40" t="s">
        <v>97</v>
      </c>
      <c r="K2265" s="40" t="s">
        <v>97</v>
      </c>
      <c r="L2265" s="40" t="s">
        <v>97</v>
      </c>
    </row>
    <row r="2266" spans="1:12" x14ac:dyDescent="0.25">
      <c r="A2266" s="40" t="s">
        <v>38</v>
      </c>
      <c r="B2266" s="40" t="s">
        <v>3974</v>
      </c>
      <c r="C2266" s="40" t="s">
        <v>3975</v>
      </c>
      <c r="D2266" s="40" t="s">
        <v>2233</v>
      </c>
      <c r="E2266" s="40" t="s">
        <v>2233</v>
      </c>
      <c r="F2266" s="40">
        <v>1</v>
      </c>
      <c r="G2266" s="40"/>
      <c r="H2266" s="40" t="s">
        <v>2234</v>
      </c>
      <c r="I2266" s="40"/>
      <c r="J2266" s="40" t="s">
        <v>97</v>
      </c>
      <c r="K2266" s="40" t="s">
        <v>97</v>
      </c>
      <c r="L2266" s="40" t="s">
        <v>97</v>
      </c>
    </row>
    <row r="2267" spans="1:12" x14ac:dyDescent="0.25">
      <c r="A2267" s="40" t="s">
        <v>38</v>
      </c>
      <c r="B2267" s="40" t="s">
        <v>3976</v>
      </c>
      <c r="C2267" s="40" t="s">
        <v>3977</v>
      </c>
      <c r="D2267" s="40" t="s">
        <v>2233</v>
      </c>
      <c r="E2267" s="40" t="s">
        <v>2233</v>
      </c>
      <c r="F2267" s="40">
        <v>1</v>
      </c>
      <c r="G2267" s="40"/>
      <c r="H2267" s="40" t="s">
        <v>2234</v>
      </c>
      <c r="I2267" s="40"/>
      <c r="J2267" s="40" t="s">
        <v>97</v>
      </c>
      <c r="K2267" s="40" t="s">
        <v>97</v>
      </c>
      <c r="L2267" s="40" t="s">
        <v>97</v>
      </c>
    </row>
    <row r="2268" spans="1:12" x14ac:dyDescent="0.25">
      <c r="A2268" s="40" t="s">
        <v>38</v>
      </c>
      <c r="B2268" s="40" t="s">
        <v>3978</v>
      </c>
      <c r="C2268" s="40" t="s">
        <v>3979</v>
      </c>
      <c r="D2268" s="40" t="s">
        <v>2233</v>
      </c>
      <c r="E2268" s="40" t="s">
        <v>2233</v>
      </c>
      <c r="F2268" s="40">
        <v>1</v>
      </c>
      <c r="G2268" s="40"/>
      <c r="H2268" s="40" t="s">
        <v>2234</v>
      </c>
      <c r="I2268" s="40"/>
      <c r="J2268" s="40" t="s">
        <v>97</v>
      </c>
      <c r="K2268" s="40" t="s">
        <v>97</v>
      </c>
      <c r="L2268" s="40" t="s">
        <v>97</v>
      </c>
    </row>
    <row r="2269" spans="1:12" x14ac:dyDescent="0.25">
      <c r="A2269" s="40" t="s">
        <v>38</v>
      </c>
      <c r="B2269" s="40" t="s">
        <v>3980</v>
      </c>
      <c r="C2269" s="40" t="s">
        <v>3981</v>
      </c>
      <c r="D2269" s="40" t="s">
        <v>2233</v>
      </c>
      <c r="E2269" s="40" t="s">
        <v>2233</v>
      </c>
      <c r="F2269" s="40">
        <v>1</v>
      </c>
      <c r="G2269" s="40"/>
      <c r="H2269" s="40" t="s">
        <v>2234</v>
      </c>
      <c r="I2269" s="40"/>
      <c r="J2269" s="40" t="s">
        <v>97</v>
      </c>
      <c r="K2269" s="40" t="s">
        <v>97</v>
      </c>
      <c r="L2269" s="40" t="s">
        <v>97</v>
      </c>
    </row>
    <row r="2270" spans="1:12" x14ac:dyDescent="0.25">
      <c r="A2270" s="40" t="s">
        <v>38</v>
      </c>
      <c r="B2270" s="40" t="s">
        <v>3982</v>
      </c>
      <c r="C2270" s="40" t="s">
        <v>3983</v>
      </c>
      <c r="D2270" s="40" t="s">
        <v>2233</v>
      </c>
      <c r="E2270" s="40" t="s">
        <v>2233</v>
      </c>
      <c r="F2270" s="40">
        <v>1</v>
      </c>
      <c r="G2270" s="40"/>
      <c r="H2270" s="40" t="s">
        <v>2234</v>
      </c>
      <c r="I2270" s="40"/>
      <c r="J2270" s="40" t="s">
        <v>97</v>
      </c>
      <c r="K2270" s="40" t="s">
        <v>97</v>
      </c>
      <c r="L2270" s="40" t="s">
        <v>97</v>
      </c>
    </row>
    <row r="2271" spans="1:12" x14ac:dyDescent="0.25">
      <c r="A2271" s="40" t="s">
        <v>38</v>
      </c>
      <c r="B2271" s="40" t="s">
        <v>3984</v>
      </c>
      <c r="C2271" s="40" t="s">
        <v>3985</v>
      </c>
      <c r="D2271" s="40" t="s">
        <v>2233</v>
      </c>
      <c r="E2271" s="40" t="s">
        <v>2233</v>
      </c>
      <c r="F2271" s="40">
        <v>1</v>
      </c>
      <c r="G2271" s="40"/>
      <c r="H2271" s="40" t="s">
        <v>2234</v>
      </c>
      <c r="I2271" s="40"/>
      <c r="J2271" s="40" t="s">
        <v>97</v>
      </c>
      <c r="K2271" s="40" t="s">
        <v>97</v>
      </c>
      <c r="L2271" s="40" t="s">
        <v>97</v>
      </c>
    </row>
    <row r="2272" spans="1:12" x14ac:dyDescent="0.25">
      <c r="A2272" s="40" t="s">
        <v>38</v>
      </c>
      <c r="B2272" s="40" t="s">
        <v>3986</v>
      </c>
      <c r="C2272" s="40" t="s">
        <v>3987</v>
      </c>
      <c r="D2272" s="40" t="s">
        <v>2233</v>
      </c>
      <c r="E2272" s="40" t="s">
        <v>2233</v>
      </c>
      <c r="F2272" s="40">
        <v>1</v>
      </c>
      <c r="G2272" s="40"/>
      <c r="H2272" s="40" t="s">
        <v>2234</v>
      </c>
      <c r="I2272" s="40"/>
      <c r="J2272" s="40" t="s">
        <v>97</v>
      </c>
      <c r="K2272" s="40" t="s">
        <v>97</v>
      </c>
      <c r="L2272" s="40" t="s">
        <v>97</v>
      </c>
    </row>
    <row r="2273" spans="1:12" x14ac:dyDescent="0.25">
      <c r="A2273" s="40" t="s">
        <v>38</v>
      </c>
      <c r="B2273" s="40" t="s">
        <v>3988</v>
      </c>
      <c r="C2273" s="40" t="s">
        <v>3989</v>
      </c>
      <c r="D2273" s="40" t="s">
        <v>2233</v>
      </c>
      <c r="E2273" s="40" t="s">
        <v>2233</v>
      </c>
      <c r="F2273" s="40">
        <v>1</v>
      </c>
      <c r="G2273" s="40"/>
      <c r="H2273" s="40" t="s">
        <v>2234</v>
      </c>
      <c r="I2273" s="40"/>
      <c r="J2273" s="40" t="s">
        <v>97</v>
      </c>
      <c r="K2273" s="40" t="s">
        <v>97</v>
      </c>
      <c r="L2273" s="40" t="s">
        <v>97</v>
      </c>
    </row>
    <row r="2274" spans="1:12" x14ac:dyDescent="0.25">
      <c r="A2274" s="40" t="s">
        <v>38</v>
      </c>
      <c r="B2274" s="40" t="s">
        <v>3990</v>
      </c>
      <c r="C2274" s="40" t="s">
        <v>3991</v>
      </c>
      <c r="D2274" s="40" t="s">
        <v>2233</v>
      </c>
      <c r="E2274" s="40" t="s">
        <v>2233</v>
      </c>
      <c r="F2274" s="40">
        <v>1</v>
      </c>
      <c r="G2274" s="40"/>
      <c r="H2274" s="40" t="s">
        <v>2234</v>
      </c>
      <c r="I2274" s="40"/>
      <c r="J2274" s="40" t="s">
        <v>97</v>
      </c>
      <c r="K2274" s="40" t="s">
        <v>97</v>
      </c>
      <c r="L2274" s="40" t="s">
        <v>97</v>
      </c>
    </row>
    <row r="2275" spans="1:12" x14ac:dyDescent="0.25">
      <c r="A2275" s="40" t="s">
        <v>38</v>
      </c>
      <c r="B2275" s="40" t="s">
        <v>3992</v>
      </c>
      <c r="C2275" s="40" t="s">
        <v>3993</v>
      </c>
      <c r="D2275" s="40" t="s">
        <v>2233</v>
      </c>
      <c r="E2275" s="40" t="s">
        <v>2233</v>
      </c>
      <c r="F2275" s="40">
        <v>1</v>
      </c>
      <c r="G2275" s="40"/>
      <c r="H2275" s="40" t="s">
        <v>2234</v>
      </c>
      <c r="I2275" s="40"/>
      <c r="J2275" s="40" t="s">
        <v>97</v>
      </c>
      <c r="K2275" s="40" t="s">
        <v>97</v>
      </c>
      <c r="L2275" s="40" t="s">
        <v>97</v>
      </c>
    </row>
    <row r="2276" spans="1:12" x14ac:dyDescent="0.25">
      <c r="A2276" s="40" t="s">
        <v>38</v>
      </c>
      <c r="B2276" s="40" t="s">
        <v>3994</v>
      </c>
      <c r="C2276" s="40" t="s">
        <v>3995</v>
      </c>
      <c r="D2276" s="40" t="s">
        <v>2233</v>
      </c>
      <c r="E2276" s="40" t="s">
        <v>2233</v>
      </c>
      <c r="F2276" s="40">
        <v>1</v>
      </c>
      <c r="G2276" s="40"/>
      <c r="H2276" s="40" t="s">
        <v>2234</v>
      </c>
      <c r="I2276" s="40"/>
      <c r="J2276" s="40" t="s">
        <v>97</v>
      </c>
      <c r="K2276" s="40" t="s">
        <v>97</v>
      </c>
      <c r="L2276" s="40" t="s">
        <v>97</v>
      </c>
    </row>
    <row r="2277" spans="1:12" x14ac:dyDescent="0.25">
      <c r="A2277" s="40" t="s">
        <v>38</v>
      </c>
      <c r="B2277" s="40" t="s">
        <v>3996</v>
      </c>
      <c r="C2277" s="40" t="s">
        <v>3997</v>
      </c>
      <c r="D2277" s="40" t="s">
        <v>2233</v>
      </c>
      <c r="E2277" s="40" t="s">
        <v>2233</v>
      </c>
      <c r="F2277" s="40">
        <v>1</v>
      </c>
      <c r="G2277" s="40"/>
      <c r="H2277" s="40" t="s">
        <v>2234</v>
      </c>
      <c r="I2277" s="40"/>
      <c r="J2277" s="40" t="s">
        <v>97</v>
      </c>
      <c r="K2277" s="40" t="s">
        <v>97</v>
      </c>
      <c r="L2277" s="40" t="s">
        <v>97</v>
      </c>
    </row>
    <row r="2278" spans="1:12" x14ac:dyDescent="0.25">
      <c r="A2278" s="40" t="s">
        <v>38</v>
      </c>
      <c r="B2278" s="40" t="s">
        <v>3998</v>
      </c>
      <c r="C2278" s="40" t="s">
        <v>3999</v>
      </c>
      <c r="D2278" s="40" t="s">
        <v>2233</v>
      </c>
      <c r="E2278" s="40" t="s">
        <v>2233</v>
      </c>
      <c r="F2278" s="40">
        <v>1</v>
      </c>
      <c r="G2278" s="40"/>
      <c r="H2278" s="40" t="s">
        <v>2234</v>
      </c>
      <c r="I2278" s="40"/>
      <c r="J2278" s="40" t="s">
        <v>97</v>
      </c>
      <c r="K2278" s="40" t="s">
        <v>97</v>
      </c>
      <c r="L2278" s="40" t="s">
        <v>97</v>
      </c>
    </row>
    <row r="2279" spans="1:12" x14ac:dyDescent="0.25">
      <c r="A2279" s="40" t="s">
        <v>38</v>
      </c>
      <c r="B2279" s="40" t="s">
        <v>4000</v>
      </c>
      <c r="C2279" s="40" t="s">
        <v>4001</v>
      </c>
      <c r="D2279" s="40" t="s">
        <v>2233</v>
      </c>
      <c r="E2279" s="40" t="s">
        <v>2233</v>
      </c>
      <c r="F2279" s="40">
        <v>1</v>
      </c>
      <c r="G2279" s="40"/>
      <c r="H2279" s="40" t="s">
        <v>2234</v>
      </c>
      <c r="I2279" s="40"/>
      <c r="J2279" s="40" t="s">
        <v>97</v>
      </c>
      <c r="K2279" s="40" t="s">
        <v>97</v>
      </c>
      <c r="L2279" s="40" t="s">
        <v>97</v>
      </c>
    </row>
    <row r="2280" spans="1:12" x14ac:dyDescent="0.25">
      <c r="A2280" s="40" t="s">
        <v>38</v>
      </c>
      <c r="B2280" s="40" t="s">
        <v>4002</v>
      </c>
      <c r="C2280" s="40" t="s">
        <v>4003</v>
      </c>
      <c r="D2280" s="40" t="s">
        <v>2233</v>
      </c>
      <c r="E2280" s="40" t="s">
        <v>2233</v>
      </c>
      <c r="F2280" s="40">
        <v>1</v>
      </c>
      <c r="G2280" s="40"/>
      <c r="H2280" s="40" t="s">
        <v>2234</v>
      </c>
      <c r="I2280" s="40"/>
      <c r="J2280" s="40" t="s">
        <v>97</v>
      </c>
      <c r="K2280" s="40" t="s">
        <v>97</v>
      </c>
      <c r="L2280" s="40" t="s">
        <v>97</v>
      </c>
    </row>
    <row r="2281" spans="1:12" x14ac:dyDescent="0.25">
      <c r="A2281" s="40" t="s">
        <v>38</v>
      </c>
      <c r="B2281" s="40" t="s">
        <v>4004</v>
      </c>
      <c r="C2281" s="40" t="s">
        <v>4005</v>
      </c>
      <c r="D2281" s="40" t="s">
        <v>2233</v>
      </c>
      <c r="E2281" s="40" t="s">
        <v>2233</v>
      </c>
      <c r="F2281" s="40">
        <v>1</v>
      </c>
      <c r="G2281" s="40"/>
      <c r="H2281" s="40" t="s">
        <v>2234</v>
      </c>
      <c r="I2281" s="40"/>
      <c r="J2281" s="40" t="s">
        <v>97</v>
      </c>
      <c r="K2281" s="40" t="s">
        <v>97</v>
      </c>
      <c r="L2281" s="40" t="s">
        <v>97</v>
      </c>
    </row>
    <row r="2282" spans="1:12" x14ac:dyDescent="0.25">
      <c r="A2282" s="40" t="s">
        <v>38</v>
      </c>
      <c r="B2282" s="40" t="s">
        <v>4006</v>
      </c>
      <c r="C2282" s="40" t="s">
        <v>4007</v>
      </c>
      <c r="D2282" s="40" t="s">
        <v>2233</v>
      </c>
      <c r="E2282" s="40" t="s">
        <v>2233</v>
      </c>
      <c r="F2282" s="40">
        <v>1</v>
      </c>
      <c r="G2282" s="40"/>
      <c r="H2282" s="40" t="s">
        <v>2234</v>
      </c>
      <c r="I2282" s="40"/>
      <c r="J2282" s="40" t="s">
        <v>97</v>
      </c>
      <c r="K2282" s="40" t="s">
        <v>97</v>
      </c>
      <c r="L2282" s="40" t="s">
        <v>97</v>
      </c>
    </row>
    <row r="2283" spans="1:12" x14ac:dyDescent="0.25">
      <c r="A2283" s="40" t="s">
        <v>38</v>
      </c>
      <c r="B2283" s="40" t="s">
        <v>4008</v>
      </c>
      <c r="C2283" s="40" t="s">
        <v>4009</v>
      </c>
      <c r="D2283" s="40" t="s">
        <v>2233</v>
      </c>
      <c r="E2283" s="40" t="s">
        <v>2233</v>
      </c>
      <c r="F2283" s="40">
        <v>1</v>
      </c>
      <c r="G2283" s="40"/>
      <c r="H2283" s="40" t="s">
        <v>2234</v>
      </c>
      <c r="I2283" s="40"/>
      <c r="J2283" s="40" t="s">
        <v>97</v>
      </c>
      <c r="K2283" s="40" t="s">
        <v>97</v>
      </c>
      <c r="L2283" s="40" t="s">
        <v>97</v>
      </c>
    </row>
    <row r="2284" spans="1:12" x14ac:dyDescent="0.25">
      <c r="A2284" s="40" t="s">
        <v>38</v>
      </c>
      <c r="B2284" s="40" t="s">
        <v>4010</v>
      </c>
      <c r="C2284" s="40" t="s">
        <v>4011</v>
      </c>
      <c r="D2284" s="40" t="s">
        <v>2233</v>
      </c>
      <c r="E2284" s="40" t="s">
        <v>2233</v>
      </c>
      <c r="F2284" s="40">
        <v>1</v>
      </c>
      <c r="G2284" s="40"/>
      <c r="H2284" s="40" t="s">
        <v>2234</v>
      </c>
      <c r="I2284" s="40"/>
      <c r="J2284" s="40" t="s">
        <v>97</v>
      </c>
      <c r="K2284" s="40" t="s">
        <v>97</v>
      </c>
      <c r="L2284" s="40" t="s">
        <v>97</v>
      </c>
    </row>
    <row r="2285" spans="1:12" x14ac:dyDescent="0.25">
      <c r="A2285" s="40" t="s">
        <v>38</v>
      </c>
      <c r="B2285" s="40" t="s">
        <v>4012</v>
      </c>
      <c r="C2285" s="40" t="s">
        <v>4013</v>
      </c>
      <c r="D2285" s="40" t="s">
        <v>2233</v>
      </c>
      <c r="E2285" s="40" t="s">
        <v>2233</v>
      </c>
      <c r="F2285" s="40">
        <v>1</v>
      </c>
      <c r="G2285" s="40"/>
      <c r="H2285" s="40" t="s">
        <v>2234</v>
      </c>
      <c r="I2285" s="40"/>
      <c r="J2285" s="40" t="s">
        <v>97</v>
      </c>
      <c r="K2285" s="40" t="s">
        <v>97</v>
      </c>
      <c r="L2285" s="40" t="s">
        <v>97</v>
      </c>
    </row>
    <row r="2286" spans="1:12" x14ac:dyDescent="0.25">
      <c r="A2286" s="40" t="s">
        <v>38</v>
      </c>
      <c r="B2286" s="40" t="s">
        <v>4014</v>
      </c>
      <c r="C2286" s="40" t="s">
        <v>4015</v>
      </c>
      <c r="D2286" s="40" t="s">
        <v>2233</v>
      </c>
      <c r="E2286" s="40" t="s">
        <v>2233</v>
      </c>
      <c r="F2286" s="40">
        <v>1</v>
      </c>
      <c r="G2286" s="40"/>
      <c r="H2286" s="40" t="s">
        <v>2234</v>
      </c>
      <c r="I2286" s="40"/>
      <c r="J2286" s="40" t="s">
        <v>97</v>
      </c>
      <c r="K2286" s="40" t="s">
        <v>97</v>
      </c>
      <c r="L2286" s="40" t="s">
        <v>97</v>
      </c>
    </row>
    <row r="2287" spans="1:12" x14ac:dyDescent="0.25">
      <c r="A2287" s="40" t="s">
        <v>38</v>
      </c>
      <c r="B2287" s="40" t="s">
        <v>4016</v>
      </c>
      <c r="C2287" s="40" t="s">
        <v>4017</v>
      </c>
      <c r="D2287" s="40" t="s">
        <v>2233</v>
      </c>
      <c r="E2287" s="40" t="s">
        <v>2233</v>
      </c>
      <c r="F2287" s="40">
        <v>1</v>
      </c>
      <c r="G2287" s="40"/>
      <c r="H2287" s="40" t="s">
        <v>2234</v>
      </c>
      <c r="I2287" s="40"/>
      <c r="J2287" s="40" t="s">
        <v>97</v>
      </c>
      <c r="K2287" s="40" t="s">
        <v>97</v>
      </c>
      <c r="L2287" s="40" t="s">
        <v>97</v>
      </c>
    </row>
    <row r="2288" spans="1:12" x14ac:dyDescent="0.25">
      <c r="A2288" s="40" t="s">
        <v>38</v>
      </c>
      <c r="B2288" s="40" t="s">
        <v>4018</v>
      </c>
      <c r="C2288" s="40" t="s">
        <v>4019</v>
      </c>
      <c r="D2288" s="40" t="s">
        <v>2233</v>
      </c>
      <c r="E2288" s="40" t="s">
        <v>2233</v>
      </c>
      <c r="F2288" s="40">
        <v>1</v>
      </c>
      <c r="G2288" s="40"/>
      <c r="H2288" s="40" t="s">
        <v>2234</v>
      </c>
      <c r="I2288" s="40"/>
      <c r="J2288" s="40" t="s">
        <v>97</v>
      </c>
      <c r="K2288" s="40" t="s">
        <v>97</v>
      </c>
      <c r="L2288" s="40" t="s">
        <v>97</v>
      </c>
    </row>
    <row r="2289" spans="1:12" x14ac:dyDescent="0.25">
      <c r="A2289" s="40" t="s">
        <v>38</v>
      </c>
      <c r="B2289" s="40" t="s">
        <v>4020</v>
      </c>
      <c r="C2289" s="40" t="s">
        <v>4021</v>
      </c>
      <c r="D2289" s="40" t="s">
        <v>2233</v>
      </c>
      <c r="E2289" s="40" t="s">
        <v>2233</v>
      </c>
      <c r="F2289" s="40">
        <v>1</v>
      </c>
      <c r="G2289" s="40"/>
      <c r="H2289" s="40" t="s">
        <v>2234</v>
      </c>
      <c r="I2289" s="40"/>
      <c r="J2289" s="40" t="s">
        <v>97</v>
      </c>
      <c r="K2289" s="40" t="s">
        <v>97</v>
      </c>
      <c r="L2289" s="40" t="s">
        <v>97</v>
      </c>
    </row>
    <row r="2290" spans="1:12" x14ac:dyDescent="0.25">
      <c r="A2290" s="40" t="s">
        <v>38</v>
      </c>
      <c r="B2290" s="40" t="s">
        <v>4022</v>
      </c>
      <c r="C2290" s="40" t="s">
        <v>4023</v>
      </c>
      <c r="D2290" s="40" t="s">
        <v>2233</v>
      </c>
      <c r="E2290" s="40" t="s">
        <v>2233</v>
      </c>
      <c r="F2290" s="40">
        <v>1</v>
      </c>
      <c r="G2290" s="40"/>
      <c r="H2290" s="40" t="s">
        <v>2234</v>
      </c>
      <c r="I2290" s="40"/>
      <c r="J2290" s="40" t="s">
        <v>97</v>
      </c>
      <c r="K2290" s="40" t="s">
        <v>97</v>
      </c>
      <c r="L2290" s="40" t="s">
        <v>97</v>
      </c>
    </row>
    <row r="2291" spans="1:12" x14ac:dyDescent="0.25">
      <c r="A2291" s="40" t="s">
        <v>38</v>
      </c>
      <c r="B2291" s="40" t="s">
        <v>4024</v>
      </c>
      <c r="C2291" s="40" t="s">
        <v>4025</v>
      </c>
      <c r="D2291" s="40" t="s">
        <v>2233</v>
      </c>
      <c r="E2291" s="40" t="s">
        <v>2233</v>
      </c>
      <c r="F2291" s="40">
        <v>1</v>
      </c>
      <c r="G2291" s="40"/>
      <c r="H2291" s="40" t="s">
        <v>2234</v>
      </c>
      <c r="I2291" s="40"/>
      <c r="J2291" s="40" t="s">
        <v>97</v>
      </c>
      <c r="K2291" s="40" t="s">
        <v>97</v>
      </c>
      <c r="L2291" s="40" t="s">
        <v>97</v>
      </c>
    </row>
    <row r="2292" spans="1:12" x14ac:dyDescent="0.25">
      <c r="A2292" s="40" t="s">
        <v>38</v>
      </c>
      <c r="B2292" s="40" t="s">
        <v>4026</v>
      </c>
      <c r="C2292" s="40" t="s">
        <v>4027</v>
      </c>
      <c r="D2292" s="40" t="s">
        <v>2233</v>
      </c>
      <c r="E2292" s="40" t="s">
        <v>2233</v>
      </c>
      <c r="F2292" s="40">
        <v>1</v>
      </c>
      <c r="G2292" s="40"/>
      <c r="H2292" s="40" t="s">
        <v>2234</v>
      </c>
      <c r="I2292" s="40"/>
      <c r="J2292" s="40" t="s">
        <v>97</v>
      </c>
      <c r="K2292" s="40" t="s">
        <v>97</v>
      </c>
      <c r="L2292" s="40" t="s">
        <v>97</v>
      </c>
    </row>
    <row r="2293" spans="1:12" x14ac:dyDescent="0.25">
      <c r="A2293" s="40" t="s">
        <v>38</v>
      </c>
      <c r="B2293" s="40" t="s">
        <v>4028</v>
      </c>
      <c r="C2293" s="40" t="s">
        <v>4029</v>
      </c>
      <c r="D2293" s="40" t="s">
        <v>2233</v>
      </c>
      <c r="E2293" s="40" t="s">
        <v>2233</v>
      </c>
      <c r="F2293" s="40">
        <v>1</v>
      </c>
      <c r="G2293" s="40"/>
      <c r="H2293" s="40" t="s">
        <v>2234</v>
      </c>
      <c r="I2293" s="40"/>
      <c r="J2293" s="40" t="s">
        <v>97</v>
      </c>
      <c r="K2293" s="40" t="s">
        <v>97</v>
      </c>
      <c r="L2293" s="40" t="s">
        <v>97</v>
      </c>
    </row>
    <row r="2294" spans="1:12" x14ac:dyDescent="0.25">
      <c r="A2294" s="40" t="s">
        <v>38</v>
      </c>
      <c r="B2294" s="40" t="s">
        <v>4030</v>
      </c>
      <c r="C2294" s="40" t="s">
        <v>4031</v>
      </c>
      <c r="D2294" s="40" t="s">
        <v>2233</v>
      </c>
      <c r="E2294" s="40" t="s">
        <v>2233</v>
      </c>
      <c r="F2294" s="40">
        <v>1</v>
      </c>
      <c r="G2294" s="40"/>
      <c r="H2294" s="40" t="s">
        <v>2234</v>
      </c>
      <c r="I2294" s="40"/>
      <c r="J2294" s="40" t="s">
        <v>97</v>
      </c>
      <c r="K2294" s="40" t="s">
        <v>97</v>
      </c>
      <c r="L2294" s="40" t="s">
        <v>97</v>
      </c>
    </row>
    <row r="2295" spans="1:12" x14ac:dyDescent="0.25">
      <c r="A2295" s="40" t="s">
        <v>38</v>
      </c>
      <c r="B2295" s="40" t="s">
        <v>4032</v>
      </c>
      <c r="C2295" s="40" t="s">
        <v>4033</v>
      </c>
      <c r="D2295" s="40" t="s">
        <v>2233</v>
      </c>
      <c r="E2295" s="40" t="s">
        <v>2233</v>
      </c>
      <c r="F2295" s="40">
        <v>1</v>
      </c>
      <c r="G2295" s="40"/>
      <c r="H2295" s="40" t="s">
        <v>2234</v>
      </c>
      <c r="I2295" s="40"/>
      <c r="J2295" s="40" t="s">
        <v>97</v>
      </c>
      <c r="K2295" s="40" t="s">
        <v>97</v>
      </c>
      <c r="L2295" s="40" t="s">
        <v>97</v>
      </c>
    </row>
    <row r="2296" spans="1:12" x14ac:dyDescent="0.25">
      <c r="A2296" s="40" t="s">
        <v>38</v>
      </c>
      <c r="B2296" s="40" t="s">
        <v>4034</v>
      </c>
      <c r="C2296" s="40" t="s">
        <v>4035</v>
      </c>
      <c r="D2296" s="40" t="s">
        <v>2233</v>
      </c>
      <c r="E2296" s="40" t="s">
        <v>2233</v>
      </c>
      <c r="F2296" s="40">
        <v>1</v>
      </c>
      <c r="G2296" s="40"/>
      <c r="H2296" s="40" t="s">
        <v>2234</v>
      </c>
      <c r="I2296" s="40"/>
      <c r="J2296" s="40" t="s">
        <v>97</v>
      </c>
      <c r="K2296" s="40" t="s">
        <v>97</v>
      </c>
      <c r="L2296" s="40" t="s">
        <v>97</v>
      </c>
    </row>
    <row r="2297" spans="1:12" x14ac:dyDescent="0.25">
      <c r="A2297" s="40" t="s">
        <v>38</v>
      </c>
      <c r="B2297" s="40" t="s">
        <v>4036</v>
      </c>
      <c r="C2297" s="40" t="s">
        <v>4037</v>
      </c>
      <c r="D2297" s="40" t="s">
        <v>2233</v>
      </c>
      <c r="E2297" s="40" t="s">
        <v>2233</v>
      </c>
      <c r="F2297" s="40">
        <v>1</v>
      </c>
      <c r="G2297" s="40"/>
      <c r="H2297" s="40" t="s">
        <v>2234</v>
      </c>
      <c r="I2297" s="40"/>
      <c r="J2297" s="40" t="s">
        <v>97</v>
      </c>
      <c r="K2297" s="40" t="s">
        <v>97</v>
      </c>
      <c r="L2297" s="40" t="s">
        <v>97</v>
      </c>
    </row>
    <row r="2298" spans="1:12" x14ac:dyDescent="0.25">
      <c r="A2298" s="40" t="s">
        <v>38</v>
      </c>
      <c r="B2298" s="40" t="s">
        <v>4038</v>
      </c>
      <c r="C2298" s="40" t="s">
        <v>4039</v>
      </c>
      <c r="D2298" s="40" t="s">
        <v>2233</v>
      </c>
      <c r="E2298" s="40" t="s">
        <v>2233</v>
      </c>
      <c r="F2298" s="40">
        <v>1</v>
      </c>
      <c r="G2298" s="40"/>
      <c r="H2298" s="40" t="s">
        <v>2234</v>
      </c>
      <c r="I2298" s="40"/>
      <c r="J2298" s="40" t="s">
        <v>97</v>
      </c>
      <c r="K2298" s="40" t="s">
        <v>97</v>
      </c>
      <c r="L2298" s="40" t="s">
        <v>97</v>
      </c>
    </row>
    <row r="2299" spans="1:12" x14ac:dyDescent="0.25">
      <c r="A2299" s="40" t="s">
        <v>38</v>
      </c>
      <c r="B2299" s="40" t="s">
        <v>4040</v>
      </c>
      <c r="C2299" s="40" t="s">
        <v>4041</v>
      </c>
      <c r="D2299" s="40" t="s">
        <v>2233</v>
      </c>
      <c r="E2299" s="40" t="s">
        <v>2233</v>
      </c>
      <c r="F2299" s="40">
        <v>1</v>
      </c>
      <c r="G2299" s="40"/>
      <c r="H2299" s="40" t="s">
        <v>2234</v>
      </c>
      <c r="I2299" s="40"/>
      <c r="J2299" s="40" t="s">
        <v>97</v>
      </c>
      <c r="K2299" s="40" t="s">
        <v>97</v>
      </c>
      <c r="L2299" s="40" t="s">
        <v>97</v>
      </c>
    </row>
    <row r="2300" spans="1:12" x14ac:dyDescent="0.25">
      <c r="A2300" s="40" t="s">
        <v>38</v>
      </c>
      <c r="B2300" s="40" t="s">
        <v>4042</v>
      </c>
      <c r="C2300" s="40" t="s">
        <v>4043</v>
      </c>
      <c r="D2300" s="40" t="s">
        <v>2233</v>
      </c>
      <c r="E2300" s="40" t="s">
        <v>2233</v>
      </c>
      <c r="F2300" s="40">
        <v>1</v>
      </c>
      <c r="G2300" s="40"/>
      <c r="H2300" s="40" t="s">
        <v>2234</v>
      </c>
      <c r="I2300" s="40"/>
      <c r="J2300" s="40" t="s">
        <v>97</v>
      </c>
      <c r="K2300" s="40" t="s">
        <v>97</v>
      </c>
      <c r="L2300" s="40" t="s">
        <v>97</v>
      </c>
    </row>
    <row r="2301" spans="1:12" x14ac:dyDescent="0.25">
      <c r="A2301" s="40" t="s">
        <v>38</v>
      </c>
      <c r="B2301" s="40" t="s">
        <v>4044</v>
      </c>
      <c r="C2301" s="40" t="s">
        <v>4045</v>
      </c>
      <c r="D2301" s="40" t="s">
        <v>2233</v>
      </c>
      <c r="E2301" s="40" t="s">
        <v>2233</v>
      </c>
      <c r="F2301" s="40">
        <v>1</v>
      </c>
      <c r="G2301" s="40"/>
      <c r="H2301" s="40" t="s">
        <v>2234</v>
      </c>
      <c r="I2301" s="40"/>
      <c r="J2301" s="40" t="s">
        <v>97</v>
      </c>
      <c r="K2301" s="40" t="s">
        <v>97</v>
      </c>
      <c r="L2301" s="40" t="s">
        <v>97</v>
      </c>
    </row>
    <row r="2302" spans="1:12" x14ac:dyDescent="0.25">
      <c r="A2302" s="40" t="s">
        <v>38</v>
      </c>
      <c r="B2302" s="40" t="s">
        <v>4046</v>
      </c>
      <c r="C2302" s="40" t="s">
        <v>4047</v>
      </c>
      <c r="D2302" s="40" t="s">
        <v>2233</v>
      </c>
      <c r="E2302" s="40" t="s">
        <v>2233</v>
      </c>
      <c r="F2302" s="40">
        <v>1</v>
      </c>
      <c r="G2302" s="40"/>
      <c r="H2302" s="40" t="s">
        <v>2234</v>
      </c>
      <c r="I2302" s="40"/>
      <c r="J2302" s="40" t="s">
        <v>97</v>
      </c>
      <c r="K2302" s="40" t="s">
        <v>97</v>
      </c>
      <c r="L2302" s="40" t="s">
        <v>97</v>
      </c>
    </row>
    <row r="2303" spans="1:12" x14ac:dyDescent="0.25">
      <c r="A2303" s="40" t="s">
        <v>38</v>
      </c>
      <c r="B2303" s="40" t="s">
        <v>4048</v>
      </c>
      <c r="C2303" s="40" t="s">
        <v>4049</v>
      </c>
      <c r="D2303" s="40" t="s">
        <v>2233</v>
      </c>
      <c r="E2303" s="40" t="s">
        <v>2233</v>
      </c>
      <c r="F2303" s="40">
        <v>1</v>
      </c>
      <c r="G2303" s="40"/>
      <c r="H2303" s="40" t="s">
        <v>2234</v>
      </c>
      <c r="I2303" s="40"/>
      <c r="J2303" s="40" t="s">
        <v>97</v>
      </c>
      <c r="K2303" s="40" t="s">
        <v>97</v>
      </c>
      <c r="L2303" s="40" t="s">
        <v>97</v>
      </c>
    </row>
    <row r="2304" spans="1:12" x14ac:dyDescent="0.25">
      <c r="A2304" s="40" t="s">
        <v>38</v>
      </c>
      <c r="B2304" s="40" t="s">
        <v>4050</v>
      </c>
      <c r="C2304" s="40" t="s">
        <v>4051</v>
      </c>
      <c r="D2304" s="40" t="s">
        <v>2233</v>
      </c>
      <c r="E2304" s="40" t="s">
        <v>2233</v>
      </c>
      <c r="F2304" s="40">
        <v>1</v>
      </c>
      <c r="G2304" s="40"/>
      <c r="H2304" s="40" t="s">
        <v>2234</v>
      </c>
      <c r="I2304" s="40"/>
      <c r="J2304" s="40" t="s">
        <v>97</v>
      </c>
      <c r="K2304" s="40" t="s">
        <v>97</v>
      </c>
      <c r="L2304" s="40" t="s">
        <v>97</v>
      </c>
    </row>
    <row r="2305" spans="1:12" x14ac:dyDescent="0.25">
      <c r="A2305" s="40" t="s">
        <v>38</v>
      </c>
      <c r="B2305" s="40" t="s">
        <v>4052</v>
      </c>
      <c r="C2305" s="40" t="s">
        <v>4053</v>
      </c>
      <c r="D2305" s="40" t="s">
        <v>2233</v>
      </c>
      <c r="E2305" s="40" t="s">
        <v>2233</v>
      </c>
      <c r="F2305" s="40">
        <v>1</v>
      </c>
      <c r="G2305" s="40"/>
      <c r="H2305" s="40" t="s">
        <v>2234</v>
      </c>
      <c r="I2305" s="40"/>
      <c r="J2305" s="40" t="s">
        <v>97</v>
      </c>
      <c r="K2305" s="40" t="s">
        <v>97</v>
      </c>
      <c r="L2305" s="40" t="s">
        <v>97</v>
      </c>
    </row>
    <row r="2306" spans="1:12" x14ac:dyDescent="0.25">
      <c r="A2306" s="40" t="s">
        <v>38</v>
      </c>
      <c r="B2306" s="40" t="s">
        <v>4054</v>
      </c>
      <c r="C2306" s="40" t="s">
        <v>4055</v>
      </c>
      <c r="D2306" s="40" t="s">
        <v>2233</v>
      </c>
      <c r="E2306" s="40" t="s">
        <v>2233</v>
      </c>
      <c r="F2306" s="40">
        <v>1</v>
      </c>
      <c r="G2306" s="40"/>
      <c r="H2306" s="40" t="s">
        <v>2234</v>
      </c>
      <c r="I2306" s="40"/>
      <c r="J2306" s="40" t="s">
        <v>97</v>
      </c>
      <c r="K2306" s="40" t="s">
        <v>97</v>
      </c>
      <c r="L2306" s="40" t="s">
        <v>97</v>
      </c>
    </row>
    <row r="2307" spans="1:12" x14ac:dyDescent="0.25">
      <c r="A2307" s="40" t="s">
        <v>38</v>
      </c>
      <c r="B2307" s="40" t="s">
        <v>4056</v>
      </c>
      <c r="C2307" s="40" t="s">
        <v>4057</v>
      </c>
      <c r="D2307" s="40" t="s">
        <v>2233</v>
      </c>
      <c r="E2307" s="40" t="s">
        <v>2233</v>
      </c>
      <c r="F2307" s="40">
        <v>1</v>
      </c>
      <c r="G2307" s="40"/>
      <c r="H2307" s="40" t="s">
        <v>2234</v>
      </c>
      <c r="I2307" s="40"/>
      <c r="J2307" s="40" t="s">
        <v>97</v>
      </c>
      <c r="K2307" s="40" t="s">
        <v>97</v>
      </c>
      <c r="L2307" s="40" t="s">
        <v>97</v>
      </c>
    </row>
    <row r="2308" spans="1:12" x14ac:dyDescent="0.25">
      <c r="A2308" s="40" t="s">
        <v>38</v>
      </c>
      <c r="B2308" s="40" t="s">
        <v>4058</v>
      </c>
      <c r="C2308" s="40" t="s">
        <v>4059</v>
      </c>
      <c r="D2308" s="40" t="s">
        <v>2233</v>
      </c>
      <c r="E2308" s="40" t="s">
        <v>2233</v>
      </c>
      <c r="F2308" s="40">
        <v>1</v>
      </c>
      <c r="G2308" s="40"/>
      <c r="H2308" s="40" t="s">
        <v>2234</v>
      </c>
      <c r="I2308" s="40"/>
      <c r="J2308" s="40" t="s">
        <v>97</v>
      </c>
      <c r="K2308" s="40" t="s">
        <v>97</v>
      </c>
      <c r="L2308" s="40" t="s">
        <v>97</v>
      </c>
    </row>
    <row r="2309" spans="1:12" x14ac:dyDescent="0.25">
      <c r="A2309" s="40" t="s">
        <v>38</v>
      </c>
      <c r="B2309" s="40" t="s">
        <v>4060</v>
      </c>
      <c r="C2309" s="40" t="s">
        <v>4061</v>
      </c>
      <c r="D2309" s="40" t="s">
        <v>2233</v>
      </c>
      <c r="E2309" s="40" t="s">
        <v>2233</v>
      </c>
      <c r="F2309" s="40">
        <v>1</v>
      </c>
      <c r="G2309" s="40"/>
      <c r="H2309" s="40" t="s">
        <v>2234</v>
      </c>
      <c r="I2309" s="40"/>
      <c r="J2309" s="40" t="s">
        <v>97</v>
      </c>
      <c r="K2309" s="40" t="s">
        <v>97</v>
      </c>
      <c r="L2309" s="40" t="s">
        <v>97</v>
      </c>
    </row>
    <row r="2310" spans="1:12" x14ac:dyDescent="0.25">
      <c r="A2310" s="40" t="s">
        <v>38</v>
      </c>
      <c r="B2310" s="40" t="s">
        <v>4062</v>
      </c>
      <c r="C2310" s="40" t="s">
        <v>4063</v>
      </c>
      <c r="D2310" s="40" t="s">
        <v>2233</v>
      </c>
      <c r="E2310" s="40" t="s">
        <v>2233</v>
      </c>
      <c r="F2310" s="40">
        <v>1</v>
      </c>
      <c r="G2310" s="40"/>
      <c r="H2310" s="40" t="s">
        <v>2234</v>
      </c>
      <c r="I2310" s="40"/>
      <c r="J2310" s="40" t="s">
        <v>97</v>
      </c>
      <c r="K2310" s="40" t="s">
        <v>97</v>
      </c>
      <c r="L2310" s="40" t="s">
        <v>97</v>
      </c>
    </row>
    <row r="2311" spans="1:12" x14ac:dyDescent="0.25">
      <c r="A2311" s="40" t="s">
        <v>38</v>
      </c>
      <c r="B2311" s="40" t="s">
        <v>4064</v>
      </c>
      <c r="C2311" s="40" t="s">
        <v>4065</v>
      </c>
      <c r="D2311" s="40" t="s">
        <v>2233</v>
      </c>
      <c r="E2311" s="40" t="s">
        <v>2233</v>
      </c>
      <c r="F2311" s="40">
        <v>1</v>
      </c>
      <c r="G2311" s="40"/>
      <c r="H2311" s="40" t="s">
        <v>2234</v>
      </c>
      <c r="I2311" s="40"/>
      <c r="J2311" s="40" t="s">
        <v>97</v>
      </c>
      <c r="K2311" s="40" t="s">
        <v>97</v>
      </c>
      <c r="L2311" s="40" t="s">
        <v>97</v>
      </c>
    </row>
    <row r="2312" spans="1:12" x14ac:dyDescent="0.25">
      <c r="A2312" s="40" t="s">
        <v>38</v>
      </c>
      <c r="B2312" s="40" t="s">
        <v>4066</v>
      </c>
      <c r="C2312" s="40" t="s">
        <v>4067</v>
      </c>
      <c r="D2312" s="40" t="s">
        <v>2233</v>
      </c>
      <c r="E2312" s="40" t="s">
        <v>2233</v>
      </c>
      <c r="F2312" s="40">
        <v>1</v>
      </c>
      <c r="G2312" s="40"/>
      <c r="H2312" s="40" t="s">
        <v>2234</v>
      </c>
      <c r="I2312" s="40"/>
      <c r="J2312" s="40" t="s">
        <v>97</v>
      </c>
      <c r="K2312" s="40" t="s">
        <v>97</v>
      </c>
      <c r="L2312" s="40" t="s">
        <v>97</v>
      </c>
    </row>
    <row r="2313" spans="1:12" x14ac:dyDescent="0.25">
      <c r="A2313" s="40" t="s">
        <v>38</v>
      </c>
      <c r="B2313" s="40" t="s">
        <v>4068</v>
      </c>
      <c r="C2313" s="40" t="s">
        <v>4069</v>
      </c>
      <c r="D2313" s="40" t="s">
        <v>2233</v>
      </c>
      <c r="E2313" s="40" t="s">
        <v>2233</v>
      </c>
      <c r="F2313" s="40">
        <v>1</v>
      </c>
      <c r="G2313" s="40"/>
      <c r="H2313" s="40" t="s">
        <v>2234</v>
      </c>
      <c r="I2313" s="40"/>
      <c r="J2313" s="40" t="s">
        <v>97</v>
      </c>
      <c r="K2313" s="40" t="s">
        <v>97</v>
      </c>
      <c r="L2313" s="40" t="s">
        <v>97</v>
      </c>
    </row>
    <row r="2314" spans="1:12" x14ac:dyDescent="0.25">
      <c r="A2314" s="40" t="s">
        <v>38</v>
      </c>
      <c r="B2314" s="40" t="s">
        <v>4070</v>
      </c>
      <c r="C2314" s="40" t="s">
        <v>4071</v>
      </c>
      <c r="D2314" s="40" t="s">
        <v>2233</v>
      </c>
      <c r="E2314" s="40" t="s">
        <v>2233</v>
      </c>
      <c r="F2314" s="40">
        <v>1</v>
      </c>
      <c r="G2314" s="40"/>
      <c r="H2314" s="40" t="s">
        <v>2234</v>
      </c>
      <c r="I2314" s="40"/>
      <c r="J2314" s="40" t="s">
        <v>97</v>
      </c>
      <c r="K2314" s="40" t="s">
        <v>97</v>
      </c>
      <c r="L2314" s="40" t="s">
        <v>97</v>
      </c>
    </row>
    <row r="2315" spans="1:12" x14ac:dyDescent="0.25">
      <c r="A2315" s="40" t="s">
        <v>38</v>
      </c>
      <c r="B2315" s="40" t="s">
        <v>4072</v>
      </c>
      <c r="C2315" s="40" t="s">
        <v>4073</v>
      </c>
      <c r="D2315" s="40" t="s">
        <v>2233</v>
      </c>
      <c r="E2315" s="40" t="s">
        <v>2233</v>
      </c>
      <c r="F2315" s="40">
        <v>1</v>
      </c>
      <c r="G2315" s="40"/>
      <c r="H2315" s="40" t="s">
        <v>2234</v>
      </c>
      <c r="I2315" s="40"/>
      <c r="J2315" s="40" t="s">
        <v>97</v>
      </c>
      <c r="K2315" s="40" t="s">
        <v>97</v>
      </c>
      <c r="L2315" s="40" t="s">
        <v>97</v>
      </c>
    </row>
    <row r="2316" spans="1:12" x14ac:dyDescent="0.25">
      <c r="A2316" s="40" t="s">
        <v>38</v>
      </c>
      <c r="B2316" s="40" t="s">
        <v>4074</v>
      </c>
      <c r="C2316" s="40" t="s">
        <v>4075</v>
      </c>
      <c r="D2316" s="40" t="s">
        <v>2233</v>
      </c>
      <c r="E2316" s="40" t="s">
        <v>2233</v>
      </c>
      <c r="F2316" s="40">
        <v>1</v>
      </c>
      <c r="G2316" s="40"/>
      <c r="H2316" s="40" t="s">
        <v>2234</v>
      </c>
      <c r="I2316" s="40"/>
      <c r="J2316" s="40" t="s">
        <v>97</v>
      </c>
      <c r="K2316" s="40" t="s">
        <v>97</v>
      </c>
      <c r="L2316" s="40" t="s">
        <v>97</v>
      </c>
    </row>
    <row r="2317" spans="1:12" x14ac:dyDescent="0.25">
      <c r="A2317" s="40" t="s">
        <v>38</v>
      </c>
      <c r="B2317" s="40" t="s">
        <v>4076</v>
      </c>
      <c r="C2317" s="40" t="s">
        <v>4077</v>
      </c>
      <c r="D2317" s="40" t="s">
        <v>2233</v>
      </c>
      <c r="E2317" s="40" t="s">
        <v>2233</v>
      </c>
      <c r="F2317" s="40">
        <v>1</v>
      </c>
      <c r="G2317" s="40"/>
      <c r="H2317" s="40" t="s">
        <v>2234</v>
      </c>
      <c r="I2317" s="40"/>
      <c r="J2317" s="40" t="s">
        <v>97</v>
      </c>
      <c r="K2317" s="40" t="s">
        <v>97</v>
      </c>
      <c r="L2317" s="40" t="s">
        <v>97</v>
      </c>
    </row>
    <row r="2318" spans="1:12" x14ac:dyDescent="0.25">
      <c r="A2318" s="40" t="s">
        <v>38</v>
      </c>
      <c r="B2318" s="40" t="s">
        <v>4078</v>
      </c>
      <c r="C2318" s="40" t="s">
        <v>4079</v>
      </c>
      <c r="D2318" s="40" t="s">
        <v>2233</v>
      </c>
      <c r="E2318" s="40" t="s">
        <v>2233</v>
      </c>
      <c r="F2318" s="40">
        <v>1</v>
      </c>
      <c r="G2318" s="40"/>
      <c r="H2318" s="40" t="s">
        <v>2234</v>
      </c>
      <c r="I2318" s="40"/>
      <c r="J2318" s="40" t="s">
        <v>97</v>
      </c>
      <c r="K2318" s="40" t="s">
        <v>97</v>
      </c>
      <c r="L2318" s="40" t="s">
        <v>97</v>
      </c>
    </row>
    <row r="2319" spans="1:12" x14ac:dyDescent="0.25">
      <c r="A2319" s="40" t="s">
        <v>38</v>
      </c>
      <c r="B2319" s="40" t="s">
        <v>4080</v>
      </c>
      <c r="C2319" s="40" t="s">
        <v>4081</v>
      </c>
      <c r="D2319" s="40" t="s">
        <v>2233</v>
      </c>
      <c r="E2319" s="40" t="s">
        <v>2233</v>
      </c>
      <c r="F2319" s="40">
        <v>1</v>
      </c>
      <c r="G2319" s="40"/>
      <c r="H2319" s="40" t="s">
        <v>2234</v>
      </c>
      <c r="I2319" s="40"/>
      <c r="J2319" s="40" t="s">
        <v>97</v>
      </c>
      <c r="K2319" s="40" t="s">
        <v>97</v>
      </c>
      <c r="L2319" s="40" t="s">
        <v>97</v>
      </c>
    </row>
    <row r="2320" spans="1:12" x14ac:dyDescent="0.25">
      <c r="A2320" s="40" t="s">
        <v>38</v>
      </c>
      <c r="B2320" s="40" t="s">
        <v>4082</v>
      </c>
      <c r="C2320" s="40" t="s">
        <v>4083</v>
      </c>
      <c r="D2320" s="40" t="s">
        <v>2233</v>
      </c>
      <c r="E2320" s="40" t="s">
        <v>2233</v>
      </c>
      <c r="F2320" s="40">
        <v>1</v>
      </c>
      <c r="G2320" s="40"/>
      <c r="H2320" s="40" t="s">
        <v>2234</v>
      </c>
      <c r="I2320" s="40"/>
      <c r="J2320" s="40" t="s">
        <v>97</v>
      </c>
      <c r="K2320" s="40" t="s">
        <v>97</v>
      </c>
      <c r="L2320" s="40" t="s">
        <v>97</v>
      </c>
    </row>
    <row r="2321" spans="1:12" x14ac:dyDescent="0.25">
      <c r="A2321" s="40" t="s">
        <v>38</v>
      </c>
      <c r="B2321" s="40" t="s">
        <v>4084</v>
      </c>
      <c r="C2321" s="40" t="s">
        <v>4085</v>
      </c>
      <c r="D2321" s="40" t="s">
        <v>2233</v>
      </c>
      <c r="E2321" s="40" t="s">
        <v>2233</v>
      </c>
      <c r="F2321" s="40">
        <v>1</v>
      </c>
      <c r="G2321" s="40"/>
      <c r="H2321" s="40" t="s">
        <v>2234</v>
      </c>
      <c r="I2321" s="40"/>
      <c r="J2321" s="40" t="s">
        <v>97</v>
      </c>
      <c r="K2321" s="40" t="s">
        <v>97</v>
      </c>
      <c r="L2321" s="40" t="s">
        <v>97</v>
      </c>
    </row>
    <row r="2322" spans="1:12" x14ac:dyDescent="0.25">
      <c r="A2322" s="40" t="s">
        <v>38</v>
      </c>
      <c r="B2322" s="40" t="s">
        <v>4086</v>
      </c>
      <c r="C2322" s="40" t="s">
        <v>4087</v>
      </c>
      <c r="D2322" s="40" t="s">
        <v>2233</v>
      </c>
      <c r="E2322" s="40" t="s">
        <v>2233</v>
      </c>
      <c r="F2322" s="40">
        <v>1</v>
      </c>
      <c r="G2322" s="40"/>
      <c r="H2322" s="40" t="s">
        <v>2234</v>
      </c>
      <c r="I2322" s="40"/>
      <c r="J2322" s="40" t="s">
        <v>97</v>
      </c>
      <c r="K2322" s="40" t="s">
        <v>97</v>
      </c>
      <c r="L2322" s="40" t="s">
        <v>97</v>
      </c>
    </row>
    <row r="2323" spans="1:12" x14ac:dyDescent="0.25">
      <c r="A2323" s="40" t="s">
        <v>38</v>
      </c>
      <c r="B2323" s="40" t="s">
        <v>4088</v>
      </c>
      <c r="C2323" s="40" t="s">
        <v>4089</v>
      </c>
      <c r="D2323" s="40" t="s">
        <v>4090</v>
      </c>
      <c r="E2323" s="40" t="s">
        <v>4090</v>
      </c>
      <c r="F2323" s="40">
        <v>1</v>
      </c>
      <c r="G2323" s="40"/>
      <c r="H2323" s="40" t="s">
        <v>97</v>
      </c>
      <c r="I2323" s="40"/>
      <c r="J2323" s="40" t="s">
        <v>97</v>
      </c>
      <c r="K2323" s="40" t="s">
        <v>97</v>
      </c>
      <c r="L2323" s="40" t="s">
        <v>97</v>
      </c>
    </row>
    <row r="2324" spans="1:12" x14ac:dyDescent="0.25">
      <c r="A2324" s="40" t="s">
        <v>38</v>
      </c>
      <c r="B2324" s="40" t="s">
        <v>4091</v>
      </c>
      <c r="C2324" s="40" t="s">
        <v>4092</v>
      </c>
      <c r="D2324" s="40" t="s">
        <v>3246</v>
      </c>
      <c r="E2324" s="40" t="s">
        <v>3246</v>
      </c>
      <c r="F2324" s="40">
        <v>1</v>
      </c>
      <c r="G2324" s="40"/>
      <c r="H2324" s="40" t="s">
        <v>97</v>
      </c>
      <c r="I2324" s="40"/>
      <c r="J2324" s="40" t="s">
        <v>97</v>
      </c>
      <c r="K2324" s="40" t="s">
        <v>97</v>
      </c>
      <c r="L2324" s="40" t="s">
        <v>97</v>
      </c>
    </row>
    <row r="2325" spans="1:12" x14ac:dyDescent="0.25">
      <c r="A2325" s="40" t="s">
        <v>38</v>
      </c>
      <c r="B2325" s="40" t="s">
        <v>4093</v>
      </c>
      <c r="C2325" s="40" t="s">
        <v>4094</v>
      </c>
      <c r="D2325" s="40" t="s">
        <v>2233</v>
      </c>
      <c r="E2325" s="40" t="s">
        <v>2233</v>
      </c>
      <c r="F2325" s="40">
        <v>1</v>
      </c>
      <c r="G2325" s="40"/>
      <c r="H2325" s="40" t="s">
        <v>2234</v>
      </c>
      <c r="I2325" s="40"/>
      <c r="J2325" s="40" t="s">
        <v>97</v>
      </c>
      <c r="K2325" s="40" t="s">
        <v>97</v>
      </c>
      <c r="L2325" s="40" t="s">
        <v>97</v>
      </c>
    </row>
    <row r="2326" spans="1:12" x14ac:dyDescent="0.25">
      <c r="A2326" s="40" t="s">
        <v>38</v>
      </c>
      <c r="B2326" s="40" t="s">
        <v>4095</v>
      </c>
      <c r="C2326" s="40" t="s">
        <v>4096</v>
      </c>
      <c r="D2326" s="40" t="s">
        <v>2233</v>
      </c>
      <c r="E2326" s="40" t="s">
        <v>2233</v>
      </c>
      <c r="F2326" s="40">
        <v>1</v>
      </c>
      <c r="G2326" s="40"/>
      <c r="H2326" s="40" t="s">
        <v>2234</v>
      </c>
      <c r="I2326" s="40"/>
      <c r="J2326" s="40" t="s">
        <v>97</v>
      </c>
      <c r="K2326" s="40" t="s">
        <v>97</v>
      </c>
      <c r="L2326" s="40" t="s">
        <v>97</v>
      </c>
    </row>
    <row r="2327" spans="1:12" x14ac:dyDescent="0.25">
      <c r="A2327" s="40" t="s">
        <v>38</v>
      </c>
      <c r="B2327" s="40" t="s">
        <v>4097</v>
      </c>
      <c r="C2327" s="40" t="s">
        <v>4098</v>
      </c>
      <c r="D2327" s="40" t="s">
        <v>2233</v>
      </c>
      <c r="E2327" s="40" t="s">
        <v>2233</v>
      </c>
      <c r="F2327" s="40">
        <v>1</v>
      </c>
      <c r="G2327" s="40"/>
      <c r="H2327" s="40" t="s">
        <v>97</v>
      </c>
      <c r="I2327" s="40"/>
      <c r="J2327" s="40" t="s">
        <v>97</v>
      </c>
      <c r="K2327" s="40" t="s">
        <v>97</v>
      </c>
      <c r="L2327" s="40" t="s">
        <v>97</v>
      </c>
    </row>
    <row r="2328" spans="1:12" x14ac:dyDescent="0.25">
      <c r="A2328" s="40" t="s">
        <v>38</v>
      </c>
      <c r="B2328" s="40" t="s">
        <v>4099</v>
      </c>
      <c r="C2328" s="40" t="s">
        <v>4100</v>
      </c>
      <c r="D2328" s="40" t="s">
        <v>2233</v>
      </c>
      <c r="E2328" s="40" t="s">
        <v>2233</v>
      </c>
      <c r="F2328" s="40">
        <v>1</v>
      </c>
      <c r="G2328" s="40"/>
      <c r="H2328" s="40" t="s">
        <v>2234</v>
      </c>
      <c r="I2328" s="40"/>
      <c r="J2328" s="40" t="s">
        <v>97</v>
      </c>
      <c r="K2328" s="40" t="s">
        <v>97</v>
      </c>
      <c r="L2328" s="40" t="s">
        <v>97</v>
      </c>
    </row>
    <row r="2329" spans="1:12" x14ac:dyDescent="0.25">
      <c r="A2329" s="40" t="s">
        <v>38</v>
      </c>
      <c r="B2329" s="40" t="s">
        <v>4101</v>
      </c>
      <c r="C2329" s="40" t="s">
        <v>4102</v>
      </c>
      <c r="D2329" s="40" t="s">
        <v>2233</v>
      </c>
      <c r="E2329" s="40" t="s">
        <v>2233</v>
      </c>
      <c r="F2329" s="40">
        <v>1</v>
      </c>
      <c r="G2329" s="40"/>
      <c r="H2329" s="40" t="s">
        <v>2234</v>
      </c>
      <c r="I2329" s="40"/>
      <c r="J2329" s="40" t="s">
        <v>97</v>
      </c>
      <c r="K2329" s="40" t="s">
        <v>97</v>
      </c>
      <c r="L2329" s="40" t="s">
        <v>97</v>
      </c>
    </row>
    <row r="2330" spans="1:12" x14ac:dyDescent="0.25">
      <c r="A2330" s="40" t="s">
        <v>38</v>
      </c>
      <c r="B2330" s="40" t="s">
        <v>4103</v>
      </c>
      <c r="C2330" s="40" t="s">
        <v>4104</v>
      </c>
      <c r="D2330" s="40" t="s">
        <v>2233</v>
      </c>
      <c r="E2330" s="40" t="s">
        <v>2233</v>
      </c>
      <c r="F2330" s="40">
        <v>1</v>
      </c>
      <c r="G2330" s="40"/>
      <c r="H2330" s="40" t="s">
        <v>2234</v>
      </c>
      <c r="I2330" s="40"/>
      <c r="J2330" s="40" t="s">
        <v>97</v>
      </c>
      <c r="K2330" s="40" t="s">
        <v>97</v>
      </c>
      <c r="L2330" s="40" t="s">
        <v>97</v>
      </c>
    </row>
    <row r="2331" spans="1:12" x14ac:dyDescent="0.25">
      <c r="A2331" s="40" t="s">
        <v>38</v>
      </c>
      <c r="B2331" s="40" t="s">
        <v>4105</v>
      </c>
      <c r="C2331" s="40" t="s">
        <v>4106</v>
      </c>
      <c r="D2331" s="40" t="s">
        <v>2233</v>
      </c>
      <c r="E2331" s="40" t="s">
        <v>2233</v>
      </c>
      <c r="F2331" s="40">
        <v>1</v>
      </c>
      <c r="G2331" s="40"/>
      <c r="H2331" s="40" t="s">
        <v>2234</v>
      </c>
      <c r="I2331" s="40"/>
      <c r="J2331" s="40" t="s">
        <v>97</v>
      </c>
      <c r="K2331" s="40" t="s">
        <v>97</v>
      </c>
      <c r="L2331" s="40" t="s">
        <v>97</v>
      </c>
    </row>
    <row r="2332" spans="1:12" x14ac:dyDescent="0.25">
      <c r="A2332" s="40" t="s">
        <v>38</v>
      </c>
      <c r="B2332" s="40" t="s">
        <v>4107</v>
      </c>
      <c r="C2332" s="40" t="s">
        <v>4108</v>
      </c>
      <c r="D2332" s="40" t="s">
        <v>2233</v>
      </c>
      <c r="E2332" s="40" t="s">
        <v>2233</v>
      </c>
      <c r="F2332" s="40">
        <v>1</v>
      </c>
      <c r="G2332" s="40"/>
      <c r="H2332" s="40" t="s">
        <v>2234</v>
      </c>
      <c r="I2332" s="40"/>
      <c r="J2332" s="40" t="s">
        <v>97</v>
      </c>
      <c r="K2332" s="40" t="s">
        <v>97</v>
      </c>
      <c r="L2332" s="40" t="s">
        <v>97</v>
      </c>
    </row>
    <row r="2333" spans="1:12" x14ac:dyDescent="0.25">
      <c r="A2333" s="40" t="s">
        <v>38</v>
      </c>
      <c r="B2333" s="40" t="s">
        <v>4109</v>
      </c>
      <c r="C2333" s="40" t="s">
        <v>4110</v>
      </c>
      <c r="D2333" s="40" t="s">
        <v>2233</v>
      </c>
      <c r="E2333" s="40" t="s">
        <v>2233</v>
      </c>
      <c r="F2333" s="40">
        <v>1</v>
      </c>
      <c r="G2333" s="40"/>
      <c r="H2333" s="40" t="s">
        <v>2234</v>
      </c>
      <c r="I2333" s="40"/>
      <c r="J2333" s="40" t="s">
        <v>97</v>
      </c>
      <c r="K2333" s="40" t="s">
        <v>97</v>
      </c>
      <c r="L2333" s="40" t="s">
        <v>97</v>
      </c>
    </row>
    <row r="2334" spans="1:12" x14ac:dyDescent="0.25">
      <c r="A2334" s="40" t="s">
        <v>38</v>
      </c>
      <c r="B2334" s="40" t="s">
        <v>4111</v>
      </c>
      <c r="C2334" s="40" t="s">
        <v>4112</v>
      </c>
      <c r="D2334" s="40" t="s">
        <v>2233</v>
      </c>
      <c r="E2334" s="40" t="s">
        <v>2233</v>
      </c>
      <c r="F2334" s="40">
        <v>1</v>
      </c>
      <c r="G2334" s="40"/>
      <c r="H2334" s="40" t="s">
        <v>2234</v>
      </c>
      <c r="I2334" s="40"/>
      <c r="J2334" s="40" t="s">
        <v>97</v>
      </c>
      <c r="K2334" s="40" t="s">
        <v>97</v>
      </c>
      <c r="L2334" s="40" t="s">
        <v>97</v>
      </c>
    </row>
    <row r="2335" spans="1:12" x14ac:dyDescent="0.25">
      <c r="A2335" s="40" t="s">
        <v>38</v>
      </c>
      <c r="B2335" s="40" t="s">
        <v>4113</v>
      </c>
      <c r="C2335" s="40" t="s">
        <v>4114</v>
      </c>
      <c r="D2335" s="40" t="s">
        <v>2233</v>
      </c>
      <c r="E2335" s="40" t="s">
        <v>2233</v>
      </c>
      <c r="F2335" s="40">
        <v>1</v>
      </c>
      <c r="G2335" s="40"/>
      <c r="H2335" s="40" t="s">
        <v>2234</v>
      </c>
      <c r="I2335" s="40"/>
      <c r="J2335" s="40" t="s">
        <v>97</v>
      </c>
      <c r="K2335" s="40" t="s">
        <v>97</v>
      </c>
      <c r="L2335" s="40" t="s">
        <v>97</v>
      </c>
    </row>
    <row r="2336" spans="1:12" x14ac:dyDescent="0.25">
      <c r="A2336" s="40" t="s">
        <v>38</v>
      </c>
      <c r="B2336" s="40" t="s">
        <v>4115</v>
      </c>
      <c r="C2336" s="40" t="s">
        <v>4116</v>
      </c>
      <c r="D2336" s="40" t="s">
        <v>2233</v>
      </c>
      <c r="E2336" s="40" t="s">
        <v>2233</v>
      </c>
      <c r="F2336" s="40">
        <v>1</v>
      </c>
      <c r="G2336" s="40"/>
      <c r="H2336" s="40" t="s">
        <v>2234</v>
      </c>
      <c r="I2336" s="40"/>
      <c r="J2336" s="40" t="s">
        <v>97</v>
      </c>
      <c r="K2336" s="40" t="s">
        <v>97</v>
      </c>
      <c r="L2336" s="40" t="s">
        <v>97</v>
      </c>
    </row>
    <row r="2337" spans="1:12" x14ac:dyDescent="0.25">
      <c r="A2337" s="40" t="s">
        <v>38</v>
      </c>
      <c r="B2337" s="40" t="s">
        <v>4117</v>
      </c>
      <c r="C2337" s="40" t="s">
        <v>4118</v>
      </c>
      <c r="D2337" s="40" t="s">
        <v>2233</v>
      </c>
      <c r="E2337" s="40" t="s">
        <v>2233</v>
      </c>
      <c r="F2337" s="40">
        <v>1</v>
      </c>
      <c r="G2337" s="40"/>
      <c r="H2337" s="40" t="s">
        <v>2234</v>
      </c>
      <c r="I2337" s="40"/>
      <c r="J2337" s="40" t="s">
        <v>97</v>
      </c>
      <c r="K2337" s="40" t="s">
        <v>97</v>
      </c>
      <c r="L2337" s="40" t="s">
        <v>97</v>
      </c>
    </row>
    <row r="2338" spans="1:12" x14ac:dyDescent="0.25">
      <c r="A2338" s="40" t="s">
        <v>38</v>
      </c>
      <c r="B2338" s="40" t="s">
        <v>4119</v>
      </c>
      <c r="C2338" s="40" t="s">
        <v>4120</v>
      </c>
      <c r="D2338" s="40" t="s">
        <v>2233</v>
      </c>
      <c r="E2338" s="40" t="s">
        <v>2233</v>
      </c>
      <c r="F2338" s="40">
        <v>1</v>
      </c>
      <c r="G2338" s="40"/>
      <c r="H2338" s="40" t="s">
        <v>2234</v>
      </c>
      <c r="I2338" s="40"/>
      <c r="J2338" s="40" t="s">
        <v>97</v>
      </c>
      <c r="K2338" s="40" t="s">
        <v>97</v>
      </c>
      <c r="L2338" s="40" t="s">
        <v>97</v>
      </c>
    </row>
    <row r="2339" spans="1:12" x14ac:dyDescent="0.25">
      <c r="A2339" s="40" t="s">
        <v>38</v>
      </c>
      <c r="B2339" s="40" t="s">
        <v>4121</v>
      </c>
      <c r="C2339" s="40" t="s">
        <v>4122</v>
      </c>
      <c r="D2339" s="40" t="s">
        <v>2233</v>
      </c>
      <c r="E2339" s="40" t="s">
        <v>2233</v>
      </c>
      <c r="F2339" s="40">
        <v>1</v>
      </c>
      <c r="G2339" s="40"/>
      <c r="H2339" s="40" t="s">
        <v>2234</v>
      </c>
      <c r="I2339" s="40"/>
      <c r="J2339" s="40" t="s">
        <v>97</v>
      </c>
      <c r="K2339" s="40" t="s">
        <v>97</v>
      </c>
      <c r="L2339" s="40" t="s">
        <v>97</v>
      </c>
    </row>
    <row r="2340" spans="1:12" x14ac:dyDescent="0.25">
      <c r="A2340" s="40" t="s">
        <v>38</v>
      </c>
      <c r="B2340" s="40" t="s">
        <v>4123</v>
      </c>
      <c r="C2340" s="40" t="s">
        <v>4124</v>
      </c>
      <c r="D2340" s="40" t="s">
        <v>2233</v>
      </c>
      <c r="E2340" s="40" t="s">
        <v>2233</v>
      </c>
      <c r="F2340" s="40">
        <v>1</v>
      </c>
      <c r="G2340" s="40"/>
      <c r="H2340" s="40" t="s">
        <v>2234</v>
      </c>
      <c r="I2340" s="40"/>
      <c r="J2340" s="40" t="s">
        <v>97</v>
      </c>
      <c r="K2340" s="40" t="s">
        <v>97</v>
      </c>
      <c r="L2340" s="40" t="s">
        <v>97</v>
      </c>
    </row>
    <row r="2341" spans="1:12" x14ac:dyDescent="0.25">
      <c r="A2341" s="40" t="s">
        <v>38</v>
      </c>
      <c r="B2341" s="40" t="s">
        <v>4125</v>
      </c>
      <c r="C2341" s="40" t="s">
        <v>4126</v>
      </c>
      <c r="D2341" s="40" t="s">
        <v>2233</v>
      </c>
      <c r="E2341" s="40" t="s">
        <v>2233</v>
      </c>
      <c r="F2341" s="40">
        <v>1</v>
      </c>
      <c r="G2341" s="40"/>
      <c r="H2341" s="40" t="s">
        <v>2234</v>
      </c>
      <c r="I2341" s="40"/>
      <c r="J2341" s="40" t="s">
        <v>97</v>
      </c>
      <c r="K2341" s="40" t="s">
        <v>97</v>
      </c>
      <c r="L2341" s="40" t="s">
        <v>97</v>
      </c>
    </row>
    <row r="2342" spans="1:12" x14ac:dyDescent="0.25">
      <c r="A2342" s="40" t="s">
        <v>38</v>
      </c>
      <c r="B2342" s="40" t="s">
        <v>4127</v>
      </c>
      <c r="C2342" s="40" t="s">
        <v>4128</v>
      </c>
      <c r="D2342" s="40" t="s">
        <v>2233</v>
      </c>
      <c r="E2342" s="40" t="s">
        <v>2233</v>
      </c>
      <c r="F2342" s="40">
        <v>1</v>
      </c>
      <c r="G2342" s="40"/>
      <c r="H2342" s="40" t="s">
        <v>2234</v>
      </c>
      <c r="I2342" s="40"/>
      <c r="J2342" s="40" t="s">
        <v>97</v>
      </c>
      <c r="K2342" s="40" t="s">
        <v>97</v>
      </c>
      <c r="L2342" s="40" t="s">
        <v>97</v>
      </c>
    </row>
    <row r="2343" spans="1:12" x14ac:dyDescent="0.25">
      <c r="A2343" s="40" t="s">
        <v>38</v>
      </c>
      <c r="B2343" s="40" t="s">
        <v>4129</v>
      </c>
      <c r="C2343" s="40" t="s">
        <v>4130</v>
      </c>
      <c r="D2343" s="40" t="s">
        <v>2233</v>
      </c>
      <c r="E2343" s="40" t="s">
        <v>2233</v>
      </c>
      <c r="F2343" s="40">
        <v>1</v>
      </c>
      <c r="G2343" s="40"/>
      <c r="H2343" s="40" t="s">
        <v>2234</v>
      </c>
      <c r="I2343" s="40"/>
      <c r="J2343" s="40" t="s">
        <v>97</v>
      </c>
      <c r="K2343" s="40" t="s">
        <v>97</v>
      </c>
      <c r="L2343" s="40" t="s">
        <v>97</v>
      </c>
    </row>
    <row r="2344" spans="1:12" x14ac:dyDescent="0.25">
      <c r="A2344" s="40" t="s">
        <v>38</v>
      </c>
      <c r="B2344" s="40" t="s">
        <v>4131</v>
      </c>
      <c r="C2344" s="40" t="s">
        <v>4132</v>
      </c>
      <c r="D2344" s="40" t="s">
        <v>2233</v>
      </c>
      <c r="E2344" s="40" t="s">
        <v>2233</v>
      </c>
      <c r="F2344" s="40">
        <v>1</v>
      </c>
      <c r="G2344" s="40"/>
      <c r="H2344" s="40" t="s">
        <v>2234</v>
      </c>
      <c r="I2344" s="40"/>
      <c r="J2344" s="40" t="s">
        <v>97</v>
      </c>
      <c r="K2344" s="40" t="s">
        <v>97</v>
      </c>
      <c r="L2344" s="40" t="s">
        <v>97</v>
      </c>
    </row>
    <row r="2345" spans="1:12" x14ac:dyDescent="0.25">
      <c r="A2345" s="40" t="s">
        <v>38</v>
      </c>
      <c r="B2345" s="40" t="s">
        <v>4133</v>
      </c>
      <c r="C2345" s="40" t="s">
        <v>4134</v>
      </c>
      <c r="D2345" s="40" t="s">
        <v>2233</v>
      </c>
      <c r="E2345" s="40" t="s">
        <v>2233</v>
      </c>
      <c r="F2345" s="40">
        <v>1</v>
      </c>
      <c r="G2345" s="40"/>
      <c r="H2345" s="40" t="s">
        <v>2234</v>
      </c>
      <c r="I2345" s="40"/>
      <c r="J2345" s="40" t="s">
        <v>97</v>
      </c>
      <c r="K2345" s="40" t="s">
        <v>97</v>
      </c>
      <c r="L2345" s="40" t="s">
        <v>97</v>
      </c>
    </row>
    <row r="2346" spans="1:12" x14ac:dyDescent="0.25">
      <c r="A2346" s="40" t="s">
        <v>38</v>
      </c>
      <c r="B2346" s="40" t="s">
        <v>4135</v>
      </c>
      <c r="C2346" s="40" t="s">
        <v>4136</v>
      </c>
      <c r="D2346" s="40" t="s">
        <v>2233</v>
      </c>
      <c r="E2346" s="40" t="s">
        <v>2233</v>
      </c>
      <c r="F2346" s="40">
        <v>1</v>
      </c>
      <c r="G2346" s="40"/>
      <c r="H2346" s="40" t="s">
        <v>2234</v>
      </c>
      <c r="I2346" s="40"/>
      <c r="J2346" s="40" t="s">
        <v>97</v>
      </c>
      <c r="K2346" s="40" t="s">
        <v>97</v>
      </c>
      <c r="L2346" s="40" t="s">
        <v>97</v>
      </c>
    </row>
    <row r="2347" spans="1:12" x14ac:dyDescent="0.25">
      <c r="A2347" s="40" t="s">
        <v>38</v>
      </c>
      <c r="B2347" s="40" t="s">
        <v>4137</v>
      </c>
      <c r="C2347" s="40" t="s">
        <v>4138</v>
      </c>
      <c r="D2347" s="40" t="s">
        <v>2233</v>
      </c>
      <c r="E2347" s="40" t="s">
        <v>2233</v>
      </c>
      <c r="F2347" s="40">
        <v>1</v>
      </c>
      <c r="G2347" s="40"/>
      <c r="H2347" s="40" t="s">
        <v>2234</v>
      </c>
      <c r="I2347" s="40"/>
      <c r="J2347" s="40" t="s">
        <v>97</v>
      </c>
      <c r="K2347" s="40" t="s">
        <v>97</v>
      </c>
      <c r="L2347" s="40" t="s">
        <v>97</v>
      </c>
    </row>
    <row r="2348" spans="1:12" x14ac:dyDescent="0.25">
      <c r="A2348" s="40" t="s">
        <v>38</v>
      </c>
      <c r="B2348" s="40" t="s">
        <v>4139</v>
      </c>
      <c r="C2348" s="40" t="s">
        <v>4140</v>
      </c>
      <c r="D2348" s="40" t="s">
        <v>2233</v>
      </c>
      <c r="E2348" s="40" t="s">
        <v>2233</v>
      </c>
      <c r="F2348" s="40">
        <v>1</v>
      </c>
      <c r="G2348" s="40"/>
      <c r="H2348" s="40" t="s">
        <v>2234</v>
      </c>
      <c r="I2348" s="40"/>
      <c r="J2348" s="40" t="s">
        <v>97</v>
      </c>
      <c r="K2348" s="40" t="s">
        <v>97</v>
      </c>
      <c r="L2348" s="40" t="s">
        <v>97</v>
      </c>
    </row>
    <row r="2349" spans="1:12" x14ac:dyDescent="0.25">
      <c r="A2349" s="40" t="s">
        <v>38</v>
      </c>
      <c r="B2349" s="40" t="s">
        <v>4141</v>
      </c>
      <c r="C2349" s="40" t="s">
        <v>4142</v>
      </c>
      <c r="D2349" s="40" t="s">
        <v>2233</v>
      </c>
      <c r="E2349" s="40" t="s">
        <v>2233</v>
      </c>
      <c r="F2349" s="40">
        <v>1</v>
      </c>
      <c r="G2349" s="40"/>
      <c r="H2349" s="40" t="s">
        <v>2234</v>
      </c>
      <c r="I2349" s="40"/>
      <c r="J2349" s="40" t="s">
        <v>97</v>
      </c>
      <c r="K2349" s="40" t="s">
        <v>97</v>
      </c>
      <c r="L2349" s="40" t="s">
        <v>97</v>
      </c>
    </row>
    <row r="2350" spans="1:12" x14ac:dyDescent="0.25">
      <c r="A2350" s="40" t="s">
        <v>38</v>
      </c>
      <c r="B2350" s="40" t="s">
        <v>4143</v>
      </c>
      <c r="C2350" s="40" t="s">
        <v>4144</v>
      </c>
      <c r="D2350" s="40" t="s">
        <v>2233</v>
      </c>
      <c r="E2350" s="40" t="s">
        <v>2233</v>
      </c>
      <c r="F2350" s="40">
        <v>1</v>
      </c>
      <c r="G2350" s="40"/>
      <c r="H2350" s="40" t="s">
        <v>2234</v>
      </c>
      <c r="I2350" s="40"/>
      <c r="J2350" s="40" t="s">
        <v>97</v>
      </c>
      <c r="K2350" s="40" t="s">
        <v>97</v>
      </c>
      <c r="L2350" s="40" t="s">
        <v>97</v>
      </c>
    </row>
    <row r="2351" spans="1:12" x14ac:dyDescent="0.25">
      <c r="A2351" s="40" t="s">
        <v>38</v>
      </c>
      <c r="B2351" s="40" t="s">
        <v>4145</v>
      </c>
      <c r="C2351" s="40" t="s">
        <v>4146</v>
      </c>
      <c r="D2351" s="40" t="s">
        <v>2233</v>
      </c>
      <c r="E2351" s="40" t="s">
        <v>2233</v>
      </c>
      <c r="F2351" s="40">
        <v>1</v>
      </c>
      <c r="G2351" s="40"/>
      <c r="H2351" s="40" t="s">
        <v>2234</v>
      </c>
      <c r="I2351" s="40"/>
      <c r="J2351" s="40" t="s">
        <v>97</v>
      </c>
      <c r="K2351" s="40" t="s">
        <v>97</v>
      </c>
      <c r="L2351" s="40" t="s">
        <v>97</v>
      </c>
    </row>
    <row r="2352" spans="1:12" x14ac:dyDescent="0.25">
      <c r="A2352" s="40" t="s">
        <v>38</v>
      </c>
      <c r="B2352" s="40" t="s">
        <v>4147</v>
      </c>
      <c r="C2352" s="40" t="s">
        <v>4148</v>
      </c>
      <c r="D2352" s="40" t="s">
        <v>2233</v>
      </c>
      <c r="E2352" s="40" t="s">
        <v>2233</v>
      </c>
      <c r="F2352" s="40">
        <v>1</v>
      </c>
      <c r="G2352" s="40"/>
      <c r="H2352" s="40" t="s">
        <v>2234</v>
      </c>
      <c r="I2352" s="40"/>
      <c r="J2352" s="40" t="s">
        <v>97</v>
      </c>
      <c r="K2352" s="40" t="s">
        <v>97</v>
      </c>
      <c r="L2352" s="40" t="s">
        <v>97</v>
      </c>
    </row>
    <row r="2353" spans="1:12" x14ac:dyDescent="0.25">
      <c r="A2353" s="40" t="s">
        <v>38</v>
      </c>
      <c r="B2353" s="40" t="s">
        <v>4149</v>
      </c>
      <c r="C2353" s="40" t="s">
        <v>4150</v>
      </c>
      <c r="D2353" s="40" t="s">
        <v>2233</v>
      </c>
      <c r="E2353" s="40" t="s">
        <v>2233</v>
      </c>
      <c r="F2353" s="40">
        <v>1</v>
      </c>
      <c r="G2353" s="40"/>
      <c r="H2353" s="40" t="s">
        <v>2234</v>
      </c>
      <c r="I2353" s="40"/>
      <c r="J2353" s="40" t="s">
        <v>97</v>
      </c>
      <c r="K2353" s="40" t="s">
        <v>97</v>
      </c>
      <c r="L2353" s="40" t="s">
        <v>97</v>
      </c>
    </row>
    <row r="2354" spans="1:12" x14ac:dyDescent="0.25">
      <c r="A2354" s="40" t="s">
        <v>38</v>
      </c>
      <c r="B2354" s="40" t="s">
        <v>4151</v>
      </c>
      <c r="C2354" s="40" t="s">
        <v>4152</v>
      </c>
      <c r="D2354" s="40" t="s">
        <v>2233</v>
      </c>
      <c r="E2354" s="40" t="s">
        <v>2233</v>
      </c>
      <c r="F2354" s="40">
        <v>1</v>
      </c>
      <c r="G2354" s="40"/>
      <c r="H2354" s="40" t="s">
        <v>2234</v>
      </c>
      <c r="I2354" s="40"/>
      <c r="J2354" s="40" t="s">
        <v>97</v>
      </c>
      <c r="K2354" s="40" t="s">
        <v>97</v>
      </c>
      <c r="L2354" s="40" t="s">
        <v>97</v>
      </c>
    </row>
    <row r="2355" spans="1:12" x14ac:dyDescent="0.25">
      <c r="A2355" s="40" t="s">
        <v>38</v>
      </c>
      <c r="B2355" s="40" t="s">
        <v>4153</v>
      </c>
      <c r="C2355" s="40" t="s">
        <v>4154</v>
      </c>
      <c r="D2355" s="40" t="s">
        <v>2233</v>
      </c>
      <c r="E2355" s="40" t="s">
        <v>2233</v>
      </c>
      <c r="F2355" s="40">
        <v>1</v>
      </c>
      <c r="G2355" s="40"/>
      <c r="H2355" s="40" t="s">
        <v>2234</v>
      </c>
      <c r="I2355" s="40"/>
      <c r="J2355" s="40" t="s">
        <v>97</v>
      </c>
      <c r="K2355" s="40" t="s">
        <v>97</v>
      </c>
      <c r="L2355" s="40" t="s">
        <v>97</v>
      </c>
    </row>
    <row r="2356" spans="1:12" x14ac:dyDescent="0.25">
      <c r="A2356" s="40" t="s">
        <v>38</v>
      </c>
      <c r="B2356" s="40" t="s">
        <v>4155</v>
      </c>
      <c r="C2356" s="40" t="s">
        <v>4156</v>
      </c>
      <c r="D2356" s="40" t="s">
        <v>2233</v>
      </c>
      <c r="E2356" s="40" t="s">
        <v>2233</v>
      </c>
      <c r="F2356" s="40">
        <v>1</v>
      </c>
      <c r="G2356" s="40"/>
      <c r="H2356" s="40" t="s">
        <v>2234</v>
      </c>
      <c r="I2356" s="40"/>
      <c r="J2356" s="40" t="s">
        <v>97</v>
      </c>
      <c r="K2356" s="40" t="s">
        <v>97</v>
      </c>
      <c r="L2356" s="40" t="s">
        <v>97</v>
      </c>
    </row>
    <row r="2357" spans="1:12" x14ac:dyDescent="0.25">
      <c r="A2357" s="40" t="s">
        <v>38</v>
      </c>
      <c r="B2357" s="40" t="s">
        <v>4157</v>
      </c>
      <c r="C2357" s="40" t="s">
        <v>4158</v>
      </c>
      <c r="D2357" s="40" t="s">
        <v>2233</v>
      </c>
      <c r="E2357" s="40" t="s">
        <v>2233</v>
      </c>
      <c r="F2357" s="40">
        <v>1</v>
      </c>
      <c r="G2357" s="40"/>
      <c r="H2357" s="40" t="s">
        <v>2234</v>
      </c>
      <c r="I2357" s="40"/>
      <c r="J2357" s="40" t="s">
        <v>97</v>
      </c>
      <c r="K2357" s="40" t="s">
        <v>97</v>
      </c>
      <c r="L2357" s="40" t="s">
        <v>97</v>
      </c>
    </row>
    <row r="2358" spans="1:12" x14ac:dyDescent="0.25">
      <c r="A2358" s="40" t="s">
        <v>38</v>
      </c>
      <c r="B2358" s="40" t="s">
        <v>4159</v>
      </c>
      <c r="C2358" s="40" t="s">
        <v>4160</v>
      </c>
      <c r="D2358" s="40" t="s">
        <v>2233</v>
      </c>
      <c r="E2358" s="40" t="s">
        <v>2233</v>
      </c>
      <c r="F2358" s="40">
        <v>1</v>
      </c>
      <c r="G2358" s="40"/>
      <c r="H2358" s="40" t="s">
        <v>2234</v>
      </c>
      <c r="I2358" s="40"/>
      <c r="J2358" s="40" t="s">
        <v>97</v>
      </c>
      <c r="K2358" s="40" t="s">
        <v>97</v>
      </c>
      <c r="L2358" s="40" t="s">
        <v>97</v>
      </c>
    </row>
    <row r="2359" spans="1:12" x14ac:dyDescent="0.25">
      <c r="A2359" s="40" t="s">
        <v>38</v>
      </c>
      <c r="B2359" s="40" t="s">
        <v>4161</v>
      </c>
      <c r="C2359" s="40" t="s">
        <v>4162</v>
      </c>
      <c r="D2359" s="40" t="s">
        <v>2233</v>
      </c>
      <c r="E2359" s="40" t="s">
        <v>2233</v>
      </c>
      <c r="F2359" s="40">
        <v>1</v>
      </c>
      <c r="G2359" s="40"/>
      <c r="H2359" s="40" t="s">
        <v>2234</v>
      </c>
      <c r="I2359" s="40"/>
      <c r="J2359" s="40" t="s">
        <v>97</v>
      </c>
      <c r="K2359" s="40" t="s">
        <v>97</v>
      </c>
      <c r="L2359" s="40" t="s">
        <v>97</v>
      </c>
    </row>
    <row r="2360" spans="1:12" x14ac:dyDescent="0.25">
      <c r="A2360" s="40" t="s">
        <v>38</v>
      </c>
      <c r="B2360" s="40" t="s">
        <v>4163</v>
      </c>
      <c r="C2360" s="40" t="s">
        <v>4164</v>
      </c>
      <c r="D2360" s="40" t="s">
        <v>2233</v>
      </c>
      <c r="E2360" s="40" t="s">
        <v>2233</v>
      </c>
      <c r="F2360" s="40">
        <v>1</v>
      </c>
      <c r="G2360" s="40"/>
      <c r="H2360" s="40" t="s">
        <v>2234</v>
      </c>
      <c r="I2360" s="40"/>
      <c r="J2360" s="40" t="s">
        <v>97</v>
      </c>
      <c r="K2360" s="40" t="s">
        <v>97</v>
      </c>
      <c r="L2360" s="40" t="s">
        <v>97</v>
      </c>
    </row>
    <row r="2361" spans="1:12" x14ac:dyDescent="0.25">
      <c r="A2361" s="40" t="s">
        <v>38</v>
      </c>
      <c r="B2361" s="40" t="s">
        <v>4165</v>
      </c>
      <c r="C2361" s="40" t="s">
        <v>4166</v>
      </c>
      <c r="D2361" s="40" t="s">
        <v>2233</v>
      </c>
      <c r="E2361" s="40" t="s">
        <v>2233</v>
      </c>
      <c r="F2361" s="40">
        <v>1</v>
      </c>
      <c r="G2361" s="40"/>
      <c r="H2361" s="40" t="s">
        <v>2234</v>
      </c>
      <c r="I2361" s="40"/>
      <c r="J2361" s="40" t="s">
        <v>97</v>
      </c>
      <c r="K2361" s="40" t="s">
        <v>97</v>
      </c>
      <c r="L2361" s="40" t="s">
        <v>97</v>
      </c>
    </row>
    <row r="2362" spans="1:12" x14ac:dyDescent="0.25">
      <c r="A2362" s="40" t="s">
        <v>38</v>
      </c>
      <c r="B2362" s="40" t="s">
        <v>4167</v>
      </c>
      <c r="C2362" s="40" t="s">
        <v>4168</v>
      </c>
      <c r="D2362" s="40" t="s">
        <v>2233</v>
      </c>
      <c r="E2362" s="40" t="s">
        <v>2233</v>
      </c>
      <c r="F2362" s="40">
        <v>1</v>
      </c>
      <c r="G2362" s="40"/>
      <c r="H2362" s="40" t="s">
        <v>2234</v>
      </c>
      <c r="I2362" s="40"/>
      <c r="J2362" s="40" t="s">
        <v>97</v>
      </c>
      <c r="K2362" s="40" t="s">
        <v>97</v>
      </c>
      <c r="L2362" s="40" t="s">
        <v>97</v>
      </c>
    </row>
    <row r="2363" spans="1:12" x14ac:dyDescent="0.25">
      <c r="A2363" s="40" t="s">
        <v>38</v>
      </c>
      <c r="B2363" s="40" t="s">
        <v>4169</v>
      </c>
      <c r="C2363" s="40" t="s">
        <v>4170</v>
      </c>
      <c r="D2363" s="40" t="s">
        <v>2233</v>
      </c>
      <c r="E2363" s="40" t="s">
        <v>2233</v>
      </c>
      <c r="F2363" s="40">
        <v>1</v>
      </c>
      <c r="G2363" s="40"/>
      <c r="H2363" s="40" t="s">
        <v>2234</v>
      </c>
      <c r="I2363" s="40"/>
      <c r="J2363" s="40" t="s">
        <v>97</v>
      </c>
      <c r="K2363" s="40" t="s">
        <v>97</v>
      </c>
      <c r="L2363" s="40" t="s">
        <v>97</v>
      </c>
    </row>
    <row r="2364" spans="1:12" x14ac:dyDescent="0.25">
      <c r="A2364" s="40" t="s">
        <v>38</v>
      </c>
      <c r="B2364" s="40" t="s">
        <v>4171</v>
      </c>
      <c r="C2364" s="40" t="s">
        <v>4172</v>
      </c>
      <c r="D2364" s="40" t="s">
        <v>2233</v>
      </c>
      <c r="E2364" s="40" t="s">
        <v>2233</v>
      </c>
      <c r="F2364" s="40">
        <v>1</v>
      </c>
      <c r="G2364" s="40"/>
      <c r="H2364" s="40" t="s">
        <v>2234</v>
      </c>
      <c r="I2364" s="40"/>
      <c r="J2364" s="40" t="s">
        <v>97</v>
      </c>
      <c r="K2364" s="40" t="s">
        <v>97</v>
      </c>
      <c r="L2364" s="40" t="s">
        <v>97</v>
      </c>
    </row>
    <row r="2365" spans="1:12" x14ac:dyDescent="0.25">
      <c r="A2365" s="40" t="s">
        <v>38</v>
      </c>
      <c r="B2365" s="40" t="s">
        <v>4173</v>
      </c>
      <c r="C2365" s="40" t="s">
        <v>4174</v>
      </c>
      <c r="D2365" s="40" t="s">
        <v>2233</v>
      </c>
      <c r="E2365" s="40" t="s">
        <v>2233</v>
      </c>
      <c r="F2365" s="40">
        <v>1</v>
      </c>
      <c r="G2365" s="40"/>
      <c r="H2365" s="40" t="s">
        <v>2234</v>
      </c>
      <c r="I2365" s="40"/>
      <c r="J2365" s="40" t="s">
        <v>97</v>
      </c>
      <c r="K2365" s="40" t="s">
        <v>97</v>
      </c>
      <c r="L2365" s="40" t="s">
        <v>97</v>
      </c>
    </row>
    <row r="2366" spans="1:12" x14ac:dyDescent="0.25">
      <c r="A2366" s="40" t="s">
        <v>38</v>
      </c>
      <c r="B2366" s="40" t="s">
        <v>4175</v>
      </c>
      <c r="C2366" s="40" t="s">
        <v>4176</v>
      </c>
      <c r="D2366" s="40" t="s">
        <v>2233</v>
      </c>
      <c r="E2366" s="40" t="s">
        <v>2233</v>
      </c>
      <c r="F2366" s="40">
        <v>1</v>
      </c>
      <c r="G2366" s="40"/>
      <c r="H2366" s="40" t="s">
        <v>2234</v>
      </c>
      <c r="I2366" s="40"/>
      <c r="J2366" s="40" t="s">
        <v>97</v>
      </c>
      <c r="K2366" s="40" t="s">
        <v>97</v>
      </c>
      <c r="L2366" s="40" t="s">
        <v>97</v>
      </c>
    </row>
    <row r="2367" spans="1:12" x14ac:dyDescent="0.25">
      <c r="A2367" s="40" t="s">
        <v>38</v>
      </c>
      <c r="B2367" s="40" t="s">
        <v>4177</v>
      </c>
      <c r="C2367" s="40" t="s">
        <v>4178</v>
      </c>
      <c r="D2367" s="40" t="s">
        <v>2233</v>
      </c>
      <c r="E2367" s="40" t="s">
        <v>2233</v>
      </c>
      <c r="F2367" s="40">
        <v>1</v>
      </c>
      <c r="G2367" s="40"/>
      <c r="H2367" s="40" t="s">
        <v>2234</v>
      </c>
      <c r="I2367" s="40"/>
      <c r="J2367" s="40" t="s">
        <v>97</v>
      </c>
      <c r="K2367" s="40" t="s">
        <v>97</v>
      </c>
      <c r="L2367" s="40" t="s">
        <v>97</v>
      </c>
    </row>
    <row r="2368" spans="1:12" x14ac:dyDescent="0.25">
      <c r="A2368" s="40" t="s">
        <v>38</v>
      </c>
      <c r="B2368" s="40" t="s">
        <v>4179</v>
      </c>
      <c r="C2368" s="40" t="s">
        <v>4180</v>
      </c>
      <c r="D2368" s="40" t="s">
        <v>2233</v>
      </c>
      <c r="E2368" s="40" t="s">
        <v>2233</v>
      </c>
      <c r="F2368" s="40">
        <v>1</v>
      </c>
      <c r="G2368" s="40"/>
      <c r="H2368" s="40" t="s">
        <v>2234</v>
      </c>
      <c r="I2368" s="40"/>
      <c r="J2368" s="40" t="s">
        <v>97</v>
      </c>
      <c r="K2368" s="40" t="s">
        <v>97</v>
      </c>
      <c r="L2368" s="40" t="s">
        <v>97</v>
      </c>
    </row>
    <row r="2369" spans="1:12" x14ac:dyDescent="0.25">
      <c r="A2369" s="40" t="s">
        <v>38</v>
      </c>
      <c r="B2369" s="40" t="s">
        <v>4181</v>
      </c>
      <c r="C2369" s="40" t="s">
        <v>4182</v>
      </c>
      <c r="D2369" s="40" t="s">
        <v>2233</v>
      </c>
      <c r="E2369" s="40" t="s">
        <v>2233</v>
      </c>
      <c r="F2369" s="40">
        <v>1</v>
      </c>
      <c r="G2369" s="40"/>
      <c r="H2369" s="40" t="s">
        <v>2234</v>
      </c>
      <c r="I2369" s="40"/>
      <c r="J2369" s="40" t="s">
        <v>97</v>
      </c>
      <c r="K2369" s="40" t="s">
        <v>97</v>
      </c>
      <c r="L2369" s="40" t="s">
        <v>97</v>
      </c>
    </row>
    <row r="2370" spans="1:12" x14ac:dyDescent="0.25">
      <c r="A2370" s="40" t="s">
        <v>38</v>
      </c>
      <c r="B2370" s="40" t="s">
        <v>4183</v>
      </c>
      <c r="C2370" s="40" t="s">
        <v>4184</v>
      </c>
      <c r="D2370" s="40" t="s">
        <v>2233</v>
      </c>
      <c r="E2370" s="40" t="s">
        <v>2233</v>
      </c>
      <c r="F2370" s="40">
        <v>1</v>
      </c>
      <c r="G2370" s="40"/>
      <c r="H2370" s="40" t="s">
        <v>2234</v>
      </c>
      <c r="I2370" s="40"/>
      <c r="J2370" s="40" t="s">
        <v>97</v>
      </c>
      <c r="K2370" s="40" t="s">
        <v>97</v>
      </c>
      <c r="L2370" s="40" t="s">
        <v>97</v>
      </c>
    </row>
    <row r="2371" spans="1:12" x14ac:dyDescent="0.25">
      <c r="A2371" s="40" t="s">
        <v>38</v>
      </c>
      <c r="B2371" s="40" t="s">
        <v>4185</v>
      </c>
      <c r="C2371" s="40" t="s">
        <v>4186</v>
      </c>
      <c r="D2371" s="40" t="s">
        <v>2233</v>
      </c>
      <c r="E2371" s="40" t="s">
        <v>2233</v>
      </c>
      <c r="F2371" s="40">
        <v>1</v>
      </c>
      <c r="G2371" s="40"/>
      <c r="H2371" s="40" t="s">
        <v>2234</v>
      </c>
      <c r="I2371" s="40"/>
      <c r="J2371" s="40" t="s">
        <v>97</v>
      </c>
      <c r="K2371" s="40" t="s">
        <v>97</v>
      </c>
      <c r="L2371" s="40" t="s">
        <v>97</v>
      </c>
    </row>
    <row r="2372" spans="1:12" x14ac:dyDescent="0.25">
      <c r="A2372" s="40" t="s">
        <v>38</v>
      </c>
      <c r="B2372" s="40" t="s">
        <v>4187</v>
      </c>
      <c r="C2372" s="40" t="s">
        <v>4188</v>
      </c>
      <c r="D2372" s="40" t="s">
        <v>2233</v>
      </c>
      <c r="E2372" s="40" t="s">
        <v>2233</v>
      </c>
      <c r="F2372" s="40">
        <v>1</v>
      </c>
      <c r="G2372" s="40"/>
      <c r="H2372" s="40" t="s">
        <v>2234</v>
      </c>
      <c r="I2372" s="40"/>
      <c r="J2372" s="40" t="s">
        <v>97</v>
      </c>
      <c r="K2372" s="40" t="s">
        <v>97</v>
      </c>
      <c r="L2372" s="40" t="s">
        <v>97</v>
      </c>
    </row>
    <row r="2373" spans="1:12" x14ac:dyDescent="0.25">
      <c r="A2373" s="40" t="s">
        <v>38</v>
      </c>
      <c r="B2373" s="40" t="s">
        <v>4189</v>
      </c>
      <c r="C2373" s="40" t="s">
        <v>4190</v>
      </c>
      <c r="D2373" s="40" t="s">
        <v>2233</v>
      </c>
      <c r="E2373" s="40" t="s">
        <v>2233</v>
      </c>
      <c r="F2373" s="40">
        <v>1</v>
      </c>
      <c r="G2373" s="40"/>
      <c r="H2373" s="40" t="s">
        <v>2234</v>
      </c>
      <c r="I2373" s="40"/>
      <c r="J2373" s="40" t="s">
        <v>97</v>
      </c>
      <c r="K2373" s="40" t="s">
        <v>97</v>
      </c>
      <c r="L2373" s="40" t="s">
        <v>97</v>
      </c>
    </row>
    <row r="2374" spans="1:12" x14ac:dyDescent="0.25">
      <c r="A2374" s="40" t="s">
        <v>38</v>
      </c>
      <c r="B2374" s="40" t="s">
        <v>4191</v>
      </c>
      <c r="C2374" s="40" t="s">
        <v>4192</v>
      </c>
      <c r="D2374" s="40" t="s">
        <v>2233</v>
      </c>
      <c r="E2374" s="40" t="s">
        <v>2233</v>
      </c>
      <c r="F2374" s="40">
        <v>1</v>
      </c>
      <c r="G2374" s="40"/>
      <c r="H2374" s="40" t="s">
        <v>2234</v>
      </c>
      <c r="I2374" s="40"/>
      <c r="J2374" s="40" t="s">
        <v>97</v>
      </c>
      <c r="K2374" s="40" t="s">
        <v>97</v>
      </c>
      <c r="L2374" s="40" t="s">
        <v>97</v>
      </c>
    </row>
    <row r="2375" spans="1:12" x14ac:dyDescent="0.25">
      <c r="A2375" s="40" t="s">
        <v>38</v>
      </c>
      <c r="B2375" s="40" t="s">
        <v>4193</v>
      </c>
      <c r="C2375" s="40" t="s">
        <v>4194</v>
      </c>
      <c r="D2375" s="40" t="s">
        <v>2233</v>
      </c>
      <c r="E2375" s="40" t="s">
        <v>2233</v>
      </c>
      <c r="F2375" s="40">
        <v>1</v>
      </c>
      <c r="G2375" s="40"/>
      <c r="H2375" s="40" t="s">
        <v>2234</v>
      </c>
      <c r="I2375" s="40"/>
      <c r="J2375" s="40" t="s">
        <v>97</v>
      </c>
      <c r="K2375" s="40" t="s">
        <v>97</v>
      </c>
      <c r="L2375" s="40" t="s">
        <v>97</v>
      </c>
    </row>
    <row r="2376" spans="1:12" x14ac:dyDescent="0.25">
      <c r="A2376" s="40" t="s">
        <v>38</v>
      </c>
      <c r="B2376" s="40" t="s">
        <v>4195</v>
      </c>
      <c r="C2376" s="40" t="s">
        <v>4196</v>
      </c>
      <c r="D2376" s="40" t="s">
        <v>2233</v>
      </c>
      <c r="E2376" s="40" t="s">
        <v>2233</v>
      </c>
      <c r="F2376" s="40">
        <v>1</v>
      </c>
      <c r="G2376" s="40"/>
      <c r="H2376" s="40" t="s">
        <v>2234</v>
      </c>
      <c r="I2376" s="40"/>
      <c r="J2376" s="40" t="s">
        <v>97</v>
      </c>
      <c r="K2376" s="40" t="s">
        <v>97</v>
      </c>
      <c r="L2376" s="40" t="s">
        <v>97</v>
      </c>
    </row>
    <row r="2377" spans="1:12" x14ac:dyDescent="0.25">
      <c r="A2377" s="40" t="s">
        <v>38</v>
      </c>
      <c r="B2377" s="40" t="s">
        <v>4197</v>
      </c>
      <c r="C2377" s="40" t="s">
        <v>4198</v>
      </c>
      <c r="D2377" s="40" t="s">
        <v>2233</v>
      </c>
      <c r="E2377" s="40" t="s">
        <v>2233</v>
      </c>
      <c r="F2377" s="40">
        <v>1</v>
      </c>
      <c r="G2377" s="40"/>
      <c r="H2377" s="40" t="s">
        <v>2234</v>
      </c>
      <c r="I2377" s="40"/>
      <c r="J2377" s="40" t="s">
        <v>97</v>
      </c>
      <c r="K2377" s="40" t="s">
        <v>97</v>
      </c>
      <c r="L2377" s="40" t="s">
        <v>97</v>
      </c>
    </row>
    <row r="2378" spans="1:12" x14ac:dyDescent="0.25">
      <c r="A2378" s="40" t="s">
        <v>38</v>
      </c>
      <c r="B2378" s="40" t="s">
        <v>4199</v>
      </c>
      <c r="C2378" s="40" t="s">
        <v>4200</v>
      </c>
      <c r="D2378" s="40" t="s">
        <v>2233</v>
      </c>
      <c r="E2378" s="40" t="s">
        <v>2233</v>
      </c>
      <c r="F2378" s="40">
        <v>1</v>
      </c>
      <c r="G2378" s="40"/>
      <c r="H2378" s="40" t="s">
        <v>2234</v>
      </c>
      <c r="I2378" s="40"/>
      <c r="J2378" s="40" t="s">
        <v>97</v>
      </c>
      <c r="K2378" s="40" t="s">
        <v>97</v>
      </c>
      <c r="L2378" s="40" t="s">
        <v>97</v>
      </c>
    </row>
    <row r="2379" spans="1:12" x14ac:dyDescent="0.25">
      <c r="A2379" s="40" t="s">
        <v>38</v>
      </c>
      <c r="B2379" s="40" t="s">
        <v>4201</v>
      </c>
      <c r="C2379" s="40" t="s">
        <v>4202</v>
      </c>
      <c r="D2379" s="40" t="s">
        <v>2233</v>
      </c>
      <c r="E2379" s="40" t="s">
        <v>2233</v>
      </c>
      <c r="F2379" s="40">
        <v>1</v>
      </c>
      <c r="G2379" s="40"/>
      <c r="H2379" s="40" t="s">
        <v>2234</v>
      </c>
      <c r="I2379" s="40"/>
      <c r="J2379" s="40" t="s">
        <v>97</v>
      </c>
      <c r="K2379" s="40" t="s">
        <v>97</v>
      </c>
      <c r="L2379" s="40" t="s">
        <v>97</v>
      </c>
    </row>
    <row r="2380" spans="1:12" x14ac:dyDescent="0.25">
      <c r="A2380" s="40" t="s">
        <v>38</v>
      </c>
      <c r="B2380" s="40" t="s">
        <v>4203</v>
      </c>
      <c r="C2380" s="40" t="s">
        <v>4204</v>
      </c>
      <c r="D2380" s="40" t="s">
        <v>2233</v>
      </c>
      <c r="E2380" s="40" t="s">
        <v>2233</v>
      </c>
      <c r="F2380" s="40">
        <v>1</v>
      </c>
      <c r="G2380" s="40"/>
      <c r="H2380" s="40" t="s">
        <v>2234</v>
      </c>
      <c r="I2380" s="40"/>
      <c r="J2380" s="40" t="s">
        <v>97</v>
      </c>
      <c r="K2380" s="40" t="s">
        <v>97</v>
      </c>
      <c r="L2380" s="40" t="s">
        <v>97</v>
      </c>
    </row>
    <row r="2381" spans="1:12" x14ac:dyDescent="0.25">
      <c r="A2381" s="40" t="s">
        <v>38</v>
      </c>
      <c r="B2381" s="40" t="s">
        <v>4205</v>
      </c>
      <c r="C2381" s="40" t="s">
        <v>4206</v>
      </c>
      <c r="D2381" s="40" t="s">
        <v>2233</v>
      </c>
      <c r="E2381" s="40" t="s">
        <v>2233</v>
      </c>
      <c r="F2381" s="40">
        <v>1</v>
      </c>
      <c r="G2381" s="40"/>
      <c r="H2381" s="40" t="s">
        <v>2234</v>
      </c>
      <c r="I2381" s="40"/>
      <c r="J2381" s="40" t="s">
        <v>97</v>
      </c>
      <c r="K2381" s="40" t="s">
        <v>97</v>
      </c>
      <c r="L2381" s="40" t="s">
        <v>97</v>
      </c>
    </row>
    <row r="2382" spans="1:12" x14ac:dyDescent="0.25">
      <c r="A2382" s="40" t="s">
        <v>38</v>
      </c>
      <c r="B2382" s="40" t="s">
        <v>3149</v>
      </c>
      <c r="C2382" s="40" t="s">
        <v>4207</v>
      </c>
      <c r="D2382" s="40" t="s">
        <v>4208</v>
      </c>
      <c r="E2382" s="40" t="s">
        <v>4208</v>
      </c>
      <c r="F2382" s="40">
        <v>1</v>
      </c>
      <c r="G2382" s="40"/>
      <c r="H2382" s="40" t="s">
        <v>97</v>
      </c>
      <c r="I2382" s="40"/>
      <c r="J2382" s="40" t="s">
        <v>97</v>
      </c>
      <c r="K2382" s="40" t="s">
        <v>97</v>
      </c>
      <c r="L2382" s="40" t="s">
        <v>97</v>
      </c>
    </row>
    <row r="2383" spans="1:12" x14ac:dyDescent="0.25">
      <c r="A2383" s="40" t="s">
        <v>38</v>
      </c>
      <c r="B2383" s="40" t="s">
        <v>4209</v>
      </c>
      <c r="C2383" s="40" t="s">
        <v>4210</v>
      </c>
      <c r="D2383" s="40" t="s">
        <v>3246</v>
      </c>
      <c r="E2383" s="40" t="s">
        <v>3246</v>
      </c>
      <c r="F2383" s="40">
        <v>1</v>
      </c>
      <c r="G2383" s="40"/>
      <c r="H2383" s="40" t="s">
        <v>97</v>
      </c>
      <c r="I2383" s="40"/>
      <c r="J2383" s="40" t="s">
        <v>97</v>
      </c>
      <c r="K2383" s="40" t="s">
        <v>97</v>
      </c>
      <c r="L2383" s="40" t="s">
        <v>97</v>
      </c>
    </row>
    <row r="2384" spans="1:12" x14ac:dyDescent="0.25">
      <c r="A2384" s="40" t="s">
        <v>38</v>
      </c>
      <c r="B2384" s="40" t="s">
        <v>4211</v>
      </c>
      <c r="C2384" s="40" t="s">
        <v>4212</v>
      </c>
      <c r="D2384" s="40" t="s">
        <v>2233</v>
      </c>
      <c r="E2384" s="40" t="s">
        <v>2233</v>
      </c>
      <c r="F2384" s="40">
        <v>1</v>
      </c>
      <c r="G2384" s="40"/>
      <c r="H2384" s="40" t="s">
        <v>2234</v>
      </c>
      <c r="I2384" s="40"/>
      <c r="J2384" s="40" t="s">
        <v>97</v>
      </c>
      <c r="K2384" s="40" t="s">
        <v>97</v>
      </c>
      <c r="L2384" s="40" t="s">
        <v>97</v>
      </c>
    </row>
    <row r="2385" spans="1:12" x14ac:dyDescent="0.25">
      <c r="A2385" s="40" t="s">
        <v>38</v>
      </c>
      <c r="B2385" s="40" t="s">
        <v>4213</v>
      </c>
      <c r="C2385" s="40" t="s">
        <v>4214</v>
      </c>
      <c r="D2385" s="40" t="s">
        <v>2233</v>
      </c>
      <c r="E2385" s="40" t="s">
        <v>2233</v>
      </c>
      <c r="F2385" s="40">
        <v>1</v>
      </c>
      <c r="G2385" s="40"/>
      <c r="H2385" s="40" t="s">
        <v>2234</v>
      </c>
      <c r="I2385" s="40"/>
      <c r="J2385" s="40" t="s">
        <v>97</v>
      </c>
      <c r="K2385" s="40" t="s">
        <v>97</v>
      </c>
      <c r="L2385" s="40" t="s">
        <v>97</v>
      </c>
    </row>
    <row r="2386" spans="1:12" x14ac:dyDescent="0.25">
      <c r="A2386" s="40" t="s">
        <v>38</v>
      </c>
      <c r="B2386" s="40" t="s">
        <v>4215</v>
      </c>
      <c r="C2386" s="40" t="s">
        <v>4216</v>
      </c>
      <c r="D2386" s="40" t="s">
        <v>2233</v>
      </c>
      <c r="E2386" s="40" t="s">
        <v>2233</v>
      </c>
      <c r="F2386" s="40">
        <v>1</v>
      </c>
      <c r="G2386" s="40"/>
      <c r="H2386" s="40" t="s">
        <v>97</v>
      </c>
      <c r="I2386" s="40"/>
      <c r="J2386" s="40" t="s">
        <v>97</v>
      </c>
      <c r="K2386" s="40" t="s">
        <v>97</v>
      </c>
      <c r="L2386" s="40" t="s">
        <v>97</v>
      </c>
    </row>
    <row r="2387" spans="1:12" x14ac:dyDescent="0.25">
      <c r="A2387" s="40" t="s">
        <v>38</v>
      </c>
      <c r="B2387" s="40" t="s">
        <v>4217</v>
      </c>
      <c r="C2387" s="40" t="s">
        <v>4218</v>
      </c>
      <c r="D2387" s="40" t="s">
        <v>2233</v>
      </c>
      <c r="E2387" s="40" t="s">
        <v>2233</v>
      </c>
      <c r="F2387" s="40">
        <v>1</v>
      </c>
      <c r="G2387" s="40"/>
      <c r="H2387" s="40" t="s">
        <v>2234</v>
      </c>
      <c r="I2387" s="40"/>
      <c r="J2387" s="40" t="s">
        <v>97</v>
      </c>
      <c r="K2387" s="40" t="s">
        <v>97</v>
      </c>
      <c r="L2387" s="40" t="s">
        <v>97</v>
      </c>
    </row>
    <row r="2388" spans="1:12" x14ac:dyDescent="0.25">
      <c r="A2388" s="40" t="s">
        <v>38</v>
      </c>
      <c r="B2388" s="40" t="s">
        <v>4219</v>
      </c>
      <c r="C2388" s="40" t="s">
        <v>4220</v>
      </c>
      <c r="D2388" s="40" t="s">
        <v>2233</v>
      </c>
      <c r="E2388" s="40" t="s">
        <v>2233</v>
      </c>
      <c r="F2388" s="40">
        <v>1</v>
      </c>
      <c r="G2388" s="40"/>
      <c r="H2388" s="40" t="s">
        <v>2234</v>
      </c>
      <c r="I2388" s="40"/>
      <c r="J2388" s="40" t="s">
        <v>97</v>
      </c>
      <c r="K2388" s="40" t="s">
        <v>97</v>
      </c>
      <c r="L2388" s="40" t="s">
        <v>97</v>
      </c>
    </row>
    <row r="2389" spans="1:12" x14ac:dyDescent="0.25">
      <c r="A2389" s="40" t="s">
        <v>38</v>
      </c>
      <c r="B2389" s="40" t="s">
        <v>4221</v>
      </c>
      <c r="C2389" s="40" t="s">
        <v>4222</v>
      </c>
      <c r="D2389" s="40" t="s">
        <v>2233</v>
      </c>
      <c r="E2389" s="40" t="s">
        <v>2233</v>
      </c>
      <c r="F2389" s="40">
        <v>1</v>
      </c>
      <c r="G2389" s="40"/>
      <c r="H2389" s="40" t="s">
        <v>2234</v>
      </c>
      <c r="I2389" s="40"/>
      <c r="J2389" s="40" t="s">
        <v>97</v>
      </c>
      <c r="K2389" s="40" t="s">
        <v>97</v>
      </c>
      <c r="L2389" s="40" t="s">
        <v>97</v>
      </c>
    </row>
    <row r="2390" spans="1:12" x14ac:dyDescent="0.25">
      <c r="A2390" s="40" t="s">
        <v>38</v>
      </c>
      <c r="B2390" s="40" t="s">
        <v>4223</v>
      </c>
      <c r="C2390" s="40" t="s">
        <v>4224</v>
      </c>
      <c r="D2390" s="40" t="s">
        <v>2233</v>
      </c>
      <c r="E2390" s="40" t="s">
        <v>2233</v>
      </c>
      <c r="F2390" s="40">
        <v>1</v>
      </c>
      <c r="G2390" s="40"/>
      <c r="H2390" s="40" t="s">
        <v>2234</v>
      </c>
      <c r="I2390" s="40"/>
      <c r="J2390" s="40" t="s">
        <v>97</v>
      </c>
      <c r="K2390" s="40" t="s">
        <v>97</v>
      </c>
      <c r="L2390" s="40" t="s">
        <v>97</v>
      </c>
    </row>
    <row r="2391" spans="1:12" x14ac:dyDescent="0.25">
      <c r="A2391" s="40" t="s">
        <v>38</v>
      </c>
      <c r="B2391" s="40" t="s">
        <v>4225</v>
      </c>
      <c r="C2391" s="40" t="s">
        <v>4226</v>
      </c>
      <c r="D2391" s="40" t="s">
        <v>2233</v>
      </c>
      <c r="E2391" s="40" t="s">
        <v>2233</v>
      </c>
      <c r="F2391" s="40">
        <v>1</v>
      </c>
      <c r="G2391" s="40"/>
      <c r="H2391" s="40" t="s">
        <v>2234</v>
      </c>
      <c r="I2391" s="40"/>
      <c r="J2391" s="40" t="s">
        <v>97</v>
      </c>
      <c r="K2391" s="40" t="s">
        <v>97</v>
      </c>
      <c r="L2391" s="40" t="s">
        <v>97</v>
      </c>
    </row>
    <row r="2392" spans="1:12" x14ac:dyDescent="0.25">
      <c r="A2392" s="40" t="s">
        <v>38</v>
      </c>
      <c r="B2392" s="40" t="s">
        <v>4227</v>
      </c>
      <c r="C2392" s="40" t="s">
        <v>4228</v>
      </c>
      <c r="D2392" s="40" t="s">
        <v>2233</v>
      </c>
      <c r="E2392" s="40" t="s">
        <v>2233</v>
      </c>
      <c r="F2392" s="40">
        <v>1</v>
      </c>
      <c r="G2392" s="40"/>
      <c r="H2392" s="40" t="s">
        <v>2234</v>
      </c>
      <c r="I2392" s="40"/>
      <c r="J2392" s="40" t="s">
        <v>97</v>
      </c>
      <c r="K2392" s="40" t="s">
        <v>97</v>
      </c>
      <c r="L2392" s="40" t="s">
        <v>97</v>
      </c>
    </row>
    <row r="2393" spans="1:12" x14ac:dyDescent="0.25">
      <c r="A2393" s="40" t="s">
        <v>38</v>
      </c>
      <c r="B2393" s="40" t="s">
        <v>4229</v>
      </c>
      <c r="C2393" s="40" t="s">
        <v>4230</v>
      </c>
      <c r="D2393" s="40" t="s">
        <v>2233</v>
      </c>
      <c r="E2393" s="40" t="s">
        <v>2233</v>
      </c>
      <c r="F2393" s="40">
        <v>1</v>
      </c>
      <c r="G2393" s="40"/>
      <c r="H2393" s="40" t="s">
        <v>2234</v>
      </c>
      <c r="I2393" s="40"/>
      <c r="J2393" s="40" t="s">
        <v>97</v>
      </c>
      <c r="K2393" s="40" t="s">
        <v>97</v>
      </c>
      <c r="L2393" s="40" t="s">
        <v>97</v>
      </c>
    </row>
    <row r="2394" spans="1:12" x14ac:dyDescent="0.25">
      <c r="A2394" s="40" t="s">
        <v>38</v>
      </c>
      <c r="B2394" s="40" t="s">
        <v>4231</v>
      </c>
      <c r="C2394" s="40" t="s">
        <v>4232</v>
      </c>
      <c r="D2394" s="40" t="s">
        <v>2233</v>
      </c>
      <c r="E2394" s="40" t="s">
        <v>2233</v>
      </c>
      <c r="F2394" s="40">
        <v>1</v>
      </c>
      <c r="G2394" s="40"/>
      <c r="H2394" s="40" t="s">
        <v>2234</v>
      </c>
      <c r="I2394" s="40"/>
      <c r="J2394" s="40" t="s">
        <v>97</v>
      </c>
      <c r="K2394" s="40" t="s">
        <v>97</v>
      </c>
      <c r="L2394" s="40" t="s">
        <v>97</v>
      </c>
    </row>
    <row r="2395" spans="1:12" x14ac:dyDescent="0.25">
      <c r="A2395" s="40" t="s">
        <v>38</v>
      </c>
      <c r="B2395" s="40" t="s">
        <v>4233</v>
      </c>
      <c r="C2395" s="40" t="s">
        <v>4234</v>
      </c>
      <c r="D2395" s="40" t="s">
        <v>2233</v>
      </c>
      <c r="E2395" s="40" t="s">
        <v>2233</v>
      </c>
      <c r="F2395" s="40">
        <v>1</v>
      </c>
      <c r="G2395" s="40"/>
      <c r="H2395" s="40" t="s">
        <v>2234</v>
      </c>
      <c r="I2395" s="40"/>
      <c r="J2395" s="40" t="s">
        <v>97</v>
      </c>
      <c r="K2395" s="40" t="s">
        <v>97</v>
      </c>
      <c r="L2395" s="40" t="s">
        <v>97</v>
      </c>
    </row>
    <row r="2396" spans="1:12" x14ac:dyDescent="0.25">
      <c r="A2396" s="40" t="s">
        <v>38</v>
      </c>
      <c r="B2396" s="40" t="s">
        <v>4235</v>
      </c>
      <c r="C2396" s="40" t="s">
        <v>4236</v>
      </c>
      <c r="D2396" s="40" t="s">
        <v>2233</v>
      </c>
      <c r="E2396" s="40" t="s">
        <v>2233</v>
      </c>
      <c r="F2396" s="40">
        <v>1</v>
      </c>
      <c r="G2396" s="40"/>
      <c r="H2396" s="40" t="s">
        <v>2234</v>
      </c>
      <c r="I2396" s="40"/>
      <c r="J2396" s="40" t="s">
        <v>97</v>
      </c>
      <c r="K2396" s="40" t="s">
        <v>97</v>
      </c>
      <c r="L2396" s="40" t="s">
        <v>97</v>
      </c>
    </row>
    <row r="2397" spans="1:12" x14ac:dyDescent="0.25">
      <c r="A2397" s="40" t="s">
        <v>38</v>
      </c>
      <c r="B2397" s="40" t="s">
        <v>4237</v>
      </c>
      <c r="C2397" s="40" t="s">
        <v>4238</v>
      </c>
      <c r="D2397" s="40" t="s">
        <v>2233</v>
      </c>
      <c r="E2397" s="40" t="s">
        <v>2233</v>
      </c>
      <c r="F2397" s="40">
        <v>1</v>
      </c>
      <c r="G2397" s="40"/>
      <c r="H2397" s="40" t="s">
        <v>2234</v>
      </c>
      <c r="I2397" s="40"/>
      <c r="J2397" s="40" t="s">
        <v>97</v>
      </c>
      <c r="K2397" s="40" t="s">
        <v>97</v>
      </c>
      <c r="L2397" s="40" t="s">
        <v>97</v>
      </c>
    </row>
    <row r="2398" spans="1:12" x14ac:dyDescent="0.25">
      <c r="A2398" s="40" t="s">
        <v>38</v>
      </c>
      <c r="B2398" s="40" t="s">
        <v>4239</v>
      </c>
      <c r="C2398" s="40" t="s">
        <v>4240</v>
      </c>
      <c r="D2398" s="40" t="s">
        <v>2233</v>
      </c>
      <c r="E2398" s="40" t="s">
        <v>2233</v>
      </c>
      <c r="F2398" s="40">
        <v>1</v>
      </c>
      <c r="G2398" s="40"/>
      <c r="H2398" s="40" t="s">
        <v>2234</v>
      </c>
      <c r="I2398" s="40"/>
      <c r="J2398" s="40" t="s">
        <v>97</v>
      </c>
      <c r="K2398" s="40" t="s">
        <v>97</v>
      </c>
      <c r="L2398" s="40" t="s">
        <v>97</v>
      </c>
    </row>
    <row r="2399" spans="1:12" x14ac:dyDescent="0.25">
      <c r="A2399" s="40" t="s">
        <v>38</v>
      </c>
      <c r="B2399" s="40" t="s">
        <v>4241</v>
      </c>
      <c r="C2399" s="40" t="s">
        <v>4242</v>
      </c>
      <c r="D2399" s="40" t="s">
        <v>2233</v>
      </c>
      <c r="E2399" s="40" t="s">
        <v>2233</v>
      </c>
      <c r="F2399" s="40">
        <v>1</v>
      </c>
      <c r="G2399" s="40"/>
      <c r="H2399" s="40" t="s">
        <v>2234</v>
      </c>
      <c r="I2399" s="40"/>
      <c r="J2399" s="40" t="s">
        <v>97</v>
      </c>
      <c r="K2399" s="40" t="s">
        <v>97</v>
      </c>
      <c r="L2399" s="40" t="s">
        <v>97</v>
      </c>
    </row>
    <row r="2400" spans="1:12" x14ac:dyDescent="0.25">
      <c r="A2400" s="40" t="s">
        <v>38</v>
      </c>
      <c r="B2400" s="40" t="s">
        <v>4243</v>
      </c>
      <c r="C2400" s="40" t="s">
        <v>4244</v>
      </c>
      <c r="D2400" s="40" t="s">
        <v>2233</v>
      </c>
      <c r="E2400" s="40" t="s">
        <v>2233</v>
      </c>
      <c r="F2400" s="40">
        <v>1</v>
      </c>
      <c r="G2400" s="40"/>
      <c r="H2400" s="40" t="s">
        <v>2234</v>
      </c>
      <c r="I2400" s="40"/>
      <c r="J2400" s="40" t="s">
        <v>97</v>
      </c>
      <c r="K2400" s="40" t="s">
        <v>97</v>
      </c>
      <c r="L2400" s="40" t="s">
        <v>97</v>
      </c>
    </row>
    <row r="2401" spans="1:12" x14ac:dyDescent="0.25">
      <c r="A2401" s="40" t="s">
        <v>38</v>
      </c>
      <c r="B2401" s="40" t="s">
        <v>4245</v>
      </c>
      <c r="C2401" s="40" t="s">
        <v>4246</v>
      </c>
      <c r="D2401" s="40" t="s">
        <v>2233</v>
      </c>
      <c r="E2401" s="40" t="s">
        <v>2233</v>
      </c>
      <c r="F2401" s="40">
        <v>1</v>
      </c>
      <c r="G2401" s="40"/>
      <c r="H2401" s="40" t="s">
        <v>2234</v>
      </c>
      <c r="I2401" s="40"/>
      <c r="J2401" s="40" t="s">
        <v>97</v>
      </c>
      <c r="K2401" s="40" t="s">
        <v>97</v>
      </c>
      <c r="L2401" s="40" t="s">
        <v>97</v>
      </c>
    </row>
    <row r="2402" spans="1:12" x14ac:dyDescent="0.25">
      <c r="A2402" s="40" t="s">
        <v>38</v>
      </c>
      <c r="B2402" s="40" t="s">
        <v>4247</v>
      </c>
      <c r="C2402" s="40" t="s">
        <v>4248</v>
      </c>
      <c r="D2402" s="40" t="s">
        <v>2233</v>
      </c>
      <c r="E2402" s="40" t="s">
        <v>2233</v>
      </c>
      <c r="F2402" s="40">
        <v>1</v>
      </c>
      <c r="G2402" s="40"/>
      <c r="H2402" s="40" t="s">
        <v>2234</v>
      </c>
      <c r="I2402" s="40"/>
      <c r="J2402" s="40" t="s">
        <v>97</v>
      </c>
      <c r="K2402" s="40" t="s">
        <v>97</v>
      </c>
      <c r="L2402" s="40" t="s">
        <v>97</v>
      </c>
    </row>
    <row r="2403" spans="1:12" x14ac:dyDescent="0.25">
      <c r="A2403" s="40" t="s">
        <v>38</v>
      </c>
      <c r="B2403" s="40" t="s">
        <v>4249</v>
      </c>
      <c r="C2403" s="40" t="s">
        <v>4250</v>
      </c>
      <c r="D2403" s="40" t="s">
        <v>2233</v>
      </c>
      <c r="E2403" s="40" t="s">
        <v>2233</v>
      </c>
      <c r="F2403" s="40">
        <v>1</v>
      </c>
      <c r="G2403" s="40"/>
      <c r="H2403" s="40" t="s">
        <v>2234</v>
      </c>
      <c r="I2403" s="40"/>
      <c r="J2403" s="40" t="s">
        <v>97</v>
      </c>
      <c r="K2403" s="40" t="s">
        <v>97</v>
      </c>
      <c r="L2403" s="40" t="s">
        <v>97</v>
      </c>
    </row>
    <row r="2404" spans="1:12" x14ac:dyDescent="0.25">
      <c r="A2404" s="40" t="s">
        <v>38</v>
      </c>
      <c r="B2404" s="40" t="s">
        <v>4251</v>
      </c>
      <c r="C2404" s="40" t="s">
        <v>4252</v>
      </c>
      <c r="D2404" s="40" t="s">
        <v>2233</v>
      </c>
      <c r="E2404" s="40" t="s">
        <v>2233</v>
      </c>
      <c r="F2404" s="40">
        <v>1</v>
      </c>
      <c r="G2404" s="40"/>
      <c r="H2404" s="40" t="s">
        <v>2234</v>
      </c>
      <c r="I2404" s="40"/>
      <c r="J2404" s="40" t="s">
        <v>97</v>
      </c>
      <c r="K2404" s="40" t="s">
        <v>97</v>
      </c>
      <c r="L2404" s="40" t="s">
        <v>97</v>
      </c>
    </row>
    <row r="2405" spans="1:12" x14ac:dyDescent="0.25">
      <c r="A2405" s="40" t="s">
        <v>38</v>
      </c>
      <c r="B2405" s="40" t="s">
        <v>4253</v>
      </c>
      <c r="C2405" s="40" t="s">
        <v>4254</v>
      </c>
      <c r="D2405" s="40" t="s">
        <v>2233</v>
      </c>
      <c r="E2405" s="40" t="s">
        <v>2233</v>
      </c>
      <c r="F2405" s="40">
        <v>1</v>
      </c>
      <c r="G2405" s="40"/>
      <c r="H2405" s="40" t="s">
        <v>2234</v>
      </c>
      <c r="I2405" s="40"/>
      <c r="J2405" s="40" t="s">
        <v>97</v>
      </c>
      <c r="K2405" s="40" t="s">
        <v>97</v>
      </c>
      <c r="L2405" s="40" t="s">
        <v>97</v>
      </c>
    </row>
    <row r="2406" spans="1:12" x14ac:dyDescent="0.25">
      <c r="A2406" s="40" t="s">
        <v>38</v>
      </c>
      <c r="B2406" s="40" t="s">
        <v>4255</v>
      </c>
      <c r="C2406" s="40" t="s">
        <v>4256</v>
      </c>
      <c r="D2406" s="40" t="s">
        <v>2233</v>
      </c>
      <c r="E2406" s="40" t="s">
        <v>2233</v>
      </c>
      <c r="F2406" s="40">
        <v>1</v>
      </c>
      <c r="G2406" s="40"/>
      <c r="H2406" s="40" t="s">
        <v>2234</v>
      </c>
      <c r="I2406" s="40"/>
      <c r="J2406" s="40" t="s">
        <v>97</v>
      </c>
      <c r="K2406" s="40" t="s">
        <v>97</v>
      </c>
      <c r="L2406" s="40" t="s">
        <v>97</v>
      </c>
    </row>
    <row r="2407" spans="1:12" x14ac:dyDescent="0.25">
      <c r="A2407" s="40" t="s">
        <v>38</v>
      </c>
      <c r="B2407" s="40" t="s">
        <v>4257</v>
      </c>
      <c r="C2407" s="40" t="s">
        <v>4258</v>
      </c>
      <c r="D2407" s="40" t="s">
        <v>2233</v>
      </c>
      <c r="E2407" s="40" t="s">
        <v>2233</v>
      </c>
      <c r="F2407" s="40">
        <v>1</v>
      </c>
      <c r="G2407" s="40"/>
      <c r="H2407" s="40" t="s">
        <v>2234</v>
      </c>
      <c r="I2407" s="40"/>
      <c r="J2407" s="40" t="s">
        <v>97</v>
      </c>
      <c r="K2407" s="40" t="s">
        <v>97</v>
      </c>
      <c r="L2407" s="40" t="s">
        <v>97</v>
      </c>
    </row>
    <row r="2408" spans="1:12" x14ac:dyDescent="0.25">
      <c r="A2408" s="40" t="s">
        <v>38</v>
      </c>
      <c r="B2408" s="40" t="s">
        <v>4259</v>
      </c>
      <c r="C2408" s="40" t="s">
        <v>4260</v>
      </c>
      <c r="D2408" s="40" t="s">
        <v>2233</v>
      </c>
      <c r="E2408" s="40" t="s">
        <v>2233</v>
      </c>
      <c r="F2408" s="40">
        <v>1</v>
      </c>
      <c r="G2408" s="40"/>
      <c r="H2408" s="40" t="s">
        <v>2234</v>
      </c>
      <c r="I2408" s="40"/>
      <c r="J2408" s="40" t="s">
        <v>97</v>
      </c>
      <c r="K2408" s="40" t="s">
        <v>97</v>
      </c>
      <c r="L2408" s="40" t="s">
        <v>97</v>
      </c>
    </row>
    <row r="2409" spans="1:12" x14ac:dyDescent="0.25">
      <c r="A2409" s="40" t="s">
        <v>38</v>
      </c>
      <c r="B2409" s="40" t="s">
        <v>4261</v>
      </c>
      <c r="C2409" s="40" t="s">
        <v>4262</v>
      </c>
      <c r="D2409" s="40" t="s">
        <v>2233</v>
      </c>
      <c r="E2409" s="40" t="s">
        <v>2233</v>
      </c>
      <c r="F2409" s="40">
        <v>1</v>
      </c>
      <c r="G2409" s="40"/>
      <c r="H2409" s="40" t="s">
        <v>2234</v>
      </c>
      <c r="I2409" s="40"/>
      <c r="J2409" s="40" t="s">
        <v>97</v>
      </c>
      <c r="K2409" s="40" t="s">
        <v>97</v>
      </c>
      <c r="L2409" s="40" t="s">
        <v>97</v>
      </c>
    </row>
    <row r="2410" spans="1:12" x14ac:dyDescent="0.25">
      <c r="A2410" s="40" t="s">
        <v>38</v>
      </c>
      <c r="B2410" s="40" t="s">
        <v>4263</v>
      </c>
      <c r="C2410" s="40" t="s">
        <v>4264</v>
      </c>
      <c r="D2410" s="40" t="s">
        <v>2233</v>
      </c>
      <c r="E2410" s="40" t="s">
        <v>2233</v>
      </c>
      <c r="F2410" s="40">
        <v>1</v>
      </c>
      <c r="G2410" s="40"/>
      <c r="H2410" s="40" t="s">
        <v>2234</v>
      </c>
      <c r="I2410" s="40"/>
      <c r="J2410" s="40" t="s">
        <v>97</v>
      </c>
      <c r="K2410" s="40" t="s">
        <v>97</v>
      </c>
      <c r="L2410" s="40" t="s">
        <v>97</v>
      </c>
    </row>
    <row r="2411" spans="1:12" x14ac:dyDescent="0.25">
      <c r="A2411" s="40" t="s">
        <v>38</v>
      </c>
      <c r="B2411" s="40" t="s">
        <v>4265</v>
      </c>
      <c r="C2411" s="40" t="s">
        <v>4266</v>
      </c>
      <c r="D2411" s="40" t="s">
        <v>2233</v>
      </c>
      <c r="E2411" s="40" t="s">
        <v>2233</v>
      </c>
      <c r="F2411" s="40">
        <v>1</v>
      </c>
      <c r="G2411" s="40"/>
      <c r="H2411" s="40" t="s">
        <v>2234</v>
      </c>
      <c r="I2411" s="40"/>
      <c r="J2411" s="40" t="s">
        <v>97</v>
      </c>
      <c r="K2411" s="40" t="s">
        <v>97</v>
      </c>
      <c r="L2411" s="40" t="s">
        <v>97</v>
      </c>
    </row>
    <row r="2412" spans="1:12" x14ac:dyDescent="0.25">
      <c r="A2412" s="40" t="s">
        <v>38</v>
      </c>
      <c r="B2412" s="40" t="s">
        <v>4267</v>
      </c>
      <c r="C2412" s="40" t="s">
        <v>4268</v>
      </c>
      <c r="D2412" s="40" t="s">
        <v>2233</v>
      </c>
      <c r="E2412" s="40" t="s">
        <v>2233</v>
      </c>
      <c r="F2412" s="40">
        <v>1</v>
      </c>
      <c r="G2412" s="40"/>
      <c r="H2412" s="40" t="s">
        <v>2234</v>
      </c>
      <c r="I2412" s="40"/>
      <c r="J2412" s="40" t="s">
        <v>97</v>
      </c>
      <c r="K2412" s="40" t="s">
        <v>97</v>
      </c>
      <c r="L2412" s="40" t="s">
        <v>97</v>
      </c>
    </row>
    <row r="2413" spans="1:12" x14ac:dyDescent="0.25">
      <c r="A2413" s="40" t="s">
        <v>38</v>
      </c>
      <c r="B2413" s="40" t="s">
        <v>4269</v>
      </c>
      <c r="C2413" s="40" t="s">
        <v>4270</v>
      </c>
      <c r="D2413" s="40" t="s">
        <v>2233</v>
      </c>
      <c r="E2413" s="40" t="s">
        <v>2233</v>
      </c>
      <c r="F2413" s="40">
        <v>1</v>
      </c>
      <c r="G2413" s="40"/>
      <c r="H2413" s="40" t="s">
        <v>2234</v>
      </c>
      <c r="I2413" s="40"/>
      <c r="J2413" s="40" t="s">
        <v>97</v>
      </c>
      <c r="K2413" s="40" t="s">
        <v>97</v>
      </c>
      <c r="L2413" s="40" t="s">
        <v>97</v>
      </c>
    </row>
    <row r="2414" spans="1:12" x14ac:dyDescent="0.25">
      <c r="A2414" s="40" t="s">
        <v>38</v>
      </c>
      <c r="B2414" s="40" t="s">
        <v>4271</v>
      </c>
      <c r="C2414" s="40" t="s">
        <v>4272</v>
      </c>
      <c r="D2414" s="40" t="s">
        <v>2233</v>
      </c>
      <c r="E2414" s="40" t="s">
        <v>2233</v>
      </c>
      <c r="F2414" s="40">
        <v>1</v>
      </c>
      <c r="G2414" s="40"/>
      <c r="H2414" s="40" t="s">
        <v>2234</v>
      </c>
      <c r="I2414" s="40"/>
      <c r="J2414" s="40" t="s">
        <v>97</v>
      </c>
      <c r="K2414" s="40" t="s">
        <v>97</v>
      </c>
      <c r="L2414" s="40" t="s">
        <v>97</v>
      </c>
    </row>
    <row r="2415" spans="1:12" x14ac:dyDescent="0.25">
      <c r="A2415" s="40" t="s">
        <v>38</v>
      </c>
      <c r="B2415" s="40" t="s">
        <v>4273</v>
      </c>
      <c r="C2415" s="40" t="s">
        <v>4274</v>
      </c>
      <c r="D2415" s="40" t="s">
        <v>2233</v>
      </c>
      <c r="E2415" s="40" t="s">
        <v>2233</v>
      </c>
      <c r="F2415" s="40">
        <v>1</v>
      </c>
      <c r="G2415" s="40"/>
      <c r="H2415" s="40" t="s">
        <v>2234</v>
      </c>
      <c r="I2415" s="40"/>
      <c r="J2415" s="40" t="s">
        <v>97</v>
      </c>
      <c r="K2415" s="40" t="s">
        <v>97</v>
      </c>
      <c r="L2415" s="40" t="s">
        <v>97</v>
      </c>
    </row>
    <row r="2416" spans="1:12" x14ac:dyDescent="0.25">
      <c r="A2416" s="40" t="s">
        <v>38</v>
      </c>
      <c r="B2416" s="40" t="s">
        <v>4275</v>
      </c>
      <c r="C2416" s="40" t="s">
        <v>4276</v>
      </c>
      <c r="D2416" s="40" t="s">
        <v>2233</v>
      </c>
      <c r="E2416" s="40" t="s">
        <v>2233</v>
      </c>
      <c r="F2416" s="40">
        <v>1</v>
      </c>
      <c r="G2416" s="40"/>
      <c r="H2416" s="40" t="s">
        <v>2234</v>
      </c>
      <c r="I2416" s="40"/>
      <c r="J2416" s="40" t="s">
        <v>97</v>
      </c>
      <c r="K2416" s="40" t="s">
        <v>97</v>
      </c>
      <c r="L2416" s="40" t="s">
        <v>97</v>
      </c>
    </row>
    <row r="2417" spans="1:12" x14ac:dyDescent="0.25">
      <c r="A2417" s="40" t="s">
        <v>38</v>
      </c>
      <c r="B2417" s="40" t="s">
        <v>4277</v>
      </c>
      <c r="C2417" s="40" t="s">
        <v>4278</v>
      </c>
      <c r="D2417" s="40" t="s">
        <v>2233</v>
      </c>
      <c r="E2417" s="40" t="s">
        <v>2233</v>
      </c>
      <c r="F2417" s="40">
        <v>1</v>
      </c>
      <c r="G2417" s="40"/>
      <c r="H2417" s="40" t="s">
        <v>2234</v>
      </c>
      <c r="I2417" s="40"/>
      <c r="J2417" s="40" t="s">
        <v>97</v>
      </c>
      <c r="K2417" s="40" t="s">
        <v>97</v>
      </c>
      <c r="L2417" s="40" t="s">
        <v>97</v>
      </c>
    </row>
    <row r="2418" spans="1:12" x14ac:dyDescent="0.25">
      <c r="A2418" s="40" t="s">
        <v>38</v>
      </c>
      <c r="B2418" s="40" t="s">
        <v>4279</v>
      </c>
      <c r="C2418" s="40" t="s">
        <v>4280</v>
      </c>
      <c r="D2418" s="40" t="s">
        <v>2233</v>
      </c>
      <c r="E2418" s="40" t="s">
        <v>2233</v>
      </c>
      <c r="F2418" s="40">
        <v>1</v>
      </c>
      <c r="G2418" s="40"/>
      <c r="H2418" s="40" t="s">
        <v>2234</v>
      </c>
      <c r="I2418" s="40"/>
      <c r="J2418" s="40" t="s">
        <v>97</v>
      </c>
      <c r="K2418" s="40" t="s">
        <v>97</v>
      </c>
      <c r="L2418" s="40" t="s">
        <v>97</v>
      </c>
    </row>
    <row r="2419" spans="1:12" x14ac:dyDescent="0.25">
      <c r="A2419" s="40" t="s">
        <v>38</v>
      </c>
      <c r="B2419" s="40" t="s">
        <v>4281</v>
      </c>
      <c r="C2419" s="40" t="s">
        <v>4282</v>
      </c>
      <c r="D2419" s="40" t="s">
        <v>2233</v>
      </c>
      <c r="E2419" s="40" t="s">
        <v>2233</v>
      </c>
      <c r="F2419" s="40">
        <v>1</v>
      </c>
      <c r="G2419" s="40"/>
      <c r="H2419" s="40" t="s">
        <v>2234</v>
      </c>
      <c r="I2419" s="40"/>
      <c r="J2419" s="40" t="s">
        <v>97</v>
      </c>
      <c r="K2419" s="40" t="s">
        <v>97</v>
      </c>
      <c r="L2419" s="40" t="s">
        <v>97</v>
      </c>
    </row>
    <row r="2420" spans="1:12" x14ac:dyDescent="0.25">
      <c r="A2420" s="40" t="s">
        <v>38</v>
      </c>
      <c r="B2420" s="40" t="s">
        <v>4283</v>
      </c>
      <c r="C2420" s="40" t="s">
        <v>4284</v>
      </c>
      <c r="D2420" s="40" t="s">
        <v>2233</v>
      </c>
      <c r="E2420" s="40" t="s">
        <v>2233</v>
      </c>
      <c r="F2420" s="40">
        <v>1</v>
      </c>
      <c r="G2420" s="40"/>
      <c r="H2420" s="40" t="s">
        <v>2234</v>
      </c>
      <c r="I2420" s="40"/>
      <c r="J2420" s="40" t="s">
        <v>97</v>
      </c>
      <c r="K2420" s="40" t="s">
        <v>97</v>
      </c>
      <c r="L2420" s="40" t="s">
        <v>97</v>
      </c>
    </row>
    <row r="2421" spans="1:12" x14ac:dyDescent="0.25">
      <c r="A2421" s="40" t="s">
        <v>38</v>
      </c>
      <c r="B2421" s="40" t="s">
        <v>4285</v>
      </c>
      <c r="C2421" s="40" t="s">
        <v>4286</v>
      </c>
      <c r="D2421" s="40" t="s">
        <v>2233</v>
      </c>
      <c r="E2421" s="40" t="s">
        <v>2233</v>
      </c>
      <c r="F2421" s="40">
        <v>1</v>
      </c>
      <c r="G2421" s="40"/>
      <c r="H2421" s="40" t="s">
        <v>2234</v>
      </c>
      <c r="I2421" s="40"/>
      <c r="J2421" s="40" t="s">
        <v>97</v>
      </c>
      <c r="K2421" s="40" t="s">
        <v>97</v>
      </c>
      <c r="L2421" s="40" t="s">
        <v>97</v>
      </c>
    </row>
    <row r="2422" spans="1:12" x14ac:dyDescent="0.25">
      <c r="A2422" s="40" t="s">
        <v>38</v>
      </c>
      <c r="B2422" s="40" t="s">
        <v>4287</v>
      </c>
      <c r="C2422" s="40" t="s">
        <v>4288</v>
      </c>
      <c r="D2422" s="40" t="s">
        <v>2233</v>
      </c>
      <c r="E2422" s="40" t="s">
        <v>2233</v>
      </c>
      <c r="F2422" s="40">
        <v>1</v>
      </c>
      <c r="G2422" s="40"/>
      <c r="H2422" s="40" t="s">
        <v>2234</v>
      </c>
      <c r="I2422" s="40"/>
      <c r="J2422" s="40" t="s">
        <v>97</v>
      </c>
      <c r="K2422" s="40" t="s">
        <v>97</v>
      </c>
      <c r="L2422" s="40" t="s">
        <v>97</v>
      </c>
    </row>
    <row r="2423" spans="1:12" x14ac:dyDescent="0.25">
      <c r="A2423" s="40" t="s">
        <v>38</v>
      </c>
      <c r="B2423" s="40" t="s">
        <v>4289</v>
      </c>
      <c r="C2423" s="40" t="s">
        <v>4290</v>
      </c>
      <c r="D2423" s="40" t="s">
        <v>2233</v>
      </c>
      <c r="E2423" s="40" t="s">
        <v>2233</v>
      </c>
      <c r="F2423" s="40">
        <v>1</v>
      </c>
      <c r="G2423" s="40"/>
      <c r="H2423" s="40" t="s">
        <v>2234</v>
      </c>
      <c r="I2423" s="40"/>
      <c r="J2423" s="40" t="s">
        <v>97</v>
      </c>
      <c r="K2423" s="40" t="s">
        <v>97</v>
      </c>
      <c r="L2423" s="40" t="s">
        <v>97</v>
      </c>
    </row>
    <row r="2424" spans="1:12" x14ac:dyDescent="0.25">
      <c r="A2424" s="40" t="s">
        <v>38</v>
      </c>
      <c r="B2424" s="40" t="s">
        <v>4291</v>
      </c>
      <c r="C2424" s="40" t="s">
        <v>4292</v>
      </c>
      <c r="D2424" s="40" t="s">
        <v>2233</v>
      </c>
      <c r="E2424" s="40" t="s">
        <v>2233</v>
      </c>
      <c r="F2424" s="40">
        <v>1</v>
      </c>
      <c r="G2424" s="40"/>
      <c r="H2424" s="40" t="s">
        <v>2234</v>
      </c>
      <c r="I2424" s="40"/>
      <c r="J2424" s="40" t="s">
        <v>97</v>
      </c>
      <c r="K2424" s="40" t="s">
        <v>97</v>
      </c>
      <c r="L2424" s="40" t="s">
        <v>97</v>
      </c>
    </row>
    <row r="2425" spans="1:12" x14ac:dyDescent="0.25">
      <c r="A2425" s="40" t="s">
        <v>38</v>
      </c>
      <c r="B2425" s="40" t="s">
        <v>4293</v>
      </c>
      <c r="C2425" s="40" t="s">
        <v>4294</v>
      </c>
      <c r="D2425" s="40" t="s">
        <v>2233</v>
      </c>
      <c r="E2425" s="40" t="s">
        <v>2233</v>
      </c>
      <c r="F2425" s="40">
        <v>1</v>
      </c>
      <c r="G2425" s="40"/>
      <c r="H2425" s="40" t="s">
        <v>2234</v>
      </c>
      <c r="I2425" s="40"/>
      <c r="J2425" s="40" t="s">
        <v>97</v>
      </c>
      <c r="K2425" s="40" t="s">
        <v>97</v>
      </c>
      <c r="L2425" s="40" t="s">
        <v>97</v>
      </c>
    </row>
    <row r="2426" spans="1:12" x14ac:dyDescent="0.25">
      <c r="A2426" s="40" t="s">
        <v>38</v>
      </c>
      <c r="B2426" s="40" t="s">
        <v>4295</v>
      </c>
      <c r="C2426" s="40" t="s">
        <v>4296</v>
      </c>
      <c r="D2426" s="40" t="s">
        <v>2233</v>
      </c>
      <c r="E2426" s="40" t="s">
        <v>2233</v>
      </c>
      <c r="F2426" s="40">
        <v>1</v>
      </c>
      <c r="G2426" s="40"/>
      <c r="H2426" s="40" t="s">
        <v>2234</v>
      </c>
      <c r="I2426" s="40"/>
      <c r="J2426" s="40" t="s">
        <v>97</v>
      </c>
      <c r="K2426" s="40" t="s">
        <v>97</v>
      </c>
      <c r="L2426" s="40" t="s">
        <v>97</v>
      </c>
    </row>
    <row r="2427" spans="1:12" x14ac:dyDescent="0.25">
      <c r="A2427" s="40" t="s">
        <v>38</v>
      </c>
      <c r="B2427" s="40" t="s">
        <v>4297</v>
      </c>
      <c r="C2427" s="40" t="s">
        <v>4298</v>
      </c>
      <c r="D2427" s="40" t="s">
        <v>2233</v>
      </c>
      <c r="E2427" s="40" t="s">
        <v>2233</v>
      </c>
      <c r="F2427" s="40">
        <v>1</v>
      </c>
      <c r="G2427" s="40"/>
      <c r="H2427" s="40" t="s">
        <v>2234</v>
      </c>
      <c r="I2427" s="40"/>
      <c r="J2427" s="40" t="s">
        <v>97</v>
      </c>
      <c r="K2427" s="40" t="s">
        <v>97</v>
      </c>
      <c r="L2427" s="40" t="s">
        <v>97</v>
      </c>
    </row>
    <row r="2428" spans="1:12" x14ac:dyDescent="0.25">
      <c r="A2428" s="40" t="s">
        <v>38</v>
      </c>
      <c r="B2428" s="40" t="s">
        <v>4299</v>
      </c>
      <c r="C2428" s="40" t="s">
        <v>4300</v>
      </c>
      <c r="D2428" s="40" t="s">
        <v>2233</v>
      </c>
      <c r="E2428" s="40" t="s">
        <v>2233</v>
      </c>
      <c r="F2428" s="40">
        <v>1</v>
      </c>
      <c r="G2428" s="40"/>
      <c r="H2428" s="40" t="s">
        <v>2234</v>
      </c>
      <c r="I2428" s="40"/>
      <c r="J2428" s="40" t="s">
        <v>97</v>
      </c>
      <c r="K2428" s="40" t="s">
        <v>97</v>
      </c>
      <c r="L2428" s="40" t="s">
        <v>97</v>
      </c>
    </row>
    <row r="2429" spans="1:12" x14ac:dyDescent="0.25">
      <c r="A2429" s="40" t="s">
        <v>38</v>
      </c>
      <c r="B2429" s="40" t="s">
        <v>4301</v>
      </c>
      <c r="C2429" s="40" t="s">
        <v>4302</v>
      </c>
      <c r="D2429" s="40" t="s">
        <v>2233</v>
      </c>
      <c r="E2429" s="40" t="s">
        <v>2233</v>
      </c>
      <c r="F2429" s="40">
        <v>1</v>
      </c>
      <c r="G2429" s="40"/>
      <c r="H2429" s="40" t="s">
        <v>2234</v>
      </c>
      <c r="I2429" s="40"/>
      <c r="J2429" s="40" t="s">
        <v>97</v>
      </c>
      <c r="K2429" s="40" t="s">
        <v>97</v>
      </c>
      <c r="L2429" s="40" t="s">
        <v>97</v>
      </c>
    </row>
    <row r="2430" spans="1:12" x14ac:dyDescent="0.25">
      <c r="A2430" s="40" t="s">
        <v>38</v>
      </c>
      <c r="B2430" s="40" t="s">
        <v>4303</v>
      </c>
      <c r="C2430" s="40" t="s">
        <v>4304</v>
      </c>
      <c r="D2430" s="40" t="s">
        <v>2233</v>
      </c>
      <c r="E2430" s="40" t="s">
        <v>2233</v>
      </c>
      <c r="F2430" s="40">
        <v>1</v>
      </c>
      <c r="G2430" s="40"/>
      <c r="H2430" s="40" t="s">
        <v>2234</v>
      </c>
      <c r="I2430" s="40"/>
      <c r="J2430" s="40" t="s">
        <v>97</v>
      </c>
      <c r="K2430" s="40" t="s">
        <v>97</v>
      </c>
      <c r="L2430" s="40" t="s">
        <v>97</v>
      </c>
    </row>
    <row r="2431" spans="1:12" x14ac:dyDescent="0.25">
      <c r="A2431" s="40" t="s">
        <v>38</v>
      </c>
      <c r="B2431" s="40" t="s">
        <v>4305</v>
      </c>
      <c r="C2431" s="40" t="s">
        <v>4306</v>
      </c>
      <c r="D2431" s="40" t="s">
        <v>2233</v>
      </c>
      <c r="E2431" s="40" t="s">
        <v>2233</v>
      </c>
      <c r="F2431" s="40">
        <v>1</v>
      </c>
      <c r="G2431" s="40"/>
      <c r="H2431" s="40" t="s">
        <v>2234</v>
      </c>
      <c r="I2431" s="40"/>
      <c r="J2431" s="40" t="s">
        <v>97</v>
      </c>
      <c r="K2431" s="40" t="s">
        <v>97</v>
      </c>
      <c r="L2431" s="40" t="s">
        <v>97</v>
      </c>
    </row>
    <row r="2432" spans="1:12" x14ac:dyDescent="0.25">
      <c r="A2432" s="40" t="s">
        <v>38</v>
      </c>
      <c r="B2432" s="40" t="s">
        <v>4307</v>
      </c>
      <c r="C2432" s="40" t="s">
        <v>4308</v>
      </c>
      <c r="D2432" s="40" t="s">
        <v>2233</v>
      </c>
      <c r="E2432" s="40" t="s">
        <v>2233</v>
      </c>
      <c r="F2432" s="40">
        <v>1</v>
      </c>
      <c r="G2432" s="40"/>
      <c r="H2432" s="40" t="s">
        <v>2234</v>
      </c>
      <c r="I2432" s="40"/>
      <c r="J2432" s="40" t="s">
        <v>97</v>
      </c>
      <c r="K2432" s="40" t="s">
        <v>97</v>
      </c>
      <c r="L2432" s="40" t="s">
        <v>97</v>
      </c>
    </row>
    <row r="2433" spans="1:12" x14ac:dyDescent="0.25">
      <c r="A2433" s="40" t="s">
        <v>38</v>
      </c>
      <c r="B2433" s="40" t="s">
        <v>4309</v>
      </c>
      <c r="C2433" s="40" t="s">
        <v>4310</v>
      </c>
      <c r="D2433" s="40" t="s">
        <v>2233</v>
      </c>
      <c r="E2433" s="40" t="s">
        <v>2233</v>
      </c>
      <c r="F2433" s="40">
        <v>1</v>
      </c>
      <c r="G2433" s="40"/>
      <c r="H2433" s="40" t="s">
        <v>2234</v>
      </c>
      <c r="I2433" s="40"/>
      <c r="J2433" s="40" t="s">
        <v>97</v>
      </c>
      <c r="K2433" s="40" t="s">
        <v>97</v>
      </c>
      <c r="L2433" s="40" t="s">
        <v>97</v>
      </c>
    </row>
    <row r="2434" spans="1:12" x14ac:dyDescent="0.25">
      <c r="A2434" s="40" t="s">
        <v>38</v>
      </c>
      <c r="B2434" s="40" t="s">
        <v>4311</v>
      </c>
      <c r="C2434" s="40" t="s">
        <v>4312</v>
      </c>
      <c r="D2434" s="40" t="s">
        <v>2233</v>
      </c>
      <c r="E2434" s="40" t="s">
        <v>2233</v>
      </c>
      <c r="F2434" s="40">
        <v>1</v>
      </c>
      <c r="G2434" s="40"/>
      <c r="H2434" s="40" t="s">
        <v>2234</v>
      </c>
      <c r="I2434" s="40"/>
      <c r="J2434" s="40" t="s">
        <v>97</v>
      </c>
      <c r="K2434" s="40" t="s">
        <v>97</v>
      </c>
      <c r="L2434" s="40" t="s">
        <v>97</v>
      </c>
    </row>
    <row r="2435" spans="1:12" x14ac:dyDescent="0.25">
      <c r="A2435" s="40" t="s">
        <v>38</v>
      </c>
      <c r="B2435" s="40" t="s">
        <v>4313</v>
      </c>
      <c r="C2435" s="40" t="s">
        <v>4314</v>
      </c>
      <c r="D2435" s="40" t="s">
        <v>2233</v>
      </c>
      <c r="E2435" s="40" t="s">
        <v>2233</v>
      </c>
      <c r="F2435" s="40">
        <v>1</v>
      </c>
      <c r="G2435" s="40"/>
      <c r="H2435" s="40" t="s">
        <v>2234</v>
      </c>
      <c r="I2435" s="40"/>
      <c r="J2435" s="40" t="s">
        <v>97</v>
      </c>
      <c r="K2435" s="40" t="s">
        <v>97</v>
      </c>
      <c r="L2435" s="40" t="s">
        <v>97</v>
      </c>
    </row>
    <row r="2436" spans="1:12" x14ac:dyDescent="0.25">
      <c r="A2436" s="40" t="s">
        <v>38</v>
      </c>
      <c r="B2436" s="40" t="s">
        <v>4315</v>
      </c>
      <c r="C2436" s="40" t="s">
        <v>4316</v>
      </c>
      <c r="D2436" s="40" t="s">
        <v>2233</v>
      </c>
      <c r="E2436" s="40" t="s">
        <v>2233</v>
      </c>
      <c r="F2436" s="40">
        <v>1</v>
      </c>
      <c r="G2436" s="40"/>
      <c r="H2436" s="40" t="s">
        <v>2234</v>
      </c>
      <c r="I2436" s="40"/>
      <c r="J2436" s="40" t="s">
        <v>97</v>
      </c>
      <c r="K2436" s="40" t="s">
        <v>97</v>
      </c>
      <c r="L2436" s="40" t="s">
        <v>97</v>
      </c>
    </row>
    <row r="2437" spans="1:12" x14ac:dyDescent="0.25">
      <c r="A2437" s="40" t="s">
        <v>38</v>
      </c>
      <c r="B2437" s="40" t="s">
        <v>4317</v>
      </c>
      <c r="C2437" s="40" t="s">
        <v>4318</v>
      </c>
      <c r="D2437" s="40" t="s">
        <v>2233</v>
      </c>
      <c r="E2437" s="40" t="s">
        <v>2233</v>
      </c>
      <c r="F2437" s="40">
        <v>1</v>
      </c>
      <c r="G2437" s="40"/>
      <c r="H2437" s="40" t="s">
        <v>2234</v>
      </c>
      <c r="I2437" s="40"/>
      <c r="J2437" s="40" t="s">
        <v>97</v>
      </c>
      <c r="K2437" s="40" t="s">
        <v>97</v>
      </c>
      <c r="L2437" s="40" t="s">
        <v>97</v>
      </c>
    </row>
    <row r="2438" spans="1:12" x14ac:dyDescent="0.25">
      <c r="A2438" s="40" t="s">
        <v>38</v>
      </c>
      <c r="B2438" s="40" t="s">
        <v>4319</v>
      </c>
      <c r="C2438" s="40" t="s">
        <v>4320</v>
      </c>
      <c r="D2438" s="40" t="s">
        <v>2233</v>
      </c>
      <c r="E2438" s="40" t="s">
        <v>2233</v>
      </c>
      <c r="F2438" s="40">
        <v>1</v>
      </c>
      <c r="G2438" s="40"/>
      <c r="H2438" s="40" t="s">
        <v>2234</v>
      </c>
      <c r="I2438" s="40"/>
      <c r="J2438" s="40" t="s">
        <v>97</v>
      </c>
      <c r="K2438" s="40" t="s">
        <v>97</v>
      </c>
      <c r="L2438" s="40" t="s">
        <v>97</v>
      </c>
    </row>
    <row r="2439" spans="1:12" x14ac:dyDescent="0.25">
      <c r="A2439" s="40" t="s">
        <v>38</v>
      </c>
      <c r="B2439" s="40" t="s">
        <v>4321</v>
      </c>
      <c r="C2439" s="40" t="s">
        <v>4322</v>
      </c>
      <c r="D2439" s="40" t="s">
        <v>2233</v>
      </c>
      <c r="E2439" s="40" t="s">
        <v>2233</v>
      </c>
      <c r="F2439" s="40">
        <v>1</v>
      </c>
      <c r="G2439" s="40"/>
      <c r="H2439" s="40" t="s">
        <v>2234</v>
      </c>
      <c r="I2439" s="40"/>
      <c r="J2439" s="40" t="s">
        <v>97</v>
      </c>
      <c r="K2439" s="40" t="s">
        <v>97</v>
      </c>
      <c r="L2439" s="40" t="s">
        <v>97</v>
      </c>
    </row>
    <row r="2440" spans="1:12" x14ac:dyDescent="0.25">
      <c r="A2440" s="40" t="s">
        <v>38</v>
      </c>
      <c r="B2440" s="40" t="s">
        <v>4323</v>
      </c>
      <c r="C2440" s="40" t="s">
        <v>4324</v>
      </c>
      <c r="D2440" s="40" t="s">
        <v>2233</v>
      </c>
      <c r="E2440" s="40" t="s">
        <v>2233</v>
      </c>
      <c r="F2440" s="40">
        <v>1</v>
      </c>
      <c r="G2440" s="40"/>
      <c r="H2440" s="40" t="s">
        <v>2234</v>
      </c>
      <c r="I2440" s="40"/>
      <c r="J2440" s="40" t="s">
        <v>97</v>
      </c>
      <c r="K2440" s="40" t="s">
        <v>97</v>
      </c>
      <c r="L2440" s="40" t="s">
        <v>97</v>
      </c>
    </row>
    <row r="2441" spans="1:12" x14ac:dyDescent="0.25">
      <c r="A2441" s="40" t="s">
        <v>38</v>
      </c>
      <c r="B2441" s="40" t="s">
        <v>4325</v>
      </c>
      <c r="C2441" s="40" t="s">
        <v>4326</v>
      </c>
      <c r="D2441" s="40" t="s">
        <v>2233</v>
      </c>
      <c r="E2441" s="40" t="s">
        <v>2233</v>
      </c>
      <c r="F2441" s="40">
        <v>1</v>
      </c>
      <c r="G2441" s="40"/>
      <c r="H2441" s="40" t="s">
        <v>2234</v>
      </c>
      <c r="I2441" s="40"/>
      <c r="J2441" s="40" t="s">
        <v>97</v>
      </c>
      <c r="K2441" s="40" t="s">
        <v>97</v>
      </c>
      <c r="L2441" s="40" t="s">
        <v>97</v>
      </c>
    </row>
    <row r="2442" spans="1:12" x14ac:dyDescent="0.25">
      <c r="A2442" s="40" t="s">
        <v>38</v>
      </c>
      <c r="B2442" s="40" t="s">
        <v>4327</v>
      </c>
      <c r="C2442" s="40" t="s">
        <v>4328</v>
      </c>
      <c r="D2442" s="40" t="s">
        <v>2233</v>
      </c>
      <c r="E2442" s="40" t="s">
        <v>2233</v>
      </c>
      <c r="F2442" s="40">
        <v>1</v>
      </c>
      <c r="G2442" s="40"/>
      <c r="H2442" s="40" t="s">
        <v>2234</v>
      </c>
      <c r="I2442" s="40"/>
      <c r="J2442" s="40" t="s">
        <v>97</v>
      </c>
      <c r="K2442" s="40" t="s">
        <v>97</v>
      </c>
      <c r="L2442" s="40" t="s">
        <v>97</v>
      </c>
    </row>
    <row r="2443" spans="1:12" x14ac:dyDescent="0.25">
      <c r="A2443" s="40" t="s">
        <v>38</v>
      </c>
      <c r="B2443" s="40" t="s">
        <v>4329</v>
      </c>
      <c r="C2443" s="40" t="s">
        <v>4330</v>
      </c>
      <c r="D2443" s="40" t="s">
        <v>2233</v>
      </c>
      <c r="E2443" s="40" t="s">
        <v>2233</v>
      </c>
      <c r="F2443" s="40">
        <v>1</v>
      </c>
      <c r="G2443" s="40"/>
      <c r="H2443" s="40" t="s">
        <v>2234</v>
      </c>
      <c r="I2443" s="40"/>
      <c r="J2443" s="40" t="s">
        <v>97</v>
      </c>
      <c r="K2443" s="40" t="s">
        <v>97</v>
      </c>
      <c r="L2443" s="40" t="s">
        <v>97</v>
      </c>
    </row>
    <row r="2444" spans="1:12" x14ac:dyDescent="0.25">
      <c r="A2444" s="40" t="s">
        <v>38</v>
      </c>
      <c r="B2444" s="40" t="s">
        <v>4331</v>
      </c>
      <c r="C2444" s="40" t="s">
        <v>4332</v>
      </c>
      <c r="D2444" s="40" t="s">
        <v>2233</v>
      </c>
      <c r="E2444" s="40" t="s">
        <v>2233</v>
      </c>
      <c r="F2444" s="40">
        <v>1</v>
      </c>
      <c r="G2444" s="40"/>
      <c r="H2444" s="40" t="s">
        <v>2234</v>
      </c>
      <c r="I2444" s="40"/>
      <c r="J2444" s="40" t="s">
        <v>97</v>
      </c>
      <c r="K2444" s="40" t="s">
        <v>97</v>
      </c>
      <c r="L2444" s="40" t="s">
        <v>97</v>
      </c>
    </row>
    <row r="2445" spans="1:12" x14ac:dyDescent="0.25">
      <c r="A2445" s="40" t="s">
        <v>38</v>
      </c>
      <c r="B2445" s="40" t="s">
        <v>4333</v>
      </c>
      <c r="C2445" s="40" t="s">
        <v>4334</v>
      </c>
      <c r="D2445" s="40" t="s">
        <v>2233</v>
      </c>
      <c r="E2445" s="40" t="s">
        <v>2233</v>
      </c>
      <c r="F2445" s="40">
        <v>1</v>
      </c>
      <c r="G2445" s="40"/>
      <c r="H2445" s="40" t="s">
        <v>2234</v>
      </c>
      <c r="I2445" s="40"/>
      <c r="J2445" s="40" t="s">
        <v>97</v>
      </c>
      <c r="K2445" s="40" t="s">
        <v>97</v>
      </c>
      <c r="L2445" s="40" t="s">
        <v>97</v>
      </c>
    </row>
    <row r="2446" spans="1:12" x14ac:dyDescent="0.25">
      <c r="A2446" s="40" t="s">
        <v>38</v>
      </c>
      <c r="B2446" s="40" t="s">
        <v>4335</v>
      </c>
      <c r="C2446" s="40" t="s">
        <v>4336</v>
      </c>
      <c r="D2446" s="40" t="s">
        <v>2233</v>
      </c>
      <c r="E2446" s="40" t="s">
        <v>2233</v>
      </c>
      <c r="F2446" s="40">
        <v>1</v>
      </c>
      <c r="G2446" s="40"/>
      <c r="H2446" s="40" t="s">
        <v>2234</v>
      </c>
      <c r="I2446" s="40"/>
      <c r="J2446" s="40" t="s">
        <v>97</v>
      </c>
      <c r="K2446" s="40" t="s">
        <v>97</v>
      </c>
      <c r="L2446" s="40" t="s">
        <v>97</v>
      </c>
    </row>
    <row r="2447" spans="1:12" x14ac:dyDescent="0.25">
      <c r="A2447" s="40" t="s">
        <v>38</v>
      </c>
      <c r="B2447" s="40" t="s">
        <v>4337</v>
      </c>
      <c r="C2447" s="40" t="s">
        <v>4338</v>
      </c>
      <c r="D2447" s="40" t="s">
        <v>2233</v>
      </c>
      <c r="E2447" s="40" t="s">
        <v>2233</v>
      </c>
      <c r="F2447" s="40">
        <v>1</v>
      </c>
      <c r="G2447" s="40"/>
      <c r="H2447" s="40" t="s">
        <v>2234</v>
      </c>
      <c r="I2447" s="40"/>
      <c r="J2447" s="40" t="s">
        <v>97</v>
      </c>
      <c r="K2447" s="40" t="s">
        <v>97</v>
      </c>
      <c r="L2447" s="40" t="s">
        <v>97</v>
      </c>
    </row>
    <row r="2448" spans="1:12" x14ac:dyDescent="0.25">
      <c r="A2448" s="40" t="s">
        <v>38</v>
      </c>
      <c r="B2448" s="40" t="s">
        <v>4339</v>
      </c>
      <c r="C2448" s="40" t="s">
        <v>4340</v>
      </c>
      <c r="D2448" s="40" t="s">
        <v>2233</v>
      </c>
      <c r="E2448" s="40" t="s">
        <v>2233</v>
      </c>
      <c r="F2448" s="40">
        <v>1</v>
      </c>
      <c r="G2448" s="40"/>
      <c r="H2448" s="40" t="s">
        <v>2234</v>
      </c>
      <c r="I2448" s="40"/>
      <c r="J2448" s="40" t="s">
        <v>97</v>
      </c>
      <c r="K2448" s="40" t="s">
        <v>97</v>
      </c>
      <c r="L2448" s="40" t="s">
        <v>97</v>
      </c>
    </row>
    <row r="2449" spans="1:12" x14ac:dyDescent="0.25">
      <c r="A2449" s="40" t="s">
        <v>38</v>
      </c>
      <c r="B2449" s="40" t="s">
        <v>4341</v>
      </c>
      <c r="C2449" s="40" t="s">
        <v>4342</v>
      </c>
      <c r="D2449" s="40" t="s">
        <v>2233</v>
      </c>
      <c r="E2449" s="40" t="s">
        <v>2233</v>
      </c>
      <c r="F2449" s="40">
        <v>1</v>
      </c>
      <c r="G2449" s="40"/>
      <c r="H2449" s="40" t="s">
        <v>2234</v>
      </c>
      <c r="I2449" s="40"/>
      <c r="J2449" s="40" t="s">
        <v>97</v>
      </c>
      <c r="K2449" s="40" t="s">
        <v>97</v>
      </c>
      <c r="L2449" s="40" t="s">
        <v>97</v>
      </c>
    </row>
    <row r="2450" spans="1:12" x14ac:dyDescent="0.25">
      <c r="A2450" s="40" t="s">
        <v>38</v>
      </c>
      <c r="B2450" s="40" t="s">
        <v>4343</v>
      </c>
      <c r="C2450" s="40" t="s">
        <v>4344</v>
      </c>
      <c r="D2450" s="40" t="s">
        <v>2233</v>
      </c>
      <c r="E2450" s="40" t="s">
        <v>2233</v>
      </c>
      <c r="F2450" s="40">
        <v>1</v>
      </c>
      <c r="G2450" s="40"/>
      <c r="H2450" s="40" t="s">
        <v>2234</v>
      </c>
      <c r="I2450" s="40"/>
      <c r="J2450" s="40" t="s">
        <v>97</v>
      </c>
      <c r="K2450" s="40" t="s">
        <v>97</v>
      </c>
      <c r="L2450" s="40" t="s">
        <v>97</v>
      </c>
    </row>
    <row r="2451" spans="1:12" x14ac:dyDescent="0.25">
      <c r="A2451" s="40" t="s">
        <v>38</v>
      </c>
      <c r="B2451" s="40" t="s">
        <v>4345</v>
      </c>
      <c r="C2451" s="40" t="s">
        <v>4346</v>
      </c>
      <c r="D2451" s="40" t="s">
        <v>2233</v>
      </c>
      <c r="E2451" s="40" t="s">
        <v>2233</v>
      </c>
      <c r="F2451" s="40">
        <v>1</v>
      </c>
      <c r="G2451" s="40"/>
      <c r="H2451" s="40" t="s">
        <v>2234</v>
      </c>
      <c r="I2451" s="40"/>
      <c r="J2451" s="40" t="s">
        <v>97</v>
      </c>
      <c r="K2451" s="40" t="s">
        <v>97</v>
      </c>
      <c r="L2451" s="40" t="s">
        <v>97</v>
      </c>
    </row>
    <row r="2452" spans="1:12" x14ac:dyDescent="0.25">
      <c r="A2452" s="40" t="s">
        <v>38</v>
      </c>
      <c r="B2452" s="40" t="s">
        <v>4347</v>
      </c>
      <c r="C2452" s="40" t="s">
        <v>4348</v>
      </c>
      <c r="D2452" s="40" t="s">
        <v>2233</v>
      </c>
      <c r="E2452" s="40" t="s">
        <v>2233</v>
      </c>
      <c r="F2452" s="40">
        <v>1</v>
      </c>
      <c r="G2452" s="40"/>
      <c r="H2452" s="40" t="s">
        <v>2234</v>
      </c>
      <c r="I2452" s="40"/>
      <c r="J2452" s="40" t="s">
        <v>97</v>
      </c>
      <c r="K2452" s="40" t="s">
        <v>97</v>
      </c>
      <c r="L2452" s="40" t="s">
        <v>97</v>
      </c>
    </row>
    <row r="2453" spans="1:12" x14ac:dyDescent="0.25">
      <c r="A2453" s="40" t="s">
        <v>38</v>
      </c>
      <c r="B2453" s="40" t="s">
        <v>4349</v>
      </c>
      <c r="C2453" s="40" t="s">
        <v>4350</v>
      </c>
      <c r="D2453" s="40" t="s">
        <v>2233</v>
      </c>
      <c r="E2453" s="40" t="s">
        <v>2233</v>
      </c>
      <c r="F2453" s="40">
        <v>1</v>
      </c>
      <c r="G2453" s="40"/>
      <c r="H2453" s="40" t="s">
        <v>2234</v>
      </c>
      <c r="I2453" s="40"/>
      <c r="J2453" s="40" t="s">
        <v>97</v>
      </c>
      <c r="K2453" s="40" t="s">
        <v>97</v>
      </c>
      <c r="L2453" s="40" t="s">
        <v>97</v>
      </c>
    </row>
    <row r="2454" spans="1:12" x14ac:dyDescent="0.25">
      <c r="A2454" s="40" t="s">
        <v>38</v>
      </c>
      <c r="B2454" s="40" t="s">
        <v>4351</v>
      </c>
      <c r="C2454" s="40" t="s">
        <v>4352</v>
      </c>
      <c r="D2454" s="40" t="s">
        <v>2233</v>
      </c>
      <c r="E2454" s="40" t="s">
        <v>2233</v>
      </c>
      <c r="F2454" s="40">
        <v>1</v>
      </c>
      <c r="G2454" s="40"/>
      <c r="H2454" s="40" t="s">
        <v>2234</v>
      </c>
      <c r="I2454" s="40"/>
      <c r="J2454" s="40" t="s">
        <v>97</v>
      </c>
      <c r="K2454" s="40" t="s">
        <v>97</v>
      </c>
      <c r="L2454" s="40" t="s">
        <v>97</v>
      </c>
    </row>
    <row r="2455" spans="1:12" x14ac:dyDescent="0.25">
      <c r="A2455" s="40" t="s">
        <v>38</v>
      </c>
      <c r="B2455" s="40" t="s">
        <v>4353</v>
      </c>
      <c r="C2455" s="40" t="s">
        <v>4354</v>
      </c>
      <c r="D2455" s="40" t="s">
        <v>2233</v>
      </c>
      <c r="E2455" s="40" t="s">
        <v>2233</v>
      </c>
      <c r="F2455" s="40">
        <v>1</v>
      </c>
      <c r="G2455" s="40"/>
      <c r="H2455" s="40" t="s">
        <v>2234</v>
      </c>
      <c r="I2455" s="40"/>
      <c r="J2455" s="40" t="s">
        <v>97</v>
      </c>
      <c r="K2455" s="40" t="s">
        <v>97</v>
      </c>
      <c r="L2455" s="40" t="s">
        <v>97</v>
      </c>
    </row>
    <row r="2456" spans="1:12" x14ac:dyDescent="0.25">
      <c r="A2456" s="40" t="s">
        <v>38</v>
      </c>
      <c r="B2456" s="40" t="s">
        <v>4355</v>
      </c>
      <c r="C2456" s="40" t="s">
        <v>4356</v>
      </c>
      <c r="D2456" s="40" t="s">
        <v>2233</v>
      </c>
      <c r="E2456" s="40" t="s">
        <v>2233</v>
      </c>
      <c r="F2456" s="40">
        <v>1</v>
      </c>
      <c r="G2456" s="40"/>
      <c r="H2456" s="40" t="s">
        <v>2234</v>
      </c>
      <c r="I2456" s="40"/>
      <c r="J2456" s="40" t="s">
        <v>97</v>
      </c>
      <c r="K2456" s="40" t="s">
        <v>97</v>
      </c>
      <c r="L2456" s="40" t="s">
        <v>97</v>
      </c>
    </row>
    <row r="2457" spans="1:12" x14ac:dyDescent="0.25">
      <c r="A2457" s="40" t="s">
        <v>38</v>
      </c>
      <c r="B2457" s="40" t="s">
        <v>4357</v>
      </c>
      <c r="C2457" s="40" t="s">
        <v>4358</v>
      </c>
      <c r="D2457" s="40" t="s">
        <v>2233</v>
      </c>
      <c r="E2457" s="40" t="s">
        <v>2233</v>
      </c>
      <c r="F2457" s="40">
        <v>1</v>
      </c>
      <c r="G2457" s="40"/>
      <c r="H2457" s="40" t="s">
        <v>2234</v>
      </c>
      <c r="I2457" s="40"/>
      <c r="J2457" s="40" t="s">
        <v>97</v>
      </c>
      <c r="K2457" s="40" t="s">
        <v>97</v>
      </c>
      <c r="L2457" s="40" t="s">
        <v>97</v>
      </c>
    </row>
    <row r="2458" spans="1:12" x14ac:dyDescent="0.25">
      <c r="A2458" s="40" t="s">
        <v>38</v>
      </c>
      <c r="B2458" s="40" t="s">
        <v>4359</v>
      </c>
      <c r="C2458" s="40" t="s">
        <v>4360</v>
      </c>
      <c r="D2458" s="40" t="s">
        <v>2233</v>
      </c>
      <c r="E2458" s="40" t="s">
        <v>2233</v>
      </c>
      <c r="F2458" s="40">
        <v>1</v>
      </c>
      <c r="G2458" s="40"/>
      <c r="H2458" s="40" t="s">
        <v>2234</v>
      </c>
      <c r="I2458" s="40"/>
      <c r="J2458" s="40" t="s">
        <v>97</v>
      </c>
      <c r="K2458" s="40" t="s">
        <v>97</v>
      </c>
      <c r="L2458" s="40" t="s">
        <v>97</v>
      </c>
    </row>
    <row r="2459" spans="1:12" x14ac:dyDescent="0.25">
      <c r="A2459" s="40" t="s">
        <v>38</v>
      </c>
      <c r="B2459" s="40" t="s">
        <v>4361</v>
      </c>
      <c r="C2459" s="40" t="s">
        <v>4362</v>
      </c>
      <c r="D2459" s="40" t="s">
        <v>2233</v>
      </c>
      <c r="E2459" s="40" t="s">
        <v>2233</v>
      </c>
      <c r="F2459" s="40">
        <v>1</v>
      </c>
      <c r="G2459" s="40"/>
      <c r="H2459" s="40" t="s">
        <v>2234</v>
      </c>
      <c r="I2459" s="40"/>
      <c r="J2459" s="40" t="s">
        <v>97</v>
      </c>
      <c r="K2459" s="40" t="s">
        <v>97</v>
      </c>
      <c r="L2459" s="40" t="s">
        <v>97</v>
      </c>
    </row>
    <row r="2460" spans="1:12" x14ac:dyDescent="0.25">
      <c r="A2460" s="40" t="s">
        <v>38</v>
      </c>
      <c r="B2460" s="40" t="s">
        <v>4363</v>
      </c>
      <c r="C2460" s="40" t="s">
        <v>4364</v>
      </c>
      <c r="D2460" s="40" t="s">
        <v>2233</v>
      </c>
      <c r="E2460" s="40" t="s">
        <v>2233</v>
      </c>
      <c r="F2460" s="40">
        <v>1</v>
      </c>
      <c r="G2460" s="40"/>
      <c r="H2460" s="40" t="s">
        <v>2234</v>
      </c>
      <c r="I2460" s="40"/>
      <c r="J2460" s="40" t="s">
        <v>97</v>
      </c>
      <c r="K2460" s="40" t="s">
        <v>97</v>
      </c>
      <c r="L2460" s="40" t="s">
        <v>97</v>
      </c>
    </row>
    <row r="2461" spans="1:12" x14ac:dyDescent="0.25">
      <c r="A2461" s="40" t="s">
        <v>38</v>
      </c>
      <c r="B2461" s="40" t="s">
        <v>4365</v>
      </c>
      <c r="C2461" s="40" t="s">
        <v>4366</v>
      </c>
      <c r="D2461" s="40" t="s">
        <v>2233</v>
      </c>
      <c r="E2461" s="40" t="s">
        <v>2233</v>
      </c>
      <c r="F2461" s="40">
        <v>1</v>
      </c>
      <c r="G2461" s="40"/>
      <c r="H2461" s="40" t="s">
        <v>2234</v>
      </c>
      <c r="I2461" s="40"/>
      <c r="J2461" s="40" t="s">
        <v>97</v>
      </c>
      <c r="K2461" s="40" t="s">
        <v>97</v>
      </c>
      <c r="L2461" s="40" t="s">
        <v>97</v>
      </c>
    </row>
    <row r="2462" spans="1:12" x14ac:dyDescent="0.25">
      <c r="A2462" s="40" t="s">
        <v>38</v>
      </c>
      <c r="B2462" s="40" t="s">
        <v>4367</v>
      </c>
      <c r="C2462" s="40" t="s">
        <v>4368</v>
      </c>
      <c r="D2462" s="40" t="s">
        <v>2233</v>
      </c>
      <c r="E2462" s="40" t="s">
        <v>2233</v>
      </c>
      <c r="F2462" s="40">
        <v>1</v>
      </c>
      <c r="G2462" s="40"/>
      <c r="H2462" s="40" t="s">
        <v>2234</v>
      </c>
      <c r="I2462" s="40"/>
      <c r="J2462" s="40" t="s">
        <v>97</v>
      </c>
      <c r="K2462" s="40" t="s">
        <v>97</v>
      </c>
      <c r="L2462" s="40" t="s">
        <v>97</v>
      </c>
    </row>
    <row r="2463" spans="1:12" x14ac:dyDescent="0.25">
      <c r="A2463" s="40" t="s">
        <v>38</v>
      </c>
      <c r="B2463" s="40" t="s">
        <v>4369</v>
      </c>
      <c r="C2463" s="40" t="s">
        <v>4370</v>
      </c>
      <c r="D2463" s="40" t="s">
        <v>2233</v>
      </c>
      <c r="E2463" s="40" t="s">
        <v>2233</v>
      </c>
      <c r="F2463" s="40">
        <v>1</v>
      </c>
      <c r="G2463" s="40"/>
      <c r="H2463" s="40" t="s">
        <v>2234</v>
      </c>
      <c r="I2463" s="40"/>
      <c r="J2463" s="40" t="s">
        <v>97</v>
      </c>
      <c r="K2463" s="40" t="s">
        <v>97</v>
      </c>
      <c r="L2463" s="40" t="s">
        <v>97</v>
      </c>
    </row>
    <row r="2464" spans="1:12" x14ac:dyDescent="0.25">
      <c r="A2464" s="40" t="s">
        <v>38</v>
      </c>
      <c r="B2464" s="40" t="s">
        <v>4371</v>
      </c>
      <c r="C2464" s="40" t="s">
        <v>4372</v>
      </c>
      <c r="D2464" s="40" t="s">
        <v>2233</v>
      </c>
      <c r="E2464" s="40" t="s">
        <v>2233</v>
      </c>
      <c r="F2464" s="40">
        <v>1</v>
      </c>
      <c r="G2464" s="40"/>
      <c r="H2464" s="40" t="s">
        <v>2234</v>
      </c>
      <c r="I2464" s="40"/>
      <c r="J2464" s="40" t="s">
        <v>97</v>
      </c>
      <c r="K2464" s="40" t="s">
        <v>97</v>
      </c>
      <c r="L2464" s="40" t="s">
        <v>97</v>
      </c>
    </row>
    <row r="2465" spans="1:12" x14ac:dyDescent="0.25">
      <c r="A2465" s="40" t="s">
        <v>38</v>
      </c>
      <c r="B2465" s="40" t="s">
        <v>4373</v>
      </c>
      <c r="C2465" s="40" t="s">
        <v>4374</v>
      </c>
      <c r="D2465" s="40" t="s">
        <v>2233</v>
      </c>
      <c r="E2465" s="40" t="s">
        <v>2233</v>
      </c>
      <c r="F2465" s="40">
        <v>1</v>
      </c>
      <c r="G2465" s="40"/>
      <c r="H2465" s="40" t="s">
        <v>2234</v>
      </c>
      <c r="I2465" s="40"/>
      <c r="J2465" s="40" t="s">
        <v>97</v>
      </c>
      <c r="K2465" s="40" t="s">
        <v>97</v>
      </c>
      <c r="L2465" s="40" t="s">
        <v>97</v>
      </c>
    </row>
    <row r="2466" spans="1:12" x14ac:dyDescent="0.25">
      <c r="A2466" s="40" t="s">
        <v>38</v>
      </c>
      <c r="B2466" s="40" t="s">
        <v>4375</v>
      </c>
      <c r="C2466" s="40" t="s">
        <v>4376</v>
      </c>
      <c r="D2466" s="40" t="s">
        <v>2233</v>
      </c>
      <c r="E2466" s="40" t="s">
        <v>2233</v>
      </c>
      <c r="F2466" s="40">
        <v>1</v>
      </c>
      <c r="G2466" s="40"/>
      <c r="H2466" s="40" t="s">
        <v>2234</v>
      </c>
      <c r="I2466" s="40"/>
      <c r="J2466" s="40" t="s">
        <v>97</v>
      </c>
      <c r="K2466" s="40" t="s">
        <v>97</v>
      </c>
      <c r="L2466" s="40" t="s">
        <v>97</v>
      </c>
    </row>
    <row r="2467" spans="1:12" x14ac:dyDescent="0.25">
      <c r="A2467" s="40" t="s">
        <v>38</v>
      </c>
      <c r="B2467" s="40" t="s">
        <v>4377</v>
      </c>
      <c r="C2467" s="40" t="s">
        <v>4378</v>
      </c>
      <c r="D2467" s="40" t="s">
        <v>2233</v>
      </c>
      <c r="E2467" s="40" t="s">
        <v>2233</v>
      </c>
      <c r="F2467" s="40">
        <v>1</v>
      </c>
      <c r="G2467" s="40"/>
      <c r="H2467" s="40" t="s">
        <v>2234</v>
      </c>
      <c r="I2467" s="40"/>
      <c r="J2467" s="40" t="s">
        <v>97</v>
      </c>
      <c r="K2467" s="40" t="s">
        <v>97</v>
      </c>
      <c r="L2467" s="40" t="s">
        <v>97</v>
      </c>
    </row>
    <row r="2468" spans="1:12" x14ac:dyDescent="0.25">
      <c r="A2468" s="40" t="s">
        <v>38</v>
      </c>
      <c r="B2468" s="40" t="s">
        <v>4379</v>
      </c>
      <c r="C2468" s="40" t="s">
        <v>4380</v>
      </c>
      <c r="D2468" s="40" t="s">
        <v>2233</v>
      </c>
      <c r="E2468" s="40" t="s">
        <v>2233</v>
      </c>
      <c r="F2468" s="40">
        <v>1</v>
      </c>
      <c r="G2468" s="40"/>
      <c r="H2468" s="40" t="s">
        <v>2234</v>
      </c>
      <c r="I2468" s="40"/>
      <c r="J2468" s="40" t="s">
        <v>97</v>
      </c>
      <c r="K2468" s="40" t="s">
        <v>97</v>
      </c>
      <c r="L2468" s="40" t="s">
        <v>97</v>
      </c>
    </row>
    <row r="2469" spans="1:12" x14ac:dyDescent="0.25">
      <c r="A2469" s="40" t="s">
        <v>38</v>
      </c>
      <c r="B2469" s="40" t="s">
        <v>4381</v>
      </c>
      <c r="C2469" s="40" t="s">
        <v>4382</v>
      </c>
      <c r="D2469" s="40" t="s">
        <v>2233</v>
      </c>
      <c r="E2469" s="40" t="s">
        <v>2233</v>
      </c>
      <c r="F2469" s="40">
        <v>1</v>
      </c>
      <c r="G2469" s="40"/>
      <c r="H2469" s="40" t="s">
        <v>2234</v>
      </c>
      <c r="I2469" s="40"/>
      <c r="J2469" s="40" t="s">
        <v>97</v>
      </c>
      <c r="K2469" s="40" t="s">
        <v>97</v>
      </c>
      <c r="L2469" s="40" t="s">
        <v>97</v>
      </c>
    </row>
    <row r="2470" spans="1:12" x14ac:dyDescent="0.25">
      <c r="A2470" s="40" t="s">
        <v>38</v>
      </c>
      <c r="B2470" s="40" t="s">
        <v>4383</v>
      </c>
      <c r="C2470" s="40" t="s">
        <v>4384</v>
      </c>
      <c r="D2470" s="40" t="s">
        <v>2233</v>
      </c>
      <c r="E2470" s="40" t="s">
        <v>2233</v>
      </c>
      <c r="F2470" s="40">
        <v>1</v>
      </c>
      <c r="G2470" s="40"/>
      <c r="H2470" s="40" t="s">
        <v>2234</v>
      </c>
      <c r="I2470" s="40"/>
      <c r="J2470" s="40" t="s">
        <v>97</v>
      </c>
      <c r="K2470" s="40" t="s">
        <v>97</v>
      </c>
      <c r="L2470" s="40" t="s">
        <v>97</v>
      </c>
    </row>
    <row r="2471" spans="1:12" x14ac:dyDescent="0.25">
      <c r="A2471" s="40" t="s">
        <v>38</v>
      </c>
      <c r="B2471" s="40" t="s">
        <v>4385</v>
      </c>
      <c r="C2471" s="40" t="s">
        <v>4386</v>
      </c>
      <c r="D2471" s="40" t="s">
        <v>2233</v>
      </c>
      <c r="E2471" s="40" t="s">
        <v>2233</v>
      </c>
      <c r="F2471" s="40">
        <v>1</v>
      </c>
      <c r="G2471" s="40"/>
      <c r="H2471" s="40" t="s">
        <v>2234</v>
      </c>
      <c r="I2471" s="40"/>
      <c r="J2471" s="40" t="s">
        <v>97</v>
      </c>
      <c r="K2471" s="40" t="s">
        <v>97</v>
      </c>
      <c r="L2471" s="40" t="s">
        <v>97</v>
      </c>
    </row>
    <row r="2472" spans="1:12" x14ac:dyDescent="0.25">
      <c r="A2472" s="40" t="s">
        <v>38</v>
      </c>
      <c r="B2472" s="40" t="s">
        <v>4387</v>
      </c>
      <c r="C2472" s="40" t="s">
        <v>4388</v>
      </c>
      <c r="D2472" s="40" t="s">
        <v>2233</v>
      </c>
      <c r="E2472" s="40" t="s">
        <v>2233</v>
      </c>
      <c r="F2472" s="40">
        <v>1</v>
      </c>
      <c r="G2472" s="40"/>
      <c r="H2472" s="40" t="s">
        <v>2234</v>
      </c>
      <c r="I2472" s="40"/>
      <c r="J2472" s="40" t="s">
        <v>97</v>
      </c>
      <c r="K2472" s="40" t="s">
        <v>97</v>
      </c>
      <c r="L2472" s="40" t="s">
        <v>97</v>
      </c>
    </row>
    <row r="2473" spans="1:12" x14ac:dyDescent="0.25">
      <c r="A2473" s="40" t="s">
        <v>38</v>
      </c>
      <c r="B2473" s="40" t="s">
        <v>4389</v>
      </c>
      <c r="C2473" s="40" t="s">
        <v>4390</v>
      </c>
      <c r="D2473" s="40" t="s">
        <v>2233</v>
      </c>
      <c r="E2473" s="40" t="s">
        <v>2233</v>
      </c>
      <c r="F2473" s="40">
        <v>1</v>
      </c>
      <c r="G2473" s="40"/>
      <c r="H2473" s="40" t="s">
        <v>2234</v>
      </c>
      <c r="I2473" s="40"/>
      <c r="J2473" s="40" t="s">
        <v>97</v>
      </c>
      <c r="K2473" s="40" t="s">
        <v>97</v>
      </c>
      <c r="L2473" s="40" t="s">
        <v>97</v>
      </c>
    </row>
    <row r="2474" spans="1:12" x14ac:dyDescent="0.25">
      <c r="A2474" s="40" t="s">
        <v>38</v>
      </c>
      <c r="B2474" s="40" t="s">
        <v>4391</v>
      </c>
      <c r="C2474" s="40" t="s">
        <v>4392</v>
      </c>
      <c r="D2474" s="40" t="s">
        <v>2233</v>
      </c>
      <c r="E2474" s="40" t="s">
        <v>2233</v>
      </c>
      <c r="F2474" s="40">
        <v>1</v>
      </c>
      <c r="G2474" s="40"/>
      <c r="H2474" s="40" t="s">
        <v>2234</v>
      </c>
      <c r="I2474" s="40"/>
      <c r="J2474" s="40" t="s">
        <v>97</v>
      </c>
      <c r="K2474" s="40" t="s">
        <v>97</v>
      </c>
      <c r="L2474" s="40" t="s">
        <v>97</v>
      </c>
    </row>
    <row r="2475" spans="1:12" x14ac:dyDescent="0.25">
      <c r="A2475" s="40" t="s">
        <v>38</v>
      </c>
      <c r="B2475" s="40" t="s">
        <v>4393</v>
      </c>
      <c r="C2475" s="40" t="s">
        <v>4394</v>
      </c>
      <c r="D2475" s="40" t="s">
        <v>2233</v>
      </c>
      <c r="E2475" s="40" t="s">
        <v>2233</v>
      </c>
      <c r="F2475" s="40">
        <v>1</v>
      </c>
      <c r="G2475" s="40"/>
      <c r="H2475" s="40" t="s">
        <v>2234</v>
      </c>
      <c r="I2475" s="40"/>
      <c r="J2475" s="40" t="s">
        <v>97</v>
      </c>
      <c r="K2475" s="40" t="s">
        <v>97</v>
      </c>
      <c r="L2475" s="40" t="s">
        <v>97</v>
      </c>
    </row>
    <row r="2476" spans="1:12" x14ac:dyDescent="0.25">
      <c r="A2476" s="40" t="s">
        <v>38</v>
      </c>
      <c r="B2476" s="40" t="s">
        <v>4395</v>
      </c>
      <c r="C2476" s="40" t="s">
        <v>4396</v>
      </c>
      <c r="D2476" s="40" t="s">
        <v>2233</v>
      </c>
      <c r="E2476" s="40" t="s">
        <v>2233</v>
      </c>
      <c r="F2476" s="40">
        <v>1</v>
      </c>
      <c r="G2476" s="40"/>
      <c r="H2476" s="40" t="s">
        <v>2234</v>
      </c>
      <c r="I2476" s="40"/>
      <c r="J2476" s="40" t="s">
        <v>97</v>
      </c>
      <c r="K2476" s="40" t="s">
        <v>97</v>
      </c>
      <c r="L2476" s="40" t="s">
        <v>97</v>
      </c>
    </row>
    <row r="2477" spans="1:12" x14ac:dyDescent="0.25">
      <c r="A2477" s="40" t="s">
        <v>38</v>
      </c>
      <c r="B2477" s="40" t="s">
        <v>4397</v>
      </c>
      <c r="C2477" s="40" t="s">
        <v>4398</v>
      </c>
      <c r="D2477" s="40" t="s">
        <v>2233</v>
      </c>
      <c r="E2477" s="40" t="s">
        <v>2233</v>
      </c>
      <c r="F2477" s="40">
        <v>1</v>
      </c>
      <c r="G2477" s="40"/>
      <c r="H2477" s="40" t="s">
        <v>2234</v>
      </c>
      <c r="I2477" s="40"/>
      <c r="J2477" s="40" t="s">
        <v>97</v>
      </c>
      <c r="K2477" s="40" t="s">
        <v>97</v>
      </c>
      <c r="L2477" s="40" t="s">
        <v>97</v>
      </c>
    </row>
    <row r="2478" spans="1:12" x14ac:dyDescent="0.25">
      <c r="A2478" s="40" t="s">
        <v>38</v>
      </c>
      <c r="B2478" s="40" t="s">
        <v>4399</v>
      </c>
      <c r="C2478" s="40" t="s">
        <v>4400</v>
      </c>
      <c r="D2478" s="40" t="s">
        <v>2233</v>
      </c>
      <c r="E2478" s="40" t="s">
        <v>2233</v>
      </c>
      <c r="F2478" s="40">
        <v>1</v>
      </c>
      <c r="G2478" s="40"/>
      <c r="H2478" s="40" t="s">
        <v>2234</v>
      </c>
      <c r="I2478" s="40"/>
      <c r="J2478" s="40" t="s">
        <v>97</v>
      </c>
      <c r="K2478" s="40" t="s">
        <v>97</v>
      </c>
      <c r="L2478" s="40" t="s">
        <v>97</v>
      </c>
    </row>
    <row r="2479" spans="1:12" x14ac:dyDescent="0.25">
      <c r="A2479" s="40" t="s">
        <v>38</v>
      </c>
      <c r="B2479" s="40" t="s">
        <v>4401</v>
      </c>
      <c r="C2479" s="40" t="s">
        <v>4402</v>
      </c>
      <c r="D2479" s="40" t="s">
        <v>4208</v>
      </c>
      <c r="E2479" s="40" t="s">
        <v>4208</v>
      </c>
      <c r="F2479" s="40">
        <v>1</v>
      </c>
      <c r="G2479" s="40"/>
      <c r="H2479" s="40" t="s">
        <v>97</v>
      </c>
      <c r="I2479" s="40"/>
      <c r="J2479" s="40" t="s">
        <v>97</v>
      </c>
      <c r="K2479" s="40" t="s">
        <v>97</v>
      </c>
      <c r="L2479" s="40" t="s">
        <v>97</v>
      </c>
    </row>
    <row r="2480" spans="1:12" x14ac:dyDescent="0.25">
      <c r="A2480" s="40" t="s">
        <v>38</v>
      </c>
      <c r="B2480" s="40" t="s">
        <v>4403</v>
      </c>
      <c r="C2480" s="40" t="s">
        <v>4404</v>
      </c>
      <c r="D2480" s="40" t="s">
        <v>3246</v>
      </c>
      <c r="E2480" s="40" t="s">
        <v>3246</v>
      </c>
      <c r="F2480" s="40">
        <v>1</v>
      </c>
      <c r="G2480" s="40"/>
      <c r="H2480" s="40" t="s">
        <v>97</v>
      </c>
      <c r="I2480" s="40"/>
      <c r="J2480" s="40" t="s">
        <v>97</v>
      </c>
      <c r="K2480" s="40" t="s">
        <v>97</v>
      </c>
      <c r="L2480" s="40" t="s">
        <v>97</v>
      </c>
    </row>
    <row r="2481" spans="1:12" x14ac:dyDescent="0.25">
      <c r="A2481" s="40" t="s">
        <v>38</v>
      </c>
      <c r="B2481" s="40" t="s">
        <v>4405</v>
      </c>
      <c r="C2481" s="40" t="s">
        <v>4406</v>
      </c>
      <c r="D2481" s="40" t="s">
        <v>2233</v>
      </c>
      <c r="E2481" s="40" t="s">
        <v>2233</v>
      </c>
      <c r="F2481" s="40">
        <v>1</v>
      </c>
      <c r="G2481" s="40"/>
      <c r="H2481" s="40" t="s">
        <v>2234</v>
      </c>
      <c r="I2481" s="40"/>
      <c r="J2481" s="40" t="s">
        <v>97</v>
      </c>
      <c r="K2481" s="40" t="s">
        <v>97</v>
      </c>
      <c r="L2481" s="40" t="s">
        <v>97</v>
      </c>
    </row>
    <row r="2482" spans="1:12" x14ac:dyDescent="0.25">
      <c r="A2482" s="40" t="s">
        <v>38</v>
      </c>
      <c r="B2482" s="40" t="s">
        <v>4407</v>
      </c>
      <c r="C2482" s="40" t="s">
        <v>4408</v>
      </c>
      <c r="D2482" s="40" t="s">
        <v>2233</v>
      </c>
      <c r="E2482" s="40" t="s">
        <v>2233</v>
      </c>
      <c r="F2482" s="40">
        <v>1</v>
      </c>
      <c r="G2482" s="40"/>
      <c r="H2482" s="40" t="s">
        <v>2234</v>
      </c>
      <c r="I2482" s="40"/>
      <c r="J2482" s="40" t="s">
        <v>97</v>
      </c>
      <c r="K2482" s="40" t="s">
        <v>97</v>
      </c>
      <c r="L2482" s="40" t="s">
        <v>97</v>
      </c>
    </row>
    <row r="2483" spans="1:12" x14ac:dyDescent="0.25">
      <c r="A2483" s="40" t="s">
        <v>38</v>
      </c>
      <c r="B2483" s="40" t="s">
        <v>4409</v>
      </c>
      <c r="C2483" s="40" t="s">
        <v>4410</v>
      </c>
      <c r="D2483" s="40" t="s">
        <v>2233</v>
      </c>
      <c r="E2483" s="40" t="s">
        <v>2233</v>
      </c>
      <c r="F2483" s="40">
        <v>1</v>
      </c>
      <c r="G2483" s="40"/>
      <c r="H2483" s="40" t="s">
        <v>97</v>
      </c>
      <c r="I2483" s="40"/>
      <c r="J2483" s="40" t="s">
        <v>97</v>
      </c>
      <c r="K2483" s="40" t="s">
        <v>97</v>
      </c>
      <c r="L2483" s="40" t="s">
        <v>97</v>
      </c>
    </row>
    <row r="2484" spans="1:12" x14ac:dyDescent="0.25">
      <c r="A2484" s="40" t="s">
        <v>38</v>
      </c>
      <c r="B2484" s="40" t="s">
        <v>4411</v>
      </c>
      <c r="C2484" s="40" t="s">
        <v>4412</v>
      </c>
      <c r="D2484" s="40" t="s">
        <v>2233</v>
      </c>
      <c r="E2484" s="40" t="s">
        <v>2233</v>
      </c>
      <c r="F2484" s="40">
        <v>1</v>
      </c>
      <c r="G2484" s="40"/>
      <c r="H2484" s="40" t="s">
        <v>2234</v>
      </c>
      <c r="I2484" s="40"/>
      <c r="J2484" s="40" t="s">
        <v>97</v>
      </c>
      <c r="K2484" s="40" t="s">
        <v>97</v>
      </c>
      <c r="L2484" s="40" t="s">
        <v>97</v>
      </c>
    </row>
    <row r="2485" spans="1:12" x14ac:dyDescent="0.25">
      <c r="A2485" s="40" t="s">
        <v>38</v>
      </c>
      <c r="B2485" s="40" t="s">
        <v>4413</v>
      </c>
      <c r="C2485" s="40" t="s">
        <v>4414</v>
      </c>
      <c r="D2485" s="40" t="s">
        <v>2233</v>
      </c>
      <c r="E2485" s="40" t="s">
        <v>2233</v>
      </c>
      <c r="F2485" s="40">
        <v>1</v>
      </c>
      <c r="G2485" s="40"/>
      <c r="H2485" s="40" t="s">
        <v>2234</v>
      </c>
      <c r="I2485" s="40"/>
      <c r="J2485" s="40" t="s">
        <v>97</v>
      </c>
      <c r="K2485" s="40" t="s">
        <v>97</v>
      </c>
      <c r="L2485" s="40" t="s">
        <v>97</v>
      </c>
    </row>
    <row r="2486" spans="1:12" x14ac:dyDescent="0.25">
      <c r="A2486" s="40" t="s">
        <v>38</v>
      </c>
      <c r="B2486" s="40" t="s">
        <v>4415</v>
      </c>
      <c r="C2486" s="40" t="s">
        <v>4416</v>
      </c>
      <c r="D2486" s="40" t="s">
        <v>2233</v>
      </c>
      <c r="E2486" s="40" t="s">
        <v>2233</v>
      </c>
      <c r="F2486" s="40">
        <v>1</v>
      </c>
      <c r="G2486" s="40"/>
      <c r="H2486" s="40" t="s">
        <v>2234</v>
      </c>
      <c r="I2486" s="40"/>
      <c r="J2486" s="40" t="s">
        <v>97</v>
      </c>
      <c r="K2486" s="40" t="s">
        <v>97</v>
      </c>
      <c r="L2486" s="40" t="s">
        <v>97</v>
      </c>
    </row>
    <row r="2487" spans="1:12" x14ac:dyDescent="0.25">
      <c r="A2487" s="40" t="s">
        <v>38</v>
      </c>
      <c r="B2487" s="40" t="s">
        <v>4417</v>
      </c>
      <c r="C2487" s="40" t="s">
        <v>4418</v>
      </c>
      <c r="D2487" s="40" t="s">
        <v>2233</v>
      </c>
      <c r="E2487" s="40" t="s">
        <v>2233</v>
      </c>
      <c r="F2487" s="40">
        <v>1</v>
      </c>
      <c r="G2487" s="40"/>
      <c r="H2487" s="40" t="s">
        <v>2234</v>
      </c>
      <c r="I2487" s="40"/>
      <c r="J2487" s="40" t="s">
        <v>97</v>
      </c>
      <c r="K2487" s="40" t="s">
        <v>97</v>
      </c>
      <c r="L2487" s="40" t="s">
        <v>97</v>
      </c>
    </row>
    <row r="2488" spans="1:12" x14ac:dyDescent="0.25">
      <c r="A2488" s="40" t="s">
        <v>38</v>
      </c>
      <c r="B2488" s="40" t="s">
        <v>4419</v>
      </c>
      <c r="C2488" s="40" t="s">
        <v>4420</v>
      </c>
      <c r="D2488" s="40" t="s">
        <v>2233</v>
      </c>
      <c r="E2488" s="40" t="s">
        <v>2233</v>
      </c>
      <c r="F2488" s="40">
        <v>1</v>
      </c>
      <c r="G2488" s="40"/>
      <c r="H2488" s="40" t="s">
        <v>2234</v>
      </c>
      <c r="I2488" s="40"/>
      <c r="J2488" s="40" t="s">
        <v>97</v>
      </c>
      <c r="K2488" s="40" t="s">
        <v>97</v>
      </c>
      <c r="L2488" s="40" t="s">
        <v>97</v>
      </c>
    </row>
    <row r="2489" spans="1:12" x14ac:dyDescent="0.25">
      <c r="A2489" s="40" t="s">
        <v>38</v>
      </c>
      <c r="B2489" s="40" t="s">
        <v>4421</v>
      </c>
      <c r="C2489" s="40" t="s">
        <v>4422</v>
      </c>
      <c r="D2489" s="40" t="s">
        <v>2233</v>
      </c>
      <c r="E2489" s="40" t="s">
        <v>2233</v>
      </c>
      <c r="F2489" s="40">
        <v>1</v>
      </c>
      <c r="G2489" s="40"/>
      <c r="H2489" s="40" t="s">
        <v>2234</v>
      </c>
      <c r="I2489" s="40"/>
      <c r="J2489" s="40" t="s">
        <v>97</v>
      </c>
      <c r="K2489" s="40" t="s">
        <v>97</v>
      </c>
      <c r="L2489" s="40" t="s">
        <v>97</v>
      </c>
    </row>
    <row r="2490" spans="1:12" x14ac:dyDescent="0.25">
      <c r="A2490" s="40" t="s">
        <v>38</v>
      </c>
      <c r="B2490" s="40" t="s">
        <v>4423</v>
      </c>
      <c r="C2490" s="40" t="s">
        <v>4424</v>
      </c>
      <c r="D2490" s="40" t="s">
        <v>2233</v>
      </c>
      <c r="E2490" s="40" t="s">
        <v>2233</v>
      </c>
      <c r="F2490" s="40">
        <v>1</v>
      </c>
      <c r="G2490" s="40"/>
      <c r="H2490" s="40" t="s">
        <v>2234</v>
      </c>
      <c r="I2490" s="40"/>
      <c r="J2490" s="40" t="s">
        <v>97</v>
      </c>
      <c r="K2490" s="40" t="s">
        <v>97</v>
      </c>
      <c r="L2490" s="40" t="s">
        <v>97</v>
      </c>
    </row>
    <row r="2491" spans="1:12" x14ac:dyDescent="0.25">
      <c r="A2491" s="40" t="s">
        <v>38</v>
      </c>
      <c r="B2491" s="40" t="s">
        <v>4425</v>
      </c>
      <c r="C2491" s="40" t="s">
        <v>4426</v>
      </c>
      <c r="D2491" s="40" t="s">
        <v>2233</v>
      </c>
      <c r="E2491" s="40" t="s">
        <v>2233</v>
      </c>
      <c r="F2491" s="40">
        <v>1</v>
      </c>
      <c r="G2491" s="40"/>
      <c r="H2491" s="40" t="s">
        <v>2234</v>
      </c>
      <c r="I2491" s="40"/>
      <c r="J2491" s="40" t="s">
        <v>97</v>
      </c>
      <c r="K2491" s="40" t="s">
        <v>97</v>
      </c>
      <c r="L2491" s="40" t="s">
        <v>97</v>
      </c>
    </row>
    <row r="2492" spans="1:12" x14ac:dyDescent="0.25">
      <c r="A2492" s="40" t="s">
        <v>38</v>
      </c>
      <c r="B2492" s="40" t="s">
        <v>4427</v>
      </c>
      <c r="C2492" s="40" t="s">
        <v>4428</v>
      </c>
      <c r="D2492" s="40" t="s">
        <v>2233</v>
      </c>
      <c r="E2492" s="40" t="s">
        <v>2233</v>
      </c>
      <c r="F2492" s="40">
        <v>1</v>
      </c>
      <c r="G2492" s="40"/>
      <c r="H2492" s="40" t="s">
        <v>2234</v>
      </c>
      <c r="I2492" s="40"/>
      <c r="J2492" s="40" t="s">
        <v>97</v>
      </c>
      <c r="K2492" s="40" t="s">
        <v>97</v>
      </c>
      <c r="L2492" s="40" t="s">
        <v>97</v>
      </c>
    </row>
    <row r="2493" spans="1:12" x14ac:dyDescent="0.25">
      <c r="A2493" s="40" t="s">
        <v>38</v>
      </c>
      <c r="B2493" s="40" t="s">
        <v>4429</v>
      </c>
      <c r="C2493" s="40" t="s">
        <v>4430</v>
      </c>
      <c r="D2493" s="40" t="s">
        <v>2233</v>
      </c>
      <c r="E2493" s="40" t="s">
        <v>2233</v>
      </c>
      <c r="F2493" s="40">
        <v>1</v>
      </c>
      <c r="G2493" s="40"/>
      <c r="H2493" s="40" t="s">
        <v>2234</v>
      </c>
      <c r="I2493" s="40"/>
      <c r="J2493" s="40" t="s">
        <v>97</v>
      </c>
      <c r="K2493" s="40" t="s">
        <v>97</v>
      </c>
      <c r="L2493" s="40" t="s">
        <v>97</v>
      </c>
    </row>
    <row r="2494" spans="1:12" x14ac:dyDescent="0.25">
      <c r="A2494" s="40" t="s">
        <v>38</v>
      </c>
      <c r="B2494" s="40" t="s">
        <v>4431</v>
      </c>
      <c r="C2494" s="40" t="s">
        <v>4432</v>
      </c>
      <c r="D2494" s="40" t="s">
        <v>2233</v>
      </c>
      <c r="E2494" s="40" t="s">
        <v>2233</v>
      </c>
      <c r="F2494" s="40">
        <v>1</v>
      </c>
      <c r="G2494" s="40"/>
      <c r="H2494" s="40" t="s">
        <v>2234</v>
      </c>
      <c r="I2494" s="40"/>
      <c r="J2494" s="40" t="s">
        <v>97</v>
      </c>
      <c r="K2494" s="40" t="s">
        <v>97</v>
      </c>
      <c r="L2494" s="40" t="s">
        <v>97</v>
      </c>
    </row>
    <row r="2495" spans="1:12" x14ac:dyDescent="0.25">
      <c r="A2495" s="40" t="s">
        <v>38</v>
      </c>
      <c r="B2495" s="40" t="s">
        <v>4433</v>
      </c>
      <c r="C2495" s="40" t="s">
        <v>4434</v>
      </c>
      <c r="D2495" s="40" t="s">
        <v>2233</v>
      </c>
      <c r="E2495" s="40" t="s">
        <v>2233</v>
      </c>
      <c r="F2495" s="40">
        <v>1</v>
      </c>
      <c r="G2495" s="40"/>
      <c r="H2495" s="40" t="s">
        <v>2234</v>
      </c>
      <c r="I2495" s="40"/>
      <c r="J2495" s="40" t="s">
        <v>97</v>
      </c>
      <c r="K2495" s="40" t="s">
        <v>97</v>
      </c>
      <c r="L2495" s="40" t="s">
        <v>97</v>
      </c>
    </row>
    <row r="2496" spans="1:12" x14ac:dyDescent="0.25">
      <c r="A2496" s="40" t="s">
        <v>38</v>
      </c>
      <c r="B2496" s="40" t="s">
        <v>4435</v>
      </c>
      <c r="C2496" s="40" t="s">
        <v>4436</v>
      </c>
      <c r="D2496" s="40" t="s">
        <v>2233</v>
      </c>
      <c r="E2496" s="40" t="s">
        <v>2233</v>
      </c>
      <c r="F2496" s="40">
        <v>1</v>
      </c>
      <c r="G2496" s="40"/>
      <c r="H2496" s="40" t="s">
        <v>2234</v>
      </c>
      <c r="I2496" s="40"/>
      <c r="J2496" s="40" t="s">
        <v>97</v>
      </c>
      <c r="K2496" s="40" t="s">
        <v>97</v>
      </c>
      <c r="L2496" s="40" t="s">
        <v>97</v>
      </c>
    </row>
    <row r="2497" spans="1:12" x14ac:dyDescent="0.25">
      <c r="A2497" s="40" t="s">
        <v>38</v>
      </c>
      <c r="B2497" s="40" t="s">
        <v>4437</v>
      </c>
      <c r="C2497" s="40" t="s">
        <v>4438</v>
      </c>
      <c r="D2497" s="40" t="s">
        <v>2233</v>
      </c>
      <c r="E2497" s="40" t="s">
        <v>2233</v>
      </c>
      <c r="F2497" s="40">
        <v>1</v>
      </c>
      <c r="G2497" s="40"/>
      <c r="H2497" s="40" t="s">
        <v>2234</v>
      </c>
      <c r="I2497" s="40"/>
      <c r="J2497" s="40" t="s">
        <v>97</v>
      </c>
      <c r="K2497" s="40" t="s">
        <v>97</v>
      </c>
      <c r="L2497" s="40" t="s">
        <v>97</v>
      </c>
    </row>
    <row r="2498" spans="1:12" x14ac:dyDescent="0.25">
      <c r="A2498" s="40" t="s">
        <v>38</v>
      </c>
      <c r="B2498" s="40" t="s">
        <v>4439</v>
      </c>
      <c r="C2498" s="40" t="s">
        <v>4440</v>
      </c>
      <c r="D2498" s="40" t="s">
        <v>2233</v>
      </c>
      <c r="E2498" s="40" t="s">
        <v>2233</v>
      </c>
      <c r="F2498" s="40">
        <v>1</v>
      </c>
      <c r="G2498" s="40"/>
      <c r="H2498" s="40" t="s">
        <v>2234</v>
      </c>
      <c r="I2498" s="40"/>
      <c r="J2498" s="40" t="s">
        <v>97</v>
      </c>
      <c r="K2498" s="40" t="s">
        <v>97</v>
      </c>
      <c r="L2498" s="40" t="s">
        <v>97</v>
      </c>
    </row>
    <row r="2499" spans="1:12" x14ac:dyDescent="0.25">
      <c r="A2499" s="40" t="s">
        <v>38</v>
      </c>
      <c r="B2499" s="40" t="s">
        <v>4441</v>
      </c>
      <c r="C2499" s="40" t="s">
        <v>4442</v>
      </c>
      <c r="D2499" s="40" t="s">
        <v>2233</v>
      </c>
      <c r="E2499" s="40" t="s">
        <v>2233</v>
      </c>
      <c r="F2499" s="40">
        <v>1</v>
      </c>
      <c r="G2499" s="40"/>
      <c r="H2499" s="40" t="s">
        <v>2234</v>
      </c>
      <c r="I2499" s="40"/>
      <c r="J2499" s="40" t="s">
        <v>97</v>
      </c>
      <c r="K2499" s="40" t="s">
        <v>97</v>
      </c>
      <c r="L2499" s="40" t="s">
        <v>97</v>
      </c>
    </row>
    <row r="2500" spans="1:12" x14ac:dyDescent="0.25">
      <c r="A2500" s="40" t="s">
        <v>38</v>
      </c>
      <c r="B2500" s="40" t="s">
        <v>4443</v>
      </c>
      <c r="C2500" s="40" t="s">
        <v>4444</v>
      </c>
      <c r="D2500" s="40" t="s">
        <v>2233</v>
      </c>
      <c r="E2500" s="40" t="s">
        <v>2233</v>
      </c>
      <c r="F2500" s="40">
        <v>1</v>
      </c>
      <c r="G2500" s="40"/>
      <c r="H2500" s="40" t="s">
        <v>2234</v>
      </c>
      <c r="I2500" s="40"/>
      <c r="J2500" s="40" t="s">
        <v>97</v>
      </c>
      <c r="K2500" s="40" t="s">
        <v>97</v>
      </c>
      <c r="L2500" s="40" t="s">
        <v>97</v>
      </c>
    </row>
    <row r="2501" spans="1:12" x14ac:dyDescent="0.25">
      <c r="A2501" s="40" t="s">
        <v>38</v>
      </c>
      <c r="B2501" s="40" t="s">
        <v>4445</v>
      </c>
      <c r="C2501" s="40" t="s">
        <v>4446</v>
      </c>
      <c r="D2501" s="40" t="s">
        <v>2233</v>
      </c>
      <c r="E2501" s="40" t="s">
        <v>2233</v>
      </c>
      <c r="F2501" s="40">
        <v>1</v>
      </c>
      <c r="G2501" s="40"/>
      <c r="H2501" s="40" t="s">
        <v>2234</v>
      </c>
      <c r="I2501" s="40"/>
      <c r="J2501" s="40" t="s">
        <v>97</v>
      </c>
      <c r="K2501" s="40" t="s">
        <v>97</v>
      </c>
      <c r="L2501" s="40" t="s">
        <v>97</v>
      </c>
    </row>
    <row r="2502" spans="1:12" x14ac:dyDescent="0.25">
      <c r="A2502" s="40" t="s">
        <v>38</v>
      </c>
      <c r="B2502" s="40" t="s">
        <v>4447</v>
      </c>
      <c r="C2502" s="40" t="s">
        <v>4448</v>
      </c>
      <c r="D2502" s="40" t="s">
        <v>2233</v>
      </c>
      <c r="E2502" s="40" t="s">
        <v>2233</v>
      </c>
      <c r="F2502" s="40">
        <v>1</v>
      </c>
      <c r="G2502" s="40"/>
      <c r="H2502" s="40" t="s">
        <v>2234</v>
      </c>
      <c r="I2502" s="40"/>
      <c r="J2502" s="40" t="s">
        <v>97</v>
      </c>
      <c r="K2502" s="40" t="s">
        <v>97</v>
      </c>
      <c r="L2502" s="40" t="s">
        <v>97</v>
      </c>
    </row>
    <row r="2503" spans="1:12" x14ac:dyDescent="0.25">
      <c r="A2503" s="40" t="s">
        <v>38</v>
      </c>
      <c r="B2503" s="40" t="s">
        <v>4449</v>
      </c>
      <c r="C2503" s="40" t="s">
        <v>4450</v>
      </c>
      <c r="D2503" s="40" t="s">
        <v>2233</v>
      </c>
      <c r="E2503" s="40" t="s">
        <v>2233</v>
      </c>
      <c r="F2503" s="40">
        <v>1</v>
      </c>
      <c r="G2503" s="40"/>
      <c r="H2503" s="40" t="s">
        <v>2234</v>
      </c>
      <c r="I2503" s="40"/>
      <c r="J2503" s="40" t="s">
        <v>97</v>
      </c>
      <c r="K2503" s="40" t="s">
        <v>97</v>
      </c>
      <c r="L2503" s="40" t="s">
        <v>97</v>
      </c>
    </row>
    <row r="2504" spans="1:12" x14ac:dyDescent="0.25">
      <c r="A2504" s="40" t="s">
        <v>38</v>
      </c>
      <c r="B2504" s="40" t="s">
        <v>4451</v>
      </c>
      <c r="C2504" s="40" t="s">
        <v>4452</v>
      </c>
      <c r="D2504" s="40" t="s">
        <v>2233</v>
      </c>
      <c r="E2504" s="40" t="s">
        <v>2233</v>
      </c>
      <c r="F2504" s="40">
        <v>1</v>
      </c>
      <c r="G2504" s="40"/>
      <c r="H2504" s="40" t="s">
        <v>2234</v>
      </c>
      <c r="I2504" s="40"/>
      <c r="J2504" s="40" t="s">
        <v>97</v>
      </c>
      <c r="K2504" s="40" t="s">
        <v>97</v>
      </c>
      <c r="L2504" s="40" t="s">
        <v>97</v>
      </c>
    </row>
    <row r="2505" spans="1:12" x14ac:dyDescent="0.25">
      <c r="A2505" s="40" t="s">
        <v>38</v>
      </c>
      <c r="B2505" s="40" t="s">
        <v>4453</v>
      </c>
      <c r="C2505" s="40" t="s">
        <v>4454</v>
      </c>
      <c r="D2505" s="40" t="s">
        <v>2233</v>
      </c>
      <c r="E2505" s="40" t="s">
        <v>2233</v>
      </c>
      <c r="F2505" s="40">
        <v>1</v>
      </c>
      <c r="G2505" s="40"/>
      <c r="H2505" s="40" t="s">
        <v>2234</v>
      </c>
      <c r="I2505" s="40"/>
      <c r="J2505" s="40" t="s">
        <v>97</v>
      </c>
      <c r="K2505" s="40" t="s">
        <v>97</v>
      </c>
      <c r="L2505" s="40" t="s">
        <v>97</v>
      </c>
    </row>
    <row r="2506" spans="1:12" x14ac:dyDescent="0.25">
      <c r="A2506" s="40" t="s">
        <v>38</v>
      </c>
      <c r="B2506" s="40" t="s">
        <v>4455</v>
      </c>
      <c r="C2506" s="40" t="s">
        <v>4456</v>
      </c>
      <c r="D2506" s="40" t="s">
        <v>2233</v>
      </c>
      <c r="E2506" s="40" t="s">
        <v>2233</v>
      </c>
      <c r="F2506" s="40">
        <v>1</v>
      </c>
      <c r="G2506" s="40"/>
      <c r="H2506" s="40" t="s">
        <v>2234</v>
      </c>
      <c r="I2506" s="40"/>
      <c r="J2506" s="40" t="s">
        <v>97</v>
      </c>
      <c r="K2506" s="40" t="s">
        <v>97</v>
      </c>
      <c r="L2506" s="40" t="s">
        <v>97</v>
      </c>
    </row>
    <row r="2507" spans="1:12" x14ac:dyDescent="0.25">
      <c r="A2507" s="40" t="s">
        <v>38</v>
      </c>
      <c r="B2507" s="40" t="s">
        <v>4457</v>
      </c>
      <c r="C2507" s="40" t="s">
        <v>4458</v>
      </c>
      <c r="D2507" s="40" t="s">
        <v>2233</v>
      </c>
      <c r="E2507" s="40" t="s">
        <v>2233</v>
      </c>
      <c r="F2507" s="40">
        <v>1</v>
      </c>
      <c r="G2507" s="40"/>
      <c r="H2507" s="40" t="s">
        <v>2234</v>
      </c>
      <c r="I2507" s="40"/>
      <c r="J2507" s="40" t="s">
        <v>97</v>
      </c>
      <c r="K2507" s="40" t="s">
        <v>97</v>
      </c>
      <c r="L2507" s="40" t="s">
        <v>97</v>
      </c>
    </row>
    <row r="2508" spans="1:12" x14ac:dyDescent="0.25">
      <c r="A2508" s="40" t="s">
        <v>38</v>
      </c>
      <c r="B2508" s="40" t="s">
        <v>4459</v>
      </c>
      <c r="C2508" s="40" t="s">
        <v>4460</v>
      </c>
      <c r="D2508" s="40" t="s">
        <v>2233</v>
      </c>
      <c r="E2508" s="40" t="s">
        <v>2233</v>
      </c>
      <c r="F2508" s="40">
        <v>1</v>
      </c>
      <c r="G2508" s="40"/>
      <c r="H2508" s="40" t="s">
        <v>2234</v>
      </c>
      <c r="I2508" s="40"/>
      <c r="J2508" s="40" t="s">
        <v>97</v>
      </c>
      <c r="K2508" s="40" t="s">
        <v>97</v>
      </c>
      <c r="L2508" s="40" t="s">
        <v>97</v>
      </c>
    </row>
    <row r="2509" spans="1:12" x14ac:dyDescent="0.25">
      <c r="A2509" s="40" t="s">
        <v>38</v>
      </c>
      <c r="B2509" s="40" t="s">
        <v>4461</v>
      </c>
      <c r="C2509" s="40" t="s">
        <v>4462</v>
      </c>
      <c r="D2509" s="40" t="s">
        <v>2233</v>
      </c>
      <c r="E2509" s="40" t="s">
        <v>2233</v>
      </c>
      <c r="F2509" s="40">
        <v>1</v>
      </c>
      <c r="G2509" s="40"/>
      <c r="H2509" s="40" t="s">
        <v>2234</v>
      </c>
      <c r="I2509" s="40"/>
      <c r="J2509" s="40" t="s">
        <v>97</v>
      </c>
      <c r="K2509" s="40" t="s">
        <v>97</v>
      </c>
      <c r="L2509" s="40" t="s">
        <v>97</v>
      </c>
    </row>
    <row r="2510" spans="1:12" x14ac:dyDescent="0.25">
      <c r="A2510" s="40" t="s">
        <v>38</v>
      </c>
      <c r="B2510" s="40" t="s">
        <v>4463</v>
      </c>
      <c r="C2510" s="40" t="s">
        <v>4464</v>
      </c>
      <c r="D2510" s="40" t="s">
        <v>2233</v>
      </c>
      <c r="E2510" s="40" t="s">
        <v>2233</v>
      </c>
      <c r="F2510" s="40">
        <v>1</v>
      </c>
      <c r="G2510" s="40"/>
      <c r="H2510" s="40" t="s">
        <v>2234</v>
      </c>
      <c r="I2510" s="40"/>
      <c r="J2510" s="40" t="s">
        <v>97</v>
      </c>
      <c r="K2510" s="40" t="s">
        <v>97</v>
      </c>
      <c r="L2510" s="40" t="s">
        <v>97</v>
      </c>
    </row>
    <row r="2511" spans="1:12" x14ac:dyDescent="0.25">
      <c r="A2511" s="40" t="s">
        <v>38</v>
      </c>
      <c r="B2511" s="40" t="s">
        <v>4465</v>
      </c>
      <c r="C2511" s="40" t="s">
        <v>4466</v>
      </c>
      <c r="D2511" s="40" t="s">
        <v>2233</v>
      </c>
      <c r="E2511" s="40" t="s">
        <v>2233</v>
      </c>
      <c r="F2511" s="40">
        <v>1</v>
      </c>
      <c r="G2511" s="40"/>
      <c r="H2511" s="40" t="s">
        <v>2234</v>
      </c>
      <c r="I2511" s="40"/>
      <c r="J2511" s="40" t="s">
        <v>97</v>
      </c>
      <c r="K2511" s="40" t="s">
        <v>97</v>
      </c>
      <c r="L2511" s="40" t="s">
        <v>97</v>
      </c>
    </row>
    <row r="2512" spans="1:12" x14ac:dyDescent="0.25">
      <c r="A2512" s="40" t="s">
        <v>38</v>
      </c>
      <c r="B2512" s="40" t="s">
        <v>4467</v>
      </c>
      <c r="C2512" s="40" t="s">
        <v>4468</v>
      </c>
      <c r="D2512" s="40" t="s">
        <v>2233</v>
      </c>
      <c r="E2512" s="40" t="s">
        <v>2233</v>
      </c>
      <c r="F2512" s="40">
        <v>1</v>
      </c>
      <c r="G2512" s="40"/>
      <c r="H2512" s="40" t="s">
        <v>2234</v>
      </c>
      <c r="I2512" s="40"/>
      <c r="J2512" s="40" t="s">
        <v>97</v>
      </c>
      <c r="K2512" s="40" t="s">
        <v>97</v>
      </c>
      <c r="L2512" s="40" t="s">
        <v>97</v>
      </c>
    </row>
    <row r="2513" spans="1:12" x14ac:dyDescent="0.25">
      <c r="A2513" s="40" t="s">
        <v>38</v>
      </c>
      <c r="B2513" s="40" t="s">
        <v>4469</v>
      </c>
      <c r="C2513" s="40" t="s">
        <v>4470</v>
      </c>
      <c r="D2513" s="40" t="s">
        <v>2233</v>
      </c>
      <c r="E2513" s="40" t="s">
        <v>2233</v>
      </c>
      <c r="F2513" s="40">
        <v>1</v>
      </c>
      <c r="G2513" s="40"/>
      <c r="H2513" s="40" t="s">
        <v>2234</v>
      </c>
      <c r="I2513" s="40"/>
      <c r="J2513" s="40" t="s">
        <v>97</v>
      </c>
      <c r="K2513" s="40" t="s">
        <v>97</v>
      </c>
      <c r="L2513" s="40" t="s">
        <v>97</v>
      </c>
    </row>
    <row r="2514" spans="1:12" x14ac:dyDescent="0.25">
      <c r="A2514" s="40" t="s">
        <v>38</v>
      </c>
      <c r="B2514" s="40" t="s">
        <v>4471</v>
      </c>
      <c r="C2514" s="40" t="s">
        <v>4472</v>
      </c>
      <c r="D2514" s="40" t="s">
        <v>2233</v>
      </c>
      <c r="E2514" s="40" t="s">
        <v>2233</v>
      </c>
      <c r="F2514" s="40">
        <v>1</v>
      </c>
      <c r="G2514" s="40"/>
      <c r="H2514" s="40" t="s">
        <v>2234</v>
      </c>
      <c r="I2514" s="40"/>
      <c r="J2514" s="40" t="s">
        <v>97</v>
      </c>
      <c r="K2514" s="40" t="s">
        <v>97</v>
      </c>
      <c r="L2514" s="40" t="s">
        <v>97</v>
      </c>
    </row>
    <row r="2515" spans="1:12" x14ac:dyDescent="0.25">
      <c r="A2515" s="40" t="s">
        <v>38</v>
      </c>
      <c r="B2515" s="40" t="s">
        <v>4473</v>
      </c>
      <c r="C2515" s="40" t="s">
        <v>4474</v>
      </c>
      <c r="D2515" s="40" t="s">
        <v>2233</v>
      </c>
      <c r="E2515" s="40" t="s">
        <v>2233</v>
      </c>
      <c r="F2515" s="40">
        <v>1</v>
      </c>
      <c r="G2515" s="40"/>
      <c r="H2515" s="40" t="s">
        <v>2234</v>
      </c>
      <c r="I2515" s="40"/>
      <c r="J2515" s="40" t="s">
        <v>97</v>
      </c>
      <c r="K2515" s="40" t="s">
        <v>97</v>
      </c>
      <c r="L2515" s="40" t="s">
        <v>97</v>
      </c>
    </row>
    <row r="2516" spans="1:12" x14ac:dyDescent="0.25">
      <c r="A2516" s="40" t="s">
        <v>38</v>
      </c>
      <c r="B2516" s="40" t="s">
        <v>4475</v>
      </c>
      <c r="C2516" s="40" t="s">
        <v>4476</v>
      </c>
      <c r="D2516" s="40" t="s">
        <v>2233</v>
      </c>
      <c r="E2516" s="40" t="s">
        <v>2233</v>
      </c>
      <c r="F2516" s="40">
        <v>1</v>
      </c>
      <c r="G2516" s="40"/>
      <c r="H2516" s="40" t="s">
        <v>2234</v>
      </c>
      <c r="I2516" s="40"/>
      <c r="J2516" s="40" t="s">
        <v>97</v>
      </c>
      <c r="K2516" s="40" t="s">
        <v>97</v>
      </c>
      <c r="L2516" s="40" t="s">
        <v>97</v>
      </c>
    </row>
    <row r="2517" spans="1:12" x14ac:dyDescent="0.25">
      <c r="A2517" s="40" t="s">
        <v>38</v>
      </c>
      <c r="B2517" s="40" t="s">
        <v>4477</v>
      </c>
      <c r="C2517" s="40" t="s">
        <v>4478</v>
      </c>
      <c r="D2517" s="40" t="s">
        <v>2233</v>
      </c>
      <c r="E2517" s="40" t="s">
        <v>2233</v>
      </c>
      <c r="F2517" s="40">
        <v>1</v>
      </c>
      <c r="G2517" s="40"/>
      <c r="H2517" s="40" t="s">
        <v>2234</v>
      </c>
      <c r="I2517" s="40"/>
      <c r="J2517" s="40" t="s">
        <v>97</v>
      </c>
      <c r="K2517" s="40" t="s">
        <v>97</v>
      </c>
      <c r="L2517" s="40" t="s">
        <v>97</v>
      </c>
    </row>
    <row r="2518" spans="1:12" x14ac:dyDescent="0.25">
      <c r="A2518" s="40" t="s">
        <v>38</v>
      </c>
      <c r="B2518" s="40" t="s">
        <v>4479</v>
      </c>
      <c r="C2518" s="40" t="s">
        <v>4480</v>
      </c>
      <c r="D2518" s="40" t="s">
        <v>2233</v>
      </c>
      <c r="E2518" s="40" t="s">
        <v>2233</v>
      </c>
      <c r="F2518" s="40">
        <v>1</v>
      </c>
      <c r="G2518" s="40"/>
      <c r="H2518" s="40" t="s">
        <v>2234</v>
      </c>
      <c r="I2518" s="40"/>
      <c r="J2518" s="40" t="s">
        <v>97</v>
      </c>
      <c r="K2518" s="40" t="s">
        <v>97</v>
      </c>
      <c r="L2518" s="40" t="s">
        <v>97</v>
      </c>
    </row>
    <row r="2519" spans="1:12" x14ac:dyDescent="0.25">
      <c r="A2519" s="40" t="s">
        <v>38</v>
      </c>
      <c r="B2519" s="40" t="s">
        <v>4481</v>
      </c>
      <c r="C2519" s="40" t="s">
        <v>4482</v>
      </c>
      <c r="D2519" s="40" t="s">
        <v>2233</v>
      </c>
      <c r="E2519" s="40" t="s">
        <v>2233</v>
      </c>
      <c r="F2519" s="40">
        <v>1</v>
      </c>
      <c r="G2519" s="40"/>
      <c r="H2519" s="40" t="s">
        <v>2234</v>
      </c>
      <c r="I2519" s="40"/>
      <c r="J2519" s="40" t="s">
        <v>97</v>
      </c>
      <c r="K2519" s="40" t="s">
        <v>97</v>
      </c>
      <c r="L2519" s="40" t="s">
        <v>97</v>
      </c>
    </row>
    <row r="2520" spans="1:12" x14ac:dyDescent="0.25">
      <c r="A2520" s="40" t="s">
        <v>38</v>
      </c>
      <c r="B2520" s="40" t="s">
        <v>4483</v>
      </c>
      <c r="C2520" s="40" t="s">
        <v>4484</v>
      </c>
      <c r="D2520" s="40" t="s">
        <v>2233</v>
      </c>
      <c r="E2520" s="40" t="s">
        <v>2233</v>
      </c>
      <c r="F2520" s="40">
        <v>1</v>
      </c>
      <c r="G2520" s="40"/>
      <c r="H2520" s="40" t="s">
        <v>2234</v>
      </c>
      <c r="I2520" s="40"/>
      <c r="J2520" s="40" t="s">
        <v>97</v>
      </c>
      <c r="K2520" s="40" t="s">
        <v>97</v>
      </c>
      <c r="L2520" s="40" t="s">
        <v>97</v>
      </c>
    </row>
    <row r="2521" spans="1:12" x14ac:dyDescent="0.25">
      <c r="A2521" s="40" t="s">
        <v>38</v>
      </c>
      <c r="B2521" s="40" t="s">
        <v>4485</v>
      </c>
      <c r="C2521" s="40" t="s">
        <v>4486</v>
      </c>
      <c r="D2521" s="40" t="s">
        <v>2233</v>
      </c>
      <c r="E2521" s="40" t="s">
        <v>2233</v>
      </c>
      <c r="F2521" s="40">
        <v>1</v>
      </c>
      <c r="G2521" s="40"/>
      <c r="H2521" s="40" t="s">
        <v>2234</v>
      </c>
      <c r="I2521" s="40"/>
      <c r="J2521" s="40" t="s">
        <v>97</v>
      </c>
      <c r="K2521" s="40" t="s">
        <v>97</v>
      </c>
      <c r="L2521" s="40" t="s">
        <v>97</v>
      </c>
    </row>
    <row r="2522" spans="1:12" x14ac:dyDescent="0.25">
      <c r="A2522" s="40" t="s">
        <v>38</v>
      </c>
      <c r="B2522" s="40" t="s">
        <v>4487</v>
      </c>
      <c r="C2522" s="40" t="s">
        <v>4488</v>
      </c>
      <c r="D2522" s="40" t="s">
        <v>2233</v>
      </c>
      <c r="E2522" s="40" t="s">
        <v>2233</v>
      </c>
      <c r="F2522" s="40">
        <v>1</v>
      </c>
      <c r="G2522" s="40"/>
      <c r="H2522" s="40" t="s">
        <v>2234</v>
      </c>
      <c r="I2522" s="40"/>
      <c r="J2522" s="40" t="s">
        <v>97</v>
      </c>
      <c r="K2522" s="40" t="s">
        <v>97</v>
      </c>
      <c r="L2522" s="40" t="s">
        <v>97</v>
      </c>
    </row>
    <row r="2523" spans="1:12" x14ac:dyDescent="0.25">
      <c r="A2523" s="40" t="s">
        <v>38</v>
      </c>
      <c r="B2523" s="40" t="s">
        <v>4489</v>
      </c>
      <c r="C2523" s="40" t="s">
        <v>4490</v>
      </c>
      <c r="D2523" s="40" t="s">
        <v>2233</v>
      </c>
      <c r="E2523" s="40" t="s">
        <v>2233</v>
      </c>
      <c r="F2523" s="40">
        <v>1</v>
      </c>
      <c r="G2523" s="40"/>
      <c r="H2523" s="40" t="s">
        <v>2234</v>
      </c>
      <c r="I2523" s="40"/>
      <c r="J2523" s="40" t="s">
        <v>97</v>
      </c>
      <c r="K2523" s="40" t="s">
        <v>97</v>
      </c>
      <c r="L2523" s="40" t="s">
        <v>97</v>
      </c>
    </row>
    <row r="2524" spans="1:12" x14ac:dyDescent="0.25">
      <c r="A2524" s="40" t="s">
        <v>38</v>
      </c>
      <c r="B2524" s="40" t="s">
        <v>4491</v>
      </c>
      <c r="C2524" s="40" t="s">
        <v>4492</v>
      </c>
      <c r="D2524" s="40" t="s">
        <v>2233</v>
      </c>
      <c r="E2524" s="40" t="s">
        <v>2233</v>
      </c>
      <c r="F2524" s="40">
        <v>1</v>
      </c>
      <c r="G2524" s="40"/>
      <c r="H2524" s="40" t="s">
        <v>2234</v>
      </c>
      <c r="I2524" s="40"/>
      <c r="J2524" s="40" t="s">
        <v>97</v>
      </c>
      <c r="K2524" s="40" t="s">
        <v>97</v>
      </c>
      <c r="L2524" s="40" t="s">
        <v>97</v>
      </c>
    </row>
    <row r="2525" spans="1:12" x14ac:dyDescent="0.25">
      <c r="A2525" s="40" t="s">
        <v>38</v>
      </c>
      <c r="B2525" s="40" t="s">
        <v>4493</v>
      </c>
      <c r="C2525" s="40" t="s">
        <v>4494</v>
      </c>
      <c r="D2525" s="40" t="s">
        <v>2233</v>
      </c>
      <c r="E2525" s="40" t="s">
        <v>2233</v>
      </c>
      <c r="F2525" s="40">
        <v>1</v>
      </c>
      <c r="G2525" s="40"/>
      <c r="H2525" s="40" t="s">
        <v>2234</v>
      </c>
      <c r="I2525" s="40"/>
      <c r="J2525" s="40" t="s">
        <v>97</v>
      </c>
      <c r="K2525" s="40" t="s">
        <v>97</v>
      </c>
      <c r="L2525" s="40" t="s">
        <v>97</v>
      </c>
    </row>
    <row r="2526" spans="1:12" x14ac:dyDescent="0.25">
      <c r="A2526" s="40" t="s">
        <v>38</v>
      </c>
      <c r="B2526" s="40" t="s">
        <v>4495</v>
      </c>
      <c r="C2526" s="40" t="s">
        <v>4496</v>
      </c>
      <c r="D2526" s="40" t="s">
        <v>2233</v>
      </c>
      <c r="E2526" s="40" t="s">
        <v>2233</v>
      </c>
      <c r="F2526" s="40">
        <v>1</v>
      </c>
      <c r="G2526" s="40"/>
      <c r="H2526" s="40" t="s">
        <v>2234</v>
      </c>
      <c r="I2526" s="40"/>
      <c r="J2526" s="40" t="s">
        <v>97</v>
      </c>
      <c r="K2526" s="40" t="s">
        <v>97</v>
      </c>
      <c r="L2526" s="40" t="s">
        <v>97</v>
      </c>
    </row>
    <row r="2527" spans="1:12" x14ac:dyDescent="0.25">
      <c r="A2527" s="40" t="s">
        <v>38</v>
      </c>
      <c r="B2527" s="40" t="s">
        <v>4497</v>
      </c>
      <c r="C2527" s="40" t="s">
        <v>4498</v>
      </c>
      <c r="D2527" s="40" t="s">
        <v>2233</v>
      </c>
      <c r="E2527" s="40" t="s">
        <v>2233</v>
      </c>
      <c r="F2527" s="40">
        <v>1</v>
      </c>
      <c r="G2527" s="40"/>
      <c r="H2527" s="40" t="s">
        <v>2234</v>
      </c>
      <c r="I2527" s="40"/>
      <c r="J2527" s="40" t="s">
        <v>97</v>
      </c>
      <c r="K2527" s="40" t="s">
        <v>97</v>
      </c>
      <c r="L2527" s="40" t="s">
        <v>97</v>
      </c>
    </row>
    <row r="2528" spans="1:12" x14ac:dyDescent="0.25">
      <c r="A2528" s="40" t="s">
        <v>38</v>
      </c>
      <c r="B2528" s="40" t="s">
        <v>4499</v>
      </c>
      <c r="C2528" s="40" t="s">
        <v>4500</v>
      </c>
      <c r="D2528" s="40" t="s">
        <v>2233</v>
      </c>
      <c r="E2528" s="40" t="s">
        <v>2233</v>
      </c>
      <c r="F2528" s="40">
        <v>1</v>
      </c>
      <c r="G2528" s="40"/>
      <c r="H2528" s="40" t="s">
        <v>2234</v>
      </c>
      <c r="I2528" s="40"/>
      <c r="J2528" s="40" t="s">
        <v>97</v>
      </c>
      <c r="K2528" s="40" t="s">
        <v>97</v>
      </c>
      <c r="L2528" s="40" t="s">
        <v>97</v>
      </c>
    </row>
    <row r="2529" spans="1:12" x14ac:dyDescent="0.25">
      <c r="A2529" s="40" t="s">
        <v>38</v>
      </c>
      <c r="B2529" s="40" t="s">
        <v>4501</v>
      </c>
      <c r="C2529" s="40" t="s">
        <v>4502</v>
      </c>
      <c r="D2529" s="40" t="s">
        <v>2233</v>
      </c>
      <c r="E2529" s="40" t="s">
        <v>2233</v>
      </c>
      <c r="F2529" s="40">
        <v>1</v>
      </c>
      <c r="G2529" s="40"/>
      <c r="H2529" s="40" t="s">
        <v>2234</v>
      </c>
      <c r="I2529" s="40"/>
      <c r="J2529" s="40" t="s">
        <v>97</v>
      </c>
      <c r="K2529" s="40" t="s">
        <v>97</v>
      </c>
      <c r="L2529" s="40" t="s">
        <v>97</v>
      </c>
    </row>
    <row r="2530" spans="1:12" x14ac:dyDescent="0.25">
      <c r="A2530" s="40" t="s">
        <v>38</v>
      </c>
      <c r="B2530" s="40" t="s">
        <v>4503</v>
      </c>
      <c r="C2530" s="40" t="s">
        <v>4504</v>
      </c>
      <c r="D2530" s="40" t="s">
        <v>2233</v>
      </c>
      <c r="E2530" s="40" t="s">
        <v>2233</v>
      </c>
      <c r="F2530" s="40">
        <v>1</v>
      </c>
      <c r="G2530" s="40"/>
      <c r="H2530" s="40" t="s">
        <v>2234</v>
      </c>
      <c r="I2530" s="40"/>
      <c r="J2530" s="40" t="s">
        <v>97</v>
      </c>
      <c r="K2530" s="40" t="s">
        <v>97</v>
      </c>
      <c r="L2530" s="40" t="s">
        <v>97</v>
      </c>
    </row>
    <row r="2531" spans="1:12" x14ac:dyDescent="0.25">
      <c r="A2531" s="40" t="s">
        <v>38</v>
      </c>
      <c r="B2531" s="40" t="s">
        <v>4505</v>
      </c>
      <c r="C2531" s="40" t="s">
        <v>4506</v>
      </c>
      <c r="D2531" s="40" t="s">
        <v>2233</v>
      </c>
      <c r="E2531" s="40" t="s">
        <v>2233</v>
      </c>
      <c r="F2531" s="40">
        <v>1</v>
      </c>
      <c r="G2531" s="40"/>
      <c r="H2531" s="40" t="s">
        <v>2234</v>
      </c>
      <c r="I2531" s="40"/>
      <c r="J2531" s="40" t="s">
        <v>97</v>
      </c>
      <c r="K2531" s="40" t="s">
        <v>97</v>
      </c>
      <c r="L2531" s="40" t="s">
        <v>97</v>
      </c>
    </row>
    <row r="2532" spans="1:12" x14ac:dyDescent="0.25">
      <c r="A2532" s="40" t="s">
        <v>38</v>
      </c>
      <c r="B2532" s="40" t="s">
        <v>4507</v>
      </c>
      <c r="C2532" s="40" t="s">
        <v>4508</v>
      </c>
      <c r="D2532" s="40" t="s">
        <v>2233</v>
      </c>
      <c r="E2532" s="40" t="s">
        <v>2233</v>
      </c>
      <c r="F2532" s="40">
        <v>1</v>
      </c>
      <c r="G2532" s="40"/>
      <c r="H2532" s="40" t="s">
        <v>2234</v>
      </c>
      <c r="I2532" s="40"/>
      <c r="J2532" s="40" t="s">
        <v>97</v>
      </c>
      <c r="K2532" s="40" t="s">
        <v>97</v>
      </c>
      <c r="L2532" s="40" t="s">
        <v>97</v>
      </c>
    </row>
    <row r="2533" spans="1:12" x14ac:dyDescent="0.25">
      <c r="A2533" s="40" t="s">
        <v>38</v>
      </c>
      <c r="B2533" s="40" t="s">
        <v>4509</v>
      </c>
      <c r="C2533" s="40" t="s">
        <v>4510</v>
      </c>
      <c r="D2533" s="40" t="s">
        <v>2233</v>
      </c>
      <c r="E2533" s="40" t="s">
        <v>2233</v>
      </c>
      <c r="F2533" s="40">
        <v>1</v>
      </c>
      <c r="G2533" s="40"/>
      <c r="H2533" s="40" t="s">
        <v>2234</v>
      </c>
      <c r="I2533" s="40"/>
      <c r="J2533" s="40" t="s">
        <v>97</v>
      </c>
      <c r="K2533" s="40" t="s">
        <v>97</v>
      </c>
      <c r="L2533" s="40" t="s">
        <v>97</v>
      </c>
    </row>
    <row r="2534" spans="1:12" x14ac:dyDescent="0.25">
      <c r="A2534" s="40" t="s">
        <v>38</v>
      </c>
      <c r="B2534" s="40" t="s">
        <v>4511</v>
      </c>
      <c r="C2534" s="40" t="s">
        <v>4512</v>
      </c>
      <c r="D2534" s="40" t="s">
        <v>2233</v>
      </c>
      <c r="E2534" s="40" t="s">
        <v>2233</v>
      </c>
      <c r="F2534" s="40">
        <v>1</v>
      </c>
      <c r="G2534" s="40"/>
      <c r="H2534" s="40" t="s">
        <v>2234</v>
      </c>
      <c r="I2534" s="40"/>
      <c r="J2534" s="40" t="s">
        <v>97</v>
      </c>
      <c r="K2534" s="40" t="s">
        <v>97</v>
      </c>
      <c r="L2534" s="40" t="s">
        <v>97</v>
      </c>
    </row>
    <row r="2535" spans="1:12" x14ac:dyDescent="0.25">
      <c r="A2535" s="40" t="s">
        <v>38</v>
      </c>
      <c r="B2535" s="40" t="s">
        <v>4513</v>
      </c>
      <c r="C2535" s="40" t="s">
        <v>4514</v>
      </c>
      <c r="D2535" s="40" t="s">
        <v>2233</v>
      </c>
      <c r="E2535" s="40" t="s">
        <v>2233</v>
      </c>
      <c r="F2535" s="40">
        <v>1</v>
      </c>
      <c r="G2535" s="40"/>
      <c r="H2535" s="40" t="s">
        <v>2234</v>
      </c>
      <c r="I2535" s="40"/>
      <c r="J2535" s="40" t="s">
        <v>97</v>
      </c>
      <c r="K2535" s="40" t="s">
        <v>97</v>
      </c>
      <c r="L2535" s="40" t="s">
        <v>97</v>
      </c>
    </row>
    <row r="2536" spans="1:12" x14ac:dyDescent="0.25">
      <c r="A2536" s="40" t="s">
        <v>38</v>
      </c>
      <c r="B2536" s="40" t="s">
        <v>4515</v>
      </c>
      <c r="C2536" s="40" t="s">
        <v>4516</v>
      </c>
      <c r="D2536" s="40" t="s">
        <v>2233</v>
      </c>
      <c r="E2536" s="40" t="s">
        <v>2233</v>
      </c>
      <c r="F2536" s="40">
        <v>1</v>
      </c>
      <c r="G2536" s="40"/>
      <c r="H2536" s="40" t="s">
        <v>2234</v>
      </c>
      <c r="I2536" s="40"/>
      <c r="J2536" s="40" t="s">
        <v>97</v>
      </c>
      <c r="K2536" s="40" t="s">
        <v>97</v>
      </c>
      <c r="L2536" s="40" t="s">
        <v>97</v>
      </c>
    </row>
    <row r="2537" spans="1:12" x14ac:dyDescent="0.25">
      <c r="A2537" s="40" t="s">
        <v>38</v>
      </c>
      <c r="B2537" s="40" t="s">
        <v>4517</v>
      </c>
      <c r="C2537" s="40" t="s">
        <v>4518</v>
      </c>
      <c r="D2537" s="40" t="s">
        <v>2233</v>
      </c>
      <c r="E2537" s="40" t="s">
        <v>2233</v>
      </c>
      <c r="F2537" s="40">
        <v>1</v>
      </c>
      <c r="G2537" s="40"/>
      <c r="H2537" s="40" t="s">
        <v>2234</v>
      </c>
      <c r="I2537" s="40"/>
      <c r="J2537" s="40" t="s">
        <v>97</v>
      </c>
      <c r="K2537" s="40" t="s">
        <v>97</v>
      </c>
      <c r="L2537" s="40" t="s">
        <v>97</v>
      </c>
    </row>
    <row r="2538" spans="1:12" x14ac:dyDescent="0.25">
      <c r="A2538" s="40" t="s">
        <v>38</v>
      </c>
      <c r="B2538" s="40" t="s">
        <v>4519</v>
      </c>
      <c r="C2538" s="40" t="s">
        <v>4520</v>
      </c>
      <c r="D2538" s="40" t="s">
        <v>2233</v>
      </c>
      <c r="E2538" s="40" t="s">
        <v>2233</v>
      </c>
      <c r="F2538" s="40">
        <v>1</v>
      </c>
      <c r="G2538" s="40"/>
      <c r="H2538" s="40" t="s">
        <v>2234</v>
      </c>
      <c r="I2538" s="40"/>
      <c r="J2538" s="40" t="s">
        <v>97</v>
      </c>
      <c r="K2538" s="40" t="s">
        <v>97</v>
      </c>
      <c r="L2538" s="40" t="s">
        <v>97</v>
      </c>
    </row>
    <row r="2539" spans="1:12" x14ac:dyDescent="0.25">
      <c r="A2539" s="40" t="s">
        <v>38</v>
      </c>
      <c r="B2539" s="40" t="s">
        <v>4521</v>
      </c>
      <c r="C2539" s="40" t="s">
        <v>4522</v>
      </c>
      <c r="D2539" s="40" t="s">
        <v>2233</v>
      </c>
      <c r="E2539" s="40" t="s">
        <v>2233</v>
      </c>
      <c r="F2539" s="40">
        <v>1</v>
      </c>
      <c r="G2539" s="40"/>
      <c r="H2539" s="40" t="s">
        <v>2234</v>
      </c>
      <c r="I2539" s="40"/>
      <c r="J2539" s="40" t="s">
        <v>97</v>
      </c>
      <c r="K2539" s="40" t="s">
        <v>97</v>
      </c>
      <c r="L2539" s="40" t="s">
        <v>97</v>
      </c>
    </row>
    <row r="2540" spans="1:12" x14ac:dyDescent="0.25">
      <c r="A2540" s="40" t="s">
        <v>38</v>
      </c>
      <c r="B2540" s="40" t="s">
        <v>4523</v>
      </c>
      <c r="C2540" s="40" t="s">
        <v>4524</v>
      </c>
      <c r="D2540" s="40" t="s">
        <v>2233</v>
      </c>
      <c r="E2540" s="40" t="s">
        <v>2233</v>
      </c>
      <c r="F2540" s="40">
        <v>1</v>
      </c>
      <c r="G2540" s="40"/>
      <c r="H2540" s="40" t="s">
        <v>2234</v>
      </c>
      <c r="I2540" s="40"/>
      <c r="J2540" s="40" t="s">
        <v>97</v>
      </c>
      <c r="K2540" s="40" t="s">
        <v>97</v>
      </c>
      <c r="L2540" s="40" t="s">
        <v>97</v>
      </c>
    </row>
    <row r="2541" spans="1:12" x14ac:dyDescent="0.25">
      <c r="A2541" s="40" t="s">
        <v>38</v>
      </c>
      <c r="B2541" s="40" t="s">
        <v>4525</v>
      </c>
      <c r="C2541" s="40" t="s">
        <v>4526</v>
      </c>
      <c r="D2541" s="40" t="s">
        <v>2233</v>
      </c>
      <c r="E2541" s="40" t="s">
        <v>2233</v>
      </c>
      <c r="F2541" s="40">
        <v>1</v>
      </c>
      <c r="G2541" s="40"/>
      <c r="H2541" s="40" t="s">
        <v>2234</v>
      </c>
      <c r="I2541" s="40"/>
      <c r="J2541" s="40" t="s">
        <v>97</v>
      </c>
      <c r="K2541" s="40" t="s">
        <v>97</v>
      </c>
      <c r="L2541" s="40" t="s">
        <v>97</v>
      </c>
    </row>
    <row r="2542" spans="1:12" x14ac:dyDescent="0.25">
      <c r="A2542" s="40" t="s">
        <v>38</v>
      </c>
      <c r="B2542" s="40" t="s">
        <v>4527</v>
      </c>
      <c r="C2542" s="40" t="s">
        <v>4528</v>
      </c>
      <c r="D2542" s="40" t="s">
        <v>2233</v>
      </c>
      <c r="E2542" s="40" t="s">
        <v>2233</v>
      </c>
      <c r="F2542" s="40">
        <v>1</v>
      </c>
      <c r="G2542" s="40"/>
      <c r="H2542" s="40" t="s">
        <v>2234</v>
      </c>
      <c r="I2542" s="40"/>
      <c r="J2542" s="40" t="s">
        <v>97</v>
      </c>
      <c r="K2542" s="40" t="s">
        <v>97</v>
      </c>
      <c r="L2542" s="40" t="s">
        <v>97</v>
      </c>
    </row>
    <row r="2543" spans="1:12" x14ac:dyDescent="0.25">
      <c r="A2543" s="40" t="s">
        <v>38</v>
      </c>
      <c r="B2543" s="40" t="s">
        <v>4529</v>
      </c>
      <c r="C2543" s="40" t="s">
        <v>4530</v>
      </c>
      <c r="D2543" s="40" t="s">
        <v>2233</v>
      </c>
      <c r="E2543" s="40" t="s">
        <v>2233</v>
      </c>
      <c r="F2543" s="40">
        <v>1</v>
      </c>
      <c r="G2543" s="40"/>
      <c r="H2543" s="40" t="s">
        <v>2234</v>
      </c>
      <c r="I2543" s="40"/>
      <c r="J2543" s="40" t="s">
        <v>97</v>
      </c>
      <c r="K2543" s="40" t="s">
        <v>97</v>
      </c>
      <c r="L2543" s="40" t="s">
        <v>97</v>
      </c>
    </row>
    <row r="2544" spans="1:12" x14ac:dyDescent="0.25">
      <c r="A2544" s="40" t="s">
        <v>38</v>
      </c>
      <c r="B2544" s="40" t="s">
        <v>4531</v>
      </c>
      <c r="C2544" s="40" t="s">
        <v>4532</v>
      </c>
      <c r="D2544" s="40" t="s">
        <v>2233</v>
      </c>
      <c r="E2544" s="40" t="s">
        <v>2233</v>
      </c>
      <c r="F2544" s="40">
        <v>1</v>
      </c>
      <c r="G2544" s="40"/>
      <c r="H2544" s="40" t="s">
        <v>2234</v>
      </c>
      <c r="I2544" s="40"/>
      <c r="J2544" s="40" t="s">
        <v>97</v>
      </c>
      <c r="K2544" s="40" t="s">
        <v>97</v>
      </c>
      <c r="L2544" s="40" t="s">
        <v>97</v>
      </c>
    </row>
    <row r="2545" spans="1:12" x14ac:dyDescent="0.25">
      <c r="A2545" s="40" t="s">
        <v>38</v>
      </c>
      <c r="B2545" s="40" t="s">
        <v>4533</v>
      </c>
      <c r="C2545" s="40" t="s">
        <v>4534</v>
      </c>
      <c r="D2545" s="40" t="s">
        <v>2233</v>
      </c>
      <c r="E2545" s="40" t="s">
        <v>2233</v>
      </c>
      <c r="F2545" s="40">
        <v>1</v>
      </c>
      <c r="G2545" s="40"/>
      <c r="H2545" s="40" t="s">
        <v>2234</v>
      </c>
      <c r="I2545" s="40"/>
      <c r="J2545" s="40" t="s">
        <v>97</v>
      </c>
      <c r="K2545" s="40" t="s">
        <v>97</v>
      </c>
      <c r="L2545" s="40" t="s">
        <v>97</v>
      </c>
    </row>
    <row r="2546" spans="1:12" x14ac:dyDescent="0.25">
      <c r="A2546" s="40" t="s">
        <v>38</v>
      </c>
      <c r="B2546" s="40" t="s">
        <v>4535</v>
      </c>
      <c r="C2546" s="40" t="s">
        <v>4536</v>
      </c>
      <c r="D2546" s="40" t="s">
        <v>2233</v>
      </c>
      <c r="E2546" s="40" t="s">
        <v>2233</v>
      </c>
      <c r="F2546" s="40">
        <v>1</v>
      </c>
      <c r="G2546" s="40"/>
      <c r="H2546" s="40" t="s">
        <v>2234</v>
      </c>
      <c r="I2546" s="40"/>
      <c r="J2546" s="40" t="s">
        <v>97</v>
      </c>
      <c r="K2546" s="40" t="s">
        <v>97</v>
      </c>
      <c r="L2546" s="40" t="s">
        <v>97</v>
      </c>
    </row>
    <row r="2547" spans="1:12" x14ac:dyDescent="0.25">
      <c r="A2547" s="40" t="s">
        <v>38</v>
      </c>
      <c r="B2547" s="40" t="s">
        <v>4537</v>
      </c>
      <c r="C2547" s="40" t="s">
        <v>4538</v>
      </c>
      <c r="D2547" s="40" t="s">
        <v>2233</v>
      </c>
      <c r="E2547" s="40" t="s">
        <v>2233</v>
      </c>
      <c r="F2547" s="40">
        <v>1</v>
      </c>
      <c r="G2547" s="40"/>
      <c r="H2547" s="40" t="s">
        <v>2234</v>
      </c>
      <c r="I2547" s="40"/>
      <c r="J2547" s="40" t="s">
        <v>97</v>
      </c>
      <c r="K2547" s="40" t="s">
        <v>97</v>
      </c>
      <c r="L2547" s="40" t="s">
        <v>97</v>
      </c>
    </row>
    <row r="2548" spans="1:12" x14ac:dyDescent="0.25">
      <c r="A2548" s="40" t="s">
        <v>38</v>
      </c>
      <c r="B2548" s="40" t="s">
        <v>4539</v>
      </c>
      <c r="C2548" s="40" t="s">
        <v>4540</v>
      </c>
      <c r="D2548" s="40" t="s">
        <v>2233</v>
      </c>
      <c r="E2548" s="40" t="s">
        <v>2233</v>
      </c>
      <c r="F2548" s="40">
        <v>1</v>
      </c>
      <c r="G2548" s="40"/>
      <c r="H2548" s="40" t="s">
        <v>2234</v>
      </c>
      <c r="I2548" s="40"/>
      <c r="J2548" s="40" t="s">
        <v>97</v>
      </c>
      <c r="K2548" s="40" t="s">
        <v>97</v>
      </c>
      <c r="L2548" s="40" t="s">
        <v>97</v>
      </c>
    </row>
    <row r="2549" spans="1:12" x14ac:dyDescent="0.25">
      <c r="A2549" s="40" t="s">
        <v>38</v>
      </c>
      <c r="B2549" s="40" t="s">
        <v>4541</v>
      </c>
      <c r="C2549" s="40" t="s">
        <v>4542</v>
      </c>
      <c r="D2549" s="40" t="s">
        <v>2233</v>
      </c>
      <c r="E2549" s="40" t="s">
        <v>2233</v>
      </c>
      <c r="F2549" s="40">
        <v>1</v>
      </c>
      <c r="G2549" s="40"/>
      <c r="H2549" s="40" t="s">
        <v>2234</v>
      </c>
      <c r="I2549" s="40"/>
      <c r="J2549" s="40" t="s">
        <v>97</v>
      </c>
      <c r="K2549" s="40" t="s">
        <v>97</v>
      </c>
      <c r="L2549" s="40" t="s">
        <v>97</v>
      </c>
    </row>
    <row r="2550" spans="1:12" x14ac:dyDescent="0.25">
      <c r="A2550" s="40" t="s">
        <v>38</v>
      </c>
      <c r="B2550" s="40" t="s">
        <v>4543</v>
      </c>
      <c r="C2550" s="40" t="s">
        <v>4544</v>
      </c>
      <c r="D2550" s="40" t="s">
        <v>2233</v>
      </c>
      <c r="E2550" s="40" t="s">
        <v>2233</v>
      </c>
      <c r="F2550" s="40">
        <v>1</v>
      </c>
      <c r="G2550" s="40"/>
      <c r="H2550" s="40" t="s">
        <v>2234</v>
      </c>
      <c r="I2550" s="40"/>
      <c r="J2550" s="40" t="s">
        <v>97</v>
      </c>
      <c r="K2550" s="40" t="s">
        <v>97</v>
      </c>
      <c r="L2550" s="40" t="s">
        <v>97</v>
      </c>
    </row>
    <row r="2551" spans="1:12" x14ac:dyDescent="0.25">
      <c r="A2551" s="40" t="s">
        <v>38</v>
      </c>
      <c r="B2551" s="40" t="s">
        <v>4545</v>
      </c>
      <c r="C2551" s="40" t="s">
        <v>4546</v>
      </c>
      <c r="D2551" s="40" t="s">
        <v>2233</v>
      </c>
      <c r="E2551" s="40" t="s">
        <v>2233</v>
      </c>
      <c r="F2551" s="40">
        <v>1</v>
      </c>
      <c r="G2551" s="40"/>
      <c r="H2551" s="40" t="s">
        <v>2234</v>
      </c>
      <c r="I2551" s="40"/>
      <c r="J2551" s="40" t="s">
        <v>97</v>
      </c>
      <c r="K2551" s="40" t="s">
        <v>97</v>
      </c>
      <c r="L2551" s="40" t="s">
        <v>97</v>
      </c>
    </row>
    <row r="2552" spans="1:12" x14ac:dyDescent="0.25">
      <c r="A2552" s="40" t="s">
        <v>38</v>
      </c>
      <c r="B2552" s="40" t="s">
        <v>4547</v>
      </c>
      <c r="C2552" s="40" t="s">
        <v>4548</v>
      </c>
      <c r="D2552" s="40" t="s">
        <v>2233</v>
      </c>
      <c r="E2552" s="40" t="s">
        <v>2233</v>
      </c>
      <c r="F2552" s="40">
        <v>1</v>
      </c>
      <c r="G2552" s="40"/>
      <c r="H2552" s="40" t="s">
        <v>2234</v>
      </c>
      <c r="I2552" s="40"/>
      <c r="J2552" s="40" t="s">
        <v>97</v>
      </c>
      <c r="K2552" s="40" t="s">
        <v>97</v>
      </c>
      <c r="L2552" s="40" t="s">
        <v>97</v>
      </c>
    </row>
    <row r="2553" spans="1:12" x14ac:dyDescent="0.25">
      <c r="A2553" s="40" t="s">
        <v>38</v>
      </c>
      <c r="B2553" s="40" t="s">
        <v>4549</v>
      </c>
      <c r="C2553" s="40" t="s">
        <v>4550</v>
      </c>
      <c r="D2553" s="40" t="s">
        <v>2233</v>
      </c>
      <c r="E2553" s="40" t="s">
        <v>2233</v>
      </c>
      <c r="F2553" s="40">
        <v>1</v>
      </c>
      <c r="G2553" s="40"/>
      <c r="H2553" s="40" t="s">
        <v>2234</v>
      </c>
      <c r="I2553" s="40"/>
      <c r="J2553" s="40" t="s">
        <v>97</v>
      </c>
      <c r="K2553" s="40" t="s">
        <v>97</v>
      </c>
      <c r="L2553" s="40" t="s">
        <v>97</v>
      </c>
    </row>
    <row r="2554" spans="1:12" x14ac:dyDescent="0.25">
      <c r="A2554" s="40" t="s">
        <v>38</v>
      </c>
      <c r="B2554" s="40" t="s">
        <v>4551</v>
      </c>
      <c r="C2554" s="40" t="s">
        <v>4552</v>
      </c>
      <c r="D2554" s="40" t="s">
        <v>2233</v>
      </c>
      <c r="E2554" s="40" t="s">
        <v>2233</v>
      </c>
      <c r="F2554" s="40">
        <v>1</v>
      </c>
      <c r="G2554" s="40"/>
      <c r="H2554" s="40" t="s">
        <v>2234</v>
      </c>
      <c r="I2554" s="40"/>
      <c r="J2554" s="40" t="s">
        <v>97</v>
      </c>
      <c r="K2554" s="40" t="s">
        <v>97</v>
      </c>
      <c r="L2554" s="40" t="s">
        <v>97</v>
      </c>
    </row>
    <row r="2555" spans="1:12" x14ac:dyDescent="0.25">
      <c r="A2555" s="40" t="s">
        <v>38</v>
      </c>
      <c r="B2555" s="40" t="s">
        <v>4553</v>
      </c>
      <c r="C2555" s="40" t="s">
        <v>4554</v>
      </c>
      <c r="D2555" s="40" t="s">
        <v>2233</v>
      </c>
      <c r="E2555" s="40" t="s">
        <v>2233</v>
      </c>
      <c r="F2555" s="40">
        <v>1</v>
      </c>
      <c r="G2555" s="40"/>
      <c r="H2555" s="40" t="s">
        <v>2234</v>
      </c>
      <c r="I2555" s="40"/>
      <c r="J2555" s="40" t="s">
        <v>97</v>
      </c>
      <c r="K2555" s="40" t="s">
        <v>97</v>
      </c>
      <c r="L2555" s="40" t="s">
        <v>97</v>
      </c>
    </row>
    <row r="2556" spans="1:12" x14ac:dyDescent="0.25">
      <c r="A2556" s="40" t="s">
        <v>38</v>
      </c>
      <c r="B2556" s="40" t="s">
        <v>4555</v>
      </c>
      <c r="C2556" s="40" t="s">
        <v>4556</v>
      </c>
      <c r="D2556" s="40" t="s">
        <v>2233</v>
      </c>
      <c r="E2556" s="40" t="s">
        <v>2233</v>
      </c>
      <c r="F2556" s="40">
        <v>1</v>
      </c>
      <c r="G2556" s="40"/>
      <c r="H2556" s="40" t="s">
        <v>2234</v>
      </c>
      <c r="I2556" s="40"/>
      <c r="J2556" s="40" t="s">
        <v>97</v>
      </c>
      <c r="K2556" s="40" t="s">
        <v>97</v>
      </c>
      <c r="L2556" s="40" t="s">
        <v>97</v>
      </c>
    </row>
    <row r="2557" spans="1:12" x14ac:dyDescent="0.25">
      <c r="A2557" s="40" t="s">
        <v>38</v>
      </c>
      <c r="B2557" s="40" t="s">
        <v>4557</v>
      </c>
      <c r="C2557" s="40" t="s">
        <v>4558</v>
      </c>
      <c r="D2557" s="40" t="s">
        <v>2233</v>
      </c>
      <c r="E2557" s="40" t="s">
        <v>2233</v>
      </c>
      <c r="F2557" s="40">
        <v>1</v>
      </c>
      <c r="G2557" s="40"/>
      <c r="H2557" s="40" t="s">
        <v>2234</v>
      </c>
      <c r="I2557" s="40"/>
      <c r="J2557" s="40" t="s">
        <v>97</v>
      </c>
      <c r="K2557" s="40" t="s">
        <v>97</v>
      </c>
      <c r="L2557" s="40" t="s">
        <v>97</v>
      </c>
    </row>
    <row r="2558" spans="1:12" x14ac:dyDescent="0.25">
      <c r="A2558" s="40" t="s">
        <v>38</v>
      </c>
      <c r="B2558" s="40" t="s">
        <v>4559</v>
      </c>
      <c r="C2558" s="40" t="s">
        <v>4560</v>
      </c>
      <c r="D2558" s="40" t="s">
        <v>2233</v>
      </c>
      <c r="E2558" s="40" t="s">
        <v>2233</v>
      </c>
      <c r="F2558" s="40">
        <v>1</v>
      </c>
      <c r="G2558" s="40"/>
      <c r="H2558" s="40" t="s">
        <v>2234</v>
      </c>
      <c r="I2558" s="40"/>
      <c r="J2558" s="40" t="s">
        <v>97</v>
      </c>
      <c r="K2558" s="40" t="s">
        <v>97</v>
      </c>
      <c r="L2558" s="40" t="s">
        <v>97</v>
      </c>
    </row>
    <row r="2559" spans="1:12" x14ac:dyDescent="0.25">
      <c r="A2559" s="40" t="s">
        <v>38</v>
      </c>
      <c r="B2559" s="40" t="s">
        <v>4561</v>
      </c>
      <c r="C2559" s="40" t="s">
        <v>4562</v>
      </c>
      <c r="D2559" s="40" t="s">
        <v>2233</v>
      </c>
      <c r="E2559" s="40" t="s">
        <v>2233</v>
      </c>
      <c r="F2559" s="40">
        <v>1</v>
      </c>
      <c r="G2559" s="40"/>
      <c r="H2559" s="40" t="s">
        <v>2234</v>
      </c>
      <c r="I2559" s="40"/>
      <c r="J2559" s="40" t="s">
        <v>97</v>
      </c>
      <c r="K2559" s="40" t="s">
        <v>97</v>
      </c>
      <c r="L2559" s="40" t="s">
        <v>97</v>
      </c>
    </row>
    <row r="2560" spans="1:12" x14ac:dyDescent="0.25">
      <c r="A2560" s="40" t="s">
        <v>38</v>
      </c>
      <c r="B2560" s="40" t="s">
        <v>4563</v>
      </c>
      <c r="C2560" s="40" t="s">
        <v>4564</v>
      </c>
      <c r="D2560" s="40" t="s">
        <v>2233</v>
      </c>
      <c r="E2560" s="40" t="s">
        <v>2233</v>
      </c>
      <c r="F2560" s="40">
        <v>1</v>
      </c>
      <c r="G2560" s="40"/>
      <c r="H2560" s="40" t="s">
        <v>2234</v>
      </c>
      <c r="I2560" s="40"/>
      <c r="J2560" s="40" t="s">
        <v>97</v>
      </c>
      <c r="K2560" s="40" t="s">
        <v>97</v>
      </c>
      <c r="L2560" s="40" t="s">
        <v>97</v>
      </c>
    </row>
    <row r="2561" spans="1:12" x14ac:dyDescent="0.25">
      <c r="A2561" s="40" t="s">
        <v>38</v>
      </c>
      <c r="B2561" s="40" t="s">
        <v>4565</v>
      </c>
      <c r="C2561" s="40" t="s">
        <v>4566</v>
      </c>
      <c r="D2561" s="40" t="s">
        <v>2233</v>
      </c>
      <c r="E2561" s="40" t="s">
        <v>2233</v>
      </c>
      <c r="F2561" s="40">
        <v>1</v>
      </c>
      <c r="G2561" s="40"/>
      <c r="H2561" s="40" t="s">
        <v>2234</v>
      </c>
      <c r="I2561" s="40"/>
      <c r="J2561" s="40" t="s">
        <v>97</v>
      </c>
      <c r="K2561" s="40" t="s">
        <v>97</v>
      </c>
      <c r="L2561" s="40" t="s">
        <v>97</v>
      </c>
    </row>
    <row r="2562" spans="1:12" x14ac:dyDescent="0.25">
      <c r="A2562" s="40" t="s">
        <v>38</v>
      </c>
      <c r="B2562" s="40" t="s">
        <v>4567</v>
      </c>
      <c r="C2562" s="40" t="s">
        <v>4568</v>
      </c>
      <c r="D2562" s="40" t="s">
        <v>2233</v>
      </c>
      <c r="E2562" s="40" t="s">
        <v>2233</v>
      </c>
      <c r="F2562" s="40">
        <v>1</v>
      </c>
      <c r="G2562" s="40"/>
      <c r="H2562" s="40" t="s">
        <v>2234</v>
      </c>
      <c r="I2562" s="40"/>
      <c r="J2562" s="40" t="s">
        <v>97</v>
      </c>
      <c r="K2562" s="40" t="s">
        <v>97</v>
      </c>
      <c r="L2562" s="40" t="s">
        <v>97</v>
      </c>
    </row>
    <row r="2563" spans="1:12" x14ac:dyDescent="0.25">
      <c r="A2563" s="40" t="s">
        <v>38</v>
      </c>
      <c r="B2563" s="40" t="s">
        <v>4569</v>
      </c>
      <c r="C2563" s="40" t="s">
        <v>4570</v>
      </c>
      <c r="D2563" s="40" t="s">
        <v>2233</v>
      </c>
      <c r="E2563" s="40" t="s">
        <v>2233</v>
      </c>
      <c r="F2563" s="40">
        <v>1</v>
      </c>
      <c r="G2563" s="40"/>
      <c r="H2563" s="40" t="s">
        <v>2234</v>
      </c>
      <c r="I2563" s="40"/>
      <c r="J2563" s="40" t="s">
        <v>97</v>
      </c>
      <c r="K2563" s="40" t="s">
        <v>97</v>
      </c>
      <c r="L2563" s="40" t="s">
        <v>97</v>
      </c>
    </row>
    <row r="2564" spans="1:12" x14ac:dyDescent="0.25">
      <c r="A2564" s="40" t="s">
        <v>38</v>
      </c>
      <c r="B2564" s="40" t="s">
        <v>4571</v>
      </c>
      <c r="C2564" s="40" t="s">
        <v>4572</v>
      </c>
      <c r="D2564" s="40" t="s">
        <v>2233</v>
      </c>
      <c r="E2564" s="40" t="s">
        <v>2233</v>
      </c>
      <c r="F2564" s="40">
        <v>1</v>
      </c>
      <c r="G2564" s="40"/>
      <c r="H2564" s="40" t="s">
        <v>2234</v>
      </c>
      <c r="I2564" s="40"/>
      <c r="J2564" s="40" t="s">
        <v>97</v>
      </c>
      <c r="K2564" s="40" t="s">
        <v>97</v>
      </c>
      <c r="L2564" s="40" t="s">
        <v>97</v>
      </c>
    </row>
    <row r="2565" spans="1:12" x14ac:dyDescent="0.25">
      <c r="A2565" s="40" t="s">
        <v>38</v>
      </c>
      <c r="B2565" s="40" t="s">
        <v>4573</v>
      </c>
      <c r="C2565" s="40" t="s">
        <v>4574</v>
      </c>
      <c r="D2565" s="40" t="s">
        <v>2233</v>
      </c>
      <c r="E2565" s="40" t="s">
        <v>2233</v>
      </c>
      <c r="F2565" s="40">
        <v>1</v>
      </c>
      <c r="G2565" s="40"/>
      <c r="H2565" s="40" t="s">
        <v>2234</v>
      </c>
      <c r="I2565" s="40"/>
      <c r="J2565" s="40" t="s">
        <v>97</v>
      </c>
      <c r="K2565" s="40" t="s">
        <v>97</v>
      </c>
      <c r="L2565" s="40" t="s">
        <v>97</v>
      </c>
    </row>
    <row r="2566" spans="1:12" x14ac:dyDescent="0.25">
      <c r="A2566" s="40" t="s">
        <v>38</v>
      </c>
      <c r="B2566" s="40" t="s">
        <v>4575</v>
      </c>
      <c r="C2566" s="40" t="s">
        <v>4576</v>
      </c>
      <c r="D2566" s="40" t="s">
        <v>2233</v>
      </c>
      <c r="E2566" s="40" t="s">
        <v>2233</v>
      </c>
      <c r="F2566" s="40">
        <v>1</v>
      </c>
      <c r="G2566" s="40"/>
      <c r="H2566" s="40" t="s">
        <v>2234</v>
      </c>
      <c r="I2566" s="40"/>
      <c r="J2566" s="40" t="s">
        <v>97</v>
      </c>
      <c r="K2566" s="40" t="s">
        <v>97</v>
      </c>
      <c r="L2566" s="40" t="s">
        <v>97</v>
      </c>
    </row>
    <row r="2567" spans="1:12" x14ac:dyDescent="0.25">
      <c r="A2567" s="40" t="s">
        <v>38</v>
      </c>
      <c r="B2567" s="40" t="s">
        <v>4577</v>
      </c>
      <c r="C2567" s="40" t="s">
        <v>4578</v>
      </c>
      <c r="D2567" s="40" t="s">
        <v>2233</v>
      </c>
      <c r="E2567" s="40" t="s">
        <v>2233</v>
      </c>
      <c r="F2567" s="40">
        <v>1</v>
      </c>
      <c r="G2567" s="40"/>
      <c r="H2567" s="40" t="s">
        <v>2234</v>
      </c>
      <c r="I2567" s="40"/>
      <c r="J2567" s="40" t="s">
        <v>97</v>
      </c>
      <c r="K2567" s="40" t="s">
        <v>97</v>
      </c>
      <c r="L2567" s="40" t="s">
        <v>97</v>
      </c>
    </row>
    <row r="2568" spans="1:12" x14ac:dyDescent="0.25">
      <c r="A2568" s="40" t="s">
        <v>38</v>
      </c>
      <c r="B2568" s="40" t="s">
        <v>4579</v>
      </c>
      <c r="C2568" s="40" t="s">
        <v>4580</v>
      </c>
      <c r="D2568" s="40" t="s">
        <v>2233</v>
      </c>
      <c r="E2568" s="40" t="s">
        <v>2233</v>
      </c>
      <c r="F2568" s="40">
        <v>1</v>
      </c>
      <c r="G2568" s="40"/>
      <c r="H2568" s="40" t="s">
        <v>2234</v>
      </c>
      <c r="I2568" s="40"/>
      <c r="J2568" s="40" t="s">
        <v>97</v>
      </c>
      <c r="K2568" s="40" t="s">
        <v>97</v>
      </c>
      <c r="L2568" s="40" t="s">
        <v>97</v>
      </c>
    </row>
    <row r="2569" spans="1:12" x14ac:dyDescent="0.25">
      <c r="A2569" s="40" t="s">
        <v>38</v>
      </c>
      <c r="B2569" s="40" t="s">
        <v>4581</v>
      </c>
      <c r="C2569" s="40" t="s">
        <v>4582</v>
      </c>
      <c r="D2569" s="40" t="s">
        <v>2233</v>
      </c>
      <c r="E2569" s="40" t="s">
        <v>2233</v>
      </c>
      <c r="F2569" s="40">
        <v>1</v>
      </c>
      <c r="G2569" s="40"/>
      <c r="H2569" s="40" t="s">
        <v>2234</v>
      </c>
      <c r="I2569" s="40"/>
      <c r="J2569" s="40" t="s">
        <v>97</v>
      </c>
      <c r="K2569" s="40" t="s">
        <v>97</v>
      </c>
      <c r="L2569" s="40" t="s">
        <v>97</v>
      </c>
    </row>
    <row r="2570" spans="1:12" x14ac:dyDescent="0.25">
      <c r="A2570" s="40" t="s">
        <v>38</v>
      </c>
      <c r="B2570" s="40" t="s">
        <v>4583</v>
      </c>
      <c r="C2570" s="40" t="s">
        <v>4584</v>
      </c>
      <c r="D2570" s="40" t="s">
        <v>2233</v>
      </c>
      <c r="E2570" s="40" t="s">
        <v>2233</v>
      </c>
      <c r="F2570" s="40">
        <v>1</v>
      </c>
      <c r="G2570" s="40"/>
      <c r="H2570" s="40" t="s">
        <v>2234</v>
      </c>
      <c r="I2570" s="40"/>
      <c r="J2570" s="40" t="s">
        <v>97</v>
      </c>
      <c r="K2570" s="40" t="s">
        <v>97</v>
      </c>
      <c r="L2570" s="40" t="s">
        <v>97</v>
      </c>
    </row>
    <row r="2571" spans="1:12" x14ac:dyDescent="0.25">
      <c r="A2571" s="40" t="s">
        <v>38</v>
      </c>
      <c r="B2571" s="40" t="s">
        <v>4585</v>
      </c>
      <c r="C2571" s="40" t="s">
        <v>4586</v>
      </c>
      <c r="D2571" s="40" t="s">
        <v>2233</v>
      </c>
      <c r="E2571" s="40" t="s">
        <v>2233</v>
      </c>
      <c r="F2571" s="40">
        <v>1</v>
      </c>
      <c r="G2571" s="40"/>
      <c r="H2571" s="40" t="s">
        <v>2234</v>
      </c>
      <c r="I2571" s="40"/>
      <c r="J2571" s="40" t="s">
        <v>97</v>
      </c>
      <c r="K2571" s="40" t="s">
        <v>97</v>
      </c>
      <c r="L2571" s="40" t="s">
        <v>97</v>
      </c>
    </row>
    <row r="2572" spans="1:12" x14ac:dyDescent="0.25">
      <c r="A2572" s="40" t="s">
        <v>38</v>
      </c>
      <c r="B2572" s="40" t="s">
        <v>4587</v>
      </c>
      <c r="C2572" s="40" t="s">
        <v>4588</v>
      </c>
      <c r="D2572" s="40" t="s">
        <v>2233</v>
      </c>
      <c r="E2572" s="40" t="s">
        <v>2233</v>
      </c>
      <c r="F2572" s="40">
        <v>1</v>
      </c>
      <c r="G2572" s="40"/>
      <c r="H2572" s="40" t="s">
        <v>2234</v>
      </c>
      <c r="I2572" s="40"/>
      <c r="J2572" s="40" t="s">
        <v>97</v>
      </c>
      <c r="K2572" s="40" t="s">
        <v>97</v>
      </c>
      <c r="L2572" s="40" t="s">
        <v>97</v>
      </c>
    </row>
    <row r="2573" spans="1:12" x14ac:dyDescent="0.25">
      <c r="A2573" s="40" t="s">
        <v>38</v>
      </c>
      <c r="B2573" s="40" t="s">
        <v>4589</v>
      </c>
      <c r="C2573" s="40" t="s">
        <v>4590</v>
      </c>
      <c r="D2573" s="40" t="s">
        <v>2233</v>
      </c>
      <c r="E2573" s="40" t="s">
        <v>2233</v>
      </c>
      <c r="F2573" s="40">
        <v>1</v>
      </c>
      <c r="G2573" s="40"/>
      <c r="H2573" s="40" t="s">
        <v>2234</v>
      </c>
      <c r="I2573" s="40"/>
      <c r="J2573" s="40" t="s">
        <v>97</v>
      </c>
      <c r="K2573" s="40" t="s">
        <v>97</v>
      </c>
      <c r="L2573" s="40" t="s">
        <v>97</v>
      </c>
    </row>
    <row r="2574" spans="1:12" x14ac:dyDescent="0.25">
      <c r="A2574" s="40" t="s">
        <v>38</v>
      </c>
      <c r="B2574" s="40" t="s">
        <v>4591</v>
      </c>
      <c r="C2574" s="40" t="s">
        <v>4592</v>
      </c>
      <c r="D2574" s="40" t="s">
        <v>2233</v>
      </c>
      <c r="E2574" s="40" t="s">
        <v>2233</v>
      </c>
      <c r="F2574" s="40">
        <v>1</v>
      </c>
      <c r="G2574" s="40"/>
      <c r="H2574" s="40" t="s">
        <v>2234</v>
      </c>
      <c r="I2574" s="40"/>
      <c r="J2574" s="40" t="s">
        <v>97</v>
      </c>
      <c r="K2574" s="40" t="s">
        <v>97</v>
      </c>
      <c r="L2574" s="40" t="s">
        <v>97</v>
      </c>
    </row>
    <row r="2575" spans="1:12" x14ac:dyDescent="0.25">
      <c r="A2575" s="40" t="s">
        <v>38</v>
      </c>
      <c r="B2575" s="40" t="s">
        <v>4593</v>
      </c>
      <c r="C2575" s="40" t="s">
        <v>4594</v>
      </c>
      <c r="D2575" s="40" t="s">
        <v>2233</v>
      </c>
      <c r="E2575" s="40" t="s">
        <v>2233</v>
      </c>
      <c r="F2575" s="40">
        <v>1</v>
      </c>
      <c r="G2575" s="40"/>
      <c r="H2575" s="40" t="s">
        <v>2234</v>
      </c>
      <c r="I2575" s="40"/>
      <c r="J2575" s="40" t="s">
        <v>97</v>
      </c>
      <c r="K2575" s="40" t="s">
        <v>97</v>
      </c>
      <c r="L2575" s="40" t="s">
        <v>97</v>
      </c>
    </row>
    <row r="2576" spans="1:12" x14ac:dyDescent="0.25">
      <c r="A2576" s="40" t="s">
        <v>38</v>
      </c>
      <c r="B2576" s="40" t="s">
        <v>4595</v>
      </c>
      <c r="C2576" s="40" t="s">
        <v>4596</v>
      </c>
      <c r="D2576" s="40" t="s">
        <v>4597</v>
      </c>
      <c r="E2576" s="40" t="s">
        <v>4597</v>
      </c>
      <c r="F2576" s="40">
        <v>1</v>
      </c>
      <c r="G2576" s="40"/>
      <c r="H2576" s="40" t="s">
        <v>97</v>
      </c>
      <c r="I2576" s="40"/>
      <c r="J2576" s="40" t="s">
        <v>97</v>
      </c>
      <c r="K2576" s="40" t="s">
        <v>97</v>
      </c>
      <c r="L2576" s="40" t="s">
        <v>97</v>
      </c>
    </row>
    <row r="2577" spans="1:12" x14ac:dyDescent="0.25">
      <c r="A2577" s="40" t="s">
        <v>38</v>
      </c>
      <c r="B2577" s="40" t="s">
        <v>4598</v>
      </c>
      <c r="C2577" s="40" t="s">
        <v>4599</v>
      </c>
      <c r="D2577" s="40" t="s">
        <v>3246</v>
      </c>
      <c r="E2577" s="40" t="s">
        <v>3246</v>
      </c>
      <c r="F2577" s="40">
        <v>1</v>
      </c>
      <c r="G2577" s="40"/>
      <c r="H2577" s="40" t="s">
        <v>97</v>
      </c>
      <c r="I2577" s="40"/>
      <c r="J2577" s="40" t="s">
        <v>97</v>
      </c>
      <c r="K2577" s="40" t="s">
        <v>97</v>
      </c>
      <c r="L2577" s="40" t="s">
        <v>97</v>
      </c>
    </row>
    <row r="2578" spans="1:12" x14ac:dyDescent="0.25">
      <c r="A2578" s="40" t="s">
        <v>38</v>
      </c>
      <c r="B2578" s="40" t="s">
        <v>4600</v>
      </c>
      <c r="C2578" s="40" t="s">
        <v>4601</v>
      </c>
      <c r="D2578" s="40" t="s">
        <v>2233</v>
      </c>
      <c r="E2578" s="40" t="s">
        <v>2233</v>
      </c>
      <c r="F2578" s="40">
        <v>1</v>
      </c>
      <c r="G2578" s="40"/>
      <c r="H2578" s="40" t="s">
        <v>2234</v>
      </c>
      <c r="I2578" s="40"/>
      <c r="J2578" s="40" t="s">
        <v>97</v>
      </c>
      <c r="K2578" s="40" t="s">
        <v>97</v>
      </c>
      <c r="L2578" s="40" t="s">
        <v>97</v>
      </c>
    </row>
    <row r="2579" spans="1:12" x14ac:dyDescent="0.25">
      <c r="A2579" s="40" t="s">
        <v>38</v>
      </c>
      <c r="B2579" s="40" t="s">
        <v>4602</v>
      </c>
      <c r="C2579" s="40" t="s">
        <v>4603</v>
      </c>
      <c r="D2579" s="40" t="s">
        <v>2233</v>
      </c>
      <c r="E2579" s="40" t="s">
        <v>2233</v>
      </c>
      <c r="F2579" s="40">
        <v>1</v>
      </c>
      <c r="G2579" s="40"/>
      <c r="H2579" s="40" t="s">
        <v>2234</v>
      </c>
      <c r="I2579" s="40"/>
      <c r="J2579" s="40" t="s">
        <v>97</v>
      </c>
      <c r="K2579" s="40" t="s">
        <v>97</v>
      </c>
      <c r="L2579" s="40" t="s">
        <v>97</v>
      </c>
    </row>
    <row r="2580" spans="1:12" x14ac:dyDescent="0.25">
      <c r="A2580" s="40" t="s">
        <v>38</v>
      </c>
      <c r="B2580" s="40" t="s">
        <v>4604</v>
      </c>
      <c r="C2580" s="40" t="s">
        <v>4605</v>
      </c>
      <c r="D2580" s="40" t="s">
        <v>2233</v>
      </c>
      <c r="E2580" s="40" t="s">
        <v>2233</v>
      </c>
      <c r="F2580" s="40">
        <v>1</v>
      </c>
      <c r="G2580" s="40"/>
      <c r="H2580" s="40" t="s">
        <v>2234</v>
      </c>
      <c r="I2580" s="40"/>
      <c r="J2580" s="40" t="s">
        <v>97</v>
      </c>
      <c r="K2580" s="40" t="s">
        <v>97</v>
      </c>
      <c r="L2580" s="40" t="s">
        <v>97</v>
      </c>
    </row>
    <row r="2581" spans="1:12" x14ac:dyDescent="0.25">
      <c r="A2581" s="40" t="s">
        <v>38</v>
      </c>
      <c r="B2581" s="40" t="s">
        <v>4606</v>
      </c>
      <c r="C2581" s="40" t="s">
        <v>4607</v>
      </c>
      <c r="D2581" s="40" t="s">
        <v>2233</v>
      </c>
      <c r="E2581" s="40" t="s">
        <v>2233</v>
      </c>
      <c r="F2581" s="40">
        <v>1</v>
      </c>
      <c r="G2581" s="40"/>
      <c r="H2581" s="40" t="s">
        <v>2234</v>
      </c>
      <c r="I2581" s="40"/>
      <c r="J2581" s="40" t="s">
        <v>97</v>
      </c>
      <c r="K2581" s="40" t="s">
        <v>97</v>
      </c>
      <c r="L2581" s="40" t="s">
        <v>97</v>
      </c>
    </row>
    <row r="2582" spans="1:12" x14ac:dyDescent="0.25">
      <c r="A2582" s="40" t="s">
        <v>38</v>
      </c>
      <c r="B2582" s="40" t="s">
        <v>4608</v>
      </c>
      <c r="C2582" s="40" t="s">
        <v>4609</v>
      </c>
      <c r="D2582" s="40" t="s">
        <v>2233</v>
      </c>
      <c r="E2582" s="40" t="s">
        <v>2233</v>
      </c>
      <c r="F2582" s="40">
        <v>1</v>
      </c>
      <c r="G2582" s="40"/>
      <c r="H2582" s="40" t="s">
        <v>2234</v>
      </c>
      <c r="I2582" s="40"/>
      <c r="J2582" s="40" t="s">
        <v>97</v>
      </c>
      <c r="K2582" s="40" t="s">
        <v>97</v>
      </c>
      <c r="L2582" s="40" t="s">
        <v>97</v>
      </c>
    </row>
    <row r="2583" spans="1:12" x14ac:dyDescent="0.25">
      <c r="A2583" s="40" t="s">
        <v>38</v>
      </c>
      <c r="B2583" s="40" t="s">
        <v>4610</v>
      </c>
      <c r="C2583" s="40" t="s">
        <v>4611</v>
      </c>
      <c r="D2583" s="40" t="s">
        <v>2233</v>
      </c>
      <c r="E2583" s="40" t="s">
        <v>2233</v>
      </c>
      <c r="F2583" s="40">
        <v>1</v>
      </c>
      <c r="G2583" s="40"/>
      <c r="H2583" s="40" t="s">
        <v>2234</v>
      </c>
      <c r="I2583" s="40"/>
      <c r="J2583" s="40" t="s">
        <v>97</v>
      </c>
      <c r="K2583" s="40" t="s">
        <v>97</v>
      </c>
      <c r="L2583" s="40" t="s">
        <v>97</v>
      </c>
    </row>
    <row r="2584" spans="1:12" x14ac:dyDescent="0.25">
      <c r="A2584" s="40" t="s">
        <v>38</v>
      </c>
      <c r="B2584" s="40" t="s">
        <v>4612</v>
      </c>
      <c r="C2584" s="40" t="s">
        <v>4613</v>
      </c>
      <c r="D2584" s="40" t="s">
        <v>2233</v>
      </c>
      <c r="E2584" s="40" t="s">
        <v>2233</v>
      </c>
      <c r="F2584" s="40">
        <v>1</v>
      </c>
      <c r="G2584" s="40"/>
      <c r="H2584" s="40" t="s">
        <v>97</v>
      </c>
      <c r="I2584" s="40"/>
      <c r="J2584" s="40" t="s">
        <v>97</v>
      </c>
      <c r="K2584" s="40" t="s">
        <v>97</v>
      </c>
      <c r="L2584" s="40" t="s">
        <v>97</v>
      </c>
    </row>
    <row r="2585" spans="1:12" x14ac:dyDescent="0.25">
      <c r="A2585" s="40" t="s">
        <v>38</v>
      </c>
      <c r="B2585" s="40" t="s">
        <v>4614</v>
      </c>
      <c r="C2585" s="40" t="s">
        <v>4615</v>
      </c>
      <c r="D2585" s="40" t="s">
        <v>2233</v>
      </c>
      <c r="E2585" s="40" t="s">
        <v>2233</v>
      </c>
      <c r="F2585" s="40">
        <v>1</v>
      </c>
      <c r="G2585" s="40"/>
      <c r="H2585" s="40" t="s">
        <v>2234</v>
      </c>
      <c r="I2585" s="40"/>
      <c r="J2585" s="40" t="s">
        <v>97</v>
      </c>
      <c r="K2585" s="40" t="s">
        <v>97</v>
      </c>
      <c r="L2585" s="40" t="s">
        <v>97</v>
      </c>
    </row>
    <row r="2586" spans="1:12" x14ac:dyDescent="0.25">
      <c r="A2586" s="40" t="s">
        <v>38</v>
      </c>
      <c r="B2586" s="40" t="s">
        <v>4616</v>
      </c>
      <c r="C2586" s="40" t="s">
        <v>4617</v>
      </c>
      <c r="D2586" s="40" t="s">
        <v>2233</v>
      </c>
      <c r="E2586" s="40" t="s">
        <v>2233</v>
      </c>
      <c r="F2586" s="40">
        <v>1</v>
      </c>
      <c r="G2586" s="40"/>
      <c r="H2586" s="40" t="s">
        <v>2234</v>
      </c>
      <c r="I2586" s="40"/>
      <c r="J2586" s="40" t="s">
        <v>97</v>
      </c>
      <c r="K2586" s="40" t="s">
        <v>97</v>
      </c>
      <c r="L2586" s="40" t="s">
        <v>97</v>
      </c>
    </row>
    <row r="2587" spans="1:12" x14ac:dyDescent="0.25">
      <c r="A2587" s="40" t="s">
        <v>38</v>
      </c>
      <c r="B2587" s="40" t="s">
        <v>4618</v>
      </c>
      <c r="C2587" s="40" t="s">
        <v>4619</v>
      </c>
      <c r="D2587" s="40" t="s">
        <v>3048</v>
      </c>
      <c r="E2587" s="40" t="s">
        <v>3048</v>
      </c>
      <c r="F2587" s="40">
        <v>1</v>
      </c>
      <c r="G2587" s="40"/>
      <c r="H2587" s="40" t="s">
        <v>2234</v>
      </c>
      <c r="I2587" s="40"/>
      <c r="J2587" s="40" t="s">
        <v>97</v>
      </c>
      <c r="K2587" s="40" t="s">
        <v>97</v>
      </c>
      <c r="L2587" s="40" t="s">
        <v>97</v>
      </c>
    </row>
    <row r="2588" spans="1:12" x14ac:dyDescent="0.25">
      <c r="A2588" s="40" t="s">
        <v>38</v>
      </c>
      <c r="B2588" s="40" t="s">
        <v>4620</v>
      </c>
      <c r="C2588" s="40" t="s">
        <v>4621</v>
      </c>
      <c r="D2588" s="40" t="s">
        <v>2233</v>
      </c>
      <c r="E2588" s="40" t="s">
        <v>2233</v>
      </c>
      <c r="F2588" s="40">
        <v>1</v>
      </c>
      <c r="G2588" s="40"/>
      <c r="H2588" s="40" t="s">
        <v>97</v>
      </c>
      <c r="I2588" s="40"/>
      <c r="J2588" s="40" t="s">
        <v>97</v>
      </c>
      <c r="K2588" s="40" t="s">
        <v>97</v>
      </c>
      <c r="L2588" s="40" t="s">
        <v>97</v>
      </c>
    </row>
    <row r="2589" spans="1:12" x14ac:dyDescent="0.25">
      <c r="A2589" s="40" t="s">
        <v>38</v>
      </c>
      <c r="B2589" s="40" t="s">
        <v>4622</v>
      </c>
      <c r="C2589" s="40" t="s">
        <v>4623</v>
      </c>
      <c r="D2589" s="40" t="s">
        <v>3048</v>
      </c>
      <c r="E2589" s="40" t="s">
        <v>3048</v>
      </c>
      <c r="F2589" s="40">
        <v>1</v>
      </c>
      <c r="G2589" s="40"/>
      <c r="H2589" s="40" t="s">
        <v>2234</v>
      </c>
      <c r="I2589" s="40"/>
      <c r="J2589" s="40" t="s">
        <v>97</v>
      </c>
      <c r="K2589" s="40" t="s">
        <v>97</v>
      </c>
      <c r="L2589" s="40" t="s">
        <v>97</v>
      </c>
    </row>
    <row r="2590" spans="1:12" x14ac:dyDescent="0.25">
      <c r="A2590" s="40" t="s">
        <v>38</v>
      </c>
      <c r="B2590" s="40" t="s">
        <v>4624</v>
      </c>
      <c r="C2590" s="40" t="s">
        <v>4625</v>
      </c>
      <c r="D2590" s="40" t="s">
        <v>2233</v>
      </c>
      <c r="E2590" s="40" t="s">
        <v>2233</v>
      </c>
      <c r="F2590" s="40">
        <v>1</v>
      </c>
      <c r="G2590" s="40"/>
      <c r="H2590" s="40" t="s">
        <v>97</v>
      </c>
      <c r="I2590" s="40"/>
      <c r="J2590" s="40" t="s">
        <v>97</v>
      </c>
      <c r="K2590" s="40" t="s">
        <v>97</v>
      </c>
      <c r="L2590" s="40" t="s">
        <v>97</v>
      </c>
    </row>
    <row r="2591" spans="1:12" x14ac:dyDescent="0.25">
      <c r="A2591" s="40" t="s">
        <v>38</v>
      </c>
      <c r="B2591" s="40" t="s">
        <v>4626</v>
      </c>
      <c r="C2591" s="40" t="s">
        <v>4627</v>
      </c>
      <c r="D2591" s="40" t="s">
        <v>3048</v>
      </c>
      <c r="E2591" s="40" t="s">
        <v>3048</v>
      </c>
      <c r="F2591" s="40">
        <v>1</v>
      </c>
      <c r="G2591" s="40"/>
      <c r="H2591" s="40" t="s">
        <v>2234</v>
      </c>
      <c r="I2591" s="40"/>
      <c r="J2591" s="40" t="s">
        <v>97</v>
      </c>
      <c r="K2591" s="40" t="s">
        <v>97</v>
      </c>
      <c r="L2591" s="40" t="s">
        <v>97</v>
      </c>
    </row>
    <row r="2592" spans="1:12" x14ac:dyDescent="0.25">
      <c r="A2592" s="40" t="s">
        <v>38</v>
      </c>
      <c r="B2592" s="40" t="s">
        <v>4628</v>
      </c>
      <c r="C2592" s="40" t="s">
        <v>4629</v>
      </c>
      <c r="D2592" s="40" t="s">
        <v>2233</v>
      </c>
      <c r="E2592" s="40" t="s">
        <v>2233</v>
      </c>
      <c r="F2592" s="40">
        <v>1</v>
      </c>
      <c r="G2592" s="40"/>
      <c r="H2592" s="40" t="s">
        <v>97</v>
      </c>
      <c r="I2592" s="40"/>
      <c r="J2592" s="40" t="s">
        <v>97</v>
      </c>
      <c r="K2592" s="40" t="s">
        <v>97</v>
      </c>
      <c r="L2592" s="40" t="s">
        <v>97</v>
      </c>
    </row>
    <row r="2593" spans="1:12" x14ac:dyDescent="0.25">
      <c r="A2593" s="40" t="s">
        <v>38</v>
      </c>
      <c r="B2593" s="40" t="s">
        <v>4630</v>
      </c>
      <c r="C2593" s="40" t="s">
        <v>4631</v>
      </c>
      <c r="D2593" s="40" t="s">
        <v>3048</v>
      </c>
      <c r="E2593" s="40" t="s">
        <v>3048</v>
      </c>
      <c r="F2593" s="40">
        <v>1</v>
      </c>
      <c r="G2593" s="40"/>
      <c r="H2593" s="40" t="s">
        <v>2234</v>
      </c>
      <c r="I2593" s="40"/>
      <c r="J2593" s="40" t="s">
        <v>97</v>
      </c>
      <c r="K2593" s="40" t="s">
        <v>97</v>
      </c>
      <c r="L2593" s="40" t="s">
        <v>97</v>
      </c>
    </row>
    <row r="2594" spans="1:12" x14ac:dyDescent="0.25">
      <c r="A2594" s="40" t="s">
        <v>38</v>
      </c>
      <c r="B2594" s="40" t="s">
        <v>4632</v>
      </c>
      <c r="C2594" s="40" t="s">
        <v>4633</v>
      </c>
      <c r="D2594" s="40" t="s">
        <v>2233</v>
      </c>
      <c r="E2594" s="40" t="s">
        <v>2233</v>
      </c>
      <c r="F2594" s="40">
        <v>1</v>
      </c>
      <c r="G2594" s="40"/>
      <c r="H2594" s="40" t="s">
        <v>97</v>
      </c>
      <c r="I2594" s="40"/>
      <c r="J2594" s="40" t="s">
        <v>97</v>
      </c>
      <c r="K2594" s="40" t="s">
        <v>97</v>
      </c>
      <c r="L2594" s="40" t="s">
        <v>97</v>
      </c>
    </row>
    <row r="2595" spans="1:12" x14ac:dyDescent="0.25">
      <c r="A2595" s="40" t="s">
        <v>38</v>
      </c>
      <c r="B2595" s="40" t="s">
        <v>4634</v>
      </c>
      <c r="C2595" s="40" t="s">
        <v>4635</v>
      </c>
      <c r="D2595" s="40" t="s">
        <v>4636</v>
      </c>
      <c r="E2595" s="40" t="s">
        <v>4636</v>
      </c>
      <c r="F2595" s="40">
        <v>1</v>
      </c>
      <c r="G2595" s="40"/>
      <c r="H2595" s="40" t="s">
        <v>97</v>
      </c>
      <c r="I2595" s="40"/>
      <c r="J2595" s="40" t="s">
        <v>97</v>
      </c>
      <c r="K2595" s="40" t="s">
        <v>97</v>
      </c>
      <c r="L2595" s="40" t="s">
        <v>97</v>
      </c>
    </row>
    <row r="2596" spans="1:12" x14ac:dyDescent="0.25">
      <c r="A2596" s="40" t="s">
        <v>38</v>
      </c>
      <c r="B2596" s="40" t="s">
        <v>4637</v>
      </c>
      <c r="C2596" s="40" t="s">
        <v>4638</v>
      </c>
      <c r="D2596" s="40" t="s">
        <v>3246</v>
      </c>
      <c r="E2596" s="40" t="s">
        <v>3246</v>
      </c>
      <c r="F2596" s="40">
        <v>1</v>
      </c>
      <c r="G2596" s="40"/>
      <c r="H2596" s="40" t="s">
        <v>97</v>
      </c>
      <c r="I2596" s="40"/>
      <c r="J2596" s="40" t="s">
        <v>97</v>
      </c>
      <c r="K2596" s="40" t="s">
        <v>97</v>
      </c>
      <c r="L2596" s="40" t="s">
        <v>97</v>
      </c>
    </row>
    <row r="2597" spans="1:12" x14ac:dyDescent="0.25">
      <c r="A2597" s="40" t="s">
        <v>38</v>
      </c>
      <c r="B2597" s="40" t="s">
        <v>4639</v>
      </c>
      <c r="C2597" s="40" t="s">
        <v>4640</v>
      </c>
      <c r="D2597" s="40" t="s">
        <v>2233</v>
      </c>
      <c r="E2597" s="40" t="s">
        <v>2233</v>
      </c>
      <c r="F2597" s="40">
        <v>1</v>
      </c>
      <c r="G2597" s="40"/>
      <c r="H2597" s="40" t="s">
        <v>2234</v>
      </c>
      <c r="I2597" s="40"/>
      <c r="J2597" s="40" t="s">
        <v>97</v>
      </c>
      <c r="K2597" s="40" t="s">
        <v>97</v>
      </c>
      <c r="L2597" s="40" t="s">
        <v>97</v>
      </c>
    </row>
    <row r="2598" spans="1:12" x14ac:dyDescent="0.25">
      <c r="A2598" s="40" t="s">
        <v>38</v>
      </c>
      <c r="B2598" s="40" t="s">
        <v>4641</v>
      </c>
      <c r="C2598" s="40" t="s">
        <v>4642</v>
      </c>
      <c r="D2598" s="40" t="s">
        <v>2233</v>
      </c>
      <c r="E2598" s="40" t="s">
        <v>2233</v>
      </c>
      <c r="F2598" s="40">
        <v>1</v>
      </c>
      <c r="G2598" s="40"/>
      <c r="H2598" s="40" t="s">
        <v>2234</v>
      </c>
      <c r="I2598" s="40"/>
      <c r="J2598" s="40" t="s">
        <v>97</v>
      </c>
      <c r="K2598" s="40" t="s">
        <v>97</v>
      </c>
      <c r="L2598" s="40" t="s">
        <v>97</v>
      </c>
    </row>
    <row r="2599" spans="1:12" x14ac:dyDescent="0.25">
      <c r="A2599" s="40" t="s">
        <v>38</v>
      </c>
      <c r="B2599" s="40" t="s">
        <v>4643</v>
      </c>
      <c r="C2599" s="40" t="s">
        <v>4644</v>
      </c>
      <c r="D2599" s="40" t="s">
        <v>2233</v>
      </c>
      <c r="E2599" s="40" t="s">
        <v>2233</v>
      </c>
      <c r="F2599" s="40">
        <v>1</v>
      </c>
      <c r="G2599" s="40"/>
      <c r="H2599" s="40" t="s">
        <v>2234</v>
      </c>
      <c r="I2599" s="40"/>
      <c r="J2599" s="40" t="s">
        <v>97</v>
      </c>
      <c r="K2599" s="40" t="s">
        <v>97</v>
      </c>
      <c r="L2599" s="40" t="s">
        <v>97</v>
      </c>
    </row>
    <row r="2600" spans="1:12" x14ac:dyDescent="0.25">
      <c r="A2600" s="40" t="s">
        <v>38</v>
      </c>
      <c r="B2600" s="40" t="s">
        <v>4645</v>
      </c>
      <c r="C2600" s="40" t="s">
        <v>4646</v>
      </c>
      <c r="D2600" s="40" t="s">
        <v>2233</v>
      </c>
      <c r="E2600" s="40" t="s">
        <v>2233</v>
      </c>
      <c r="F2600" s="40">
        <v>1</v>
      </c>
      <c r="G2600" s="40"/>
      <c r="H2600" s="40" t="s">
        <v>2234</v>
      </c>
      <c r="I2600" s="40"/>
      <c r="J2600" s="40" t="s">
        <v>97</v>
      </c>
      <c r="K2600" s="40" t="s">
        <v>97</v>
      </c>
      <c r="L2600" s="40" t="s">
        <v>97</v>
      </c>
    </row>
    <row r="2601" spans="1:12" x14ac:dyDescent="0.25">
      <c r="A2601" s="40" t="s">
        <v>38</v>
      </c>
      <c r="B2601" s="40" t="s">
        <v>4647</v>
      </c>
      <c r="C2601" s="40" t="s">
        <v>4648</v>
      </c>
      <c r="D2601" s="40" t="s">
        <v>2233</v>
      </c>
      <c r="E2601" s="40" t="s">
        <v>2233</v>
      </c>
      <c r="F2601" s="40">
        <v>1</v>
      </c>
      <c r="G2601" s="40"/>
      <c r="H2601" s="40" t="s">
        <v>2234</v>
      </c>
      <c r="I2601" s="40"/>
      <c r="J2601" s="40" t="s">
        <v>97</v>
      </c>
      <c r="K2601" s="40" t="s">
        <v>97</v>
      </c>
      <c r="L2601" s="40" t="s">
        <v>97</v>
      </c>
    </row>
    <row r="2602" spans="1:12" x14ac:dyDescent="0.25">
      <c r="A2602" s="40" t="s">
        <v>38</v>
      </c>
      <c r="B2602" s="40" t="s">
        <v>4649</v>
      </c>
      <c r="C2602" s="40" t="s">
        <v>4650</v>
      </c>
      <c r="D2602" s="40" t="s">
        <v>2233</v>
      </c>
      <c r="E2602" s="40" t="s">
        <v>2233</v>
      </c>
      <c r="F2602" s="40">
        <v>1</v>
      </c>
      <c r="G2602" s="40"/>
      <c r="H2602" s="40" t="s">
        <v>2234</v>
      </c>
      <c r="I2602" s="40"/>
      <c r="J2602" s="40" t="s">
        <v>97</v>
      </c>
      <c r="K2602" s="40" t="s">
        <v>97</v>
      </c>
      <c r="L2602" s="40" t="s">
        <v>97</v>
      </c>
    </row>
    <row r="2603" spans="1:12" x14ac:dyDescent="0.25">
      <c r="A2603" s="40" t="s">
        <v>38</v>
      </c>
      <c r="B2603" s="40" t="s">
        <v>4651</v>
      </c>
      <c r="C2603" s="40" t="s">
        <v>4652</v>
      </c>
      <c r="D2603" s="40" t="s">
        <v>2233</v>
      </c>
      <c r="E2603" s="40" t="s">
        <v>2233</v>
      </c>
      <c r="F2603" s="40">
        <v>1</v>
      </c>
      <c r="G2603" s="40"/>
      <c r="H2603" s="40" t="s">
        <v>97</v>
      </c>
      <c r="I2603" s="40"/>
      <c r="J2603" s="40" t="s">
        <v>97</v>
      </c>
      <c r="K2603" s="40" t="s">
        <v>97</v>
      </c>
      <c r="L2603" s="40" t="s">
        <v>97</v>
      </c>
    </row>
    <row r="2604" spans="1:12" x14ac:dyDescent="0.25">
      <c r="A2604" s="40" t="s">
        <v>38</v>
      </c>
      <c r="B2604" s="40" t="s">
        <v>4653</v>
      </c>
      <c r="C2604" s="40" t="s">
        <v>4654</v>
      </c>
      <c r="D2604" s="40" t="s">
        <v>2233</v>
      </c>
      <c r="E2604" s="40" t="s">
        <v>2233</v>
      </c>
      <c r="F2604" s="40">
        <v>1</v>
      </c>
      <c r="G2604" s="40"/>
      <c r="H2604" s="40" t="s">
        <v>2234</v>
      </c>
      <c r="I2604" s="40"/>
      <c r="J2604" s="40" t="s">
        <v>97</v>
      </c>
      <c r="K2604" s="40" t="s">
        <v>97</v>
      </c>
      <c r="L2604" s="40" t="s">
        <v>97</v>
      </c>
    </row>
    <row r="2605" spans="1:12" x14ac:dyDescent="0.25">
      <c r="A2605" s="40" t="s">
        <v>38</v>
      </c>
      <c r="B2605" s="40" t="s">
        <v>4655</v>
      </c>
      <c r="C2605" s="40" t="s">
        <v>4656</v>
      </c>
      <c r="D2605" s="40" t="s">
        <v>2233</v>
      </c>
      <c r="E2605" s="40" t="s">
        <v>2233</v>
      </c>
      <c r="F2605" s="40">
        <v>1</v>
      </c>
      <c r="G2605" s="40"/>
      <c r="H2605" s="40" t="s">
        <v>2234</v>
      </c>
      <c r="I2605" s="40"/>
      <c r="J2605" s="40" t="s">
        <v>97</v>
      </c>
      <c r="K2605" s="40" t="s">
        <v>97</v>
      </c>
      <c r="L2605" s="40" t="s">
        <v>97</v>
      </c>
    </row>
    <row r="2606" spans="1:12" x14ac:dyDescent="0.25">
      <c r="A2606" s="40" t="s">
        <v>38</v>
      </c>
      <c r="B2606" s="40" t="s">
        <v>4657</v>
      </c>
      <c r="C2606" s="40" t="s">
        <v>4658</v>
      </c>
      <c r="D2606" s="40" t="s">
        <v>4659</v>
      </c>
      <c r="E2606" s="40" t="s">
        <v>4659</v>
      </c>
      <c r="F2606" s="40">
        <v>1</v>
      </c>
      <c r="G2606" s="40"/>
      <c r="H2606" s="40" t="s">
        <v>2234</v>
      </c>
      <c r="I2606" s="40"/>
      <c r="J2606" s="40" t="s">
        <v>97</v>
      </c>
      <c r="K2606" s="40" t="s">
        <v>97</v>
      </c>
      <c r="L2606" s="40" t="s">
        <v>97</v>
      </c>
    </row>
    <row r="2607" spans="1:12" x14ac:dyDescent="0.25">
      <c r="A2607" s="40" t="s">
        <v>38</v>
      </c>
      <c r="B2607" s="40" t="s">
        <v>4660</v>
      </c>
      <c r="C2607" s="40" t="s">
        <v>4661</v>
      </c>
      <c r="D2607" s="40" t="s">
        <v>2233</v>
      </c>
      <c r="E2607" s="40" t="s">
        <v>2233</v>
      </c>
      <c r="F2607" s="40">
        <v>1</v>
      </c>
      <c r="G2607" s="40"/>
      <c r="H2607" s="40" t="s">
        <v>97</v>
      </c>
      <c r="I2607" s="40"/>
      <c r="J2607" s="40" t="s">
        <v>97</v>
      </c>
      <c r="K2607" s="40" t="s">
        <v>97</v>
      </c>
      <c r="L2607" s="40" t="s">
        <v>97</v>
      </c>
    </row>
    <row r="2608" spans="1:12" x14ac:dyDescent="0.25">
      <c r="A2608" s="40" t="s">
        <v>38</v>
      </c>
      <c r="B2608" s="40" t="s">
        <v>4662</v>
      </c>
      <c r="C2608" s="40" t="s">
        <v>4663</v>
      </c>
      <c r="D2608" s="40" t="s">
        <v>4659</v>
      </c>
      <c r="E2608" s="40" t="s">
        <v>4659</v>
      </c>
      <c r="F2608" s="40">
        <v>1</v>
      </c>
      <c r="G2608" s="40"/>
      <c r="H2608" s="40" t="s">
        <v>2234</v>
      </c>
      <c r="I2608" s="40"/>
      <c r="J2608" s="40" t="s">
        <v>97</v>
      </c>
      <c r="K2608" s="40" t="s">
        <v>97</v>
      </c>
      <c r="L2608" s="40" t="s">
        <v>97</v>
      </c>
    </row>
    <row r="2609" spans="1:12" x14ac:dyDescent="0.25">
      <c r="A2609" s="40" t="s">
        <v>38</v>
      </c>
      <c r="B2609" s="40" t="s">
        <v>4664</v>
      </c>
      <c r="C2609" s="40" t="s">
        <v>4665</v>
      </c>
      <c r="D2609" s="40" t="s">
        <v>2233</v>
      </c>
      <c r="E2609" s="40" t="s">
        <v>2233</v>
      </c>
      <c r="F2609" s="40">
        <v>1</v>
      </c>
      <c r="G2609" s="40"/>
      <c r="H2609" s="40" t="s">
        <v>97</v>
      </c>
      <c r="I2609" s="40"/>
      <c r="J2609" s="40" t="s">
        <v>97</v>
      </c>
      <c r="K2609" s="40" t="s">
        <v>97</v>
      </c>
      <c r="L2609" s="40" t="s">
        <v>97</v>
      </c>
    </row>
    <row r="2610" spans="1:12" x14ac:dyDescent="0.25">
      <c r="A2610" s="40" t="s">
        <v>38</v>
      </c>
      <c r="B2610" s="40" t="s">
        <v>4666</v>
      </c>
      <c r="C2610" s="40" t="s">
        <v>4667</v>
      </c>
      <c r="D2610" s="40" t="s">
        <v>4659</v>
      </c>
      <c r="E2610" s="40" t="s">
        <v>4659</v>
      </c>
      <c r="F2610" s="40">
        <v>1</v>
      </c>
      <c r="G2610" s="40"/>
      <c r="H2610" s="40" t="s">
        <v>2234</v>
      </c>
      <c r="I2610" s="40"/>
      <c r="J2610" s="40" t="s">
        <v>97</v>
      </c>
      <c r="K2610" s="40" t="s">
        <v>97</v>
      </c>
      <c r="L2610" s="40" t="s">
        <v>97</v>
      </c>
    </row>
    <row r="2611" spans="1:12" x14ac:dyDescent="0.25">
      <c r="A2611" s="40" t="s">
        <v>38</v>
      </c>
      <c r="B2611" s="40" t="s">
        <v>4668</v>
      </c>
      <c r="C2611" s="40" t="s">
        <v>4669</v>
      </c>
      <c r="D2611" s="40" t="s">
        <v>2233</v>
      </c>
      <c r="E2611" s="40" t="s">
        <v>2233</v>
      </c>
      <c r="F2611" s="40">
        <v>1</v>
      </c>
      <c r="G2611" s="40"/>
      <c r="H2611" s="40" t="s">
        <v>97</v>
      </c>
      <c r="I2611" s="40"/>
      <c r="J2611" s="40" t="s">
        <v>97</v>
      </c>
      <c r="K2611" s="40" t="s">
        <v>97</v>
      </c>
      <c r="L2611" s="40" t="s">
        <v>97</v>
      </c>
    </row>
    <row r="2612" spans="1:12" x14ac:dyDescent="0.25">
      <c r="A2612" s="40" t="s">
        <v>38</v>
      </c>
      <c r="B2612" s="40" t="s">
        <v>4670</v>
      </c>
      <c r="C2612" s="40" t="s">
        <v>4671</v>
      </c>
      <c r="D2612" s="40" t="s">
        <v>4659</v>
      </c>
      <c r="E2612" s="40" t="s">
        <v>4659</v>
      </c>
      <c r="F2612" s="40">
        <v>1</v>
      </c>
      <c r="G2612" s="40"/>
      <c r="H2612" s="40" t="s">
        <v>2234</v>
      </c>
      <c r="I2612" s="40"/>
      <c r="J2612" s="40" t="s">
        <v>97</v>
      </c>
      <c r="K2612" s="40" t="s">
        <v>97</v>
      </c>
      <c r="L2612" s="40" t="s">
        <v>97</v>
      </c>
    </row>
    <row r="2613" spans="1:12" x14ac:dyDescent="0.25">
      <c r="A2613" s="40" t="s">
        <v>38</v>
      </c>
      <c r="B2613" s="40" t="s">
        <v>4672</v>
      </c>
      <c r="C2613" s="40" t="s">
        <v>4673</v>
      </c>
      <c r="D2613" s="40" t="s">
        <v>2233</v>
      </c>
      <c r="E2613" s="40" t="s">
        <v>2233</v>
      </c>
      <c r="F2613" s="40">
        <v>1</v>
      </c>
      <c r="G2613" s="40"/>
      <c r="H2613" s="40" t="s">
        <v>97</v>
      </c>
      <c r="I2613" s="40"/>
      <c r="J2613" s="40" t="s">
        <v>97</v>
      </c>
      <c r="K2613" s="40" t="s">
        <v>97</v>
      </c>
      <c r="L2613" s="40" t="s">
        <v>97</v>
      </c>
    </row>
    <row r="2614" spans="1:12" x14ac:dyDescent="0.25">
      <c r="A2614" s="40" t="s">
        <v>38</v>
      </c>
      <c r="B2614" s="40" t="s">
        <v>4674</v>
      </c>
      <c r="C2614" s="40" t="s">
        <v>4675</v>
      </c>
      <c r="D2614" s="40" t="s">
        <v>4676</v>
      </c>
      <c r="E2614" s="40" t="s">
        <v>4676</v>
      </c>
      <c r="F2614" s="40">
        <v>1</v>
      </c>
      <c r="G2614" s="40"/>
      <c r="H2614" s="40" t="s">
        <v>97</v>
      </c>
      <c r="I2614" s="40"/>
      <c r="J2614" s="40" t="s">
        <v>97</v>
      </c>
      <c r="K2614" s="40" t="s">
        <v>97</v>
      </c>
      <c r="L2614" s="40" t="s">
        <v>97</v>
      </c>
    </row>
    <row r="2615" spans="1:12" x14ac:dyDescent="0.25">
      <c r="A2615" s="40" t="s">
        <v>38</v>
      </c>
      <c r="B2615" s="40" t="s">
        <v>4677</v>
      </c>
      <c r="C2615" s="40" t="s">
        <v>4678</v>
      </c>
      <c r="D2615" s="40" t="s">
        <v>3246</v>
      </c>
      <c r="E2615" s="40" t="s">
        <v>3246</v>
      </c>
      <c r="F2615" s="40">
        <v>1</v>
      </c>
      <c r="G2615" s="40"/>
      <c r="H2615" s="40" t="s">
        <v>97</v>
      </c>
      <c r="I2615" s="40"/>
      <c r="J2615" s="40" t="s">
        <v>97</v>
      </c>
      <c r="K2615" s="40" t="s">
        <v>97</v>
      </c>
      <c r="L2615" s="40" t="s">
        <v>97</v>
      </c>
    </row>
    <row r="2616" spans="1:12" x14ac:dyDescent="0.25">
      <c r="A2616" s="40" t="s">
        <v>38</v>
      </c>
      <c r="B2616" s="40" t="s">
        <v>4679</v>
      </c>
      <c r="C2616" s="40" t="s">
        <v>4680</v>
      </c>
      <c r="D2616" s="40" t="s">
        <v>2233</v>
      </c>
      <c r="E2616" s="40" t="s">
        <v>2233</v>
      </c>
      <c r="F2616" s="40">
        <v>1</v>
      </c>
      <c r="G2616" s="40"/>
      <c r="H2616" s="40" t="s">
        <v>2234</v>
      </c>
      <c r="I2616" s="40"/>
      <c r="J2616" s="40" t="s">
        <v>97</v>
      </c>
      <c r="K2616" s="40" t="s">
        <v>97</v>
      </c>
      <c r="L2616" s="40" t="s">
        <v>97</v>
      </c>
    </row>
    <row r="2617" spans="1:12" x14ac:dyDescent="0.25">
      <c r="A2617" s="40" t="s">
        <v>38</v>
      </c>
      <c r="B2617" s="40" t="s">
        <v>4681</v>
      </c>
      <c r="C2617" s="40" t="s">
        <v>4682</v>
      </c>
      <c r="D2617" s="40" t="s">
        <v>2233</v>
      </c>
      <c r="E2617" s="40" t="s">
        <v>2233</v>
      </c>
      <c r="F2617" s="40">
        <v>1</v>
      </c>
      <c r="G2617" s="40"/>
      <c r="H2617" s="40" t="s">
        <v>2234</v>
      </c>
      <c r="I2617" s="40"/>
      <c r="J2617" s="40" t="s">
        <v>97</v>
      </c>
      <c r="K2617" s="40" t="s">
        <v>97</v>
      </c>
      <c r="L2617" s="40" t="s">
        <v>97</v>
      </c>
    </row>
    <row r="2618" spans="1:12" x14ac:dyDescent="0.25">
      <c r="A2618" s="40" t="s">
        <v>38</v>
      </c>
      <c r="B2618" s="40" t="s">
        <v>4683</v>
      </c>
      <c r="C2618" s="40" t="s">
        <v>4684</v>
      </c>
      <c r="D2618" s="40" t="s">
        <v>2233</v>
      </c>
      <c r="E2618" s="40" t="s">
        <v>2233</v>
      </c>
      <c r="F2618" s="40">
        <v>1</v>
      </c>
      <c r="G2618" s="40"/>
      <c r="H2618" s="40" t="s">
        <v>2234</v>
      </c>
      <c r="I2618" s="40"/>
      <c r="J2618" s="40" t="s">
        <v>97</v>
      </c>
      <c r="K2618" s="40" t="s">
        <v>97</v>
      </c>
      <c r="L2618" s="40" t="s">
        <v>97</v>
      </c>
    </row>
    <row r="2619" spans="1:12" x14ac:dyDescent="0.25">
      <c r="A2619" s="40" t="s">
        <v>38</v>
      </c>
      <c r="B2619" s="40" t="s">
        <v>4685</v>
      </c>
      <c r="C2619" s="40" t="s">
        <v>4686</v>
      </c>
      <c r="D2619" s="40" t="s">
        <v>2233</v>
      </c>
      <c r="E2619" s="40" t="s">
        <v>2233</v>
      </c>
      <c r="F2619" s="40">
        <v>1</v>
      </c>
      <c r="G2619" s="40"/>
      <c r="H2619" s="40" t="s">
        <v>2234</v>
      </c>
      <c r="I2619" s="40"/>
      <c r="J2619" s="40" t="s">
        <v>97</v>
      </c>
      <c r="K2619" s="40" t="s">
        <v>97</v>
      </c>
      <c r="L2619" s="40" t="s">
        <v>97</v>
      </c>
    </row>
    <row r="2620" spans="1:12" x14ac:dyDescent="0.25">
      <c r="A2620" s="40" t="s">
        <v>38</v>
      </c>
      <c r="B2620" s="40" t="s">
        <v>4687</v>
      </c>
      <c r="C2620" s="40" t="s">
        <v>4688</v>
      </c>
      <c r="D2620" s="40" t="s">
        <v>2233</v>
      </c>
      <c r="E2620" s="40" t="s">
        <v>2233</v>
      </c>
      <c r="F2620" s="40">
        <v>1</v>
      </c>
      <c r="G2620" s="40"/>
      <c r="H2620" s="40" t="s">
        <v>2234</v>
      </c>
      <c r="I2620" s="40"/>
      <c r="J2620" s="40" t="s">
        <v>97</v>
      </c>
      <c r="K2620" s="40" t="s">
        <v>97</v>
      </c>
      <c r="L2620" s="40" t="s">
        <v>97</v>
      </c>
    </row>
    <row r="2621" spans="1:12" x14ac:dyDescent="0.25">
      <c r="A2621" s="40" t="s">
        <v>38</v>
      </c>
      <c r="B2621" s="40" t="s">
        <v>4689</v>
      </c>
      <c r="C2621" s="40" t="s">
        <v>4690</v>
      </c>
      <c r="D2621" s="40" t="s">
        <v>2233</v>
      </c>
      <c r="E2621" s="40" t="s">
        <v>2233</v>
      </c>
      <c r="F2621" s="40">
        <v>1</v>
      </c>
      <c r="G2621" s="40"/>
      <c r="H2621" s="40" t="s">
        <v>2234</v>
      </c>
      <c r="I2621" s="40"/>
      <c r="J2621" s="40" t="s">
        <v>97</v>
      </c>
      <c r="K2621" s="40" t="s">
        <v>97</v>
      </c>
      <c r="L2621" s="40" t="s">
        <v>97</v>
      </c>
    </row>
    <row r="2622" spans="1:12" x14ac:dyDescent="0.25">
      <c r="A2622" s="40" t="s">
        <v>38</v>
      </c>
      <c r="B2622" s="40" t="s">
        <v>4691</v>
      </c>
      <c r="C2622" s="40" t="s">
        <v>4692</v>
      </c>
      <c r="D2622" s="40" t="s">
        <v>2233</v>
      </c>
      <c r="E2622" s="40" t="s">
        <v>2233</v>
      </c>
      <c r="F2622" s="40">
        <v>1</v>
      </c>
      <c r="G2622" s="40"/>
      <c r="H2622" s="40" t="s">
        <v>97</v>
      </c>
      <c r="I2622" s="40"/>
      <c r="J2622" s="40" t="s">
        <v>97</v>
      </c>
      <c r="K2622" s="40" t="s">
        <v>97</v>
      </c>
      <c r="L2622" s="40" t="s">
        <v>97</v>
      </c>
    </row>
    <row r="2623" spans="1:12" x14ac:dyDescent="0.25">
      <c r="A2623" s="40" t="s">
        <v>38</v>
      </c>
      <c r="B2623" s="40" t="s">
        <v>4693</v>
      </c>
      <c r="C2623" s="40" t="s">
        <v>4694</v>
      </c>
      <c r="D2623" s="40" t="s">
        <v>2233</v>
      </c>
      <c r="E2623" s="40" t="s">
        <v>2233</v>
      </c>
      <c r="F2623" s="40">
        <v>1</v>
      </c>
      <c r="G2623" s="40"/>
      <c r="H2623" s="40" t="s">
        <v>2234</v>
      </c>
      <c r="I2623" s="40"/>
      <c r="J2623" s="40" t="s">
        <v>97</v>
      </c>
      <c r="K2623" s="40" t="s">
        <v>97</v>
      </c>
      <c r="L2623" s="40" t="s">
        <v>97</v>
      </c>
    </row>
    <row r="2624" spans="1:12" x14ac:dyDescent="0.25">
      <c r="A2624" s="40" t="s">
        <v>38</v>
      </c>
      <c r="B2624" s="40" t="s">
        <v>4695</v>
      </c>
      <c r="C2624" s="40" t="s">
        <v>4696</v>
      </c>
      <c r="D2624" s="40" t="s">
        <v>2233</v>
      </c>
      <c r="E2624" s="40" t="s">
        <v>2233</v>
      </c>
      <c r="F2624" s="40">
        <v>1</v>
      </c>
      <c r="G2624" s="40"/>
      <c r="H2624" s="40" t="s">
        <v>2234</v>
      </c>
      <c r="I2624" s="40"/>
      <c r="J2624" s="40" t="s">
        <v>97</v>
      </c>
      <c r="K2624" s="40" t="s">
        <v>97</v>
      </c>
      <c r="L2624" s="40" t="s">
        <v>97</v>
      </c>
    </row>
    <row r="2625" spans="1:12" x14ac:dyDescent="0.25">
      <c r="A2625" s="40" t="s">
        <v>38</v>
      </c>
      <c r="B2625" s="40" t="s">
        <v>4697</v>
      </c>
      <c r="C2625" s="40" t="s">
        <v>4698</v>
      </c>
      <c r="D2625" s="40" t="s">
        <v>4699</v>
      </c>
      <c r="E2625" s="40" t="s">
        <v>4699</v>
      </c>
      <c r="F2625" s="40">
        <v>1</v>
      </c>
      <c r="G2625" s="40"/>
      <c r="H2625" s="40" t="s">
        <v>2234</v>
      </c>
      <c r="I2625" s="40"/>
      <c r="J2625" s="40" t="s">
        <v>97</v>
      </c>
      <c r="K2625" s="40" t="s">
        <v>97</v>
      </c>
      <c r="L2625" s="40" t="s">
        <v>97</v>
      </c>
    </row>
    <row r="2626" spans="1:12" x14ac:dyDescent="0.25">
      <c r="A2626" s="40" t="s">
        <v>38</v>
      </c>
      <c r="B2626" s="40" t="s">
        <v>4700</v>
      </c>
      <c r="C2626" s="40" t="s">
        <v>4701</v>
      </c>
      <c r="D2626" s="40" t="s">
        <v>2233</v>
      </c>
      <c r="E2626" s="40" t="s">
        <v>2233</v>
      </c>
      <c r="F2626" s="40">
        <v>1</v>
      </c>
      <c r="G2626" s="40"/>
      <c r="H2626" s="40" t="s">
        <v>97</v>
      </c>
      <c r="I2626" s="40"/>
      <c r="J2626" s="40" t="s">
        <v>97</v>
      </c>
      <c r="K2626" s="40" t="s">
        <v>97</v>
      </c>
      <c r="L2626" s="40" t="s">
        <v>97</v>
      </c>
    </row>
    <row r="2627" spans="1:12" x14ac:dyDescent="0.25">
      <c r="A2627" s="40" t="s">
        <v>38</v>
      </c>
      <c r="B2627" s="40" t="s">
        <v>4702</v>
      </c>
      <c r="C2627" s="40" t="s">
        <v>4703</v>
      </c>
      <c r="D2627" s="40" t="s">
        <v>4699</v>
      </c>
      <c r="E2627" s="40" t="s">
        <v>4699</v>
      </c>
      <c r="F2627" s="40">
        <v>1</v>
      </c>
      <c r="G2627" s="40"/>
      <c r="H2627" s="40" t="s">
        <v>2234</v>
      </c>
      <c r="I2627" s="40"/>
      <c r="J2627" s="40" t="s">
        <v>97</v>
      </c>
      <c r="K2627" s="40" t="s">
        <v>97</v>
      </c>
      <c r="L2627" s="40" t="s">
        <v>97</v>
      </c>
    </row>
    <row r="2628" spans="1:12" x14ac:dyDescent="0.25">
      <c r="A2628" s="40" t="s">
        <v>38</v>
      </c>
      <c r="B2628" s="40" t="s">
        <v>4704</v>
      </c>
      <c r="C2628" s="40" t="s">
        <v>4705</v>
      </c>
      <c r="D2628" s="40" t="s">
        <v>2233</v>
      </c>
      <c r="E2628" s="40" t="s">
        <v>2233</v>
      </c>
      <c r="F2628" s="40">
        <v>1</v>
      </c>
      <c r="G2628" s="40"/>
      <c r="H2628" s="40" t="s">
        <v>97</v>
      </c>
      <c r="I2628" s="40"/>
      <c r="J2628" s="40" t="s">
        <v>97</v>
      </c>
      <c r="K2628" s="40" t="s">
        <v>97</v>
      </c>
      <c r="L2628" s="40" t="s">
        <v>97</v>
      </c>
    </row>
    <row r="2629" spans="1:12" x14ac:dyDescent="0.25">
      <c r="A2629" s="40" t="s">
        <v>38</v>
      </c>
      <c r="B2629" s="40" t="s">
        <v>4706</v>
      </c>
      <c r="C2629" s="40" t="s">
        <v>4707</v>
      </c>
      <c r="D2629" s="40" t="s">
        <v>4699</v>
      </c>
      <c r="E2629" s="40" t="s">
        <v>4699</v>
      </c>
      <c r="F2629" s="40">
        <v>1</v>
      </c>
      <c r="G2629" s="40"/>
      <c r="H2629" s="40" t="s">
        <v>2234</v>
      </c>
      <c r="I2629" s="40"/>
      <c r="J2629" s="40" t="s">
        <v>97</v>
      </c>
      <c r="K2629" s="40" t="s">
        <v>97</v>
      </c>
      <c r="L2629" s="40" t="s">
        <v>97</v>
      </c>
    </row>
    <row r="2630" spans="1:12" x14ac:dyDescent="0.25">
      <c r="A2630" s="40" t="s">
        <v>38</v>
      </c>
      <c r="B2630" s="40" t="s">
        <v>4708</v>
      </c>
      <c r="C2630" s="40" t="s">
        <v>4709</v>
      </c>
      <c r="D2630" s="40" t="s">
        <v>2233</v>
      </c>
      <c r="E2630" s="40" t="s">
        <v>2233</v>
      </c>
      <c r="F2630" s="40">
        <v>1</v>
      </c>
      <c r="G2630" s="40"/>
      <c r="H2630" s="40" t="s">
        <v>97</v>
      </c>
      <c r="I2630" s="40"/>
      <c r="J2630" s="40" t="s">
        <v>97</v>
      </c>
      <c r="K2630" s="40" t="s">
        <v>97</v>
      </c>
      <c r="L2630" s="40" t="s">
        <v>97</v>
      </c>
    </row>
    <row r="2631" spans="1:12" x14ac:dyDescent="0.25">
      <c r="A2631" s="40" t="s">
        <v>38</v>
      </c>
      <c r="B2631" s="40" t="s">
        <v>4710</v>
      </c>
      <c r="C2631" s="40" t="s">
        <v>4711</v>
      </c>
      <c r="D2631" s="40" t="s">
        <v>4699</v>
      </c>
      <c r="E2631" s="40" t="s">
        <v>4699</v>
      </c>
      <c r="F2631" s="40">
        <v>1</v>
      </c>
      <c r="G2631" s="40"/>
      <c r="H2631" s="40" t="s">
        <v>2234</v>
      </c>
      <c r="I2631" s="40"/>
      <c r="J2631" s="40" t="s">
        <v>97</v>
      </c>
      <c r="K2631" s="40" t="s">
        <v>97</v>
      </c>
      <c r="L2631" s="40" t="s">
        <v>97</v>
      </c>
    </row>
    <row r="2632" spans="1:12" x14ac:dyDescent="0.25">
      <c r="A2632" s="40" t="s">
        <v>38</v>
      </c>
      <c r="B2632" s="40" t="s">
        <v>4712</v>
      </c>
      <c r="C2632" s="40" t="s">
        <v>4713</v>
      </c>
      <c r="D2632" s="40" t="s">
        <v>2233</v>
      </c>
      <c r="E2632" s="40" t="s">
        <v>2233</v>
      </c>
      <c r="F2632" s="40">
        <v>1</v>
      </c>
      <c r="G2632" s="40"/>
      <c r="H2632" s="40" t="s">
        <v>97</v>
      </c>
      <c r="I2632" s="40"/>
      <c r="J2632" s="40" t="s">
        <v>97</v>
      </c>
      <c r="K2632" s="40" t="s">
        <v>97</v>
      </c>
      <c r="L2632" s="40" t="s">
        <v>97</v>
      </c>
    </row>
    <row r="2633" spans="1:12" x14ac:dyDescent="0.25">
      <c r="A2633" s="40" t="s">
        <v>38</v>
      </c>
      <c r="B2633" s="40" t="s">
        <v>4714</v>
      </c>
      <c r="C2633" s="40" t="s">
        <v>4715</v>
      </c>
      <c r="D2633" s="40" t="s">
        <v>4699</v>
      </c>
      <c r="E2633" s="40" t="s">
        <v>4699</v>
      </c>
      <c r="F2633" s="40">
        <v>1</v>
      </c>
      <c r="G2633" s="40"/>
      <c r="H2633" s="40" t="s">
        <v>2234</v>
      </c>
      <c r="I2633" s="40"/>
      <c r="J2633" s="40" t="s">
        <v>97</v>
      </c>
      <c r="K2633" s="40" t="s">
        <v>97</v>
      </c>
      <c r="L2633" s="40" t="s">
        <v>97</v>
      </c>
    </row>
    <row r="2634" spans="1:12" x14ac:dyDescent="0.25">
      <c r="A2634" s="40" t="s">
        <v>38</v>
      </c>
      <c r="B2634" s="40" t="s">
        <v>4716</v>
      </c>
      <c r="C2634" s="40" t="s">
        <v>4717</v>
      </c>
      <c r="D2634" s="40" t="s">
        <v>2233</v>
      </c>
      <c r="E2634" s="40" t="s">
        <v>2233</v>
      </c>
      <c r="F2634" s="40">
        <v>1</v>
      </c>
      <c r="G2634" s="40"/>
      <c r="H2634" s="40" t="s">
        <v>97</v>
      </c>
      <c r="I2634" s="40"/>
      <c r="J2634" s="40" t="s">
        <v>97</v>
      </c>
      <c r="K2634" s="40" t="s">
        <v>97</v>
      </c>
      <c r="L2634" s="40" t="s">
        <v>97</v>
      </c>
    </row>
    <row r="2635" spans="1:12" x14ac:dyDescent="0.25">
      <c r="A2635" s="40" t="s">
        <v>38</v>
      </c>
      <c r="B2635" s="40" t="s">
        <v>4718</v>
      </c>
      <c r="C2635" s="40" t="s">
        <v>4719</v>
      </c>
      <c r="D2635" s="40" t="s">
        <v>4699</v>
      </c>
      <c r="E2635" s="40" t="s">
        <v>4699</v>
      </c>
      <c r="F2635" s="40">
        <v>1</v>
      </c>
      <c r="G2635" s="40"/>
      <c r="H2635" s="40" t="s">
        <v>2234</v>
      </c>
      <c r="I2635" s="40"/>
      <c r="J2635" s="40" t="s">
        <v>97</v>
      </c>
      <c r="K2635" s="40" t="s">
        <v>97</v>
      </c>
      <c r="L2635" s="40" t="s">
        <v>97</v>
      </c>
    </row>
    <row r="2636" spans="1:12" x14ac:dyDescent="0.25">
      <c r="A2636" s="40" t="s">
        <v>38</v>
      </c>
      <c r="B2636" s="40" t="s">
        <v>4720</v>
      </c>
      <c r="C2636" s="40" t="s">
        <v>4721</v>
      </c>
      <c r="D2636" s="40" t="s">
        <v>2233</v>
      </c>
      <c r="E2636" s="40" t="s">
        <v>2233</v>
      </c>
      <c r="F2636" s="40">
        <v>1</v>
      </c>
      <c r="G2636" s="40"/>
      <c r="H2636" s="40" t="s">
        <v>97</v>
      </c>
      <c r="I2636" s="40"/>
      <c r="J2636" s="40" t="s">
        <v>97</v>
      </c>
      <c r="K2636" s="40" t="s">
        <v>97</v>
      </c>
      <c r="L2636" s="40" t="s">
        <v>97</v>
      </c>
    </row>
    <row r="2637" spans="1:12" x14ac:dyDescent="0.25">
      <c r="A2637" s="40" t="s">
        <v>38</v>
      </c>
      <c r="B2637" s="40" t="s">
        <v>4722</v>
      </c>
      <c r="C2637" s="40" t="s">
        <v>4723</v>
      </c>
      <c r="D2637" s="40" t="s">
        <v>4699</v>
      </c>
      <c r="E2637" s="40" t="s">
        <v>4699</v>
      </c>
      <c r="F2637" s="40">
        <v>1</v>
      </c>
      <c r="G2637" s="40"/>
      <c r="H2637" s="40" t="s">
        <v>2234</v>
      </c>
      <c r="I2637" s="40"/>
      <c r="J2637" s="40" t="s">
        <v>97</v>
      </c>
      <c r="K2637" s="40" t="s">
        <v>97</v>
      </c>
      <c r="L2637" s="40" t="s">
        <v>97</v>
      </c>
    </row>
    <row r="2638" spans="1:12" x14ac:dyDescent="0.25">
      <c r="A2638" s="40" t="s">
        <v>38</v>
      </c>
      <c r="B2638" s="40" t="s">
        <v>4724</v>
      </c>
      <c r="C2638" s="40" t="s">
        <v>4725</v>
      </c>
      <c r="D2638" s="40" t="s">
        <v>2233</v>
      </c>
      <c r="E2638" s="40" t="s">
        <v>2233</v>
      </c>
      <c r="F2638" s="40">
        <v>1</v>
      </c>
      <c r="G2638" s="40"/>
      <c r="H2638" s="40" t="s">
        <v>97</v>
      </c>
      <c r="I2638" s="40"/>
      <c r="J2638" s="40" t="s">
        <v>97</v>
      </c>
      <c r="K2638" s="40" t="s">
        <v>97</v>
      </c>
      <c r="L2638" s="40" t="s">
        <v>97</v>
      </c>
    </row>
    <row r="2639" spans="1:12" x14ac:dyDescent="0.25">
      <c r="A2639" s="40" t="s">
        <v>38</v>
      </c>
      <c r="B2639" s="40" t="s">
        <v>4726</v>
      </c>
      <c r="C2639" s="40" t="s">
        <v>4727</v>
      </c>
      <c r="D2639" s="40" t="s">
        <v>4699</v>
      </c>
      <c r="E2639" s="40" t="s">
        <v>4699</v>
      </c>
      <c r="F2639" s="40">
        <v>1</v>
      </c>
      <c r="G2639" s="40"/>
      <c r="H2639" s="40" t="s">
        <v>2234</v>
      </c>
      <c r="I2639" s="40"/>
      <c r="J2639" s="40" t="s">
        <v>97</v>
      </c>
      <c r="K2639" s="40" t="s">
        <v>97</v>
      </c>
      <c r="L2639" s="40" t="s">
        <v>97</v>
      </c>
    </row>
    <row r="2640" spans="1:12" x14ac:dyDescent="0.25">
      <c r="A2640" s="40" t="s">
        <v>38</v>
      </c>
      <c r="B2640" s="40" t="s">
        <v>4728</v>
      </c>
      <c r="C2640" s="40" t="s">
        <v>4729</v>
      </c>
      <c r="D2640" s="40" t="s">
        <v>2233</v>
      </c>
      <c r="E2640" s="40" t="s">
        <v>2233</v>
      </c>
      <c r="F2640" s="40">
        <v>1</v>
      </c>
      <c r="G2640" s="40"/>
      <c r="H2640" s="40" t="s">
        <v>97</v>
      </c>
      <c r="I2640" s="40"/>
      <c r="J2640" s="40" t="s">
        <v>97</v>
      </c>
      <c r="K2640" s="40" t="s">
        <v>97</v>
      </c>
      <c r="L2640" s="40" t="s">
        <v>97</v>
      </c>
    </row>
    <row r="2641" spans="1:12" x14ac:dyDescent="0.25">
      <c r="A2641" s="40" t="s">
        <v>38</v>
      </c>
      <c r="B2641" s="40" t="s">
        <v>4730</v>
      </c>
      <c r="C2641" s="40" t="s">
        <v>4731</v>
      </c>
      <c r="D2641" s="40" t="s">
        <v>4699</v>
      </c>
      <c r="E2641" s="40" t="s">
        <v>4699</v>
      </c>
      <c r="F2641" s="40">
        <v>1</v>
      </c>
      <c r="G2641" s="40"/>
      <c r="H2641" s="40" t="s">
        <v>2234</v>
      </c>
      <c r="I2641" s="40"/>
      <c r="J2641" s="40" t="s">
        <v>97</v>
      </c>
      <c r="K2641" s="40" t="s">
        <v>97</v>
      </c>
      <c r="L2641" s="40" t="s">
        <v>97</v>
      </c>
    </row>
    <row r="2642" spans="1:12" x14ac:dyDescent="0.25">
      <c r="A2642" s="40" t="s">
        <v>38</v>
      </c>
      <c r="B2642" s="40" t="s">
        <v>4732</v>
      </c>
      <c r="C2642" s="40" t="s">
        <v>4733</v>
      </c>
      <c r="D2642" s="40" t="s">
        <v>4699</v>
      </c>
      <c r="E2642" s="40" t="s">
        <v>4699</v>
      </c>
      <c r="F2642" s="40">
        <v>1</v>
      </c>
      <c r="G2642" s="40"/>
      <c r="H2642" s="40" t="s">
        <v>2234</v>
      </c>
      <c r="I2642" s="40"/>
      <c r="J2642" s="40" t="s">
        <v>97</v>
      </c>
      <c r="K2642" s="40" t="s">
        <v>97</v>
      </c>
      <c r="L2642" s="40" t="s">
        <v>97</v>
      </c>
    </row>
    <row r="2643" spans="1:12" x14ac:dyDescent="0.25">
      <c r="A2643" s="40" t="s">
        <v>38</v>
      </c>
      <c r="B2643" s="40" t="s">
        <v>4734</v>
      </c>
      <c r="C2643" s="40" t="s">
        <v>4735</v>
      </c>
      <c r="D2643" s="40" t="s">
        <v>4699</v>
      </c>
      <c r="E2643" s="40" t="s">
        <v>4699</v>
      </c>
      <c r="F2643" s="40">
        <v>1</v>
      </c>
      <c r="G2643" s="40"/>
      <c r="H2643" s="40" t="s">
        <v>2234</v>
      </c>
      <c r="I2643" s="40"/>
      <c r="J2643" s="40" t="s">
        <v>97</v>
      </c>
      <c r="K2643" s="40" t="s">
        <v>97</v>
      </c>
      <c r="L2643" s="40" t="s">
        <v>97</v>
      </c>
    </row>
    <row r="2644" spans="1:12" x14ac:dyDescent="0.25">
      <c r="A2644" s="40" t="s">
        <v>38</v>
      </c>
      <c r="B2644" s="40" t="s">
        <v>4736</v>
      </c>
      <c r="C2644" s="40" t="s">
        <v>4737</v>
      </c>
      <c r="D2644" s="40" t="s">
        <v>4699</v>
      </c>
      <c r="E2644" s="40" t="s">
        <v>4699</v>
      </c>
      <c r="F2644" s="40">
        <v>1</v>
      </c>
      <c r="G2644" s="40"/>
      <c r="H2644" s="40" t="s">
        <v>2234</v>
      </c>
      <c r="I2644" s="40"/>
      <c r="J2644" s="40" t="s">
        <v>97</v>
      </c>
      <c r="K2644" s="40" t="s">
        <v>97</v>
      </c>
      <c r="L2644" s="40" t="s">
        <v>97</v>
      </c>
    </row>
    <row r="2645" spans="1:12" x14ac:dyDescent="0.25">
      <c r="A2645" s="40" t="s">
        <v>38</v>
      </c>
      <c r="B2645" s="40" t="s">
        <v>4738</v>
      </c>
      <c r="C2645" s="40" t="s">
        <v>4739</v>
      </c>
      <c r="D2645" s="40" t="s">
        <v>4699</v>
      </c>
      <c r="E2645" s="40" t="s">
        <v>4699</v>
      </c>
      <c r="F2645" s="40">
        <v>1</v>
      </c>
      <c r="G2645" s="40"/>
      <c r="H2645" s="40" t="s">
        <v>2234</v>
      </c>
      <c r="I2645" s="40"/>
      <c r="J2645" s="40" t="s">
        <v>97</v>
      </c>
      <c r="K2645" s="40" t="s">
        <v>97</v>
      </c>
      <c r="L2645" s="40" t="s">
        <v>97</v>
      </c>
    </row>
    <row r="2646" spans="1:12" x14ac:dyDescent="0.25">
      <c r="A2646" s="40" t="s">
        <v>38</v>
      </c>
      <c r="B2646" s="40" t="s">
        <v>4740</v>
      </c>
      <c r="C2646" s="40" t="s">
        <v>4741</v>
      </c>
      <c r="D2646" s="40" t="s">
        <v>4699</v>
      </c>
      <c r="E2646" s="40" t="s">
        <v>4699</v>
      </c>
      <c r="F2646" s="40">
        <v>1</v>
      </c>
      <c r="G2646" s="40"/>
      <c r="H2646" s="40" t="s">
        <v>2234</v>
      </c>
      <c r="I2646" s="40"/>
      <c r="J2646" s="40" t="s">
        <v>97</v>
      </c>
      <c r="K2646" s="40" t="s">
        <v>97</v>
      </c>
      <c r="L2646" s="40" t="s">
        <v>97</v>
      </c>
    </row>
    <row r="2647" spans="1:12" x14ac:dyDescent="0.25">
      <c r="A2647" s="40" t="s">
        <v>38</v>
      </c>
      <c r="B2647" s="40" t="s">
        <v>4742</v>
      </c>
      <c r="C2647" s="40" t="s">
        <v>4743</v>
      </c>
      <c r="D2647" s="40" t="s">
        <v>4699</v>
      </c>
      <c r="E2647" s="40" t="s">
        <v>4699</v>
      </c>
      <c r="F2647" s="40">
        <v>1</v>
      </c>
      <c r="G2647" s="40"/>
      <c r="H2647" s="40" t="s">
        <v>2234</v>
      </c>
      <c r="I2647" s="40"/>
      <c r="J2647" s="40" t="s">
        <v>97</v>
      </c>
      <c r="K2647" s="40" t="s">
        <v>97</v>
      </c>
      <c r="L2647" s="40" t="s">
        <v>97</v>
      </c>
    </row>
    <row r="2648" spans="1:12" x14ac:dyDescent="0.25">
      <c r="A2648" s="40" t="s">
        <v>38</v>
      </c>
      <c r="B2648" s="40" t="s">
        <v>4744</v>
      </c>
      <c r="C2648" s="40" t="s">
        <v>4745</v>
      </c>
      <c r="D2648" s="40" t="s">
        <v>4699</v>
      </c>
      <c r="E2648" s="40" t="s">
        <v>4699</v>
      </c>
      <c r="F2648" s="40">
        <v>1</v>
      </c>
      <c r="G2648" s="40"/>
      <c r="H2648" s="40" t="s">
        <v>2234</v>
      </c>
      <c r="I2648" s="40"/>
      <c r="J2648" s="40" t="s">
        <v>97</v>
      </c>
      <c r="K2648" s="40" t="s">
        <v>97</v>
      </c>
      <c r="L2648" s="40" t="s">
        <v>97</v>
      </c>
    </row>
    <row r="2649" spans="1:12" x14ac:dyDescent="0.25">
      <c r="A2649" s="40" t="s">
        <v>38</v>
      </c>
      <c r="B2649" s="40" t="s">
        <v>4746</v>
      </c>
      <c r="C2649" s="40" t="s">
        <v>4747</v>
      </c>
      <c r="D2649" s="40" t="s">
        <v>4676</v>
      </c>
      <c r="E2649" s="40" t="s">
        <v>4676</v>
      </c>
      <c r="F2649" s="40">
        <v>1</v>
      </c>
      <c r="G2649" s="40"/>
      <c r="H2649" s="40" t="s">
        <v>97</v>
      </c>
      <c r="I2649" s="40"/>
      <c r="J2649" s="40" t="s">
        <v>97</v>
      </c>
      <c r="K2649" s="40" t="s">
        <v>97</v>
      </c>
      <c r="L2649" s="40" t="s">
        <v>97</v>
      </c>
    </row>
    <row r="2650" spans="1:12" x14ac:dyDescent="0.25">
      <c r="A2650" s="40" t="s">
        <v>38</v>
      </c>
      <c r="B2650" s="40" t="s">
        <v>4748</v>
      </c>
      <c r="C2650" s="40" t="s">
        <v>4749</v>
      </c>
      <c r="D2650" s="40" t="s">
        <v>3246</v>
      </c>
      <c r="E2650" s="40" t="s">
        <v>3246</v>
      </c>
      <c r="F2650" s="40">
        <v>1</v>
      </c>
      <c r="G2650" s="40"/>
      <c r="H2650" s="40" t="s">
        <v>97</v>
      </c>
      <c r="I2650" s="40"/>
      <c r="J2650" s="40" t="s">
        <v>97</v>
      </c>
      <c r="K2650" s="40" t="s">
        <v>97</v>
      </c>
      <c r="L2650" s="40" t="s">
        <v>97</v>
      </c>
    </row>
    <row r="2651" spans="1:12" x14ac:dyDescent="0.25">
      <c r="A2651" s="40" t="s">
        <v>38</v>
      </c>
      <c r="B2651" s="40" t="s">
        <v>4750</v>
      </c>
      <c r="C2651" s="40" t="s">
        <v>4751</v>
      </c>
      <c r="D2651" s="40" t="s">
        <v>2233</v>
      </c>
      <c r="E2651" s="40" t="s">
        <v>2233</v>
      </c>
      <c r="F2651" s="40">
        <v>1</v>
      </c>
      <c r="G2651" s="40"/>
      <c r="H2651" s="40" t="s">
        <v>2234</v>
      </c>
      <c r="I2651" s="40"/>
      <c r="J2651" s="40" t="s">
        <v>97</v>
      </c>
      <c r="K2651" s="40" t="s">
        <v>97</v>
      </c>
      <c r="L2651" s="40" t="s">
        <v>97</v>
      </c>
    </row>
    <row r="2652" spans="1:12" x14ac:dyDescent="0.25">
      <c r="A2652" s="40" t="s">
        <v>38</v>
      </c>
      <c r="B2652" s="40" t="s">
        <v>4752</v>
      </c>
      <c r="C2652" s="40" t="s">
        <v>4753</v>
      </c>
      <c r="D2652" s="40" t="s">
        <v>2233</v>
      </c>
      <c r="E2652" s="40" t="s">
        <v>2233</v>
      </c>
      <c r="F2652" s="40">
        <v>1</v>
      </c>
      <c r="G2652" s="40"/>
      <c r="H2652" s="40" t="s">
        <v>2234</v>
      </c>
      <c r="I2652" s="40"/>
      <c r="J2652" s="40" t="s">
        <v>97</v>
      </c>
      <c r="K2652" s="40" t="s">
        <v>97</v>
      </c>
      <c r="L2652" s="40" t="s">
        <v>97</v>
      </c>
    </row>
    <row r="2653" spans="1:12" x14ac:dyDescent="0.25">
      <c r="A2653" s="40" t="s">
        <v>38</v>
      </c>
      <c r="B2653" s="40" t="s">
        <v>4754</v>
      </c>
      <c r="C2653" s="40" t="s">
        <v>4755</v>
      </c>
      <c r="D2653" s="40" t="s">
        <v>2233</v>
      </c>
      <c r="E2653" s="40" t="s">
        <v>2233</v>
      </c>
      <c r="F2653" s="40">
        <v>1</v>
      </c>
      <c r="G2653" s="40"/>
      <c r="H2653" s="40" t="s">
        <v>2234</v>
      </c>
      <c r="I2653" s="40"/>
      <c r="J2653" s="40" t="s">
        <v>97</v>
      </c>
      <c r="K2653" s="40" t="s">
        <v>97</v>
      </c>
      <c r="L2653" s="40" t="s">
        <v>97</v>
      </c>
    </row>
    <row r="2654" spans="1:12" x14ac:dyDescent="0.25">
      <c r="A2654" s="40" t="s">
        <v>38</v>
      </c>
      <c r="B2654" s="40" t="s">
        <v>4756</v>
      </c>
      <c r="C2654" s="40" t="s">
        <v>4757</v>
      </c>
      <c r="D2654" s="40" t="s">
        <v>2233</v>
      </c>
      <c r="E2654" s="40" t="s">
        <v>2233</v>
      </c>
      <c r="F2654" s="40">
        <v>1</v>
      </c>
      <c r="G2654" s="40"/>
      <c r="H2654" s="40" t="s">
        <v>2234</v>
      </c>
      <c r="I2654" s="40"/>
      <c r="J2654" s="40" t="s">
        <v>97</v>
      </c>
      <c r="K2654" s="40" t="s">
        <v>97</v>
      </c>
      <c r="L2654" s="40" t="s">
        <v>97</v>
      </c>
    </row>
    <row r="2655" spans="1:12" x14ac:dyDescent="0.25">
      <c r="A2655" s="40" t="s">
        <v>38</v>
      </c>
      <c r="B2655" s="40" t="s">
        <v>4758</v>
      </c>
      <c r="C2655" s="40" t="s">
        <v>4759</v>
      </c>
      <c r="D2655" s="40" t="s">
        <v>2233</v>
      </c>
      <c r="E2655" s="40" t="s">
        <v>2233</v>
      </c>
      <c r="F2655" s="40">
        <v>1</v>
      </c>
      <c r="G2655" s="40"/>
      <c r="H2655" s="40" t="s">
        <v>2234</v>
      </c>
      <c r="I2655" s="40"/>
      <c r="J2655" s="40" t="s">
        <v>97</v>
      </c>
      <c r="K2655" s="40" t="s">
        <v>97</v>
      </c>
      <c r="L2655" s="40" t="s">
        <v>97</v>
      </c>
    </row>
    <row r="2656" spans="1:12" x14ac:dyDescent="0.25">
      <c r="A2656" s="40" t="s">
        <v>38</v>
      </c>
      <c r="B2656" s="40" t="s">
        <v>4760</v>
      </c>
      <c r="C2656" s="40" t="s">
        <v>4761</v>
      </c>
      <c r="D2656" s="40" t="s">
        <v>2233</v>
      </c>
      <c r="E2656" s="40" t="s">
        <v>2233</v>
      </c>
      <c r="F2656" s="40">
        <v>1</v>
      </c>
      <c r="G2656" s="40"/>
      <c r="H2656" s="40" t="s">
        <v>2234</v>
      </c>
      <c r="I2656" s="40"/>
      <c r="J2656" s="40" t="s">
        <v>97</v>
      </c>
      <c r="K2656" s="40" t="s">
        <v>97</v>
      </c>
      <c r="L2656" s="40" t="s">
        <v>97</v>
      </c>
    </row>
    <row r="2657" spans="1:12" x14ac:dyDescent="0.25">
      <c r="A2657" s="40" t="s">
        <v>38</v>
      </c>
      <c r="B2657" s="40" t="s">
        <v>4762</v>
      </c>
      <c r="C2657" s="40" t="s">
        <v>4763</v>
      </c>
      <c r="D2657" s="40" t="s">
        <v>2233</v>
      </c>
      <c r="E2657" s="40" t="s">
        <v>2233</v>
      </c>
      <c r="F2657" s="40">
        <v>1</v>
      </c>
      <c r="G2657" s="40"/>
      <c r="H2657" s="40" t="s">
        <v>97</v>
      </c>
      <c r="I2657" s="40"/>
      <c r="J2657" s="40" t="s">
        <v>97</v>
      </c>
      <c r="K2657" s="40" t="s">
        <v>97</v>
      </c>
      <c r="L2657" s="40" t="s">
        <v>97</v>
      </c>
    </row>
    <row r="2658" spans="1:12" x14ac:dyDescent="0.25">
      <c r="A2658" s="40" t="s">
        <v>38</v>
      </c>
      <c r="B2658" s="40" t="s">
        <v>4764</v>
      </c>
      <c r="C2658" s="40" t="s">
        <v>4765</v>
      </c>
      <c r="D2658" s="40" t="s">
        <v>2233</v>
      </c>
      <c r="E2658" s="40" t="s">
        <v>2233</v>
      </c>
      <c r="F2658" s="40">
        <v>1</v>
      </c>
      <c r="G2658" s="40"/>
      <c r="H2658" s="40" t="s">
        <v>2234</v>
      </c>
      <c r="I2658" s="40"/>
      <c r="J2658" s="40" t="s">
        <v>97</v>
      </c>
      <c r="K2658" s="40" t="s">
        <v>97</v>
      </c>
      <c r="L2658" s="40" t="s">
        <v>97</v>
      </c>
    </row>
    <row r="2659" spans="1:12" x14ac:dyDescent="0.25">
      <c r="A2659" s="40" t="s">
        <v>38</v>
      </c>
      <c r="B2659" s="40" t="s">
        <v>4766</v>
      </c>
      <c r="C2659" s="40" t="s">
        <v>4767</v>
      </c>
      <c r="D2659" s="40" t="s">
        <v>2233</v>
      </c>
      <c r="E2659" s="40" t="s">
        <v>2233</v>
      </c>
      <c r="F2659" s="40">
        <v>1</v>
      </c>
      <c r="G2659" s="40"/>
      <c r="H2659" s="40" t="s">
        <v>2234</v>
      </c>
      <c r="I2659" s="40"/>
      <c r="J2659" s="40" t="s">
        <v>97</v>
      </c>
      <c r="K2659" s="40" t="s">
        <v>97</v>
      </c>
      <c r="L2659" s="40" t="s">
        <v>97</v>
      </c>
    </row>
    <row r="2660" spans="1:12" x14ac:dyDescent="0.25">
      <c r="A2660" s="40" t="s">
        <v>38</v>
      </c>
      <c r="B2660" s="40" t="s">
        <v>4768</v>
      </c>
      <c r="C2660" s="40" t="s">
        <v>4769</v>
      </c>
      <c r="D2660" s="40" t="s">
        <v>4699</v>
      </c>
      <c r="E2660" s="40" t="s">
        <v>4699</v>
      </c>
      <c r="F2660" s="40">
        <v>1</v>
      </c>
      <c r="G2660" s="40"/>
      <c r="H2660" s="40" t="s">
        <v>2234</v>
      </c>
      <c r="I2660" s="40"/>
      <c r="J2660" s="40" t="s">
        <v>97</v>
      </c>
      <c r="K2660" s="40" t="s">
        <v>97</v>
      </c>
      <c r="L2660" s="40" t="s">
        <v>97</v>
      </c>
    </row>
    <row r="2661" spans="1:12" x14ac:dyDescent="0.25">
      <c r="A2661" s="40" t="s">
        <v>38</v>
      </c>
      <c r="B2661" s="40" t="s">
        <v>4770</v>
      </c>
      <c r="C2661" s="40" t="s">
        <v>4771</v>
      </c>
      <c r="D2661" s="40" t="s">
        <v>2233</v>
      </c>
      <c r="E2661" s="40" t="s">
        <v>2233</v>
      </c>
      <c r="F2661" s="40">
        <v>1</v>
      </c>
      <c r="G2661" s="40"/>
      <c r="H2661" s="40" t="s">
        <v>97</v>
      </c>
      <c r="I2661" s="40"/>
      <c r="J2661" s="40" t="s">
        <v>97</v>
      </c>
      <c r="K2661" s="40" t="s">
        <v>97</v>
      </c>
      <c r="L2661" s="40" t="s">
        <v>97</v>
      </c>
    </row>
    <row r="2662" spans="1:12" x14ac:dyDescent="0.25">
      <c r="A2662" s="40" t="s">
        <v>38</v>
      </c>
      <c r="B2662" s="40" t="s">
        <v>4772</v>
      </c>
      <c r="C2662" s="40" t="s">
        <v>4773</v>
      </c>
      <c r="D2662" s="40" t="s">
        <v>4699</v>
      </c>
      <c r="E2662" s="40" t="s">
        <v>4699</v>
      </c>
      <c r="F2662" s="40">
        <v>1</v>
      </c>
      <c r="G2662" s="40"/>
      <c r="H2662" s="40" t="s">
        <v>2234</v>
      </c>
      <c r="I2662" s="40"/>
      <c r="J2662" s="40" t="s">
        <v>97</v>
      </c>
      <c r="K2662" s="40" t="s">
        <v>97</v>
      </c>
      <c r="L2662" s="40" t="s">
        <v>97</v>
      </c>
    </row>
    <row r="2663" spans="1:12" x14ac:dyDescent="0.25">
      <c r="A2663" s="40" t="s">
        <v>38</v>
      </c>
      <c r="B2663" s="40" t="s">
        <v>4774</v>
      </c>
      <c r="C2663" s="40" t="s">
        <v>4775</v>
      </c>
      <c r="D2663" s="40" t="s">
        <v>2233</v>
      </c>
      <c r="E2663" s="40" t="s">
        <v>2233</v>
      </c>
      <c r="F2663" s="40">
        <v>1</v>
      </c>
      <c r="G2663" s="40"/>
      <c r="H2663" s="40" t="s">
        <v>97</v>
      </c>
      <c r="I2663" s="40"/>
      <c r="J2663" s="40" t="s">
        <v>97</v>
      </c>
      <c r="K2663" s="40" t="s">
        <v>97</v>
      </c>
      <c r="L2663" s="40" t="s">
        <v>97</v>
      </c>
    </row>
    <row r="2664" spans="1:12" x14ac:dyDescent="0.25">
      <c r="A2664" s="40" t="s">
        <v>38</v>
      </c>
      <c r="B2664" s="40" t="s">
        <v>4776</v>
      </c>
      <c r="C2664" s="40" t="s">
        <v>4777</v>
      </c>
      <c r="D2664" s="40" t="s">
        <v>4699</v>
      </c>
      <c r="E2664" s="40" t="s">
        <v>4699</v>
      </c>
      <c r="F2664" s="40">
        <v>1</v>
      </c>
      <c r="G2664" s="40"/>
      <c r="H2664" s="40" t="s">
        <v>2234</v>
      </c>
      <c r="I2664" s="40"/>
      <c r="J2664" s="40" t="s">
        <v>97</v>
      </c>
      <c r="K2664" s="40" t="s">
        <v>97</v>
      </c>
      <c r="L2664" s="40" t="s">
        <v>97</v>
      </c>
    </row>
    <row r="2665" spans="1:12" x14ac:dyDescent="0.25">
      <c r="A2665" s="40" t="s">
        <v>38</v>
      </c>
      <c r="B2665" s="40" t="s">
        <v>4778</v>
      </c>
      <c r="C2665" s="40" t="s">
        <v>4779</v>
      </c>
      <c r="D2665" s="40" t="s">
        <v>2233</v>
      </c>
      <c r="E2665" s="40" t="s">
        <v>2233</v>
      </c>
      <c r="F2665" s="40">
        <v>1</v>
      </c>
      <c r="G2665" s="40"/>
      <c r="H2665" s="40" t="s">
        <v>97</v>
      </c>
      <c r="I2665" s="40"/>
      <c r="J2665" s="40" t="s">
        <v>97</v>
      </c>
      <c r="K2665" s="40" t="s">
        <v>97</v>
      </c>
      <c r="L2665" s="40" t="s">
        <v>97</v>
      </c>
    </row>
    <row r="2666" spans="1:12" x14ac:dyDescent="0.25">
      <c r="A2666" s="40" t="s">
        <v>38</v>
      </c>
      <c r="B2666" s="40" t="s">
        <v>4780</v>
      </c>
      <c r="C2666" s="40" t="s">
        <v>4781</v>
      </c>
      <c r="D2666" s="40" t="s">
        <v>4699</v>
      </c>
      <c r="E2666" s="40" t="s">
        <v>4699</v>
      </c>
      <c r="F2666" s="40">
        <v>1</v>
      </c>
      <c r="G2666" s="40"/>
      <c r="H2666" s="40" t="s">
        <v>2234</v>
      </c>
      <c r="I2666" s="40"/>
      <c r="J2666" s="40" t="s">
        <v>97</v>
      </c>
      <c r="K2666" s="40" t="s">
        <v>97</v>
      </c>
      <c r="L2666" s="40" t="s">
        <v>97</v>
      </c>
    </row>
    <row r="2667" spans="1:12" x14ac:dyDescent="0.25">
      <c r="A2667" s="40" t="s">
        <v>38</v>
      </c>
      <c r="B2667" s="40" t="s">
        <v>4782</v>
      </c>
      <c r="C2667" s="40" t="s">
        <v>4783</v>
      </c>
      <c r="D2667" s="40" t="s">
        <v>2233</v>
      </c>
      <c r="E2667" s="40" t="s">
        <v>2233</v>
      </c>
      <c r="F2667" s="40">
        <v>1</v>
      </c>
      <c r="G2667" s="40"/>
      <c r="H2667" s="40" t="s">
        <v>97</v>
      </c>
      <c r="I2667" s="40"/>
      <c r="J2667" s="40" t="s">
        <v>97</v>
      </c>
      <c r="K2667" s="40" t="s">
        <v>97</v>
      </c>
      <c r="L2667" s="40" t="s">
        <v>97</v>
      </c>
    </row>
    <row r="2668" spans="1:12" x14ac:dyDescent="0.25">
      <c r="A2668" s="40" t="s">
        <v>38</v>
      </c>
      <c r="B2668" s="40" t="s">
        <v>4784</v>
      </c>
      <c r="C2668" s="40" t="s">
        <v>4785</v>
      </c>
      <c r="D2668" s="40" t="s">
        <v>4699</v>
      </c>
      <c r="E2668" s="40" t="s">
        <v>4699</v>
      </c>
      <c r="F2668" s="40">
        <v>1</v>
      </c>
      <c r="G2668" s="40"/>
      <c r="H2668" s="40" t="s">
        <v>2234</v>
      </c>
      <c r="I2668" s="40"/>
      <c r="J2668" s="40" t="s">
        <v>97</v>
      </c>
      <c r="K2668" s="40" t="s">
        <v>97</v>
      </c>
      <c r="L2668" s="40" t="s">
        <v>97</v>
      </c>
    </row>
    <row r="2669" spans="1:12" x14ac:dyDescent="0.25">
      <c r="A2669" s="40" t="s">
        <v>38</v>
      </c>
      <c r="B2669" s="40" t="s">
        <v>4786</v>
      </c>
      <c r="C2669" s="40" t="s">
        <v>4787</v>
      </c>
      <c r="D2669" s="40" t="s">
        <v>2233</v>
      </c>
      <c r="E2669" s="40" t="s">
        <v>2233</v>
      </c>
      <c r="F2669" s="40">
        <v>1</v>
      </c>
      <c r="G2669" s="40"/>
      <c r="H2669" s="40" t="s">
        <v>97</v>
      </c>
      <c r="I2669" s="40"/>
      <c r="J2669" s="40" t="s">
        <v>97</v>
      </c>
      <c r="K2669" s="40" t="s">
        <v>97</v>
      </c>
      <c r="L2669" s="40" t="s">
        <v>97</v>
      </c>
    </row>
    <row r="2670" spans="1:12" x14ac:dyDescent="0.25">
      <c r="A2670" s="40" t="s">
        <v>38</v>
      </c>
      <c r="B2670" s="40" t="s">
        <v>4788</v>
      </c>
      <c r="C2670" s="40" t="s">
        <v>4789</v>
      </c>
      <c r="D2670" s="40" t="s">
        <v>4699</v>
      </c>
      <c r="E2670" s="40" t="s">
        <v>4699</v>
      </c>
      <c r="F2670" s="40">
        <v>1</v>
      </c>
      <c r="G2670" s="40"/>
      <c r="H2670" s="40" t="s">
        <v>2234</v>
      </c>
      <c r="I2670" s="40"/>
      <c r="J2670" s="40" t="s">
        <v>97</v>
      </c>
      <c r="K2670" s="40" t="s">
        <v>97</v>
      </c>
      <c r="L2670" s="40" t="s">
        <v>97</v>
      </c>
    </row>
    <row r="2671" spans="1:12" x14ac:dyDescent="0.25">
      <c r="A2671" s="40" t="s">
        <v>38</v>
      </c>
      <c r="B2671" s="40" t="s">
        <v>4790</v>
      </c>
      <c r="C2671" s="40" t="s">
        <v>4791</v>
      </c>
      <c r="D2671" s="40" t="s">
        <v>2233</v>
      </c>
      <c r="E2671" s="40" t="s">
        <v>2233</v>
      </c>
      <c r="F2671" s="40">
        <v>1</v>
      </c>
      <c r="G2671" s="40"/>
      <c r="H2671" s="40" t="s">
        <v>97</v>
      </c>
      <c r="I2671" s="40"/>
      <c r="J2671" s="40" t="s">
        <v>97</v>
      </c>
      <c r="K2671" s="40" t="s">
        <v>97</v>
      </c>
      <c r="L2671" s="40" t="s">
        <v>97</v>
      </c>
    </row>
    <row r="2672" spans="1:12" x14ac:dyDescent="0.25">
      <c r="A2672" s="40" t="s">
        <v>38</v>
      </c>
      <c r="B2672" s="40" t="s">
        <v>4792</v>
      </c>
      <c r="C2672" s="40" t="s">
        <v>4793</v>
      </c>
      <c r="D2672" s="40" t="s">
        <v>4699</v>
      </c>
      <c r="E2672" s="40" t="s">
        <v>4699</v>
      </c>
      <c r="F2672" s="40">
        <v>1</v>
      </c>
      <c r="G2672" s="40"/>
      <c r="H2672" s="40" t="s">
        <v>2234</v>
      </c>
      <c r="I2672" s="40"/>
      <c r="J2672" s="40" t="s">
        <v>97</v>
      </c>
      <c r="K2672" s="40" t="s">
        <v>97</v>
      </c>
      <c r="L2672" s="40" t="s">
        <v>97</v>
      </c>
    </row>
    <row r="2673" spans="1:12" x14ac:dyDescent="0.25">
      <c r="A2673" s="40" t="s">
        <v>38</v>
      </c>
      <c r="B2673" s="40" t="s">
        <v>4794</v>
      </c>
      <c r="C2673" s="40" t="s">
        <v>4795</v>
      </c>
      <c r="D2673" s="40" t="s">
        <v>2233</v>
      </c>
      <c r="E2673" s="40" t="s">
        <v>2233</v>
      </c>
      <c r="F2673" s="40">
        <v>1</v>
      </c>
      <c r="G2673" s="40"/>
      <c r="H2673" s="40" t="s">
        <v>97</v>
      </c>
      <c r="I2673" s="40"/>
      <c r="J2673" s="40" t="s">
        <v>97</v>
      </c>
      <c r="K2673" s="40" t="s">
        <v>97</v>
      </c>
      <c r="L2673" s="40" t="s">
        <v>97</v>
      </c>
    </row>
    <row r="2674" spans="1:12" x14ac:dyDescent="0.25">
      <c r="A2674" s="40" t="s">
        <v>38</v>
      </c>
      <c r="B2674" s="40" t="s">
        <v>4796</v>
      </c>
      <c r="C2674" s="40" t="s">
        <v>4797</v>
      </c>
      <c r="D2674" s="40" t="s">
        <v>4699</v>
      </c>
      <c r="E2674" s="40" t="s">
        <v>4699</v>
      </c>
      <c r="F2674" s="40">
        <v>1</v>
      </c>
      <c r="G2674" s="40"/>
      <c r="H2674" s="40" t="s">
        <v>2234</v>
      </c>
      <c r="I2674" s="40"/>
      <c r="J2674" s="40" t="s">
        <v>97</v>
      </c>
      <c r="K2674" s="40" t="s">
        <v>97</v>
      </c>
      <c r="L2674" s="40" t="s">
        <v>97</v>
      </c>
    </row>
    <row r="2675" spans="1:12" x14ac:dyDescent="0.25">
      <c r="A2675" s="40" t="s">
        <v>38</v>
      </c>
      <c r="B2675" s="40" t="s">
        <v>4798</v>
      </c>
      <c r="C2675" s="40" t="s">
        <v>4799</v>
      </c>
      <c r="D2675" s="40" t="s">
        <v>2233</v>
      </c>
      <c r="E2675" s="40" t="s">
        <v>2233</v>
      </c>
      <c r="F2675" s="40">
        <v>1</v>
      </c>
      <c r="G2675" s="40"/>
      <c r="H2675" s="40" t="s">
        <v>97</v>
      </c>
      <c r="I2675" s="40"/>
      <c r="J2675" s="40" t="s">
        <v>97</v>
      </c>
      <c r="K2675" s="40" t="s">
        <v>97</v>
      </c>
      <c r="L2675" s="40" t="s">
        <v>97</v>
      </c>
    </row>
    <row r="2676" spans="1:12" x14ac:dyDescent="0.25">
      <c r="A2676" s="40" t="s">
        <v>38</v>
      </c>
      <c r="B2676" s="40" t="s">
        <v>4800</v>
      </c>
      <c r="C2676" s="40" t="s">
        <v>4801</v>
      </c>
      <c r="D2676" s="40" t="s">
        <v>4699</v>
      </c>
      <c r="E2676" s="40" t="s">
        <v>4699</v>
      </c>
      <c r="F2676" s="40">
        <v>1</v>
      </c>
      <c r="G2676" s="40"/>
      <c r="H2676" s="40" t="s">
        <v>2234</v>
      </c>
      <c r="I2676" s="40"/>
      <c r="J2676" s="40" t="s">
        <v>97</v>
      </c>
      <c r="K2676" s="40" t="s">
        <v>97</v>
      </c>
      <c r="L2676" s="40" t="s">
        <v>97</v>
      </c>
    </row>
    <row r="2677" spans="1:12" x14ac:dyDescent="0.25">
      <c r="A2677" s="40" t="s">
        <v>38</v>
      </c>
      <c r="B2677" s="40" t="s">
        <v>4802</v>
      </c>
      <c r="C2677" s="40" t="s">
        <v>4803</v>
      </c>
      <c r="D2677" s="40" t="s">
        <v>4699</v>
      </c>
      <c r="E2677" s="40" t="s">
        <v>4699</v>
      </c>
      <c r="F2677" s="40">
        <v>1</v>
      </c>
      <c r="G2677" s="40"/>
      <c r="H2677" s="40" t="s">
        <v>2234</v>
      </c>
      <c r="I2677" s="40"/>
      <c r="J2677" s="40" t="s">
        <v>97</v>
      </c>
      <c r="K2677" s="40" t="s">
        <v>97</v>
      </c>
      <c r="L2677" s="40" t="s">
        <v>97</v>
      </c>
    </row>
    <row r="2678" spans="1:12" x14ac:dyDescent="0.25">
      <c r="A2678" s="40" t="s">
        <v>38</v>
      </c>
      <c r="B2678" s="40" t="s">
        <v>4804</v>
      </c>
      <c r="C2678" s="40" t="s">
        <v>4805</v>
      </c>
      <c r="D2678" s="40" t="s">
        <v>4699</v>
      </c>
      <c r="E2678" s="40" t="s">
        <v>4699</v>
      </c>
      <c r="F2678" s="40">
        <v>1</v>
      </c>
      <c r="G2678" s="40"/>
      <c r="H2678" s="40" t="s">
        <v>2234</v>
      </c>
      <c r="I2678" s="40"/>
      <c r="J2678" s="40" t="s">
        <v>97</v>
      </c>
      <c r="K2678" s="40" t="s">
        <v>97</v>
      </c>
      <c r="L2678" s="40" t="s">
        <v>97</v>
      </c>
    </row>
    <row r="2679" spans="1:12" x14ac:dyDescent="0.25">
      <c r="A2679" s="40" t="s">
        <v>38</v>
      </c>
      <c r="B2679" s="40" t="s">
        <v>4806</v>
      </c>
      <c r="C2679" s="40" t="s">
        <v>4807</v>
      </c>
      <c r="D2679" s="40" t="s">
        <v>4699</v>
      </c>
      <c r="E2679" s="40" t="s">
        <v>4699</v>
      </c>
      <c r="F2679" s="40">
        <v>1</v>
      </c>
      <c r="G2679" s="40"/>
      <c r="H2679" s="40" t="s">
        <v>2234</v>
      </c>
      <c r="I2679" s="40"/>
      <c r="J2679" s="40" t="s">
        <v>97</v>
      </c>
      <c r="K2679" s="40" t="s">
        <v>97</v>
      </c>
      <c r="L2679" s="40" t="s">
        <v>97</v>
      </c>
    </row>
    <row r="2680" spans="1:12" x14ac:dyDescent="0.25">
      <c r="A2680" s="40" t="s">
        <v>38</v>
      </c>
      <c r="B2680" s="40" t="s">
        <v>4808</v>
      </c>
      <c r="C2680" s="40" t="s">
        <v>4809</v>
      </c>
      <c r="D2680" s="40" t="s">
        <v>4699</v>
      </c>
      <c r="E2680" s="40" t="s">
        <v>4699</v>
      </c>
      <c r="F2680" s="40">
        <v>1</v>
      </c>
      <c r="G2680" s="40"/>
      <c r="H2680" s="40" t="s">
        <v>2234</v>
      </c>
      <c r="I2680" s="40"/>
      <c r="J2680" s="40" t="s">
        <v>97</v>
      </c>
      <c r="K2680" s="40" t="s">
        <v>97</v>
      </c>
      <c r="L2680" s="40" t="s">
        <v>97</v>
      </c>
    </row>
    <row r="2681" spans="1:12" x14ac:dyDescent="0.25">
      <c r="A2681" s="40" t="s">
        <v>38</v>
      </c>
      <c r="B2681" s="40" t="s">
        <v>4810</v>
      </c>
      <c r="C2681" s="40" t="s">
        <v>4811</v>
      </c>
      <c r="D2681" s="40" t="s">
        <v>4699</v>
      </c>
      <c r="E2681" s="40" t="s">
        <v>4699</v>
      </c>
      <c r="F2681" s="40">
        <v>1</v>
      </c>
      <c r="G2681" s="40"/>
      <c r="H2681" s="40" t="s">
        <v>2234</v>
      </c>
      <c r="I2681" s="40"/>
      <c r="J2681" s="40" t="s">
        <v>97</v>
      </c>
      <c r="K2681" s="40" t="s">
        <v>97</v>
      </c>
      <c r="L2681" s="40" t="s">
        <v>97</v>
      </c>
    </row>
    <row r="2682" spans="1:12" x14ac:dyDescent="0.25">
      <c r="A2682" s="40" t="s">
        <v>38</v>
      </c>
      <c r="B2682" s="40" t="s">
        <v>4812</v>
      </c>
      <c r="C2682" s="40" t="s">
        <v>4813</v>
      </c>
      <c r="D2682" s="40" t="s">
        <v>4699</v>
      </c>
      <c r="E2682" s="40" t="s">
        <v>4699</v>
      </c>
      <c r="F2682" s="40">
        <v>1</v>
      </c>
      <c r="G2682" s="40"/>
      <c r="H2682" s="40" t="s">
        <v>2234</v>
      </c>
      <c r="I2682" s="40"/>
      <c r="J2682" s="40" t="s">
        <v>97</v>
      </c>
      <c r="K2682" s="40" t="s">
        <v>97</v>
      </c>
      <c r="L2682" s="40" t="s">
        <v>97</v>
      </c>
    </row>
    <row r="2683" spans="1:12" x14ac:dyDescent="0.25">
      <c r="A2683" s="40" t="s">
        <v>38</v>
      </c>
      <c r="B2683" s="40" t="s">
        <v>4814</v>
      </c>
      <c r="C2683" s="40" t="s">
        <v>4815</v>
      </c>
      <c r="D2683" s="40" t="s">
        <v>4699</v>
      </c>
      <c r="E2683" s="40" t="s">
        <v>4699</v>
      </c>
      <c r="F2683" s="40">
        <v>1</v>
      </c>
      <c r="G2683" s="40"/>
      <c r="H2683" s="40" t="s">
        <v>2234</v>
      </c>
      <c r="I2683" s="40"/>
      <c r="J2683" s="40" t="s">
        <v>97</v>
      </c>
      <c r="K2683" s="40" t="s">
        <v>97</v>
      </c>
      <c r="L2683" s="40" t="s">
        <v>97</v>
      </c>
    </row>
    <row r="2684" spans="1:12" x14ac:dyDescent="0.25">
      <c r="A2684" s="40" t="s">
        <v>38</v>
      </c>
      <c r="B2684" s="40" t="s">
        <v>4816</v>
      </c>
      <c r="C2684" s="40" t="s">
        <v>4817</v>
      </c>
      <c r="D2684" s="40" t="s">
        <v>4818</v>
      </c>
      <c r="E2684" s="40" t="s">
        <v>4818</v>
      </c>
      <c r="F2684" s="40">
        <v>1</v>
      </c>
      <c r="G2684" s="40"/>
      <c r="H2684" s="40" t="s">
        <v>97</v>
      </c>
      <c r="I2684" s="40"/>
      <c r="J2684" s="40" t="s">
        <v>97</v>
      </c>
      <c r="K2684" s="40" t="s">
        <v>97</v>
      </c>
      <c r="L2684" s="40" t="s">
        <v>97</v>
      </c>
    </row>
    <row r="2685" spans="1:12" x14ac:dyDescent="0.25">
      <c r="A2685" s="40" t="s">
        <v>38</v>
      </c>
      <c r="B2685" s="40" t="s">
        <v>4819</v>
      </c>
      <c r="C2685" s="40" t="s">
        <v>4820</v>
      </c>
      <c r="D2685" s="40" t="s">
        <v>3246</v>
      </c>
      <c r="E2685" s="40" t="s">
        <v>3246</v>
      </c>
      <c r="F2685" s="40">
        <v>1</v>
      </c>
      <c r="G2685" s="40"/>
      <c r="H2685" s="40" t="s">
        <v>97</v>
      </c>
      <c r="I2685" s="40"/>
      <c r="J2685" s="40" t="s">
        <v>97</v>
      </c>
      <c r="K2685" s="40" t="s">
        <v>97</v>
      </c>
      <c r="L2685" s="40" t="s">
        <v>97</v>
      </c>
    </row>
    <row r="2686" spans="1:12" x14ac:dyDescent="0.25">
      <c r="A2686" s="40" t="s">
        <v>38</v>
      </c>
      <c r="B2686" s="40" t="s">
        <v>4821</v>
      </c>
      <c r="C2686" s="40" t="s">
        <v>4822</v>
      </c>
      <c r="D2686" s="40" t="s">
        <v>2233</v>
      </c>
      <c r="E2686" s="40" t="s">
        <v>2233</v>
      </c>
      <c r="F2686" s="40">
        <v>1</v>
      </c>
      <c r="G2686" s="40"/>
      <c r="H2686" s="40" t="s">
        <v>2234</v>
      </c>
      <c r="I2686" s="40"/>
      <c r="J2686" s="40" t="s">
        <v>97</v>
      </c>
      <c r="K2686" s="40" t="s">
        <v>97</v>
      </c>
      <c r="L2686" s="40" t="s">
        <v>97</v>
      </c>
    </row>
    <row r="2687" spans="1:12" x14ac:dyDescent="0.25">
      <c r="A2687" s="40" t="s">
        <v>38</v>
      </c>
      <c r="B2687" s="40" t="s">
        <v>4823</v>
      </c>
      <c r="C2687" s="40" t="s">
        <v>4824</v>
      </c>
      <c r="D2687" s="40" t="s">
        <v>4818</v>
      </c>
      <c r="E2687" s="40" t="s">
        <v>4818</v>
      </c>
      <c r="F2687" s="40">
        <v>1</v>
      </c>
      <c r="G2687" s="40"/>
      <c r="H2687" s="40" t="s">
        <v>97</v>
      </c>
      <c r="I2687" s="40"/>
      <c r="J2687" s="40" t="s">
        <v>97</v>
      </c>
      <c r="K2687" s="40" t="s">
        <v>97</v>
      </c>
      <c r="L2687" s="40" t="s">
        <v>97</v>
      </c>
    </row>
    <row r="2688" spans="1:12" x14ac:dyDescent="0.25">
      <c r="A2688" s="40" t="s">
        <v>38</v>
      </c>
      <c r="B2688" s="40" t="s">
        <v>4825</v>
      </c>
      <c r="C2688" s="40" t="s">
        <v>4826</v>
      </c>
      <c r="D2688" s="40" t="s">
        <v>3246</v>
      </c>
      <c r="E2688" s="40" t="s">
        <v>3246</v>
      </c>
      <c r="F2688" s="40">
        <v>1</v>
      </c>
      <c r="G2688" s="40"/>
      <c r="H2688" s="40" t="s">
        <v>97</v>
      </c>
      <c r="I2688" s="40"/>
      <c r="J2688" s="40" t="s">
        <v>97</v>
      </c>
      <c r="K2688" s="40" t="s">
        <v>97</v>
      </c>
      <c r="L2688" s="40" t="s">
        <v>97</v>
      </c>
    </row>
    <row r="2689" spans="1:12" x14ac:dyDescent="0.25">
      <c r="A2689" s="40" t="s">
        <v>38</v>
      </c>
      <c r="B2689" s="40" t="s">
        <v>4827</v>
      </c>
      <c r="C2689" s="40" t="s">
        <v>4828</v>
      </c>
      <c r="D2689" s="40" t="s">
        <v>2233</v>
      </c>
      <c r="E2689" s="40" t="s">
        <v>2233</v>
      </c>
      <c r="F2689" s="40">
        <v>1</v>
      </c>
      <c r="G2689" s="40"/>
      <c r="H2689" s="40" t="s">
        <v>2234</v>
      </c>
      <c r="I2689" s="40"/>
      <c r="J2689" s="40" t="s">
        <v>97</v>
      </c>
      <c r="K2689" s="40" t="s">
        <v>97</v>
      </c>
      <c r="L2689" s="40" t="s">
        <v>97</v>
      </c>
    </row>
    <row r="2690" spans="1:12" x14ac:dyDescent="0.25">
      <c r="A2690" s="40" t="s">
        <v>38</v>
      </c>
      <c r="B2690" s="40" t="s">
        <v>4829</v>
      </c>
      <c r="C2690" s="40" t="s">
        <v>4830</v>
      </c>
      <c r="D2690" s="40" t="s">
        <v>4818</v>
      </c>
      <c r="E2690" s="40" t="s">
        <v>4818</v>
      </c>
      <c r="F2690" s="40">
        <v>1</v>
      </c>
      <c r="G2690" s="40"/>
      <c r="H2690" s="40" t="s">
        <v>97</v>
      </c>
      <c r="I2690" s="40"/>
      <c r="J2690" s="40" t="s">
        <v>97</v>
      </c>
      <c r="K2690" s="40" t="s">
        <v>97</v>
      </c>
      <c r="L2690" s="40" t="s">
        <v>97</v>
      </c>
    </row>
    <row r="2691" spans="1:12" x14ac:dyDescent="0.25">
      <c r="A2691" s="40" t="s">
        <v>38</v>
      </c>
      <c r="B2691" s="40" t="s">
        <v>4831</v>
      </c>
      <c r="C2691" s="40" t="s">
        <v>4832</v>
      </c>
      <c r="D2691" s="40" t="s">
        <v>3246</v>
      </c>
      <c r="E2691" s="40" t="s">
        <v>3246</v>
      </c>
      <c r="F2691" s="40">
        <v>1</v>
      </c>
      <c r="G2691" s="40"/>
      <c r="H2691" s="40" t="s">
        <v>97</v>
      </c>
      <c r="I2691" s="40"/>
      <c r="J2691" s="40" t="s">
        <v>97</v>
      </c>
      <c r="K2691" s="40" t="s">
        <v>97</v>
      </c>
      <c r="L2691" s="40" t="s">
        <v>97</v>
      </c>
    </row>
    <row r="2692" spans="1:12" x14ac:dyDescent="0.25">
      <c r="A2692" s="40" t="s">
        <v>38</v>
      </c>
      <c r="B2692" s="40" t="s">
        <v>4833</v>
      </c>
      <c r="C2692" s="40" t="s">
        <v>4834</v>
      </c>
      <c r="D2692" s="40" t="s">
        <v>2233</v>
      </c>
      <c r="E2692" s="40" t="s">
        <v>2233</v>
      </c>
      <c r="F2692" s="40">
        <v>1</v>
      </c>
      <c r="G2692" s="40"/>
      <c r="H2692" s="40" t="s">
        <v>2234</v>
      </c>
      <c r="I2692" s="40"/>
      <c r="J2692" s="40" t="s">
        <v>97</v>
      </c>
      <c r="K2692" s="40" t="s">
        <v>97</v>
      </c>
      <c r="L2692" s="40" t="s">
        <v>97</v>
      </c>
    </row>
    <row r="2693" spans="1:12" x14ac:dyDescent="0.25">
      <c r="A2693" s="40" t="s">
        <v>38</v>
      </c>
      <c r="B2693" s="40" t="s">
        <v>4835</v>
      </c>
      <c r="C2693" s="40" t="s">
        <v>4836</v>
      </c>
      <c r="D2693" s="40" t="s">
        <v>4818</v>
      </c>
      <c r="E2693" s="40" t="s">
        <v>4818</v>
      </c>
      <c r="F2693" s="40">
        <v>1</v>
      </c>
      <c r="G2693" s="40"/>
      <c r="H2693" s="40" t="s">
        <v>97</v>
      </c>
      <c r="I2693" s="40"/>
      <c r="J2693" s="40" t="s">
        <v>97</v>
      </c>
      <c r="K2693" s="40" t="s">
        <v>97</v>
      </c>
      <c r="L2693" s="40" t="s">
        <v>97</v>
      </c>
    </row>
    <row r="2694" spans="1:12" x14ac:dyDescent="0.25">
      <c r="A2694" s="40" t="s">
        <v>38</v>
      </c>
      <c r="B2694" s="40" t="s">
        <v>4837</v>
      </c>
      <c r="C2694" s="40" t="s">
        <v>4838</v>
      </c>
      <c r="D2694" s="40" t="s">
        <v>3246</v>
      </c>
      <c r="E2694" s="40" t="s">
        <v>3246</v>
      </c>
      <c r="F2694" s="40">
        <v>1</v>
      </c>
      <c r="G2694" s="40"/>
      <c r="H2694" s="40" t="s">
        <v>97</v>
      </c>
      <c r="I2694" s="40"/>
      <c r="J2694" s="40" t="s">
        <v>97</v>
      </c>
      <c r="K2694" s="40" t="s">
        <v>97</v>
      </c>
      <c r="L2694" s="40" t="s">
        <v>97</v>
      </c>
    </row>
    <row r="2695" spans="1:12" x14ac:dyDescent="0.25">
      <c r="A2695" s="40" t="s">
        <v>38</v>
      </c>
      <c r="B2695" s="40" t="s">
        <v>4839</v>
      </c>
      <c r="C2695" s="40" t="s">
        <v>4840</v>
      </c>
      <c r="D2695" s="40" t="s">
        <v>2233</v>
      </c>
      <c r="E2695" s="40" t="s">
        <v>2233</v>
      </c>
      <c r="F2695" s="40">
        <v>1</v>
      </c>
      <c r="G2695" s="40"/>
      <c r="H2695" s="40" t="s">
        <v>2234</v>
      </c>
      <c r="I2695" s="40"/>
      <c r="J2695" s="40" t="s">
        <v>97</v>
      </c>
      <c r="K2695" s="40" t="s">
        <v>97</v>
      </c>
      <c r="L2695" s="40" t="s">
        <v>97</v>
      </c>
    </row>
    <row r="2696" spans="1:12" x14ac:dyDescent="0.25">
      <c r="A2696" s="40" t="s">
        <v>38</v>
      </c>
      <c r="B2696" s="40" t="s">
        <v>4841</v>
      </c>
      <c r="C2696" s="40" t="s">
        <v>4842</v>
      </c>
      <c r="D2696" s="40" t="s">
        <v>4818</v>
      </c>
      <c r="E2696" s="40" t="s">
        <v>4818</v>
      </c>
      <c r="F2696" s="40">
        <v>1</v>
      </c>
      <c r="G2696" s="40"/>
      <c r="H2696" s="40" t="s">
        <v>97</v>
      </c>
      <c r="I2696" s="40"/>
      <c r="J2696" s="40" t="s">
        <v>97</v>
      </c>
      <c r="K2696" s="40" t="s">
        <v>97</v>
      </c>
      <c r="L2696" s="40" t="s">
        <v>97</v>
      </c>
    </row>
    <row r="2697" spans="1:12" x14ac:dyDescent="0.25">
      <c r="A2697" s="40" t="s">
        <v>38</v>
      </c>
      <c r="B2697" s="40" t="s">
        <v>4843</v>
      </c>
      <c r="C2697" s="40" t="s">
        <v>4844</v>
      </c>
      <c r="D2697" s="40" t="s">
        <v>3246</v>
      </c>
      <c r="E2697" s="40" t="s">
        <v>3246</v>
      </c>
      <c r="F2697" s="40">
        <v>1</v>
      </c>
      <c r="G2697" s="40"/>
      <c r="H2697" s="40" t="s">
        <v>97</v>
      </c>
      <c r="I2697" s="40"/>
      <c r="J2697" s="40" t="s">
        <v>97</v>
      </c>
      <c r="K2697" s="40" t="s">
        <v>97</v>
      </c>
      <c r="L2697" s="40" t="s">
        <v>97</v>
      </c>
    </row>
    <row r="2698" spans="1:12" x14ac:dyDescent="0.25">
      <c r="A2698" s="40" t="s">
        <v>38</v>
      </c>
      <c r="B2698" s="40" t="s">
        <v>4845</v>
      </c>
      <c r="C2698" s="40" t="s">
        <v>4846</v>
      </c>
      <c r="D2698" s="40" t="s">
        <v>2233</v>
      </c>
      <c r="E2698" s="40" t="s">
        <v>2233</v>
      </c>
      <c r="F2698" s="40">
        <v>1</v>
      </c>
      <c r="G2698" s="40"/>
      <c r="H2698" s="40" t="s">
        <v>2234</v>
      </c>
      <c r="I2698" s="40"/>
      <c r="J2698" s="40" t="s">
        <v>97</v>
      </c>
      <c r="K2698" s="40" t="s">
        <v>97</v>
      </c>
      <c r="L2698" s="40" t="s">
        <v>97</v>
      </c>
    </row>
    <row r="2699" spans="1:12" x14ac:dyDescent="0.25">
      <c r="A2699" s="40" t="s">
        <v>38</v>
      </c>
      <c r="B2699" s="40" t="s">
        <v>4847</v>
      </c>
      <c r="C2699" s="40" t="s">
        <v>4848</v>
      </c>
      <c r="D2699" s="40" t="s">
        <v>4818</v>
      </c>
      <c r="E2699" s="40" t="s">
        <v>4818</v>
      </c>
      <c r="F2699" s="40">
        <v>1</v>
      </c>
      <c r="G2699" s="40"/>
      <c r="H2699" s="40" t="s">
        <v>97</v>
      </c>
      <c r="I2699" s="40"/>
      <c r="J2699" s="40" t="s">
        <v>97</v>
      </c>
      <c r="K2699" s="40" t="s">
        <v>97</v>
      </c>
      <c r="L2699" s="40" t="s">
        <v>97</v>
      </c>
    </row>
    <row r="2700" spans="1:12" x14ac:dyDescent="0.25">
      <c r="A2700" s="40" t="s">
        <v>38</v>
      </c>
      <c r="B2700" s="40" t="s">
        <v>4849</v>
      </c>
      <c r="C2700" s="40" t="s">
        <v>4850</v>
      </c>
      <c r="D2700" s="40" t="s">
        <v>3246</v>
      </c>
      <c r="E2700" s="40" t="s">
        <v>3246</v>
      </c>
      <c r="F2700" s="40">
        <v>1</v>
      </c>
      <c r="G2700" s="40"/>
      <c r="H2700" s="40" t="s">
        <v>97</v>
      </c>
      <c r="I2700" s="40"/>
      <c r="J2700" s="40" t="s">
        <v>97</v>
      </c>
      <c r="K2700" s="40" t="s">
        <v>97</v>
      </c>
      <c r="L2700" s="40" t="s">
        <v>97</v>
      </c>
    </row>
    <row r="2701" spans="1:12" x14ac:dyDescent="0.25">
      <c r="A2701" s="40" t="s">
        <v>38</v>
      </c>
      <c r="B2701" s="40" t="s">
        <v>4851</v>
      </c>
      <c r="C2701" s="40" t="s">
        <v>4852</v>
      </c>
      <c r="D2701" s="40" t="s">
        <v>2233</v>
      </c>
      <c r="E2701" s="40" t="s">
        <v>2233</v>
      </c>
      <c r="F2701" s="40">
        <v>1</v>
      </c>
      <c r="G2701" s="40"/>
      <c r="H2701" s="40" t="s">
        <v>2234</v>
      </c>
      <c r="I2701" s="40"/>
      <c r="J2701" s="40" t="s">
        <v>97</v>
      </c>
      <c r="K2701" s="40" t="s">
        <v>97</v>
      </c>
      <c r="L2701" s="40" t="s">
        <v>97</v>
      </c>
    </row>
    <row r="2702" spans="1:12" x14ac:dyDescent="0.25">
      <c r="A2702" s="40" t="s">
        <v>38</v>
      </c>
      <c r="B2702" s="40" t="s">
        <v>4853</v>
      </c>
      <c r="C2702" s="40" t="s">
        <v>4854</v>
      </c>
      <c r="D2702" s="40" t="s">
        <v>4818</v>
      </c>
      <c r="E2702" s="40" t="s">
        <v>4818</v>
      </c>
      <c r="F2702" s="40">
        <v>1</v>
      </c>
      <c r="G2702" s="40"/>
      <c r="H2702" s="40" t="s">
        <v>97</v>
      </c>
      <c r="I2702" s="40"/>
      <c r="J2702" s="40" t="s">
        <v>97</v>
      </c>
      <c r="K2702" s="40" t="s">
        <v>97</v>
      </c>
      <c r="L2702" s="40" t="s">
        <v>97</v>
      </c>
    </row>
    <row r="2703" spans="1:12" x14ac:dyDescent="0.25">
      <c r="A2703" s="40" t="s">
        <v>38</v>
      </c>
      <c r="B2703" s="40" t="s">
        <v>4855</v>
      </c>
      <c r="C2703" s="40" t="s">
        <v>4856</v>
      </c>
      <c r="D2703" s="40" t="s">
        <v>3246</v>
      </c>
      <c r="E2703" s="40" t="s">
        <v>3246</v>
      </c>
      <c r="F2703" s="40">
        <v>1</v>
      </c>
      <c r="G2703" s="40"/>
      <c r="H2703" s="40" t="s">
        <v>97</v>
      </c>
      <c r="I2703" s="40"/>
      <c r="J2703" s="40" t="s">
        <v>97</v>
      </c>
      <c r="K2703" s="40" t="s">
        <v>97</v>
      </c>
      <c r="L2703" s="40" t="s">
        <v>97</v>
      </c>
    </row>
    <row r="2704" spans="1:12" x14ac:dyDescent="0.25">
      <c r="A2704" s="40" t="s">
        <v>38</v>
      </c>
      <c r="B2704" s="40" t="s">
        <v>4857</v>
      </c>
      <c r="C2704" s="40" t="s">
        <v>4858</v>
      </c>
      <c r="D2704" s="40" t="s">
        <v>2233</v>
      </c>
      <c r="E2704" s="40" t="s">
        <v>2233</v>
      </c>
      <c r="F2704" s="40">
        <v>1</v>
      </c>
      <c r="G2704" s="40"/>
      <c r="H2704" s="40" t="s">
        <v>2234</v>
      </c>
      <c r="I2704" s="40"/>
      <c r="J2704" s="40" t="s">
        <v>97</v>
      </c>
      <c r="K2704" s="40" t="s">
        <v>97</v>
      </c>
      <c r="L2704" s="40" t="s">
        <v>97</v>
      </c>
    </row>
    <row r="2705" spans="1:12" x14ac:dyDescent="0.25">
      <c r="A2705" s="40" t="s">
        <v>38</v>
      </c>
      <c r="B2705" s="40" t="s">
        <v>4859</v>
      </c>
      <c r="C2705" s="40" t="s">
        <v>4860</v>
      </c>
      <c r="D2705" s="40" t="s">
        <v>4818</v>
      </c>
      <c r="E2705" s="40" t="s">
        <v>4818</v>
      </c>
      <c r="F2705" s="40">
        <v>1</v>
      </c>
      <c r="G2705" s="40"/>
      <c r="H2705" s="40" t="s">
        <v>97</v>
      </c>
      <c r="I2705" s="40"/>
      <c r="J2705" s="40" t="s">
        <v>97</v>
      </c>
      <c r="K2705" s="40" t="s">
        <v>97</v>
      </c>
      <c r="L2705" s="40" t="s">
        <v>97</v>
      </c>
    </row>
    <row r="2706" spans="1:12" x14ac:dyDescent="0.25">
      <c r="A2706" s="40" t="s">
        <v>38</v>
      </c>
      <c r="B2706" s="40" t="s">
        <v>4861</v>
      </c>
      <c r="C2706" s="40" t="s">
        <v>4862</v>
      </c>
      <c r="D2706" s="40" t="s">
        <v>3246</v>
      </c>
      <c r="E2706" s="40" t="s">
        <v>3246</v>
      </c>
      <c r="F2706" s="40">
        <v>1</v>
      </c>
      <c r="G2706" s="40"/>
      <c r="H2706" s="40" t="s">
        <v>97</v>
      </c>
      <c r="I2706" s="40"/>
      <c r="J2706" s="40" t="s">
        <v>97</v>
      </c>
      <c r="K2706" s="40" t="s">
        <v>97</v>
      </c>
      <c r="L2706" s="40" t="s">
        <v>97</v>
      </c>
    </row>
    <row r="2707" spans="1:12" x14ac:dyDescent="0.25">
      <c r="A2707" s="40" t="s">
        <v>38</v>
      </c>
      <c r="B2707" s="40" t="s">
        <v>4863</v>
      </c>
      <c r="C2707" s="40" t="s">
        <v>4864</v>
      </c>
      <c r="D2707" s="40" t="s">
        <v>2233</v>
      </c>
      <c r="E2707" s="40" t="s">
        <v>2233</v>
      </c>
      <c r="F2707" s="40">
        <v>1</v>
      </c>
      <c r="G2707" s="40"/>
      <c r="H2707" s="40" t="s">
        <v>2234</v>
      </c>
      <c r="I2707" s="40"/>
      <c r="J2707" s="40" t="s">
        <v>97</v>
      </c>
      <c r="K2707" s="40" t="s">
        <v>97</v>
      </c>
      <c r="L2707" s="40" t="s">
        <v>97</v>
      </c>
    </row>
    <row r="2708" spans="1:12" x14ac:dyDescent="0.25">
      <c r="A2708" s="40" t="s">
        <v>38</v>
      </c>
      <c r="B2708" s="40" t="s">
        <v>4865</v>
      </c>
      <c r="C2708" s="40" t="s">
        <v>4866</v>
      </c>
      <c r="D2708" s="40" t="s">
        <v>4818</v>
      </c>
      <c r="E2708" s="40" t="s">
        <v>4818</v>
      </c>
      <c r="F2708" s="40">
        <v>1</v>
      </c>
      <c r="G2708" s="40"/>
      <c r="H2708" s="40" t="s">
        <v>97</v>
      </c>
      <c r="I2708" s="40"/>
      <c r="J2708" s="40" t="s">
        <v>97</v>
      </c>
      <c r="K2708" s="40" t="s">
        <v>97</v>
      </c>
      <c r="L2708" s="40" t="s">
        <v>97</v>
      </c>
    </row>
    <row r="2709" spans="1:12" x14ac:dyDescent="0.25">
      <c r="A2709" s="40" t="s">
        <v>38</v>
      </c>
      <c r="B2709" s="40" t="s">
        <v>4867</v>
      </c>
      <c r="C2709" s="40" t="s">
        <v>4868</v>
      </c>
      <c r="D2709" s="40" t="s">
        <v>3246</v>
      </c>
      <c r="E2709" s="40" t="s">
        <v>3246</v>
      </c>
      <c r="F2709" s="40">
        <v>1</v>
      </c>
      <c r="G2709" s="40"/>
      <c r="H2709" s="40" t="s">
        <v>97</v>
      </c>
      <c r="I2709" s="40"/>
      <c r="J2709" s="40" t="s">
        <v>97</v>
      </c>
      <c r="K2709" s="40" t="s">
        <v>97</v>
      </c>
      <c r="L2709" s="40" t="s">
        <v>97</v>
      </c>
    </row>
    <row r="2710" spans="1:12" x14ac:dyDescent="0.25">
      <c r="A2710" s="40" t="s">
        <v>38</v>
      </c>
      <c r="B2710" s="40" t="s">
        <v>4869</v>
      </c>
      <c r="C2710" s="40" t="s">
        <v>4870</v>
      </c>
      <c r="D2710" s="40" t="s">
        <v>2233</v>
      </c>
      <c r="E2710" s="40" t="s">
        <v>2233</v>
      </c>
      <c r="F2710" s="40">
        <v>1</v>
      </c>
      <c r="G2710" s="40"/>
      <c r="H2710" s="40" t="s">
        <v>2234</v>
      </c>
      <c r="I2710" s="40"/>
      <c r="J2710" s="40" t="s">
        <v>97</v>
      </c>
      <c r="K2710" s="40" t="s">
        <v>97</v>
      </c>
      <c r="L2710" s="40" t="s">
        <v>97</v>
      </c>
    </row>
    <row r="2711" spans="1:12" x14ac:dyDescent="0.25">
      <c r="A2711" s="40" t="s">
        <v>38</v>
      </c>
      <c r="B2711" s="40" t="s">
        <v>4871</v>
      </c>
      <c r="C2711" s="40" t="s">
        <v>4872</v>
      </c>
      <c r="D2711" s="40" t="s">
        <v>4818</v>
      </c>
      <c r="E2711" s="40" t="s">
        <v>4818</v>
      </c>
      <c r="F2711" s="40">
        <v>1</v>
      </c>
      <c r="G2711" s="40"/>
      <c r="H2711" s="40" t="s">
        <v>97</v>
      </c>
      <c r="I2711" s="40"/>
      <c r="J2711" s="40" t="s">
        <v>97</v>
      </c>
      <c r="K2711" s="40" t="s">
        <v>97</v>
      </c>
      <c r="L2711" s="40" t="s">
        <v>97</v>
      </c>
    </row>
    <row r="2712" spans="1:12" x14ac:dyDescent="0.25">
      <c r="A2712" s="40" t="s">
        <v>38</v>
      </c>
      <c r="B2712" s="40" t="s">
        <v>4873</v>
      </c>
      <c r="C2712" s="40" t="s">
        <v>4874</v>
      </c>
      <c r="D2712" s="40" t="s">
        <v>3246</v>
      </c>
      <c r="E2712" s="40" t="s">
        <v>3246</v>
      </c>
      <c r="F2712" s="40">
        <v>1</v>
      </c>
      <c r="G2712" s="40"/>
      <c r="H2712" s="40" t="s">
        <v>97</v>
      </c>
      <c r="I2712" s="40"/>
      <c r="J2712" s="40" t="s">
        <v>97</v>
      </c>
      <c r="K2712" s="40" t="s">
        <v>97</v>
      </c>
      <c r="L2712" s="40" t="s">
        <v>97</v>
      </c>
    </row>
    <row r="2713" spans="1:12" x14ac:dyDescent="0.25">
      <c r="A2713" s="40" t="s">
        <v>38</v>
      </c>
      <c r="B2713" s="40" t="s">
        <v>4875</v>
      </c>
      <c r="C2713" s="40" t="s">
        <v>4876</v>
      </c>
      <c r="D2713" s="40" t="s">
        <v>2233</v>
      </c>
      <c r="E2713" s="40" t="s">
        <v>2233</v>
      </c>
      <c r="F2713" s="40">
        <v>1</v>
      </c>
      <c r="G2713" s="40"/>
      <c r="H2713" s="40" t="s">
        <v>2234</v>
      </c>
      <c r="I2713" s="40"/>
      <c r="J2713" s="40" t="s">
        <v>97</v>
      </c>
      <c r="K2713" s="40" t="s">
        <v>97</v>
      </c>
      <c r="L2713" s="40" t="s">
        <v>97</v>
      </c>
    </row>
    <row r="2714" spans="1:12" x14ac:dyDescent="0.25">
      <c r="A2714" s="40" t="s">
        <v>38</v>
      </c>
      <c r="B2714" s="40" t="s">
        <v>4877</v>
      </c>
      <c r="C2714" s="40" t="s">
        <v>4878</v>
      </c>
      <c r="D2714" s="40" t="s">
        <v>4818</v>
      </c>
      <c r="E2714" s="40" t="s">
        <v>4818</v>
      </c>
      <c r="F2714" s="40">
        <v>1</v>
      </c>
      <c r="G2714" s="40"/>
      <c r="H2714" s="40" t="s">
        <v>97</v>
      </c>
      <c r="I2714" s="40"/>
      <c r="J2714" s="40" t="s">
        <v>97</v>
      </c>
      <c r="K2714" s="40" t="s">
        <v>97</v>
      </c>
      <c r="L2714" s="40" t="s">
        <v>97</v>
      </c>
    </row>
    <row r="2715" spans="1:12" x14ac:dyDescent="0.25">
      <c r="A2715" s="40" t="s">
        <v>38</v>
      </c>
      <c r="B2715" s="40" t="s">
        <v>4879</v>
      </c>
      <c r="C2715" s="40" t="s">
        <v>4880</v>
      </c>
      <c r="D2715" s="40" t="s">
        <v>3246</v>
      </c>
      <c r="E2715" s="40" t="s">
        <v>3246</v>
      </c>
      <c r="F2715" s="40">
        <v>1</v>
      </c>
      <c r="G2715" s="40"/>
      <c r="H2715" s="40" t="s">
        <v>97</v>
      </c>
      <c r="I2715" s="40"/>
      <c r="J2715" s="40" t="s">
        <v>97</v>
      </c>
      <c r="K2715" s="40" t="s">
        <v>97</v>
      </c>
      <c r="L2715" s="40" t="s">
        <v>97</v>
      </c>
    </row>
    <row r="2716" spans="1:12" x14ac:dyDescent="0.25">
      <c r="A2716" s="40" t="s">
        <v>38</v>
      </c>
      <c r="B2716" s="40" t="s">
        <v>4881</v>
      </c>
      <c r="C2716" s="40" t="s">
        <v>4882</v>
      </c>
      <c r="D2716" s="40" t="s">
        <v>2233</v>
      </c>
      <c r="E2716" s="40" t="s">
        <v>2233</v>
      </c>
      <c r="F2716" s="40">
        <v>1</v>
      </c>
      <c r="G2716" s="40"/>
      <c r="H2716" s="40" t="s">
        <v>2234</v>
      </c>
      <c r="I2716" s="40"/>
      <c r="J2716" s="40" t="s">
        <v>97</v>
      </c>
      <c r="K2716" s="40" t="s">
        <v>97</v>
      </c>
      <c r="L2716" s="40" t="s">
        <v>97</v>
      </c>
    </row>
    <row r="2717" spans="1:12" x14ac:dyDescent="0.25">
      <c r="A2717" s="40" t="s">
        <v>38</v>
      </c>
      <c r="B2717" s="40" t="s">
        <v>4883</v>
      </c>
      <c r="C2717" s="40" t="s">
        <v>4884</v>
      </c>
      <c r="D2717" s="40" t="s">
        <v>4818</v>
      </c>
      <c r="E2717" s="40" t="s">
        <v>4818</v>
      </c>
      <c r="F2717" s="40">
        <v>1</v>
      </c>
      <c r="G2717" s="40"/>
      <c r="H2717" s="40" t="s">
        <v>97</v>
      </c>
      <c r="I2717" s="40"/>
      <c r="J2717" s="40" t="s">
        <v>97</v>
      </c>
      <c r="K2717" s="40" t="s">
        <v>97</v>
      </c>
      <c r="L2717" s="40" t="s">
        <v>97</v>
      </c>
    </row>
    <row r="2718" spans="1:12" x14ac:dyDescent="0.25">
      <c r="A2718" s="40" t="s">
        <v>38</v>
      </c>
      <c r="B2718" s="40" t="s">
        <v>4885</v>
      </c>
      <c r="C2718" s="40" t="s">
        <v>4886</v>
      </c>
      <c r="D2718" s="40" t="s">
        <v>3246</v>
      </c>
      <c r="E2718" s="40" t="s">
        <v>3246</v>
      </c>
      <c r="F2718" s="40">
        <v>1</v>
      </c>
      <c r="G2718" s="40"/>
      <c r="H2718" s="40" t="s">
        <v>97</v>
      </c>
      <c r="I2718" s="40"/>
      <c r="J2718" s="40" t="s">
        <v>97</v>
      </c>
      <c r="K2718" s="40" t="s">
        <v>97</v>
      </c>
      <c r="L2718" s="40" t="s">
        <v>97</v>
      </c>
    </row>
    <row r="2719" spans="1:12" x14ac:dyDescent="0.25">
      <c r="A2719" s="40" t="s">
        <v>38</v>
      </c>
      <c r="B2719" s="40" t="s">
        <v>4887</v>
      </c>
      <c r="C2719" s="40" t="s">
        <v>4888</v>
      </c>
      <c r="D2719" s="40" t="s">
        <v>2233</v>
      </c>
      <c r="E2719" s="40" t="s">
        <v>2233</v>
      </c>
      <c r="F2719" s="40">
        <v>1</v>
      </c>
      <c r="G2719" s="40"/>
      <c r="H2719" s="40" t="s">
        <v>2234</v>
      </c>
      <c r="I2719" s="40"/>
      <c r="J2719" s="40" t="s">
        <v>97</v>
      </c>
      <c r="K2719" s="40" t="s">
        <v>97</v>
      </c>
      <c r="L2719" s="40" t="s">
        <v>97</v>
      </c>
    </row>
    <row r="2720" spans="1:12" x14ac:dyDescent="0.25">
      <c r="A2720" s="40" t="s">
        <v>38</v>
      </c>
      <c r="B2720" s="40" t="s">
        <v>4889</v>
      </c>
      <c r="C2720" s="40" t="s">
        <v>4890</v>
      </c>
      <c r="D2720" s="40" t="s">
        <v>4818</v>
      </c>
      <c r="E2720" s="40" t="s">
        <v>4818</v>
      </c>
      <c r="F2720" s="40">
        <v>1</v>
      </c>
      <c r="G2720" s="40"/>
      <c r="H2720" s="40" t="s">
        <v>97</v>
      </c>
      <c r="I2720" s="40"/>
      <c r="J2720" s="40" t="s">
        <v>97</v>
      </c>
      <c r="K2720" s="40" t="s">
        <v>97</v>
      </c>
      <c r="L2720" s="40" t="s">
        <v>97</v>
      </c>
    </row>
    <row r="2721" spans="1:12" x14ac:dyDescent="0.25">
      <c r="A2721" s="40" t="s">
        <v>38</v>
      </c>
      <c r="B2721" s="40" t="s">
        <v>4891</v>
      </c>
      <c r="C2721" s="40" t="s">
        <v>4892</v>
      </c>
      <c r="D2721" s="40" t="s">
        <v>3246</v>
      </c>
      <c r="E2721" s="40" t="s">
        <v>3246</v>
      </c>
      <c r="F2721" s="40">
        <v>1</v>
      </c>
      <c r="G2721" s="40"/>
      <c r="H2721" s="40" t="s">
        <v>97</v>
      </c>
      <c r="I2721" s="40"/>
      <c r="J2721" s="40" t="s">
        <v>97</v>
      </c>
      <c r="K2721" s="40" t="s">
        <v>97</v>
      </c>
      <c r="L2721" s="40" t="s">
        <v>97</v>
      </c>
    </row>
    <row r="2722" spans="1:12" x14ac:dyDescent="0.25">
      <c r="A2722" s="40" t="s">
        <v>38</v>
      </c>
      <c r="B2722" s="40" t="s">
        <v>4893</v>
      </c>
      <c r="C2722" s="40" t="s">
        <v>4894</v>
      </c>
      <c r="D2722" s="40" t="s">
        <v>2233</v>
      </c>
      <c r="E2722" s="40" t="s">
        <v>2233</v>
      </c>
      <c r="F2722" s="40">
        <v>1</v>
      </c>
      <c r="G2722" s="40"/>
      <c r="H2722" s="40" t="s">
        <v>2234</v>
      </c>
      <c r="I2722" s="40"/>
      <c r="J2722" s="40" t="s">
        <v>97</v>
      </c>
      <c r="K2722" s="40" t="s">
        <v>97</v>
      </c>
      <c r="L2722" s="40" t="s">
        <v>97</v>
      </c>
    </row>
    <row r="2723" spans="1:12" x14ac:dyDescent="0.25">
      <c r="A2723" s="40" t="s">
        <v>38</v>
      </c>
      <c r="B2723" s="40" t="s">
        <v>4895</v>
      </c>
      <c r="C2723" s="40" t="s">
        <v>4896</v>
      </c>
      <c r="D2723" s="40" t="s">
        <v>4818</v>
      </c>
      <c r="E2723" s="40" t="s">
        <v>4818</v>
      </c>
      <c r="F2723" s="40">
        <v>1</v>
      </c>
      <c r="G2723" s="40"/>
      <c r="H2723" s="40" t="s">
        <v>97</v>
      </c>
      <c r="I2723" s="40"/>
      <c r="J2723" s="40" t="s">
        <v>97</v>
      </c>
      <c r="K2723" s="40" t="s">
        <v>97</v>
      </c>
      <c r="L2723" s="40" t="s">
        <v>97</v>
      </c>
    </row>
    <row r="2724" spans="1:12" x14ac:dyDescent="0.25">
      <c r="A2724" s="40" t="s">
        <v>38</v>
      </c>
      <c r="B2724" s="40" t="s">
        <v>4897</v>
      </c>
      <c r="C2724" s="40" t="s">
        <v>4898</v>
      </c>
      <c r="D2724" s="40" t="s">
        <v>3246</v>
      </c>
      <c r="E2724" s="40" t="s">
        <v>3246</v>
      </c>
      <c r="F2724" s="40">
        <v>1</v>
      </c>
      <c r="G2724" s="40"/>
      <c r="H2724" s="40" t="s">
        <v>97</v>
      </c>
      <c r="I2724" s="40"/>
      <c r="J2724" s="40" t="s">
        <v>97</v>
      </c>
      <c r="K2724" s="40" t="s">
        <v>97</v>
      </c>
      <c r="L2724" s="40" t="s">
        <v>97</v>
      </c>
    </row>
    <row r="2725" spans="1:12" x14ac:dyDescent="0.25">
      <c r="A2725" s="40" t="s">
        <v>38</v>
      </c>
      <c r="B2725" s="40" t="s">
        <v>4899</v>
      </c>
      <c r="C2725" s="40" t="s">
        <v>4900</v>
      </c>
      <c r="D2725" s="40" t="s">
        <v>2233</v>
      </c>
      <c r="E2725" s="40" t="s">
        <v>2233</v>
      </c>
      <c r="F2725" s="40">
        <v>1</v>
      </c>
      <c r="G2725" s="40"/>
      <c r="H2725" s="40" t="s">
        <v>2234</v>
      </c>
      <c r="I2725" s="40"/>
      <c r="J2725" s="40" t="s">
        <v>97</v>
      </c>
      <c r="K2725" s="40" t="s">
        <v>97</v>
      </c>
      <c r="L2725" s="40" t="s">
        <v>97</v>
      </c>
    </row>
    <row r="2726" spans="1:12" x14ac:dyDescent="0.25">
      <c r="A2726" s="40" t="s">
        <v>38</v>
      </c>
      <c r="B2726" s="40" t="s">
        <v>2737</v>
      </c>
      <c r="C2726" s="40" t="s">
        <v>4901</v>
      </c>
      <c r="D2726" s="40" t="s">
        <v>4902</v>
      </c>
      <c r="E2726" s="40" t="s">
        <v>4902</v>
      </c>
      <c r="F2726" s="40">
        <v>1</v>
      </c>
      <c r="G2726" s="40"/>
      <c r="H2726" s="40" t="s">
        <v>97</v>
      </c>
      <c r="I2726" s="40"/>
      <c r="J2726" s="40" t="s">
        <v>97</v>
      </c>
      <c r="K2726" s="40" t="s">
        <v>97</v>
      </c>
      <c r="L2726" s="40" t="s">
        <v>97</v>
      </c>
    </row>
    <row r="2727" spans="1:12" x14ac:dyDescent="0.25">
      <c r="A2727" s="40" t="s">
        <v>38</v>
      </c>
      <c r="B2727" s="40" t="s">
        <v>4903</v>
      </c>
      <c r="C2727" s="40" t="s">
        <v>4904</v>
      </c>
      <c r="D2727" s="40" t="s">
        <v>3246</v>
      </c>
      <c r="E2727" s="40" t="s">
        <v>3246</v>
      </c>
      <c r="F2727" s="40">
        <v>1</v>
      </c>
      <c r="G2727" s="40"/>
      <c r="H2727" s="40" t="s">
        <v>97</v>
      </c>
      <c r="I2727" s="40"/>
      <c r="J2727" s="40" t="s">
        <v>97</v>
      </c>
      <c r="K2727" s="40" t="s">
        <v>97</v>
      </c>
      <c r="L2727" s="40" t="s">
        <v>97</v>
      </c>
    </row>
    <row r="2728" spans="1:12" x14ac:dyDescent="0.25">
      <c r="A2728" s="40" t="s">
        <v>38</v>
      </c>
      <c r="B2728" s="40" t="s">
        <v>4905</v>
      </c>
      <c r="C2728" s="40" t="s">
        <v>4906</v>
      </c>
      <c r="D2728" s="40" t="s">
        <v>4907</v>
      </c>
      <c r="E2728" s="40" t="s">
        <v>4907</v>
      </c>
      <c r="F2728" s="40">
        <v>1</v>
      </c>
      <c r="G2728" s="40"/>
      <c r="H2728" s="40" t="s">
        <v>2234</v>
      </c>
      <c r="I2728" s="40"/>
      <c r="J2728" s="40" t="s">
        <v>97</v>
      </c>
      <c r="K2728" s="40" t="s">
        <v>97</v>
      </c>
      <c r="L2728" s="40" t="s">
        <v>97</v>
      </c>
    </row>
    <row r="2729" spans="1:12" x14ac:dyDescent="0.25">
      <c r="A2729" s="40" t="s">
        <v>38</v>
      </c>
      <c r="B2729" s="40" t="s">
        <v>4908</v>
      </c>
      <c r="C2729" s="40" t="s">
        <v>4909</v>
      </c>
      <c r="D2729" s="40" t="s">
        <v>4910</v>
      </c>
      <c r="E2729" s="40" t="s">
        <v>4910</v>
      </c>
      <c r="F2729" s="40">
        <v>1</v>
      </c>
      <c r="G2729" s="40"/>
      <c r="H2729" s="40" t="s">
        <v>97</v>
      </c>
      <c r="I2729" s="40"/>
      <c r="J2729" s="40" t="s">
        <v>97</v>
      </c>
      <c r="K2729" s="40" t="s">
        <v>97</v>
      </c>
      <c r="L2729" s="40" t="s">
        <v>97</v>
      </c>
    </row>
    <row r="2730" spans="1:12" x14ac:dyDescent="0.25">
      <c r="A2730" s="40" t="s">
        <v>38</v>
      </c>
      <c r="B2730" s="40" t="s">
        <v>4911</v>
      </c>
      <c r="C2730" s="40" t="s">
        <v>4912</v>
      </c>
      <c r="D2730" s="40" t="s">
        <v>2233</v>
      </c>
      <c r="E2730" s="40" t="s">
        <v>2233</v>
      </c>
      <c r="F2730" s="40">
        <v>1</v>
      </c>
      <c r="G2730" s="40"/>
      <c r="H2730" s="40" t="s">
        <v>2234</v>
      </c>
      <c r="I2730" s="40"/>
      <c r="J2730" s="40" t="s">
        <v>97</v>
      </c>
      <c r="K2730" s="40" t="s">
        <v>97</v>
      </c>
      <c r="L2730" s="40" t="s">
        <v>97</v>
      </c>
    </row>
    <row r="2731" spans="1:12" x14ac:dyDescent="0.25">
      <c r="A2731" s="40" t="s">
        <v>38</v>
      </c>
      <c r="B2731" s="40" t="s">
        <v>4913</v>
      </c>
      <c r="C2731" s="40" t="s">
        <v>4914</v>
      </c>
      <c r="D2731" s="40" t="s">
        <v>2233</v>
      </c>
      <c r="E2731" s="40" t="s">
        <v>2233</v>
      </c>
      <c r="F2731" s="40">
        <v>1</v>
      </c>
      <c r="G2731" s="40"/>
      <c r="H2731" s="40" t="s">
        <v>2234</v>
      </c>
      <c r="I2731" s="40"/>
      <c r="J2731" s="40" t="s">
        <v>97</v>
      </c>
      <c r="K2731" s="40" t="s">
        <v>97</v>
      </c>
      <c r="L2731" s="40" t="s">
        <v>97</v>
      </c>
    </row>
    <row r="2732" spans="1:12" x14ac:dyDescent="0.25">
      <c r="A2732" s="40" t="s">
        <v>38</v>
      </c>
      <c r="B2732" s="40" t="s">
        <v>4915</v>
      </c>
      <c r="C2732" s="40" t="s">
        <v>4916</v>
      </c>
      <c r="D2732" s="40" t="s">
        <v>2233</v>
      </c>
      <c r="E2732" s="40" t="s">
        <v>2233</v>
      </c>
      <c r="F2732" s="40">
        <v>1</v>
      </c>
      <c r="G2732" s="40"/>
      <c r="H2732" s="40" t="s">
        <v>2234</v>
      </c>
      <c r="I2732" s="40"/>
      <c r="J2732" s="40" t="s">
        <v>97</v>
      </c>
      <c r="K2732" s="40" t="s">
        <v>97</v>
      </c>
      <c r="L2732" s="40" t="s">
        <v>97</v>
      </c>
    </row>
    <row r="2733" spans="1:12" x14ac:dyDescent="0.25">
      <c r="A2733" s="40" t="s">
        <v>38</v>
      </c>
      <c r="B2733" s="40" t="s">
        <v>4917</v>
      </c>
      <c r="C2733" s="40" t="s">
        <v>4918</v>
      </c>
      <c r="D2733" s="40" t="s">
        <v>2233</v>
      </c>
      <c r="E2733" s="40" t="s">
        <v>2233</v>
      </c>
      <c r="F2733" s="40">
        <v>1</v>
      </c>
      <c r="G2733" s="40"/>
      <c r="H2733" s="40" t="s">
        <v>2234</v>
      </c>
      <c r="I2733" s="40"/>
      <c r="J2733" s="40" t="s">
        <v>97</v>
      </c>
      <c r="K2733" s="40" t="s">
        <v>97</v>
      </c>
      <c r="L2733" s="40" t="s">
        <v>97</v>
      </c>
    </row>
    <row r="2734" spans="1:12" x14ac:dyDescent="0.25">
      <c r="A2734" s="40" t="s">
        <v>38</v>
      </c>
      <c r="B2734" s="40" t="s">
        <v>4919</v>
      </c>
      <c r="C2734" s="40" t="s">
        <v>4920</v>
      </c>
      <c r="D2734" s="40" t="s">
        <v>2233</v>
      </c>
      <c r="E2734" s="40" t="s">
        <v>2233</v>
      </c>
      <c r="F2734" s="40">
        <v>1</v>
      </c>
      <c r="G2734" s="40"/>
      <c r="H2734" s="40" t="s">
        <v>2234</v>
      </c>
      <c r="I2734" s="40"/>
      <c r="J2734" s="40" t="s">
        <v>97</v>
      </c>
      <c r="K2734" s="40" t="s">
        <v>97</v>
      </c>
      <c r="L2734" s="40" t="s">
        <v>97</v>
      </c>
    </row>
    <row r="2735" spans="1:12" x14ac:dyDescent="0.25">
      <c r="A2735" s="40" t="s">
        <v>38</v>
      </c>
      <c r="B2735" s="40" t="s">
        <v>4921</v>
      </c>
      <c r="C2735" s="40" t="s">
        <v>4922</v>
      </c>
      <c r="D2735" s="40" t="s">
        <v>4923</v>
      </c>
      <c r="E2735" s="40" t="s">
        <v>4923</v>
      </c>
      <c r="F2735" s="40">
        <v>1</v>
      </c>
      <c r="G2735" s="40"/>
      <c r="H2735" s="40" t="s">
        <v>97</v>
      </c>
      <c r="I2735" s="40"/>
      <c r="J2735" s="40" t="s">
        <v>97</v>
      </c>
      <c r="K2735" s="40" t="s">
        <v>97</v>
      </c>
      <c r="L2735" s="40" t="s">
        <v>97</v>
      </c>
    </row>
    <row r="2736" spans="1:12" x14ac:dyDescent="0.25">
      <c r="A2736" s="40" t="s">
        <v>38</v>
      </c>
      <c r="B2736" s="40" t="s">
        <v>4924</v>
      </c>
      <c r="C2736" s="40" t="s">
        <v>4925</v>
      </c>
      <c r="D2736" s="40" t="s">
        <v>3246</v>
      </c>
      <c r="E2736" s="40" t="s">
        <v>3246</v>
      </c>
      <c r="F2736" s="40">
        <v>1</v>
      </c>
      <c r="G2736" s="40"/>
      <c r="H2736" s="40" t="s">
        <v>97</v>
      </c>
      <c r="I2736" s="40"/>
      <c r="J2736" s="40" t="s">
        <v>97</v>
      </c>
      <c r="K2736" s="40" t="s">
        <v>97</v>
      </c>
      <c r="L2736" s="40" t="s">
        <v>97</v>
      </c>
    </row>
    <row r="2737" spans="1:12" x14ac:dyDescent="0.25">
      <c r="A2737" s="40" t="s">
        <v>38</v>
      </c>
      <c r="B2737" s="40" t="s">
        <v>4926</v>
      </c>
      <c r="C2737" s="40" t="s">
        <v>4927</v>
      </c>
      <c r="D2737" s="40" t="s">
        <v>4928</v>
      </c>
      <c r="E2737" s="40" t="s">
        <v>4907</v>
      </c>
      <c r="F2737" s="40">
        <v>0</v>
      </c>
      <c r="G2737" s="40"/>
      <c r="H2737" s="40" t="s">
        <v>2234</v>
      </c>
      <c r="I2737" s="40"/>
      <c r="J2737" s="40" t="s">
        <v>97</v>
      </c>
      <c r="K2737" s="40" t="s">
        <v>97</v>
      </c>
      <c r="L2737" s="40" t="s">
        <v>97</v>
      </c>
    </row>
    <row r="2738" spans="1:12" x14ac:dyDescent="0.25">
      <c r="A2738" s="40" t="s">
        <v>38</v>
      </c>
      <c r="B2738" s="40" t="s">
        <v>4929</v>
      </c>
      <c r="C2738" s="40" t="s">
        <v>4930</v>
      </c>
      <c r="D2738" s="40" t="s">
        <v>4931</v>
      </c>
      <c r="E2738" s="40" t="s">
        <v>4931</v>
      </c>
      <c r="F2738" s="40">
        <v>1</v>
      </c>
      <c r="G2738" s="40"/>
      <c r="H2738" s="40" t="s">
        <v>97</v>
      </c>
      <c r="I2738" s="40"/>
      <c r="J2738" s="40" t="s">
        <v>97</v>
      </c>
      <c r="K2738" s="40" t="s">
        <v>97</v>
      </c>
      <c r="L2738" s="40" t="s">
        <v>97</v>
      </c>
    </row>
    <row r="2739" spans="1:12" x14ac:dyDescent="0.25">
      <c r="A2739" s="40" t="s">
        <v>38</v>
      </c>
      <c r="B2739" s="40" t="s">
        <v>4932</v>
      </c>
      <c r="C2739" s="40" t="s">
        <v>4933</v>
      </c>
      <c r="D2739" s="40" t="s">
        <v>2233</v>
      </c>
      <c r="E2739" s="40" t="s">
        <v>2233</v>
      </c>
      <c r="F2739" s="40">
        <v>1</v>
      </c>
      <c r="G2739" s="40"/>
      <c r="H2739" s="40" t="s">
        <v>2234</v>
      </c>
      <c r="I2739" s="40"/>
      <c r="J2739" s="40" t="s">
        <v>97</v>
      </c>
      <c r="K2739" s="40" t="s">
        <v>97</v>
      </c>
      <c r="L2739" s="40" t="s">
        <v>97</v>
      </c>
    </row>
    <row r="2740" spans="1:12" x14ac:dyDescent="0.25">
      <c r="A2740" s="40" t="s">
        <v>38</v>
      </c>
      <c r="B2740" s="40" t="s">
        <v>4934</v>
      </c>
      <c r="C2740" s="40" t="s">
        <v>4935</v>
      </c>
      <c r="D2740" s="40" t="s">
        <v>2233</v>
      </c>
      <c r="E2740" s="40" t="s">
        <v>2233</v>
      </c>
      <c r="F2740" s="40">
        <v>1</v>
      </c>
      <c r="G2740" s="40"/>
      <c r="H2740" s="40" t="s">
        <v>2234</v>
      </c>
      <c r="I2740" s="40"/>
      <c r="J2740" s="40" t="s">
        <v>97</v>
      </c>
      <c r="K2740" s="40" t="s">
        <v>97</v>
      </c>
      <c r="L2740" s="40" t="s">
        <v>97</v>
      </c>
    </row>
    <row r="2741" spans="1:12" x14ac:dyDescent="0.25">
      <c r="A2741" s="40" t="s">
        <v>38</v>
      </c>
      <c r="B2741" s="40" t="s">
        <v>4936</v>
      </c>
      <c r="C2741" s="40" t="s">
        <v>4937</v>
      </c>
      <c r="D2741" s="40" t="s">
        <v>2233</v>
      </c>
      <c r="E2741" s="40" t="s">
        <v>2233</v>
      </c>
      <c r="F2741" s="40">
        <v>1</v>
      </c>
      <c r="G2741" s="40"/>
      <c r="H2741" s="40" t="s">
        <v>2234</v>
      </c>
      <c r="I2741" s="40"/>
      <c r="J2741" s="40" t="s">
        <v>97</v>
      </c>
      <c r="K2741" s="40" t="s">
        <v>97</v>
      </c>
      <c r="L2741" s="40" t="s">
        <v>97</v>
      </c>
    </row>
    <row r="2742" spans="1:12" x14ac:dyDescent="0.25">
      <c r="A2742" s="40" t="s">
        <v>38</v>
      </c>
      <c r="B2742" s="40" t="s">
        <v>4938</v>
      </c>
      <c r="C2742" s="40" t="s">
        <v>4939</v>
      </c>
      <c r="D2742" s="40" t="s">
        <v>2233</v>
      </c>
      <c r="E2742" s="40" t="s">
        <v>2233</v>
      </c>
      <c r="F2742" s="40">
        <v>1</v>
      </c>
      <c r="G2742" s="40"/>
      <c r="H2742" s="40" t="s">
        <v>2234</v>
      </c>
      <c r="I2742" s="40"/>
      <c r="J2742" s="40" t="s">
        <v>97</v>
      </c>
      <c r="K2742" s="40" t="s">
        <v>97</v>
      </c>
      <c r="L2742" s="40" t="s">
        <v>97</v>
      </c>
    </row>
    <row r="2743" spans="1:12" x14ac:dyDescent="0.25">
      <c r="A2743" s="40" t="s">
        <v>38</v>
      </c>
      <c r="B2743" s="40" t="s">
        <v>4940</v>
      </c>
      <c r="C2743" s="40" t="s">
        <v>4941</v>
      </c>
      <c r="D2743" s="40" t="s">
        <v>2233</v>
      </c>
      <c r="E2743" s="40" t="s">
        <v>2233</v>
      </c>
      <c r="F2743" s="40">
        <v>1</v>
      </c>
      <c r="G2743" s="40"/>
      <c r="H2743" s="40" t="s">
        <v>2234</v>
      </c>
      <c r="I2743" s="40"/>
      <c r="J2743" s="40" t="s">
        <v>97</v>
      </c>
      <c r="K2743" s="40" t="s">
        <v>97</v>
      </c>
      <c r="L2743" s="40" t="s">
        <v>97</v>
      </c>
    </row>
    <row r="2744" spans="1:12" x14ac:dyDescent="0.25">
      <c r="A2744" s="40" t="s">
        <v>38</v>
      </c>
      <c r="B2744" s="40" t="s">
        <v>4942</v>
      </c>
      <c r="C2744" s="40" t="s">
        <v>4943</v>
      </c>
      <c r="D2744" s="40" t="s">
        <v>4944</v>
      </c>
      <c r="E2744" s="40" t="s">
        <v>4944</v>
      </c>
      <c r="F2744" s="40">
        <v>1</v>
      </c>
      <c r="G2744" s="40"/>
      <c r="H2744" s="40" t="s">
        <v>97</v>
      </c>
      <c r="I2744" s="40"/>
      <c r="J2744" s="40" t="s">
        <v>97</v>
      </c>
      <c r="K2744" s="40" t="s">
        <v>97</v>
      </c>
      <c r="L2744" s="40" t="s">
        <v>97</v>
      </c>
    </row>
    <row r="2745" spans="1:12" x14ac:dyDescent="0.25">
      <c r="A2745" s="40" t="s">
        <v>38</v>
      </c>
      <c r="B2745" s="40" t="s">
        <v>3169</v>
      </c>
      <c r="C2745" s="40" t="s">
        <v>4945</v>
      </c>
      <c r="D2745" s="40" t="s">
        <v>3246</v>
      </c>
      <c r="E2745" s="40" t="s">
        <v>3246</v>
      </c>
      <c r="F2745" s="40">
        <v>1</v>
      </c>
      <c r="G2745" s="40"/>
      <c r="H2745" s="40" t="s">
        <v>97</v>
      </c>
      <c r="I2745" s="40"/>
      <c r="J2745" s="40" t="s">
        <v>97</v>
      </c>
      <c r="K2745" s="40" t="s">
        <v>97</v>
      </c>
      <c r="L2745" s="40" t="s">
        <v>97</v>
      </c>
    </row>
    <row r="2746" spans="1:12" x14ac:dyDescent="0.25">
      <c r="A2746" s="40" t="s">
        <v>38</v>
      </c>
      <c r="B2746" s="40" t="s">
        <v>4946</v>
      </c>
      <c r="C2746" s="40" t="s">
        <v>4947</v>
      </c>
      <c r="D2746" s="40" t="s">
        <v>4928</v>
      </c>
      <c r="E2746" s="40" t="s">
        <v>4907</v>
      </c>
      <c r="F2746" s="40">
        <v>0</v>
      </c>
      <c r="G2746" s="40"/>
      <c r="H2746" s="40" t="s">
        <v>2234</v>
      </c>
      <c r="I2746" s="40"/>
      <c r="J2746" s="40" t="s">
        <v>97</v>
      </c>
      <c r="K2746" s="40" t="s">
        <v>97</v>
      </c>
      <c r="L2746" s="40" t="s">
        <v>97</v>
      </c>
    </row>
    <row r="2747" spans="1:12" x14ac:dyDescent="0.25">
      <c r="A2747" s="40" t="s">
        <v>38</v>
      </c>
      <c r="B2747" s="40" t="s">
        <v>4948</v>
      </c>
      <c r="C2747" s="40" t="s">
        <v>4949</v>
      </c>
      <c r="D2747" s="40" t="s">
        <v>4931</v>
      </c>
      <c r="E2747" s="40" t="s">
        <v>4931</v>
      </c>
      <c r="F2747" s="40">
        <v>1</v>
      </c>
      <c r="G2747" s="40"/>
      <c r="H2747" s="40" t="s">
        <v>97</v>
      </c>
      <c r="I2747" s="40"/>
      <c r="J2747" s="40" t="s">
        <v>97</v>
      </c>
      <c r="K2747" s="40" t="s">
        <v>97</v>
      </c>
      <c r="L2747" s="40" t="s">
        <v>97</v>
      </c>
    </row>
    <row r="2748" spans="1:12" x14ac:dyDescent="0.25">
      <c r="A2748" s="40" t="s">
        <v>38</v>
      </c>
      <c r="B2748" s="40" t="s">
        <v>4950</v>
      </c>
      <c r="C2748" s="40" t="s">
        <v>4951</v>
      </c>
      <c r="D2748" s="40" t="s">
        <v>2233</v>
      </c>
      <c r="E2748" s="40" t="s">
        <v>2233</v>
      </c>
      <c r="F2748" s="40">
        <v>1</v>
      </c>
      <c r="G2748" s="40"/>
      <c r="H2748" s="40" t="s">
        <v>2234</v>
      </c>
      <c r="I2748" s="40"/>
      <c r="J2748" s="40" t="s">
        <v>97</v>
      </c>
      <c r="K2748" s="40" t="s">
        <v>97</v>
      </c>
      <c r="L2748" s="40" t="s">
        <v>97</v>
      </c>
    </row>
    <row r="2749" spans="1:12" x14ac:dyDescent="0.25">
      <c r="A2749" s="40" t="s">
        <v>38</v>
      </c>
      <c r="B2749" s="40" t="s">
        <v>4952</v>
      </c>
      <c r="C2749" s="40" t="s">
        <v>4953</v>
      </c>
      <c r="D2749" s="40" t="s">
        <v>2233</v>
      </c>
      <c r="E2749" s="40" t="s">
        <v>2233</v>
      </c>
      <c r="F2749" s="40">
        <v>1</v>
      </c>
      <c r="G2749" s="40"/>
      <c r="H2749" s="40" t="s">
        <v>2234</v>
      </c>
      <c r="I2749" s="40"/>
      <c r="J2749" s="40" t="s">
        <v>97</v>
      </c>
      <c r="K2749" s="40" t="s">
        <v>97</v>
      </c>
      <c r="L2749" s="40" t="s">
        <v>97</v>
      </c>
    </row>
    <row r="2750" spans="1:12" x14ac:dyDescent="0.25">
      <c r="A2750" s="40" t="s">
        <v>38</v>
      </c>
      <c r="B2750" s="40" t="s">
        <v>4954</v>
      </c>
      <c r="C2750" s="40" t="s">
        <v>4955</v>
      </c>
      <c r="D2750" s="40" t="s">
        <v>2233</v>
      </c>
      <c r="E2750" s="40" t="s">
        <v>2233</v>
      </c>
      <c r="F2750" s="40">
        <v>1</v>
      </c>
      <c r="G2750" s="40"/>
      <c r="H2750" s="40" t="s">
        <v>2234</v>
      </c>
      <c r="I2750" s="40"/>
      <c r="J2750" s="40" t="s">
        <v>97</v>
      </c>
      <c r="K2750" s="40" t="s">
        <v>97</v>
      </c>
      <c r="L2750" s="40" t="s">
        <v>97</v>
      </c>
    </row>
    <row r="2751" spans="1:12" x14ac:dyDescent="0.25">
      <c r="A2751" s="40" t="s">
        <v>38</v>
      </c>
      <c r="B2751" s="40" t="s">
        <v>4956</v>
      </c>
      <c r="C2751" s="40" t="s">
        <v>4957</v>
      </c>
      <c r="D2751" s="40" t="s">
        <v>2233</v>
      </c>
      <c r="E2751" s="40" t="s">
        <v>2233</v>
      </c>
      <c r="F2751" s="40">
        <v>1</v>
      </c>
      <c r="G2751" s="40"/>
      <c r="H2751" s="40" t="s">
        <v>2234</v>
      </c>
      <c r="I2751" s="40"/>
      <c r="J2751" s="40" t="s">
        <v>97</v>
      </c>
      <c r="K2751" s="40" t="s">
        <v>97</v>
      </c>
      <c r="L2751" s="40" t="s">
        <v>97</v>
      </c>
    </row>
    <row r="2752" spans="1:12" x14ac:dyDescent="0.25">
      <c r="A2752" s="40" t="s">
        <v>38</v>
      </c>
      <c r="B2752" s="40" t="s">
        <v>4958</v>
      </c>
      <c r="C2752" s="40" t="s">
        <v>4959</v>
      </c>
      <c r="D2752" s="40" t="s">
        <v>2233</v>
      </c>
      <c r="E2752" s="40" t="s">
        <v>2233</v>
      </c>
      <c r="F2752" s="40">
        <v>1</v>
      </c>
      <c r="G2752" s="40"/>
      <c r="H2752" s="40" t="s">
        <v>2234</v>
      </c>
      <c r="I2752" s="40"/>
      <c r="J2752" s="40" t="s">
        <v>97</v>
      </c>
      <c r="K2752" s="40" t="s">
        <v>97</v>
      </c>
      <c r="L2752" s="40" t="s">
        <v>97</v>
      </c>
    </row>
    <row r="2753" spans="1:12" x14ac:dyDescent="0.25">
      <c r="A2753" s="40" t="s">
        <v>38</v>
      </c>
      <c r="B2753" s="40" t="s">
        <v>4960</v>
      </c>
      <c r="C2753" s="40" t="s">
        <v>4961</v>
      </c>
      <c r="D2753" s="40" t="s">
        <v>4962</v>
      </c>
      <c r="E2753" s="40" t="s">
        <v>4962</v>
      </c>
      <c r="F2753" s="40">
        <v>1</v>
      </c>
      <c r="G2753" s="40"/>
      <c r="H2753" s="40" t="s">
        <v>97</v>
      </c>
      <c r="I2753" s="40"/>
      <c r="J2753" s="40" t="s">
        <v>97</v>
      </c>
      <c r="K2753" s="40" t="s">
        <v>97</v>
      </c>
      <c r="L2753" s="40" t="s">
        <v>97</v>
      </c>
    </row>
    <row r="2754" spans="1:12" x14ac:dyDescent="0.25">
      <c r="A2754" s="40" t="s">
        <v>38</v>
      </c>
      <c r="B2754" s="40" t="s">
        <v>4963</v>
      </c>
      <c r="C2754" s="40" t="s">
        <v>4964</v>
      </c>
      <c r="D2754" s="40" t="s">
        <v>3246</v>
      </c>
      <c r="E2754" s="40" t="s">
        <v>3246</v>
      </c>
      <c r="F2754" s="40">
        <v>1</v>
      </c>
      <c r="G2754" s="40"/>
      <c r="H2754" s="40" t="s">
        <v>97</v>
      </c>
      <c r="I2754" s="40"/>
      <c r="J2754" s="40" t="s">
        <v>97</v>
      </c>
      <c r="K2754" s="40" t="s">
        <v>97</v>
      </c>
      <c r="L2754" s="40" t="s">
        <v>97</v>
      </c>
    </row>
    <row r="2755" spans="1:12" x14ac:dyDescent="0.25">
      <c r="A2755" s="40" t="s">
        <v>38</v>
      </c>
      <c r="B2755" s="40" t="s">
        <v>4965</v>
      </c>
      <c r="C2755" s="40" t="s">
        <v>4966</v>
      </c>
      <c r="D2755" s="40" t="s">
        <v>4928</v>
      </c>
      <c r="E2755" s="40" t="s">
        <v>4907</v>
      </c>
      <c r="F2755" s="40">
        <v>0</v>
      </c>
      <c r="G2755" s="40"/>
      <c r="H2755" s="40" t="s">
        <v>2234</v>
      </c>
      <c r="I2755" s="40"/>
      <c r="J2755" s="40" t="s">
        <v>97</v>
      </c>
      <c r="K2755" s="40" t="s">
        <v>97</v>
      </c>
      <c r="L2755" s="40" t="s">
        <v>97</v>
      </c>
    </row>
    <row r="2756" spans="1:12" x14ac:dyDescent="0.25">
      <c r="A2756" s="40" t="s">
        <v>38</v>
      </c>
      <c r="B2756" s="40" t="s">
        <v>4967</v>
      </c>
      <c r="C2756" s="40" t="s">
        <v>4968</v>
      </c>
      <c r="D2756" s="40" t="s">
        <v>4969</v>
      </c>
      <c r="E2756" s="40" t="s">
        <v>4969</v>
      </c>
      <c r="F2756" s="40">
        <v>1</v>
      </c>
      <c r="G2756" s="40"/>
      <c r="H2756" s="40" t="s">
        <v>97</v>
      </c>
      <c r="I2756" s="40"/>
      <c r="J2756" s="40" t="s">
        <v>97</v>
      </c>
      <c r="K2756" s="40" t="s">
        <v>97</v>
      </c>
      <c r="L2756" s="40" t="s">
        <v>97</v>
      </c>
    </row>
    <row r="2757" spans="1:12" x14ac:dyDescent="0.25">
      <c r="A2757" s="40" t="s">
        <v>38</v>
      </c>
      <c r="B2757" s="40" t="s">
        <v>4970</v>
      </c>
      <c r="C2757" s="40" t="s">
        <v>4971</v>
      </c>
      <c r="D2757" s="40" t="s">
        <v>2233</v>
      </c>
      <c r="E2757" s="40" t="s">
        <v>2233</v>
      </c>
      <c r="F2757" s="40">
        <v>1</v>
      </c>
      <c r="G2757" s="40"/>
      <c r="H2757" s="40" t="s">
        <v>2234</v>
      </c>
      <c r="I2757" s="40"/>
      <c r="J2757" s="40" t="s">
        <v>97</v>
      </c>
      <c r="K2757" s="40" t="s">
        <v>97</v>
      </c>
      <c r="L2757" s="40" t="s">
        <v>97</v>
      </c>
    </row>
    <row r="2758" spans="1:12" x14ac:dyDescent="0.25">
      <c r="A2758" s="40" t="s">
        <v>38</v>
      </c>
      <c r="B2758" s="40" t="s">
        <v>4972</v>
      </c>
      <c r="C2758" s="40" t="s">
        <v>4973</v>
      </c>
      <c r="D2758" s="40" t="s">
        <v>2233</v>
      </c>
      <c r="E2758" s="40" t="s">
        <v>2233</v>
      </c>
      <c r="F2758" s="40">
        <v>1</v>
      </c>
      <c r="G2758" s="40"/>
      <c r="H2758" s="40" t="s">
        <v>2234</v>
      </c>
      <c r="I2758" s="40"/>
      <c r="J2758" s="40" t="s">
        <v>97</v>
      </c>
      <c r="K2758" s="40" t="s">
        <v>97</v>
      </c>
      <c r="L2758" s="40" t="s">
        <v>97</v>
      </c>
    </row>
    <row r="2759" spans="1:12" x14ac:dyDescent="0.25">
      <c r="A2759" s="40" t="s">
        <v>38</v>
      </c>
      <c r="B2759" s="40" t="s">
        <v>4974</v>
      </c>
      <c r="C2759" s="40" t="s">
        <v>4975</v>
      </c>
      <c r="D2759" s="40" t="s">
        <v>2233</v>
      </c>
      <c r="E2759" s="40" t="s">
        <v>2233</v>
      </c>
      <c r="F2759" s="40">
        <v>1</v>
      </c>
      <c r="G2759" s="40"/>
      <c r="H2759" s="40" t="s">
        <v>2234</v>
      </c>
      <c r="I2759" s="40"/>
      <c r="J2759" s="40" t="s">
        <v>97</v>
      </c>
      <c r="K2759" s="40" t="s">
        <v>97</v>
      </c>
      <c r="L2759" s="40" t="s">
        <v>97</v>
      </c>
    </row>
    <row r="2760" spans="1:12" x14ac:dyDescent="0.25">
      <c r="A2760" s="40" t="s">
        <v>38</v>
      </c>
      <c r="B2760" s="40" t="s">
        <v>4976</v>
      </c>
      <c r="C2760" s="40" t="s">
        <v>4977</v>
      </c>
      <c r="D2760" s="40" t="s">
        <v>2233</v>
      </c>
      <c r="E2760" s="40" t="s">
        <v>2233</v>
      </c>
      <c r="F2760" s="40">
        <v>1</v>
      </c>
      <c r="G2760" s="40"/>
      <c r="H2760" s="40" t="s">
        <v>2234</v>
      </c>
      <c r="I2760" s="40"/>
      <c r="J2760" s="40" t="s">
        <v>97</v>
      </c>
      <c r="K2760" s="40" t="s">
        <v>97</v>
      </c>
      <c r="L2760" s="40" t="s">
        <v>97</v>
      </c>
    </row>
    <row r="2761" spans="1:12" x14ac:dyDescent="0.25">
      <c r="A2761" s="40" t="s">
        <v>38</v>
      </c>
      <c r="B2761" s="40" t="s">
        <v>4978</v>
      </c>
      <c r="C2761" s="40" t="s">
        <v>4979</v>
      </c>
      <c r="D2761" s="40" t="s">
        <v>2233</v>
      </c>
      <c r="E2761" s="40" t="s">
        <v>2233</v>
      </c>
      <c r="F2761" s="40">
        <v>1</v>
      </c>
      <c r="G2761" s="40"/>
      <c r="H2761" s="40" t="s">
        <v>2234</v>
      </c>
      <c r="I2761" s="40"/>
      <c r="J2761" s="40" t="s">
        <v>97</v>
      </c>
      <c r="K2761" s="40" t="s">
        <v>97</v>
      </c>
      <c r="L2761" s="40" t="s">
        <v>97</v>
      </c>
    </row>
    <row r="2762" spans="1:12" x14ac:dyDescent="0.25">
      <c r="A2762" s="40" t="s">
        <v>38</v>
      </c>
      <c r="B2762" s="40" t="s">
        <v>4980</v>
      </c>
      <c r="C2762" s="40" t="s">
        <v>4981</v>
      </c>
      <c r="D2762" s="40" t="s">
        <v>4962</v>
      </c>
      <c r="E2762" s="40" t="s">
        <v>4962</v>
      </c>
      <c r="F2762" s="40">
        <v>1</v>
      </c>
      <c r="G2762" s="40"/>
      <c r="H2762" s="40" t="s">
        <v>97</v>
      </c>
      <c r="I2762" s="40"/>
      <c r="J2762" s="40" t="s">
        <v>97</v>
      </c>
      <c r="K2762" s="40" t="s">
        <v>97</v>
      </c>
      <c r="L2762" s="40" t="s">
        <v>97</v>
      </c>
    </row>
    <row r="2763" spans="1:12" x14ac:dyDescent="0.25">
      <c r="A2763" s="40" t="s">
        <v>38</v>
      </c>
      <c r="B2763" s="40" t="s">
        <v>4982</v>
      </c>
      <c r="C2763" s="40" t="s">
        <v>4983</v>
      </c>
      <c r="D2763" s="40" t="s">
        <v>3246</v>
      </c>
      <c r="E2763" s="40" t="s">
        <v>3246</v>
      </c>
      <c r="F2763" s="40">
        <v>1</v>
      </c>
      <c r="G2763" s="40"/>
      <c r="H2763" s="40" t="s">
        <v>97</v>
      </c>
      <c r="I2763" s="40"/>
      <c r="J2763" s="40" t="s">
        <v>97</v>
      </c>
      <c r="K2763" s="40" t="s">
        <v>97</v>
      </c>
      <c r="L2763" s="40" t="s">
        <v>97</v>
      </c>
    </row>
    <row r="2764" spans="1:12" x14ac:dyDescent="0.25">
      <c r="A2764" s="40" t="s">
        <v>38</v>
      </c>
      <c r="B2764" s="40" t="s">
        <v>4984</v>
      </c>
      <c r="C2764" s="40" t="s">
        <v>4985</v>
      </c>
      <c r="D2764" s="40" t="s">
        <v>4928</v>
      </c>
      <c r="E2764" s="40" t="s">
        <v>4907</v>
      </c>
      <c r="F2764" s="40">
        <v>0</v>
      </c>
      <c r="G2764" s="40"/>
      <c r="H2764" s="40" t="s">
        <v>2234</v>
      </c>
      <c r="I2764" s="40"/>
      <c r="J2764" s="40" t="s">
        <v>97</v>
      </c>
      <c r="K2764" s="40" t="s">
        <v>97</v>
      </c>
      <c r="L2764" s="40" t="s">
        <v>97</v>
      </c>
    </row>
    <row r="2765" spans="1:12" x14ac:dyDescent="0.25">
      <c r="A2765" s="40" t="s">
        <v>38</v>
      </c>
      <c r="B2765" s="40" t="s">
        <v>4986</v>
      </c>
      <c r="C2765" s="40" t="s">
        <v>4987</v>
      </c>
      <c r="D2765" s="40" t="s">
        <v>4969</v>
      </c>
      <c r="E2765" s="40" t="s">
        <v>4969</v>
      </c>
      <c r="F2765" s="40">
        <v>1</v>
      </c>
      <c r="G2765" s="40"/>
      <c r="H2765" s="40" t="s">
        <v>97</v>
      </c>
      <c r="I2765" s="40"/>
      <c r="J2765" s="40" t="s">
        <v>97</v>
      </c>
      <c r="K2765" s="40" t="s">
        <v>97</v>
      </c>
      <c r="L2765" s="40" t="s">
        <v>97</v>
      </c>
    </row>
    <row r="2766" spans="1:12" x14ac:dyDescent="0.25">
      <c r="A2766" s="40" t="s">
        <v>38</v>
      </c>
      <c r="B2766" s="40" t="s">
        <v>4988</v>
      </c>
      <c r="C2766" s="40" t="s">
        <v>4989</v>
      </c>
      <c r="D2766" s="40" t="s">
        <v>2233</v>
      </c>
      <c r="E2766" s="40" t="s">
        <v>2233</v>
      </c>
      <c r="F2766" s="40">
        <v>1</v>
      </c>
      <c r="G2766" s="40"/>
      <c r="H2766" s="40" t="s">
        <v>2234</v>
      </c>
      <c r="I2766" s="40"/>
      <c r="J2766" s="40" t="s">
        <v>97</v>
      </c>
      <c r="K2766" s="40" t="s">
        <v>97</v>
      </c>
      <c r="L2766" s="40" t="s">
        <v>97</v>
      </c>
    </row>
    <row r="2767" spans="1:12" x14ac:dyDescent="0.25">
      <c r="A2767" s="40" t="s">
        <v>38</v>
      </c>
      <c r="B2767" s="40" t="s">
        <v>4990</v>
      </c>
      <c r="C2767" s="40" t="s">
        <v>4991</v>
      </c>
      <c r="D2767" s="40" t="s">
        <v>2233</v>
      </c>
      <c r="E2767" s="40" t="s">
        <v>2233</v>
      </c>
      <c r="F2767" s="40">
        <v>1</v>
      </c>
      <c r="G2767" s="40"/>
      <c r="H2767" s="40" t="s">
        <v>2234</v>
      </c>
      <c r="I2767" s="40"/>
      <c r="J2767" s="40" t="s">
        <v>97</v>
      </c>
      <c r="K2767" s="40" t="s">
        <v>97</v>
      </c>
      <c r="L2767" s="40" t="s">
        <v>97</v>
      </c>
    </row>
    <row r="2768" spans="1:12" x14ac:dyDescent="0.25">
      <c r="A2768" s="40" t="s">
        <v>38</v>
      </c>
      <c r="B2768" s="40" t="s">
        <v>4992</v>
      </c>
      <c r="C2768" s="40" t="s">
        <v>4993</v>
      </c>
      <c r="D2768" s="40" t="s">
        <v>2233</v>
      </c>
      <c r="E2768" s="40" t="s">
        <v>2233</v>
      </c>
      <c r="F2768" s="40">
        <v>1</v>
      </c>
      <c r="G2768" s="40"/>
      <c r="H2768" s="40" t="s">
        <v>2234</v>
      </c>
      <c r="I2768" s="40"/>
      <c r="J2768" s="40" t="s">
        <v>97</v>
      </c>
      <c r="K2768" s="40" t="s">
        <v>97</v>
      </c>
      <c r="L2768" s="40" t="s">
        <v>97</v>
      </c>
    </row>
    <row r="2769" spans="1:12" x14ac:dyDescent="0.25">
      <c r="A2769" s="40" t="s">
        <v>38</v>
      </c>
      <c r="B2769" s="40" t="s">
        <v>4994</v>
      </c>
      <c r="C2769" s="40" t="s">
        <v>4995</v>
      </c>
      <c r="D2769" s="40" t="s">
        <v>2233</v>
      </c>
      <c r="E2769" s="40" t="s">
        <v>2233</v>
      </c>
      <c r="F2769" s="40">
        <v>1</v>
      </c>
      <c r="G2769" s="40"/>
      <c r="H2769" s="40" t="s">
        <v>2234</v>
      </c>
      <c r="I2769" s="40"/>
      <c r="J2769" s="40" t="s">
        <v>97</v>
      </c>
      <c r="K2769" s="40" t="s">
        <v>97</v>
      </c>
      <c r="L2769" s="40" t="s">
        <v>97</v>
      </c>
    </row>
    <row r="2770" spans="1:12" x14ac:dyDescent="0.25">
      <c r="A2770" s="40" t="s">
        <v>38</v>
      </c>
      <c r="B2770" s="40" t="s">
        <v>4996</v>
      </c>
      <c r="C2770" s="40" t="s">
        <v>4997</v>
      </c>
      <c r="D2770" s="40" t="s">
        <v>2233</v>
      </c>
      <c r="E2770" s="40" t="s">
        <v>2233</v>
      </c>
      <c r="F2770" s="40">
        <v>1</v>
      </c>
      <c r="G2770" s="40"/>
      <c r="H2770" s="40" t="s">
        <v>2234</v>
      </c>
      <c r="I2770" s="40"/>
      <c r="J2770" s="40" t="s">
        <v>97</v>
      </c>
      <c r="K2770" s="40" t="s">
        <v>97</v>
      </c>
      <c r="L2770" s="40" t="s">
        <v>97</v>
      </c>
    </row>
    <row r="2771" spans="1:12" x14ac:dyDescent="0.25">
      <c r="A2771" s="40" t="s">
        <v>38</v>
      </c>
      <c r="B2771" s="40" t="s">
        <v>4998</v>
      </c>
      <c r="C2771" s="40" t="s">
        <v>4999</v>
      </c>
      <c r="D2771" s="40" t="s">
        <v>5000</v>
      </c>
      <c r="E2771" s="40" t="s">
        <v>5000</v>
      </c>
      <c r="F2771" s="40">
        <v>1</v>
      </c>
      <c r="G2771" s="40"/>
      <c r="H2771" s="40" t="s">
        <v>97</v>
      </c>
      <c r="I2771" s="40"/>
      <c r="J2771" s="40" t="s">
        <v>97</v>
      </c>
      <c r="K2771" s="40" t="s">
        <v>97</v>
      </c>
      <c r="L2771" s="40" t="s">
        <v>97</v>
      </c>
    </row>
    <row r="2772" spans="1:12" x14ac:dyDescent="0.25">
      <c r="A2772" s="40" t="s">
        <v>38</v>
      </c>
      <c r="B2772" s="40" t="s">
        <v>5001</v>
      </c>
      <c r="C2772" s="40" t="s">
        <v>5002</v>
      </c>
      <c r="D2772" s="40" t="s">
        <v>3246</v>
      </c>
      <c r="E2772" s="40" t="s">
        <v>3246</v>
      </c>
      <c r="F2772" s="40">
        <v>1</v>
      </c>
      <c r="G2772" s="40"/>
      <c r="H2772" s="40" t="s">
        <v>97</v>
      </c>
      <c r="I2772" s="40"/>
      <c r="J2772" s="40" t="s">
        <v>97</v>
      </c>
      <c r="K2772" s="40" t="s">
        <v>97</v>
      </c>
      <c r="L2772" s="40" t="s">
        <v>97</v>
      </c>
    </row>
    <row r="2773" spans="1:12" x14ac:dyDescent="0.25">
      <c r="A2773" s="40" t="s">
        <v>38</v>
      </c>
      <c r="B2773" s="40" t="s">
        <v>5003</v>
      </c>
      <c r="C2773" s="40" t="s">
        <v>5004</v>
      </c>
      <c r="D2773" s="40" t="s">
        <v>4928</v>
      </c>
      <c r="E2773" s="40" t="s">
        <v>4907</v>
      </c>
      <c r="F2773" s="40">
        <v>0</v>
      </c>
      <c r="G2773" s="40"/>
      <c r="H2773" s="40" t="s">
        <v>2234</v>
      </c>
      <c r="I2773" s="40"/>
      <c r="J2773" s="40" t="s">
        <v>97</v>
      </c>
      <c r="K2773" s="40" t="s">
        <v>97</v>
      </c>
      <c r="L2773" s="40" t="s">
        <v>97</v>
      </c>
    </row>
    <row r="2774" spans="1:12" x14ac:dyDescent="0.25">
      <c r="A2774" s="40" t="s">
        <v>38</v>
      </c>
      <c r="B2774" s="40" t="s">
        <v>5005</v>
      </c>
      <c r="C2774" s="40" t="s">
        <v>5006</v>
      </c>
      <c r="D2774" s="40" t="s">
        <v>4910</v>
      </c>
      <c r="E2774" s="40" t="s">
        <v>4910</v>
      </c>
      <c r="F2774" s="40">
        <v>1</v>
      </c>
      <c r="G2774" s="40"/>
      <c r="H2774" s="40" t="s">
        <v>97</v>
      </c>
      <c r="I2774" s="40"/>
      <c r="J2774" s="40" t="s">
        <v>97</v>
      </c>
      <c r="K2774" s="40" t="s">
        <v>97</v>
      </c>
      <c r="L2774" s="40" t="s">
        <v>97</v>
      </c>
    </row>
    <row r="2775" spans="1:12" x14ac:dyDescent="0.25">
      <c r="A2775" s="40" t="s">
        <v>38</v>
      </c>
      <c r="B2775" s="40" t="s">
        <v>5007</v>
      </c>
      <c r="C2775" s="40" t="s">
        <v>5008</v>
      </c>
      <c r="D2775" s="40" t="s">
        <v>2233</v>
      </c>
      <c r="E2775" s="40" t="s">
        <v>2233</v>
      </c>
      <c r="F2775" s="40">
        <v>1</v>
      </c>
      <c r="G2775" s="40"/>
      <c r="H2775" s="40" t="s">
        <v>2234</v>
      </c>
      <c r="I2775" s="40"/>
      <c r="J2775" s="40" t="s">
        <v>97</v>
      </c>
      <c r="K2775" s="40" t="s">
        <v>97</v>
      </c>
      <c r="L2775" s="40" t="s">
        <v>97</v>
      </c>
    </row>
    <row r="2776" spans="1:12" x14ac:dyDescent="0.25">
      <c r="A2776" s="40" t="s">
        <v>38</v>
      </c>
      <c r="B2776" s="40" t="s">
        <v>5009</v>
      </c>
      <c r="C2776" s="40" t="s">
        <v>5010</v>
      </c>
      <c r="D2776" s="40" t="s">
        <v>2233</v>
      </c>
      <c r="E2776" s="40" t="s">
        <v>2233</v>
      </c>
      <c r="F2776" s="40">
        <v>1</v>
      </c>
      <c r="G2776" s="40"/>
      <c r="H2776" s="40" t="s">
        <v>2234</v>
      </c>
      <c r="I2776" s="40"/>
      <c r="J2776" s="40" t="s">
        <v>97</v>
      </c>
      <c r="K2776" s="40" t="s">
        <v>97</v>
      </c>
      <c r="L2776" s="40" t="s">
        <v>97</v>
      </c>
    </row>
    <row r="2777" spans="1:12" x14ac:dyDescent="0.25">
      <c r="A2777" s="40" t="s">
        <v>38</v>
      </c>
      <c r="B2777" s="40" t="s">
        <v>5011</v>
      </c>
      <c r="C2777" s="40" t="s">
        <v>5012</v>
      </c>
      <c r="D2777" s="40" t="s">
        <v>2233</v>
      </c>
      <c r="E2777" s="40" t="s">
        <v>2233</v>
      </c>
      <c r="F2777" s="40">
        <v>1</v>
      </c>
      <c r="G2777" s="40"/>
      <c r="H2777" s="40" t="s">
        <v>2234</v>
      </c>
      <c r="I2777" s="40"/>
      <c r="J2777" s="40" t="s">
        <v>97</v>
      </c>
      <c r="K2777" s="40" t="s">
        <v>97</v>
      </c>
      <c r="L2777" s="40" t="s">
        <v>97</v>
      </c>
    </row>
    <row r="2778" spans="1:12" x14ac:dyDescent="0.25">
      <c r="A2778" s="40" t="s">
        <v>38</v>
      </c>
      <c r="B2778" s="40" t="s">
        <v>5013</v>
      </c>
      <c r="C2778" s="40" t="s">
        <v>5014</v>
      </c>
      <c r="D2778" s="40" t="s">
        <v>2233</v>
      </c>
      <c r="E2778" s="40" t="s">
        <v>2233</v>
      </c>
      <c r="F2778" s="40">
        <v>1</v>
      </c>
      <c r="G2778" s="40"/>
      <c r="H2778" s="40" t="s">
        <v>2234</v>
      </c>
      <c r="I2778" s="40"/>
      <c r="J2778" s="40" t="s">
        <v>97</v>
      </c>
      <c r="K2778" s="40" t="s">
        <v>97</v>
      </c>
      <c r="L2778" s="40" t="s">
        <v>97</v>
      </c>
    </row>
    <row r="2779" spans="1:12" x14ac:dyDescent="0.25">
      <c r="A2779" s="40" t="s">
        <v>38</v>
      </c>
      <c r="B2779" s="40" t="s">
        <v>5015</v>
      </c>
      <c r="C2779" s="40" t="s">
        <v>5016</v>
      </c>
      <c r="D2779" s="40" t="s">
        <v>2233</v>
      </c>
      <c r="E2779" s="40" t="s">
        <v>2233</v>
      </c>
      <c r="F2779" s="40">
        <v>1</v>
      </c>
      <c r="G2779" s="40"/>
      <c r="H2779" s="40" t="s">
        <v>2234</v>
      </c>
      <c r="I2779" s="40"/>
      <c r="J2779" s="40" t="s">
        <v>97</v>
      </c>
      <c r="K2779" s="40" t="s">
        <v>97</v>
      </c>
      <c r="L2779" s="40" t="s">
        <v>97</v>
      </c>
    </row>
    <row r="2780" spans="1:12" x14ac:dyDescent="0.25">
      <c r="A2780" s="40" t="s">
        <v>38</v>
      </c>
      <c r="B2780" s="40" t="s">
        <v>5017</v>
      </c>
      <c r="C2780" s="40" t="s">
        <v>5018</v>
      </c>
      <c r="D2780" s="40" t="s">
        <v>5000</v>
      </c>
      <c r="E2780" s="40" t="s">
        <v>5000</v>
      </c>
      <c r="F2780" s="40">
        <v>1</v>
      </c>
      <c r="G2780" s="40"/>
      <c r="H2780" s="40" t="s">
        <v>97</v>
      </c>
      <c r="I2780" s="40"/>
      <c r="J2780" s="40" t="s">
        <v>97</v>
      </c>
      <c r="K2780" s="40" t="s">
        <v>97</v>
      </c>
      <c r="L2780" s="40" t="s">
        <v>97</v>
      </c>
    </row>
    <row r="2781" spans="1:12" x14ac:dyDescent="0.25">
      <c r="A2781" s="40" t="s">
        <v>38</v>
      </c>
      <c r="B2781" s="40" t="s">
        <v>5019</v>
      </c>
      <c r="C2781" s="40" t="s">
        <v>5020</v>
      </c>
      <c r="D2781" s="40" t="s">
        <v>3246</v>
      </c>
      <c r="E2781" s="40" t="s">
        <v>3246</v>
      </c>
      <c r="F2781" s="40">
        <v>1</v>
      </c>
      <c r="G2781" s="40"/>
      <c r="H2781" s="40" t="s">
        <v>97</v>
      </c>
      <c r="I2781" s="40"/>
      <c r="J2781" s="40" t="s">
        <v>97</v>
      </c>
      <c r="K2781" s="40" t="s">
        <v>97</v>
      </c>
      <c r="L2781" s="40" t="s">
        <v>97</v>
      </c>
    </row>
    <row r="2782" spans="1:12" x14ac:dyDescent="0.25">
      <c r="A2782" s="40" t="s">
        <v>38</v>
      </c>
      <c r="B2782" s="40" t="s">
        <v>5021</v>
      </c>
      <c r="C2782" s="40" t="s">
        <v>5022</v>
      </c>
      <c r="D2782" s="40" t="s">
        <v>4928</v>
      </c>
      <c r="E2782" s="40" t="s">
        <v>4907</v>
      </c>
      <c r="F2782" s="40">
        <v>0</v>
      </c>
      <c r="G2782" s="40"/>
      <c r="H2782" s="40" t="s">
        <v>2234</v>
      </c>
      <c r="I2782" s="40"/>
      <c r="J2782" s="40" t="s">
        <v>97</v>
      </c>
      <c r="K2782" s="40" t="s">
        <v>97</v>
      </c>
      <c r="L2782" s="40" t="s">
        <v>97</v>
      </c>
    </row>
    <row r="2783" spans="1:12" x14ac:dyDescent="0.25">
      <c r="A2783" s="40" t="s">
        <v>38</v>
      </c>
      <c r="B2783" s="40" t="s">
        <v>5023</v>
      </c>
      <c r="C2783" s="40" t="s">
        <v>5024</v>
      </c>
      <c r="D2783" s="40" t="s">
        <v>4910</v>
      </c>
      <c r="E2783" s="40" t="s">
        <v>4910</v>
      </c>
      <c r="F2783" s="40">
        <v>1</v>
      </c>
      <c r="G2783" s="40"/>
      <c r="H2783" s="40" t="s">
        <v>97</v>
      </c>
      <c r="I2783" s="40"/>
      <c r="J2783" s="40" t="s">
        <v>97</v>
      </c>
      <c r="K2783" s="40" t="s">
        <v>97</v>
      </c>
      <c r="L2783" s="40" t="s">
        <v>97</v>
      </c>
    </row>
    <row r="2784" spans="1:12" x14ac:dyDescent="0.25">
      <c r="A2784" s="40" t="s">
        <v>38</v>
      </c>
      <c r="B2784" s="40" t="s">
        <v>5025</v>
      </c>
      <c r="C2784" s="40" t="s">
        <v>5026</v>
      </c>
      <c r="D2784" s="40" t="s">
        <v>2233</v>
      </c>
      <c r="E2784" s="40" t="s">
        <v>2233</v>
      </c>
      <c r="F2784" s="40">
        <v>1</v>
      </c>
      <c r="G2784" s="40"/>
      <c r="H2784" s="40" t="s">
        <v>2234</v>
      </c>
      <c r="I2784" s="40"/>
      <c r="J2784" s="40" t="s">
        <v>97</v>
      </c>
      <c r="K2784" s="40" t="s">
        <v>97</v>
      </c>
      <c r="L2784" s="40" t="s">
        <v>97</v>
      </c>
    </row>
    <row r="2785" spans="1:12" x14ac:dyDescent="0.25">
      <c r="A2785" s="40" t="s">
        <v>38</v>
      </c>
      <c r="B2785" s="40" t="s">
        <v>5027</v>
      </c>
      <c r="C2785" s="40" t="s">
        <v>5028</v>
      </c>
      <c r="D2785" s="40" t="s">
        <v>2233</v>
      </c>
      <c r="E2785" s="40" t="s">
        <v>2233</v>
      </c>
      <c r="F2785" s="40">
        <v>1</v>
      </c>
      <c r="G2785" s="40"/>
      <c r="H2785" s="40" t="s">
        <v>2234</v>
      </c>
      <c r="I2785" s="40"/>
      <c r="J2785" s="40" t="s">
        <v>97</v>
      </c>
      <c r="K2785" s="40" t="s">
        <v>97</v>
      </c>
      <c r="L2785" s="40" t="s">
        <v>97</v>
      </c>
    </row>
    <row r="2786" spans="1:12" x14ac:dyDescent="0.25">
      <c r="A2786" s="40" t="s">
        <v>38</v>
      </c>
      <c r="B2786" s="40" t="s">
        <v>5029</v>
      </c>
      <c r="C2786" s="40" t="s">
        <v>5030</v>
      </c>
      <c r="D2786" s="40" t="s">
        <v>2233</v>
      </c>
      <c r="E2786" s="40" t="s">
        <v>2233</v>
      </c>
      <c r="F2786" s="40">
        <v>1</v>
      </c>
      <c r="G2786" s="40"/>
      <c r="H2786" s="40" t="s">
        <v>2234</v>
      </c>
      <c r="I2786" s="40"/>
      <c r="J2786" s="40" t="s">
        <v>97</v>
      </c>
      <c r="K2786" s="40" t="s">
        <v>97</v>
      </c>
      <c r="L2786" s="40" t="s">
        <v>97</v>
      </c>
    </row>
    <row r="2787" spans="1:12" x14ac:dyDescent="0.25">
      <c r="A2787" s="40" t="s">
        <v>38</v>
      </c>
      <c r="B2787" s="40" t="s">
        <v>5031</v>
      </c>
      <c r="C2787" s="40" t="s">
        <v>5032</v>
      </c>
      <c r="D2787" s="40" t="s">
        <v>2233</v>
      </c>
      <c r="E2787" s="40" t="s">
        <v>2233</v>
      </c>
      <c r="F2787" s="40">
        <v>1</v>
      </c>
      <c r="G2787" s="40"/>
      <c r="H2787" s="40" t="s">
        <v>2234</v>
      </c>
      <c r="I2787" s="40"/>
      <c r="J2787" s="40" t="s">
        <v>97</v>
      </c>
      <c r="K2787" s="40" t="s">
        <v>97</v>
      </c>
      <c r="L2787" s="40" t="s">
        <v>97</v>
      </c>
    </row>
    <row r="2788" spans="1:12" x14ac:dyDescent="0.25">
      <c r="A2788" s="40" t="s">
        <v>38</v>
      </c>
      <c r="B2788" s="40" t="s">
        <v>5033</v>
      </c>
      <c r="C2788" s="40" t="s">
        <v>5034</v>
      </c>
      <c r="D2788" s="40" t="s">
        <v>2233</v>
      </c>
      <c r="E2788" s="40" t="s">
        <v>2233</v>
      </c>
      <c r="F2788" s="40">
        <v>1</v>
      </c>
      <c r="G2788" s="40"/>
      <c r="H2788" s="40" t="s">
        <v>2234</v>
      </c>
      <c r="I2788" s="40"/>
      <c r="J2788" s="40" t="s">
        <v>97</v>
      </c>
      <c r="K2788" s="40" t="s">
        <v>97</v>
      </c>
      <c r="L2788" s="40" t="s">
        <v>97</v>
      </c>
    </row>
    <row r="2789" spans="1:12" x14ac:dyDescent="0.25">
      <c r="A2789" s="40" t="s">
        <v>38</v>
      </c>
      <c r="B2789" s="40" t="s">
        <v>5035</v>
      </c>
      <c r="C2789" s="40" t="s">
        <v>5036</v>
      </c>
      <c r="D2789" s="40" t="s">
        <v>5037</v>
      </c>
      <c r="E2789" s="40" t="s">
        <v>5037</v>
      </c>
      <c r="F2789" s="40">
        <v>1</v>
      </c>
      <c r="G2789" s="40"/>
      <c r="H2789" s="40" t="s">
        <v>97</v>
      </c>
      <c r="I2789" s="40"/>
      <c r="J2789" s="40" t="s">
        <v>97</v>
      </c>
      <c r="K2789" s="40" t="s">
        <v>97</v>
      </c>
      <c r="L2789" s="40" t="s">
        <v>97</v>
      </c>
    </row>
    <row r="2790" spans="1:12" x14ac:dyDescent="0.25">
      <c r="A2790" s="40" t="s">
        <v>38</v>
      </c>
      <c r="B2790" s="40" t="s">
        <v>5038</v>
      </c>
      <c r="C2790" s="40" t="s">
        <v>5039</v>
      </c>
      <c r="D2790" s="40" t="s">
        <v>3246</v>
      </c>
      <c r="E2790" s="40" t="s">
        <v>3246</v>
      </c>
      <c r="F2790" s="40">
        <v>1</v>
      </c>
      <c r="G2790" s="40"/>
      <c r="H2790" s="40" t="s">
        <v>97</v>
      </c>
      <c r="I2790" s="40"/>
      <c r="J2790" s="40" t="s">
        <v>97</v>
      </c>
      <c r="K2790" s="40" t="s">
        <v>97</v>
      </c>
      <c r="L2790" s="40" t="s">
        <v>97</v>
      </c>
    </row>
    <row r="2791" spans="1:12" x14ac:dyDescent="0.25">
      <c r="A2791" s="40" t="s">
        <v>38</v>
      </c>
      <c r="B2791" s="40" t="s">
        <v>5040</v>
      </c>
      <c r="C2791" s="40" t="s">
        <v>5041</v>
      </c>
      <c r="D2791" s="40" t="s">
        <v>4928</v>
      </c>
      <c r="E2791" s="40" t="s">
        <v>4907</v>
      </c>
      <c r="F2791" s="40">
        <v>0</v>
      </c>
      <c r="G2791" s="40"/>
      <c r="H2791" s="40" t="s">
        <v>2234</v>
      </c>
      <c r="I2791" s="40"/>
      <c r="J2791" s="40" t="s">
        <v>97</v>
      </c>
      <c r="K2791" s="40" t="s">
        <v>97</v>
      </c>
      <c r="L2791" s="40" t="s">
        <v>97</v>
      </c>
    </row>
    <row r="2792" spans="1:12" x14ac:dyDescent="0.25">
      <c r="A2792" s="40" t="s">
        <v>38</v>
      </c>
      <c r="B2792" s="40" t="s">
        <v>5042</v>
      </c>
      <c r="C2792" s="40" t="s">
        <v>5043</v>
      </c>
      <c r="D2792" s="40" t="s">
        <v>5044</v>
      </c>
      <c r="E2792" s="40" t="s">
        <v>5044</v>
      </c>
      <c r="F2792" s="40">
        <v>1</v>
      </c>
      <c r="G2792" s="40"/>
      <c r="H2792" s="40" t="s">
        <v>97</v>
      </c>
      <c r="I2792" s="40"/>
      <c r="J2792" s="40" t="s">
        <v>97</v>
      </c>
      <c r="K2792" s="40" t="s">
        <v>97</v>
      </c>
      <c r="L2792" s="40" t="s">
        <v>97</v>
      </c>
    </row>
    <row r="2793" spans="1:12" x14ac:dyDescent="0.25">
      <c r="A2793" s="40" t="s">
        <v>38</v>
      </c>
      <c r="B2793" s="40" t="s">
        <v>5045</v>
      </c>
      <c r="C2793" s="40" t="s">
        <v>5046</v>
      </c>
      <c r="D2793" s="40" t="s">
        <v>2233</v>
      </c>
      <c r="E2793" s="40" t="s">
        <v>2233</v>
      </c>
      <c r="F2793" s="40">
        <v>1</v>
      </c>
      <c r="G2793" s="40"/>
      <c r="H2793" s="40" t="s">
        <v>2234</v>
      </c>
      <c r="I2793" s="40"/>
      <c r="J2793" s="40" t="s">
        <v>97</v>
      </c>
      <c r="K2793" s="40" t="s">
        <v>97</v>
      </c>
      <c r="L2793" s="40" t="s">
        <v>97</v>
      </c>
    </row>
    <row r="2794" spans="1:12" x14ac:dyDescent="0.25">
      <c r="A2794" s="40" t="s">
        <v>38</v>
      </c>
      <c r="B2794" s="40" t="s">
        <v>5047</v>
      </c>
      <c r="C2794" s="40" t="s">
        <v>5048</v>
      </c>
      <c r="D2794" s="40" t="s">
        <v>2233</v>
      </c>
      <c r="E2794" s="40" t="s">
        <v>2233</v>
      </c>
      <c r="F2794" s="40">
        <v>1</v>
      </c>
      <c r="G2794" s="40"/>
      <c r="H2794" s="40" t="s">
        <v>2234</v>
      </c>
      <c r="I2794" s="40"/>
      <c r="J2794" s="40" t="s">
        <v>97</v>
      </c>
      <c r="K2794" s="40" t="s">
        <v>97</v>
      </c>
      <c r="L2794" s="40" t="s">
        <v>97</v>
      </c>
    </row>
    <row r="2795" spans="1:12" x14ac:dyDescent="0.25">
      <c r="A2795" s="40" t="s">
        <v>38</v>
      </c>
      <c r="B2795" s="40" t="s">
        <v>5049</v>
      </c>
      <c r="C2795" s="40" t="s">
        <v>5050</v>
      </c>
      <c r="D2795" s="40" t="s">
        <v>2233</v>
      </c>
      <c r="E2795" s="40" t="s">
        <v>2233</v>
      </c>
      <c r="F2795" s="40">
        <v>1</v>
      </c>
      <c r="G2795" s="40"/>
      <c r="H2795" s="40" t="s">
        <v>2234</v>
      </c>
      <c r="I2795" s="40"/>
      <c r="J2795" s="40" t="s">
        <v>97</v>
      </c>
      <c r="K2795" s="40" t="s">
        <v>97</v>
      </c>
      <c r="L2795" s="40" t="s">
        <v>97</v>
      </c>
    </row>
    <row r="2796" spans="1:12" x14ac:dyDescent="0.25">
      <c r="A2796" s="40" t="s">
        <v>38</v>
      </c>
      <c r="B2796" s="40" t="s">
        <v>5051</v>
      </c>
      <c r="C2796" s="40" t="s">
        <v>5052</v>
      </c>
      <c r="D2796" s="40" t="s">
        <v>2233</v>
      </c>
      <c r="E2796" s="40" t="s">
        <v>2233</v>
      </c>
      <c r="F2796" s="40">
        <v>1</v>
      </c>
      <c r="G2796" s="40"/>
      <c r="H2796" s="40" t="s">
        <v>2234</v>
      </c>
      <c r="I2796" s="40"/>
      <c r="J2796" s="40" t="s">
        <v>97</v>
      </c>
      <c r="K2796" s="40" t="s">
        <v>97</v>
      </c>
      <c r="L2796" s="40" t="s">
        <v>97</v>
      </c>
    </row>
    <row r="2797" spans="1:12" x14ac:dyDescent="0.25">
      <c r="A2797" s="40" t="s">
        <v>38</v>
      </c>
      <c r="B2797" s="40" t="s">
        <v>5053</v>
      </c>
      <c r="C2797" s="40" t="s">
        <v>5054</v>
      </c>
      <c r="D2797" s="40" t="s">
        <v>2233</v>
      </c>
      <c r="E2797" s="40" t="s">
        <v>2233</v>
      </c>
      <c r="F2797" s="40">
        <v>1</v>
      </c>
      <c r="G2797" s="40"/>
      <c r="H2797" s="40" t="s">
        <v>2234</v>
      </c>
      <c r="I2797" s="40"/>
      <c r="J2797" s="40" t="s">
        <v>97</v>
      </c>
      <c r="K2797" s="40" t="s">
        <v>97</v>
      </c>
      <c r="L2797" s="40" t="s">
        <v>97</v>
      </c>
    </row>
    <row r="2798" spans="1:12" x14ac:dyDescent="0.25">
      <c r="A2798" s="40" t="s">
        <v>38</v>
      </c>
      <c r="B2798" s="40" t="s">
        <v>5055</v>
      </c>
      <c r="C2798" s="40" t="s">
        <v>5056</v>
      </c>
      <c r="D2798" s="40" t="s">
        <v>5057</v>
      </c>
      <c r="E2798" s="40" t="s">
        <v>5057</v>
      </c>
      <c r="F2798" s="40">
        <v>1</v>
      </c>
      <c r="G2798" s="40"/>
      <c r="H2798" s="40" t="s">
        <v>97</v>
      </c>
      <c r="I2798" s="40"/>
      <c r="J2798" s="40" t="s">
        <v>97</v>
      </c>
      <c r="K2798" s="40" t="s">
        <v>97</v>
      </c>
      <c r="L2798" s="40" t="s">
        <v>97</v>
      </c>
    </row>
    <row r="2799" spans="1:12" x14ac:dyDescent="0.25">
      <c r="A2799" s="40" t="s">
        <v>38</v>
      </c>
      <c r="B2799" s="40" t="s">
        <v>5058</v>
      </c>
      <c r="C2799" s="40" t="s">
        <v>5059</v>
      </c>
      <c r="D2799" s="40" t="s">
        <v>3246</v>
      </c>
      <c r="E2799" s="40" t="s">
        <v>3246</v>
      </c>
      <c r="F2799" s="40">
        <v>1</v>
      </c>
      <c r="G2799" s="40"/>
      <c r="H2799" s="40" t="s">
        <v>97</v>
      </c>
      <c r="I2799" s="40"/>
      <c r="J2799" s="40" t="s">
        <v>97</v>
      </c>
      <c r="K2799" s="40" t="s">
        <v>97</v>
      </c>
      <c r="L2799" s="40" t="s">
        <v>97</v>
      </c>
    </row>
    <row r="2800" spans="1:12" x14ac:dyDescent="0.25">
      <c r="A2800" s="40" t="s">
        <v>38</v>
      </c>
      <c r="B2800" s="40" t="s">
        <v>5060</v>
      </c>
      <c r="C2800" s="40" t="s">
        <v>5061</v>
      </c>
      <c r="D2800" s="40" t="s">
        <v>4928</v>
      </c>
      <c r="E2800" s="40" t="s">
        <v>4907</v>
      </c>
      <c r="F2800" s="40">
        <v>0</v>
      </c>
      <c r="G2800" s="40"/>
      <c r="H2800" s="40" t="s">
        <v>2234</v>
      </c>
      <c r="I2800" s="40"/>
      <c r="J2800" s="40" t="s">
        <v>97</v>
      </c>
      <c r="K2800" s="40" t="s">
        <v>97</v>
      </c>
      <c r="L2800" s="40" t="s">
        <v>97</v>
      </c>
    </row>
    <row r="2801" spans="1:12" x14ac:dyDescent="0.25">
      <c r="A2801" s="40" t="s">
        <v>38</v>
      </c>
      <c r="B2801" s="40" t="s">
        <v>5062</v>
      </c>
      <c r="C2801" s="40" t="s">
        <v>5063</v>
      </c>
      <c r="D2801" s="40" t="s">
        <v>4969</v>
      </c>
      <c r="E2801" s="40" t="s">
        <v>4969</v>
      </c>
      <c r="F2801" s="40">
        <v>1</v>
      </c>
      <c r="G2801" s="40"/>
      <c r="H2801" s="40" t="s">
        <v>97</v>
      </c>
      <c r="I2801" s="40"/>
      <c r="J2801" s="40" t="s">
        <v>97</v>
      </c>
      <c r="K2801" s="40" t="s">
        <v>97</v>
      </c>
      <c r="L2801" s="40" t="s">
        <v>97</v>
      </c>
    </row>
    <row r="2802" spans="1:12" x14ac:dyDescent="0.25">
      <c r="A2802" s="40" t="s">
        <v>38</v>
      </c>
      <c r="B2802" s="40" t="s">
        <v>5064</v>
      </c>
      <c r="C2802" s="40" t="s">
        <v>5065</v>
      </c>
      <c r="D2802" s="40" t="s">
        <v>2233</v>
      </c>
      <c r="E2802" s="40" t="s">
        <v>2233</v>
      </c>
      <c r="F2802" s="40">
        <v>1</v>
      </c>
      <c r="G2802" s="40"/>
      <c r="H2802" s="40" t="s">
        <v>2234</v>
      </c>
      <c r="I2802" s="40"/>
      <c r="J2802" s="40" t="s">
        <v>97</v>
      </c>
      <c r="K2802" s="40" t="s">
        <v>97</v>
      </c>
      <c r="L2802" s="40" t="s">
        <v>97</v>
      </c>
    </row>
    <row r="2803" spans="1:12" x14ac:dyDescent="0.25">
      <c r="A2803" s="40" t="s">
        <v>38</v>
      </c>
      <c r="B2803" s="40" t="s">
        <v>5066</v>
      </c>
      <c r="C2803" s="40" t="s">
        <v>5067</v>
      </c>
      <c r="D2803" s="40" t="s">
        <v>2233</v>
      </c>
      <c r="E2803" s="40" t="s">
        <v>2233</v>
      </c>
      <c r="F2803" s="40">
        <v>1</v>
      </c>
      <c r="G2803" s="40"/>
      <c r="H2803" s="40" t="s">
        <v>2234</v>
      </c>
      <c r="I2803" s="40"/>
      <c r="J2803" s="40" t="s">
        <v>97</v>
      </c>
      <c r="K2803" s="40" t="s">
        <v>97</v>
      </c>
      <c r="L2803" s="40" t="s">
        <v>97</v>
      </c>
    </row>
    <row r="2804" spans="1:12" x14ac:dyDescent="0.25">
      <c r="A2804" s="40" t="s">
        <v>38</v>
      </c>
      <c r="B2804" s="40" t="s">
        <v>5068</v>
      </c>
      <c r="C2804" s="40" t="s">
        <v>5069</v>
      </c>
      <c r="D2804" s="40" t="s">
        <v>2233</v>
      </c>
      <c r="E2804" s="40" t="s">
        <v>2233</v>
      </c>
      <c r="F2804" s="40">
        <v>1</v>
      </c>
      <c r="G2804" s="40"/>
      <c r="H2804" s="40" t="s">
        <v>2234</v>
      </c>
      <c r="I2804" s="40"/>
      <c r="J2804" s="40" t="s">
        <v>97</v>
      </c>
      <c r="K2804" s="40" t="s">
        <v>97</v>
      </c>
      <c r="L2804" s="40" t="s">
        <v>97</v>
      </c>
    </row>
    <row r="2805" spans="1:12" x14ac:dyDescent="0.25">
      <c r="A2805" s="40" t="s">
        <v>38</v>
      </c>
      <c r="B2805" s="40" t="s">
        <v>5070</v>
      </c>
      <c r="C2805" s="40" t="s">
        <v>5071</v>
      </c>
      <c r="D2805" s="40" t="s">
        <v>2233</v>
      </c>
      <c r="E2805" s="40" t="s">
        <v>2233</v>
      </c>
      <c r="F2805" s="40">
        <v>1</v>
      </c>
      <c r="G2805" s="40"/>
      <c r="H2805" s="40" t="s">
        <v>2234</v>
      </c>
      <c r="I2805" s="40"/>
      <c r="J2805" s="40" t="s">
        <v>97</v>
      </c>
      <c r="K2805" s="40" t="s">
        <v>97</v>
      </c>
      <c r="L2805" s="40" t="s">
        <v>97</v>
      </c>
    </row>
    <row r="2806" spans="1:12" x14ac:dyDescent="0.25">
      <c r="A2806" s="40" t="s">
        <v>38</v>
      </c>
      <c r="B2806" s="40" t="s">
        <v>5072</v>
      </c>
      <c r="C2806" s="40" t="s">
        <v>5073</v>
      </c>
      <c r="D2806" s="40" t="s">
        <v>2233</v>
      </c>
      <c r="E2806" s="40" t="s">
        <v>2233</v>
      </c>
      <c r="F2806" s="40">
        <v>1</v>
      </c>
      <c r="G2806" s="40"/>
      <c r="H2806" s="40" t="s">
        <v>2234</v>
      </c>
      <c r="I2806" s="40"/>
      <c r="J2806" s="40" t="s">
        <v>97</v>
      </c>
      <c r="K2806" s="40" t="s">
        <v>97</v>
      </c>
      <c r="L2806" s="40" t="s">
        <v>97</v>
      </c>
    </row>
    <row r="2807" spans="1:12" x14ac:dyDescent="0.25">
      <c r="A2807" s="40" t="s">
        <v>38</v>
      </c>
      <c r="B2807" s="40" t="s">
        <v>5074</v>
      </c>
      <c r="C2807" s="40" t="s">
        <v>5075</v>
      </c>
      <c r="D2807" s="40" t="s">
        <v>5076</v>
      </c>
      <c r="E2807" s="40" t="s">
        <v>5076</v>
      </c>
      <c r="F2807" s="40">
        <v>1</v>
      </c>
      <c r="G2807" s="40"/>
      <c r="H2807" s="40" t="s">
        <v>97</v>
      </c>
      <c r="I2807" s="40"/>
      <c r="J2807" s="40" t="s">
        <v>97</v>
      </c>
      <c r="K2807" s="40" t="s">
        <v>97</v>
      </c>
      <c r="L2807" s="40" t="s">
        <v>97</v>
      </c>
    </row>
    <row r="2808" spans="1:12" x14ac:dyDescent="0.25">
      <c r="A2808" s="40" t="s">
        <v>38</v>
      </c>
      <c r="B2808" s="40" t="s">
        <v>5077</v>
      </c>
      <c r="C2808" s="40" t="s">
        <v>5078</v>
      </c>
      <c r="D2808" s="40" t="s">
        <v>3246</v>
      </c>
      <c r="E2808" s="40" t="s">
        <v>3246</v>
      </c>
      <c r="F2808" s="40">
        <v>1</v>
      </c>
      <c r="G2808" s="40"/>
      <c r="H2808" s="40" t="s">
        <v>97</v>
      </c>
      <c r="I2808" s="40"/>
      <c r="J2808" s="40" t="s">
        <v>97</v>
      </c>
      <c r="K2808" s="40" t="s">
        <v>97</v>
      </c>
      <c r="L2808" s="40" t="s">
        <v>97</v>
      </c>
    </row>
    <row r="2809" spans="1:12" x14ac:dyDescent="0.25">
      <c r="A2809" s="40" t="s">
        <v>38</v>
      </c>
      <c r="B2809" s="40" t="s">
        <v>5079</v>
      </c>
      <c r="C2809" s="40" t="s">
        <v>5080</v>
      </c>
      <c r="D2809" s="40" t="s">
        <v>4928</v>
      </c>
      <c r="E2809" s="40" t="s">
        <v>4907</v>
      </c>
      <c r="F2809" s="40">
        <v>0</v>
      </c>
      <c r="G2809" s="40"/>
      <c r="H2809" s="40" t="s">
        <v>2234</v>
      </c>
      <c r="I2809" s="40"/>
      <c r="J2809" s="40" t="s">
        <v>97</v>
      </c>
      <c r="K2809" s="40" t="s">
        <v>97</v>
      </c>
      <c r="L2809" s="40" t="s">
        <v>97</v>
      </c>
    </row>
    <row r="2810" spans="1:12" x14ac:dyDescent="0.25">
      <c r="A2810" s="40" t="s">
        <v>38</v>
      </c>
      <c r="B2810" s="40" t="s">
        <v>5081</v>
      </c>
      <c r="C2810" s="40" t="s">
        <v>5082</v>
      </c>
      <c r="D2810" s="40" t="s">
        <v>5083</v>
      </c>
      <c r="E2810" s="40" t="s">
        <v>5083</v>
      </c>
      <c r="F2810" s="40">
        <v>1</v>
      </c>
      <c r="G2810" s="40"/>
      <c r="H2810" s="40" t="s">
        <v>97</v>
      </c>
      <c r="I2810" s="40"/>
      <c r="J2810" s="40" t="s">
        <v>97</v>
      </c>
      <c r="K2810" s="40" t="s">
        <v>97</v>
      </c>
      <c r="L2810" s="40" t="s">
        <v>97</v>
      </c>
    </row>
    <row r="2811" spans="1:12" x14ac:dyDescent="0.25">
      <c r="A2811" s="40" t="s">
        <v>38</v>
      </c>
      <c r="B2811" s="40" t="s">
        <v>5084</v>
      </c>
      <c r="C2811" s="40" t="s">
        <v>5085</v>
      </c>
      <c r="D2811" s="40" t="s">
        <v>2233</v>
      </c>
      <c r="E2811" s="40" t="s">
        <v>2233</v>
      </c>
      <c r="F2811" s="40">
        <v>1</v>
      </c>
      <c r="G2811" s="40"/>
      <c r="H2811" s="40" t="s">
        <v>2234</v>
      </c>
      <c r="I2811" s="40"/>
      <c r="J2811" s="40" t="s">
        <v>97</v>
      </c>
      <c r="K2811" s="40" t="s">
        <v>97</v>
      </c>
      <c r="L2811" s="40" t="s">
        <v>97</v>
      </c>
    </row>
    <row r="2812" spans="1:12" x14ac:dyDescent="0.25">
      <c r="A2812" s="40" t="s">
        <v>38</v>
      </c>
      <c r="B2812" s="40" t="s">
        <v>5086</v>
      </c>
      <c r="C2812" s="40" t="s">
        <v>5087</v>
      </c>
      <c r="D2812" s="40" t="s">
        <v>2233</v>
      </c>
      <c r="E2812" s="40" t="s">
        <v>2233</v>
      </c>
      <c r="F2812" s="40">
        <v>1</v>
      </c>
      <c r="G2812" s="40"/>
      <c r="H2812" s="40" t="s">
        <v>2234</v>
      </c>
      <c r="I2812" s="40"/>
      <c r="J2812" s="40" t="s">
        <v>97</v>
      </c>
      <c r="K2812" s="40" t="s">
        <v>97</v>
      </c>
      <c r="L2812" s="40" t="s">
        <v>97</v>
      </c>
    </row>
    <row r="2813" spans="1:12" x14ac:dyDescent="0.25">
      <c r="A2813" s="40" t="s">
        <v>38</v>
      </c>
      <c r="B2813" s="40" t="s">
        <v>5088</v>
      </c>
      <c r="C2813" s="40" t="s">
        <v>5089</v>
      </c>
      <c r="D2813" s="40" t="s">
        <v>2233</v>
      </c>
      <c r="E2813" s="40" t="s">
        <v>2233</v>
      </c>
      <c r="F2813" s="40">
        <v>1</v>
      </c>
      <c r="G2813" s="40"/>
      <c r="H2813" s="40" t="s">
        <v>2234</v>
      </c>
      <c r="I2813" s="40"/>
      <c r="J2813" s="40" t="s">
        <v>97</v>
      </c>
      <c r="K2813" s="40" t="s">
        <v>97</v>
      </c>
      <c r="L2813" s="40" t="s">
        <v>97</v>
      </c>
    </row>
    <row r="2814" spans="1:12" x14ac:dyDescent="0.25">
      <c r="A2814" s="40" t="s">
        <v>38</v>
      </c>
      <c r="B2814" s="40" t="s">
        <v>5090</v>
      </c>
      <c r="C2814" s="40" t="s">
        <v>5091</v>
      </c>
      <c r="D2814" s="40" t="s">
        <v>2233</v>
      </c>
      <c r="E2814" s="40" t="s">
        <v>2233</v>
      </c>
      <c r="F2814" s="40">
        <v>1</v>
      </c>
      <c r="G2814" s="40"/>
      <c r="H2814" s="40" t="s">
        <v>2234</v>
      </c>
      <c r="I2814" s="40"/>
      <c r="J2814" s="40" t="s">
        <v>97</v>
      </c>
      <c r="K2814" s="40" t="s">
        <v>97</v>
      </c>
      <c r="L2814" s="40" t="s">
        <v>97</v>
      </c>
    </row>
    <row r="2815" spans="1:12" x14ac:dyDescent="0.25">
      <c r="A2815" s="40" t="s">
        <v>38</v>
      </c>
      <c r="B2815" s="40" t="s">
        <v>5092</v>
      </c>
      <c r="C2815" s="40" t="s">
        <v>5093</v>
      </c>
      <c r="D2815" s="40" t="s">
        <v>2233</v>
      </c>
      <c r="E2815" s="40" t="s">
        <v>2233</v>
      </c>
      <c r="F2815" s="40">
        <v>1</v>
      </c>
      <c r="G2815" s="40"/>
      <c r="H2815" s="40" t="s">
        <v>2234</v>
      </c>
      <c r="I2815" s="40"/>
      <c r="J2815" s="40" t="s">
        <v>97</v>
      </c>
      <c r="K2815" s="40" t="s">
        <v>97</v>
      </c>
      <c r="L2815" s="40" t="s">
        <v>97</v>
      </c>
    </row>
    <row r="2816" spans="1:12" x14ac:dyDescent="0.25">
      <c r="A2816" s="40" t="s">
        <v>38</v>
      </c>
      <c r="B2816" s="40" t="s">
        <v>5094</v>
      </c>
      <c r="C2816" s="40" t="s">
        <v>5095</v>
      </c>
      <c r="D2816" s="40" t="s">
        <v>5076</v>
      </c>
      <c r="E2816" s="40" t="s">
        <v>5076</v>
      </c>
      <c r="F2816" s="40">
        <v>1</v>
      </c>
      <c r="G2816" s="40"/>
      <c r="H2816" s="40" t="s">
        <v>97</v>
      </c>
      <c r="I2816" s="40"/>
      <c r="J2816" s="40" t="s">
        <v>97</v>
      </c>
      <c r="K2816" s="40" t="s">
        <v>97</v>
      </c>
      <c r="L2816" s="40" t="s">
        <v>97</v>
      </c>
    </row>
    <row r="2817" spans="1:12" x14ac:dyDescent="0.25">
      <c r="A2817" s="40" t="s">
        <v>38</v>
      </c>
      <c r="B2817" s="40" t="s">
        <v>5096</v>
      </c>
      <c r="C2817" s="40" t="s">
        <v>5097</v>
      </c>
      <c r="D2817" s="40" t="s">
        <v>3246</v>
      </c>
      <c r="E2817" s="40" t="s">
        <v>3246</v>
      </c>
      <c r="F2817" s="40">
        <v>1</v>
      </c>
      <c r="G2817" s="40"/>
      <c r="H2817" s="40" t="s">
        <v>97</v>
      </c>
      <c r="I2817" s="40"/>
      <c r="J2817" s="40" t="s">
        <v>97</v>
      </c>
      <c r="K2817" s="40" t="s">
        <v>97</v>
      </c>
      <c r="L2817" s="40" t="s">
        <v>97</v>
      </c>
    </row>
    <row r="2818" spans="1:12" x14ac:dyDescent="0.25">
      <c r="A2818" s="40" t="s">
        <v>38</v>
      </c>
      <c r="B2818" s="40" t="s">
        <v>5098</v>
      </c>
      <c r="C2818" s="40" t="s">
        <v>5099</v>
      </c>
      <c r="D2818" s="40" t="s">
        <v>4928</v>
      </c>
      <c r="E2818" s="40" t="s">
        <v>4907</v>
      </c>
      <c r="F2818" s="40">
        <v>0</v>
      </c>
      <c r="G2818" s="40"/>
      <c r="H2818" s="40" t="s">
        <v>2234</v>
      </c>
      <c r="I2818" s="40"/>
      <c r="J2818" s="40" t="s">
        <v>97</v>
      </c>
      <c r="K2818" s="40" t="s">
        <v>97</v>
      </c>
      <c r="L2818" s="40" t="s">
        <v>97</v>
      </c>
    </row>
    <row r="2819" spans="1:12" x14ac:dyDescent="0.25">
      <c r="A2819" s="40" t="s">
        <v>38</v>
      </c>
      <c r="B2819" s="40" t="s">
        <v>5100</v>
      </c>
      <c r="C2819" s="40" t="s">
        <v>5101</v>
      </c>
      <c r="D2819" s="40" t="s">
        <v>5083</v>
      </c>
      <c r="E2819" s="40" t="s">
        <v>5083</v>
      </c>
      <c r="F2819" s="40">
        <v>1</v>
      </c>
      <c r="G2819" s="40"/>
      <c r="H2819" s="40" t="s">
        <v>97</v>
      </c>
      <c r="I2819" s="40"/>
      <c r="J2819" s="40" t="s">
        <v>97</v>
      </c>
      <c r="K2819" s="40" t="s">
        <v>97</v>
      </c>
      <c r="L2819" s="40" t="s">
        <v>97</v>
      </c>
    </row>
    <row r="2820" spans="1:12" x14ac:dyDescent="0.25">
      <c r="A2820" s="40" t="s">
        <v>38</v>
      </c>
      <c r="B2820" s="40" t="s">
        <v>5102</v>
      </c>
      <c r="C2820" s="40" t="s">
        <v>5103</v>
      </c>
      <c r="D2820" s="40" t="s">
        <v>2233</v>
      </c>
      <c r="E2820" s="40" t="s">
        <v>2233</v>
      </c>
      <c r="F2820" s="40">
        <v>1</v>
      </c>
      <c r="G2820" s="40"/>
      <c r="H2820" s="40" t="s">
        <v>2234</v>
      </c>
      <c r="I2820" s="40"/>
      <c r="J2820" s="40" t="s">
        <v>97</v>
      </c>
      <c r="K2820" s="40" t="s">
        <v>97</v>
      </c>
      <c r="L2820" s="40" t="s">
        <v>97</v>
      </c>
    </row>
    <row r="2821" spans="1:12" x14ac:dyDescent="0.25">
      <c r="A2821" s="40" t="s">
        <v>38</v>
      </c>
      <c r="B2821" s="40" t="s">
        <v>5104</v>
      </c>
      <c r="C2821" s="40" t="s">
        <v>5105</v>
      </c>
      <c r="D2821" s="40" t="s">
        <v>2233</v>
      </c>
      <c r="E2821" s="40" t="s">
        <v>2233</v>
      </c>
      <c r="F2821" s="40">
        <v>1</v>
      </c>
      <c r="G2821" s="40"/>
      <c r="H2821" s="40" t="s">
        <v>2234</v>
      </c>
      <c r="I2821" s="40"/>
      <c r="J2821" s="40" t="s">
        <v>97</v>
      </c>
      <c r="K2821" s="40" t="s">
        <v>97</v>
      </c>
      <c r="L2821" s="40" t="s">
        <v>97</v>
      </c>
    </row>
    <row r="2822" spans="1:12" x14ac:dyDescent="0.25">
      <c r="A2822" s="40" t="s">
        <v>38</v>
      </c>
      <c r="B2822" s="40" t="s">
        <v>5106</v>
      </c>
      <c r="C2822" s="40" t="s">
        <v>5107</v>
      </c>
      <c r="D2822" s="40" t="s">
        <v>2233</v>
      </c>
      <c r="E2822" s="40" t="s">
        <v>2233</v>
      </c>
      <c r="F2822" s="40">
        <v>1</v>
      </c>
      <c r="G2822" s="40"/>
      <c r="H2822" s="40" t="s">
        <v>2234</v>
      </c>
      <c r="I2822" s="40"/>
      <c r="J2822" s="40" t="s">
        <v>97</v>
      </c>
      <c r="K2822" s="40" t="s">
        <v>97</v>
      </c>
      <c r="L2822" s="40" t="s">
        <v>97</v>
      </c>
    </row>
    <row r="2823" spans="1:12" x14ac:dyDescent="0.25">
      <c r="A2823" s="40" t="s">
        <v>38</v>
      </c>
      <c r="B2823" s="40" t="s">
        <v>5108</v>
      </c>
      <c r="C2823" s="40" t="s">
        <v>5109</v>
      </c>
      <c r="D2823" s="40" t="s">
        <v>2233</v>
      </c>
      <c r="E2823" s="40" t="s">
        <v>2233</v>
      </c>
      <c r="F2823" s="40">
        <v>1</v>
      </c>
      <c r="G2823" s="40"/>
      <c r="H2823" s="40" t="s">
        <v>2234</v>
      </c>
      <c r="I2823" s="40"/>
      <c r="J2823" s="40" t="s">
        <v>97</v>
      </c>
      <c r="K2823" s="40" t="s">
        <v>97</v>
      </c>
      <c r="L2823" s="40" t="s">
        <v>97</v>
      </c>
    </row>
    <row r="2824" spans="1:12" x14ac:dyDescent="0.25">
      <c r="A2824" s="40" t="s">
        <v>38</v>
      </c>
      <c r="B2824" s="40" t="s">
        <v>5110</v>
      </c>
      <c r="C2824" s="40" t="s">
        <v>5111</v>
      </c>
      <c r="D2824" s="40" t="s">
        <v>2233</v>
      </c>
      <c r="E2824" s="40" t="s">
        <v>2233</v>
      </c>
      <c r="F2824" s="40">
        <v>1</v>
      </c>
      <c r="G2824" s="40"/>
      <c r="H2824" s="40" t="s">
        <v>2234</v>
      </c>
      <c r="I2824" s="40"/>
      <c r="J2824" s="40" t="s">
        <v>97</v>
      </c>
      <c r="K2824" s="40" t="s">
        <v>97</v>
      </c>
      <c r="L2824" s="40" t="s">
        <v>97</v>
      </c>
    </row>
    <row r="2825" spans="1:12" x14ac:dyDescent="0.25">
      <c r="A2825" s="40" t="s">
        <v>38</v>
      </c>
      <c r="B2825" s="40" t="s">
        <v>5112</v>
      </c>
      <c r="C2825" s="40" t="s">
        <v>5113</v>
      </c>
      <c r="D2825" s="40" t="s">
        <v>5114</v>
      </c>
      <c r="E2825" s="40" t="s">
        <v>5114</v>
      </c>
      <c r="F2825" s="40">
        <v>1</v>
      </c>
      <c r="G2825" s="40"/>
      <c r="H2825" s="40" t="s">
        <v>97</v>
      </c>
      <c r="I2825" s="40"/>
      <c r="J2825" s="40" t="s">
        <v>97</v>
      </c>
      <c r="K2825" s="40" t="s">
        <v>97</v>
      </c>
      <c r="L2825" s="40" t="s">
        <v>97</v>
      </c>
    </row>
    <row r="2826" spans="1:12" x14ac:dyDescent="0.25">
      <c r="A2826" s="40" t="s">
        <v>38</v>
      </c>
      <c r="B2826" s="40" t="s">
        <v>5115</v>
      </c>
      <c r="C2826" s="40" t="s">
        <v>5116</v>
      </c>
      <c r="D2826" s="40" t="s">
        <v>3246</v>
      </c>
      <c r="E2826" s="40" t="s">
        <v>3246</v>
      </c>
      <c r="F2826" s="40">
        <v>1</v>
      </c>
      <c r="G2826" s="40"/>
      <c r="H2826" s="40" t="s">
        <v>97</v>
      </c>
      <c r="I2826" s="40"/>
      <c r="J2826" s="40" t="s">
        <v>97</v>
      </c>
      <c r="K2826" s="40" t="s">
        <v>97</v>
      </c>
      <c r="L2826" s="40" t="s">
        <v>97</v>
      </c>
    </row>
    <row r="2827" spans="1:12" x14ac:dyDescent="0.25">
      <c r="A2827" s="40" t="s">
        <v>38</v>
      </c>
      <c r="B2827" s="40" t="s">
        <v>5117</v>
      </c>
      <c r="C2827" s="40" t="s">
        <v>5118</v>
      </c>
      <c r="D2827" s="40" t="s">
        <v>4928</v>
      </c>
      <c r="E2827" s="40" t="s">
        <v>4907</v>
      </c>
      <c r="F2827" s="40">
        <v>0</v>
      </c>
      <c r="G2827" s="40"/>
      <c r="H2827" s="40" t="s">
        <v>2234</v>
      </c>
      <c r="I2827" s="40"/>
      <c r="J2827" s="40" t="s">
        <v>97</v>
      </c>
      <c r="K2827" s="40" t="s">
        <v>97</v>
      </c>
      <c r="L2827" s="40" t="s">
        <v>97</v>
      </c>
    </row>
    <row r="2828" spans="1:12" x14ac:dyDescent="0.25">
      <c r="A2828" s="40" t="s">
        <v>38</v>
      </c>
      <c r="B2828" s="40" t="s">
        <v>5119</v>
      </c>
      <c r="C2828" s="40" t="s">
        <v>5120</v>
      </c>
      <c r="D2828" s="40" t="s">
        <v>4910</v>
      </c>
      <c r="E2828" s="40" t="s">
        <v>4910</v>
      </c>
      <c r="F2828" s="40">
        <v>1</v>
      </c>
      <c r="G2828" s="40"/>
      <c r="H2828" s="40" t="s">
        <v>97</v>
      </c>
      <c r="I2828" s="40"/>
      <c r="J2828" s="40" t="s">
        <v>97</v>
      </c>
      <c r="K2828" s="40" t="s">
        <v>97</v>
      </c>
      <c r="L2828" s="40" t="s">
        <v>97</v>
      </c>
    </row>
    <row r="2829" spans="1:12" x14ac:dyDescent="0.25">
      <c r="A2829" s="40" t="s">
        <v>38</v>
      </c>
      <c r="B2829" s="40" t="s">
        <v>5121</v>
      </c>
      <c r="C2829" s="40" t="s">
        <v>5122</v>
      </c>
      <c r="D2829" s="40" t="s">
        <v>2233</v>
      </c>
      <c r="E2829" s="40" t="s">
        <v>2233</v>
      </c>
      <c r="F2829" s="40">
        <v>1</v>
      </c>
      <c r="G2829" s="40"/>
      <c r="H2829" s="40" t="s">
        <v>2234</v>
      </c>
      <c r="I2829" s="40"/>
      <c r="J2829" s="40" t="s">
        <v>97</v>
      </c>
      <c r="K2829" s="40" t="s">
        <v>97</v>
      </c>
      <c r="L2829" s="40" t="s">
        <v>97</v>
      </c>
    </row>
    <row r="2830" spans="1:12" x14ac:dyDescent="0.25">
      <c r="A2830" s="40" t="s">
        <v>38</v>
      </c>
      <c r="B2830" s="40" t="s">
        <v>5123</v>
      </c>
      <c r="C2830" s="40" t="s">
        <v>5124</v>
      </c>
      <c r="D2830" s="40" t="s">
        <v>2233</v>
      </c>
      <c r="E2830" s="40" t="s">
        <v>2233</v>
      </c>
      <c r="F2830" s="40">
        <v>1</v>
      </c>
      <c r="G2830" s="40"/>
      <c r="H2830" s="40" t="s">
        <v>2234</v>
      </c>
      <c r="I2830" s="40"/>
      <c r="J2830" s="40" t="s">
        <v>97</v>
      </c>
      <c r="K2830" s="40" t="s">
        <v>97</v>
      </c>
      <c r="L2830" s="40" t="s">
        <v>97</v>
      </c>
    </row>
    <row r="2831" spans="1:12" x14ac:dyDescent="0.25">
      <c r="A2831" s="40" t="s">
        <v>38</v>
      </c>
      <c r="B2831" s="40" t="s">
        <v>5125</v>
      </c>
      <c r="C2831" s="40" t="s">
        <v>5126</v>
      </c>
      <c r="D2831" s="40" t="s">
        <v>2233</v>
      </c>
      <c r="E2831" s="40" t="s">
        <v>2233</v>
      </c>
      <c r="F2831" s="40">
        <v>1</v>
      </c>
      <c r="G2831" s="40"/>
      <c r="H2831" s="40" t="s">
        <v>2234</v>
      </c>
      <c r="I2831" s="40"/>
      <c r="J2831" s="40" t="s">
        <v>97</v>
      </c>
      <c r="K2831" s="40" t="s">
        <v>97</v>
      </c>
      <c r="L2831" s="40" t="s">
        <v>97</v>
      </c>
    </row>
    <row r="2832" spans="1:12" x14ac:dyDescent="0.25">
      <c r="A2832" s="40" t="s">
        <v>38</v>
      </c>
      <c r="B2832" s="40" t="s">
        <v>5127</v>
      </c>
      <c r="C2832" s="40" t="s">
        <v>5128</v>
      </c>
      <c r="D2832" s="40" t="s">
        <v>2233</v>
      </c>
      <c r="E2832" s="40" t="s">
        <v>2233</v>
      </c>
      <c r="F2832" s="40">
        <v>1</v>
      </c>
      <c r="G2832" s="40"/>
      <c r="H2832" s="40" t="s">
        <v>2234</v>
      </c>
      <c r="I2832" s="40"/>
      <c r="J2832" s="40" t="s">
        <v>97</v>
      </c>
      <c r="K2832" s="40" t="s">
        <v>97</v>
      </c>
      <c r="L2832" s="40" t="s">
        <v>97</v>
      </c>
    </row>
    <row r="2833" spans="1:12" x14ac:dyDescent="0.25">
      <c r="A2833" s="40" t="s">
        <v>38</v>
      </c>
      <c r="B2833" s="40" t="s">
        <v>5129</v>
      </c>
      <c r="C2833" s="40" t="s">
        <v>5130</v>
      </c>
      <c r="D2833" s="40" t="s">
        <v>2233</v>
      </c>
      <c r="E2833" s="40" t="s">
        <v>2233</v>
      </c>
      <c r="F2833" s="40">
        <v>1</v>
      </c>
      <c r="G2833" s="40"/>
      <c r="H2833" s="40" t="s">
        <v>2234</v>
      </c>
      <c r="I2833" s="40"/>
      <c r="J2833" s="40" t="s">
        <v>97</v>
      </c>
      <c r="K2833" s="40" t="s">
        <v>97</v>
      </c>
      <c r="L2833" s="40" t="s">
        <v>97</v>
      </c>
    </row>
    <row r="2834" spans="1:12" x14ac:dyDescent="0.25">
      <c r="A2834" s="40" t="s">
        <v>38</v>
      </c>
      <c r="B2834" s="40" t="s">
        <v>5131</v>
      </c>
      <c r="C2834" s="40" t="s">
        <v>5132</v>
      </c>
      <c r="D2834" s="40" t="s">
        <v>5133</v>
      </c>
      <c r="E2834" s="40" t="s">
        <v>5133</v>
      </c>
      <c r="F2834" s="40">
        <v>1</v>
      </c>
      <c r="G2834" s="40"/>
      <c r="H2834" s="40" t="s">
        <v>97</v>
      </c>
      <c r="I2834" s="40"/>
      <c r="J2834" s="40" t="s">
        <v>97</v>
      </c>
      <c r="K2834" s="40" t="s">
        <v>97</v>
      </c>
      <c r="L2834" s="40" t="s">
        <v>97</v>
      </c>
    </row>
    <row r="2835" spans="1:12" x14ac:dyDescent="0.25">
      <c r="A2835" s="40" t="s">
        <v>38</v>
      </c>
      <c r="B2835" s="40" t="s">
        <v>5134</v>
      </c>
      <c r="C2835" s="40" t="s">
        <v>5135</v>
      </c>
      <c r="D2835" s="40" t="s">
        <v>3246</v>
      </c>
      <c r="E2835" s="40" t="s">
        <v>3246</v>
      </c>
      <c r="F2835" s="40">
        <v>1</v>
      </c>
      <c r="G2835" s="40"/>
      <c r="H2835" s="40" t="s">
        <v>97</v>
      </c>
      <c r="I2835" s="40"/>
      <c r="J2835" s="40" t="s">
        <v>97</v>
      </c>
      <c r="K2835" s="40" t="s">
        <v>97</v>
      </c>
      <c r="L2835" s="40" t="s">
        <v>97</v>
      </c>
    </row>
    <row r="2836" spans="1:12" x14ac:dyDescent="0.25">
      <c r="A2836" s="40" t="s">
        <v>38</v>
      </c>
      <c r="B2836" s="40" t="s">
        <v>5136</v>
      </c>
      <c r="C2836" s="40" t="s">
        <v>5137</v>
      </c>
      <c r="D2836" s="40" t="s">
        <v>2233</v>
      </c>
      <c r="E2836" s="40" t="s">
        <v>2233</v>
      </c>
      <c r="F2836" s="40">
        <v>1</v>
      </c>
      <c r="G2836" s="40"/>
      <c r="H2836" s="40" t="s">
        <v>2234</v>
      </c>
      <c r="I2836" s="40"/>
      <c r="J2836" s="40" t="s">
        <v>97</v>
      </c>
      <c r="K2836" s="40" t="s">
        <v>97</v>
      </c>
      <c r="L2836" s="40" t="s">
        <v>97</v>
      </c>
    </row>
    <row r="2837" spans="1:12" x14ac:dyDescent="0.25">
      <c r="A2837" s="40" t="s">
        <v>38</v>
      </c>
      <c r="B2837" s="40" t="s">
        <v>5138</v>
      </c>
      <c r="C2837" s="40" t="s">
        <v>5139</v>
      </c>
      <c r="D2837" s="40" t="s">
        <v>2233</v>
      </c>
      <c r="E2837" s="40" t="s">
        <v>2233</v>
      </c>
      <c r="F2837" s="40">
        <v>1</v>
      </c>
      <c r="G2837" s="40"/>
      <c r="H2837" s="40" t="s">
        <v>97</v>
      </c>
      <c r="I2837" s="40"/>
      <c r="J2837" s="40" t="s">
        <v>97</v>
      </c>
      <c r="K2837" s="40" t="s">
        <v>97</v>
      </c>
      <c r="L2837" s="40" t="s">
        <v>97</v>
      </c>
    </row>
    <row r="2838" spans="1:12" x14ac:dyDescent="0.25">
      <c r="A2838" s="40" t="s">
        <v>38</v>
      </c>
      <c r="B2838" s="40" t="s">
        <v>5140</v>
      </c>
      <c r="C2838" s="40" t="s">
        <v>5141</v>
      </c>
      <c r="D2838" s="40" t="s">
        <v>2233</v>
      </c>
      <c r="E2838" s="40" t="s">
        <v>2233</v>
      </c>
      <c r="F2838" s="40">
        <v>1</v>
      </c>
      <c r="G2838" s="40"/>
      <c r="H2838" s="40" t="s">
        <v>2234</v>
      </c>
      <c r="I2838" s="40"/>
      <c r="J2838" s="40" t="s">
        <v>97</v>
      </c>
      <c r="K2838" s="40" t="s">
        <v>97</v>
      </c>
      <c r="L2838" s="40" t="s">
        <v>97</v>
      </c>
    </row>
    <row r="2839" spans="1:12" x14ac:dyDescent="0.25">
      <c r="A2839" s="40" t="s">
        <v>38</v>
      </c>
      <c r="B2839" s="40" t="s">
        <v>5142</v>
      </c>
      <c r="C2839" s="40" t="s">
        <v>5143</v>
      </c>
      <c r="D2839" s="40" t="s">
        <v>2233</v>
      </c>
      <c r="E2839" s="40" t="s">
        <v>2233</v>
      </c>
      <c r="F2839" s="40">
        <v>1</v>
      </c>
      <c r="G2839" s="40"/>
      <c r="H2839" s="40" t="s">
        <v>2234</v>
      </c>
      <c r="I2839" s="40"/>
      <c r="J2839" s="40" t="s">
        <v>97</v>
      </c>
      <c r="K2839" s="40" t="s">
        <v>97</v>
      </c>
      <c r="L2839" s="40" t="s">
        <v>97</v>
      </c>
    </row>
    <row r="2840" spans="1:12" x14ac:dyDescent="0.25">
      <c r="A2840" s="40" t="s">
        <v>38</v>
      </c>
      <c r="B2840" s="40" t="s">
        <v>5144</v>
      </c>
      <c r="C2840" s="40" t="s">
        <v>5145</v>
      </c>
      <c r="D2840" s="40" t="s">
        <v>2233</v>
      </c>
      <c r="E2840" s="40" t="s">
        <v>2233</v>
      </c>
      <c r="F2840" s="40">
        <v>1</v>
      </c>
      <c r="G2840" s="40"/>
      <c r="H2840" s="40" t="s">
        <v>2234</v>
      </c>
      <c r="I2840" s="40"/>
      <c r="J2840" s="40" t="s">
        <v>97</v>
      </c>
      <c r="K2840" s="40" t="s">
        <v>97</v>
      </c>
      <c r="L2840" s="40" t="s">
        <v>97</v>
      </c>
    </row>
    <row r="2841" spans="1:12" x14ac:dyDescent="0.25">
      <c r="A2841" s="40" t="s">
        <v>38</v>
      </c>
      <c r="B2841" s="40" t="s">
        <v>5146</v>
      </c>
      <c r="C2841" s="40" t="s">
        <v>5147</v>
      </c>
      <c r="D2841" s="40" t="s">
        <v>2233</v>
      </c>
      <c r="E2841" s="40" t="s">
        <v>2233</v>
      </c>
      <c r="F2841" s="40">
        <v>1</v>
      </c>
      <c r="G2841" s="40"/>
      <c r="H2841" s="40" t="s">
        <v>2234</v>
      </c>
      <c r="I2841" s="40"/>
      <c r="J2841" s="40" t="s">
        <v>97</v>
      </c>
      <c r="K2841" s="40" t="s">
        <v>97</v>
      </c>
      <c r="L2841" s="40" t="s">
        <v>97</v>
      </c>
    </row>
    <row r="2842" spans="1:12" x14ac:dyDescent="0.25">
      <c r="A2842" s="40" t="s">
        <v>38</v>
      </c>
      <c r="B2842" s="40" t="s">
        <v>5148</v>
      </c>
      <c r="C2842" s="40" t="s">
        <v>5149</v>
      </c>
      <c r="D2842" s="40" t="s">
        <v>2233</v>
      </c>
      <c r="E2842" s="40" t="s">
        <v>2233</v>
      </c>
      <c r="F2842" s="40">
        <v>1</v>
      </c>
      <c r="G2842" s="40"/>
      <c r="H2842" s="40" t="s">
        <v>2234</v>
      </c>
      <c r="I2842" s="40"/>
      <c r="J2842" s="40" t="s">
        <v>97</v>
      </c>
      <c r="K2842" s="40" t="s">
        <v>97</v>
      </c>
      <c r="L2842" s="40" t="s">
        <v>97</v>
      </c>
    </row>
    <row r="2843" spans="1:12" x14ac:dyDescent="0.25">
      <c r="A2843" s="40" t="s">
        <v>38</v>
      </c>
      <c r="B2843" s="40" t="s">
        <v>5150</v>
      </c>
      <c r="C2843" s="40" t="s">
        <v>5151</v>
      </c>
      <c r="D2843" s="40" t="s">
        <v>2233</v>
      </c>
      <c r="E2843" s="40" t="s">
        <v>2233</v>
      </c>
      <c r="F2843" s="40">
        <v>1</v>
      </c>
      <c r="G2843" s="40"/>
      <c r="H2843" s="40" t="s">
        <v>2234</v>
      </c>
      <c r="I2843" s="40"/>
      <c r="J2843" s="40" t="s">
        <v>97</v>
      </c>
      <c r="K2843" s="40" t="s">
        <v>97</v>
      </c>
      <c r="L2843" s="40" t="s">
        <v>97</v>
      </c>
    </row>
    <row r="2844" spans="1:12" x14ac:dyDescent="0.25">
      <c r="A2844" s="40" t="s">
        <v>38</v>
      </c>
      <c r="B2844" s="40" t="s">
        <v>5152</v>
      </c>
      <c r="C2844" s="40" t="s">
        <v>5153</v>
      </c>
      <c r="D2844" s="40" t="s">
        <v>2233</v>
      </c>
      <c r="E2844" s="40" t="s">
        <v>2233</v>
      </c>
      <c r="F2844" s="40">
        <v>1</v>
      </c>
      <c r="G2844" s="40"/>
      <c r="H2844" s="40" t="s">
        <v>2234</v>
      </c>
      <c r="I2844" s="40"/>
      <c r="J2844" s="40" t="s">
        <v>97</v>
      </c>
      <c r="K2844" s="40" t="s">
        <v>97</v>
      </c>
      <c r="L2844" s="40" t="s">
        <v>97</v>
      </c>
    </row>
    <row r="2845" spans="1:12" x14ac:dyDescent="0.25">
      <c r="A2845" s="40" t="s">
        <v>38</v>
      </c>
      <c r="B2845" s="40" t="s">
        <v>5154</v>
      </c>
      <c r="C2845" s="40" t="s">
        <v>5155</v>
      </c>
      <c r="D2845" s="40" t="s">
        <v>2233</v>
      </c>
      <c r="E2845" s="40" t="s">
        <v>2233</v>
      </c>
      <c r="F2845" s="40">
        <v>1</v>
      </c>
      <c r="G2845" s="40"/>
      <c r="H2845" s="40" t="s">
        <v>2234</v>
      </c>
      <c r="I2845" s="40"/>
      <c r="J2845" s="40" t="s">
        <v>97</v>
      </c>
      <c r="K2845" s="40" t="s">
        <v>97</v>
      </c>
      <c r="L2845" s="40" t="s">
        <v>97</v>
      </c>
    </row>
    <row r="2846" spans="1:12" x14ac:dyDescent="0.25">
      <c r="A2846" s="40" t="s">
        <v>38</v>
      </c>
      <c r="B2846" s="40" t="s">
        <v>5156</v>
      </c>
      <c r="C2846" s="40" t="s">
        <v>5157</v>
      </c>
      <c r="D2846" s="40" t="s">
        <v>5158</v>
      </c>
      <c r="E2846" s="40" t="s">
        <v>5158</v>
      </c>
      <c r="F2846" s="40">
        <v>1</v>
      </c>
      <c r="G2846" s="40"/>
      <c r="H2846" s="40" t="s">
        <v>97</v>
      </c>
      <c r="I2846" s="40"/>
      <c r="J2846" s="40" t="s">
        <v>97</v>
      </c>
      <c r="K2846" s="40" t="s">
        <v>97</v>
      </c>
      <c r="L2846" s="40" t="s">
        <v>97</v>
      </c>
    </row>
    <row r="2847" spans="1:12" x14ac:dyDescent="0.25">
      <c r="A2847" s="40" t="s">
        <v>38</v>
      </c>
      <c r="B2847" s="40" t="s">
        <v>5159</v>
      </c>
      <c r="C2847" s="40" t="s">
        <v>5160</v>
      </c>
      <c r="D2847" s="40" t="s">
        <v>3246</v>
      </c>
      <c r="E2847" s="40" t="s">
        <v>3246</v>
      </c>
      <c r="F2847" s="40">
        <v>1</v>
      </c>
      <c r="G2847" s="40"/>
      <c r="H2847" s="40" t="s">
        <v>97</v>
      </c>
      <c r="I2847" s="40"/>
      <c r="J2847" s="40" t="s">
        <v>97</v>
      </c>
      <c r="K2847" s="40" t="s">
        <v>97</v>
      </c>
      <c r="L2847" s="40" t="s">
        <v>97</v>
      </c>
    </row>
    <row r="2848" spans="1:12" x14ac:dyDescent="0.25">
      <c r="A2848" s="40" t="s">
        <v>38</v>
      </c>
      <c r="B2848" s="40" t="s">
        <v>5161</v>
      </c>
      <c r="C2848" s="40" t="s">
        <v>5162</v>
      </c>
      <c r="D2848" s="40" t="s">
        <v>2233</v>
      </c>
      <c r="E2848" s="40" t="s">
        <v>2233</v>
      </c>
      <c r="F2848" s="40">
        <v>1</v>
      </c>
      <c r="G2848" s="40"/>
      <c r="H2848" s="40" t="s">
        <v>2234</v>
      </c>
      <c r="I2848" s="40"/>
      <c r="J2848" s="40" t="s">
        <v>97</v>
      </c>
      <c r="K2848" s="40" t="s">
        <v>97</v>
      </c>
      <c r="L2848" s="40" t="s">
        <v>97</v>
      </c>
    </row>
    <row r="2849" spans="1:12" x14ac:dyDescent="0.25">
      <c r="A2849" s="40" t="s">
        <v>38</v>
      </c>
      <c r="B2849" s="40" t="s">
        <v>5163</v>
      </c>
      <c r="C2849" s="40" t="s">
        <v>5164</v>
      </c>
      <c r="D2849" s="40" t="s">
        <v>2233</v>
      </c>
      <c r="E2849" s="40" t="s">
        <v>2233</v>
      </c>
      <c r="F2849" s="40">
        <v>1</v>
      </c>
      <c r="G2849" s="40"/>
      <c r="H2849" s="40" t="s">
        <v>2234</v>
      </c>
      <c r="I2849" s="40"/>
      <c r="J2849" s="40" t="s">
        <v>97</v>
      </c>
      <c r="K2849" s="40" t="s">
        <v>97</v>
      </c>
      <c r="L2849" s="40" t="s">
        <v>97</v>
      </c>
    </row>
    <row r="2850" spans="1:12" x14ac:dyDescent="0.25">
      <c r="A2850" s="40" t="s">
        <v>38</v>
      </c>
      <c r="B2850" s="40" t="s">
        <v>5165</v>
      </c>
      <c r="C2850" s="40" t="s">
        <v>5166</v>
      </c>
      <c r="D2850" s="40" t="s">
        <v>2233</v>
      </c>
      <c r="E2850" s="40" t="s">
        <v>2233</v>
      </c>
      <c r="F2850" s="40">
        <v>1</v>
      </c>
      <c r="G2850" s="40"/>
      <c r="H2850" s="40" t="s">
        <v>97</v>
      </c>
      <c r="I2850" s="40"/>
      <c r="J2850" s="40" t="s">
        <v>97</v>
      </c>
      <c r="K2850" s="40" t="s">
        <v>97</v>
      </c>
      <c r="L2850" s="40" t="s">
        <v>97</v>
      </c>
    </row>
    <row r="2851" spans="1:12" x14ac:dyDescent="0.25">
      <c r="A2851" s="40" t="s">
        <v>38</v>
      </c>
      <c r="B2851" s="40" t="s">
        <v>5167</v>
      </c>
      <c r="C2851" s="40" t="s">
        <v>5168</v>
      </c>
      <c r="D2851" s="40" t="s">
        <v>2233</v>
      </c>
      <c r="E2851" s="40" t="s">
        <v>2233</v>
      </c>
      <c r="F2851" s="40">
        <v>1</v>
      </c>
      <c r="G2851" s="40"/>
      <c r="H2851" s="40" t="s">
        <v>97</v>
      </c>
      <c r="I2851" s="40"/>
      <c r="J2851" s="40" t="s">
        <v>97</v>
      </c>
      <c r="K2851" s="40" t="s">
        <v>97</v>
      </c>
      <c r="L2851" s="40" t="s">
        <v>97</v>
      </c>
    </row>
    <row r="2852" spans="1:12" x14ac:dyDescent="0.25">
      <c r="A2852" s="40" t="s">
        <v>38</v>
      </c>
      <c r="B2852" s="40" t="s">
        <v>5169</v>
      </c>
      <c r="C2852" s="40" t="s">
        <v>5170</v>
      </c>
      <c r="D2852" s="40" t="s">
        <v>5133</v>
      </c>
      <c r="E2852" s="40" t="s">
        <v>5133</v>
      </c>
      <c r="F2852" s="40">
        <v>1</v>
      </c>
      <c r="G2852" s="40"/>
      <c r="H2852" s="40" t="s">
        <v>97</v>
      </c>
      <c r="I2852" s="40"/>
      <c r="J2852" s="40" t="s">
        <v>97</v>
      </c>
      <c r="K2852" s="40" t="s">
        <v>97</v>
      </c>
      <c r="L2852" s="40" t="s">
        <v>97</v>
      </c>
    </row>
    <row r="2853" spans="1:12" x14ac:dyDescent="0.25">
      <c r="A2853" s="40" t="s">
        <v>38</v>
      </c>
      <c r="B2853" s="40" t="s">
        <v>5171</v>
      </c>
      <c r="C2853" s="40" t="s">
        <v>5172</v>
      </c>
      <c r="D2853" s="40" t="s">
        <v>3246</v>
      </c>
      <c r="E2853" s="40" t="s">
        <v>3246</v>
      </c>
      <c r="F2853" s="40">
        <v>1</v>
      </c>
      <c r="G2853" s="40"/>
      <c r="H2853" s="40" t="s">
        <v>97</v>
      </c>
      <c r="I2853" s="40"/>
      <c r="J2853" s="40" t="s">
        <v>97</v>
      </c>
      <c r="K2853" s="40" t="s">
        <v>97</v>
      </c>
      <c r="L2853" s="40" t="s">
        <v>97</v>
      </c>
    </row>
    <row r="2854" spans="1:12" x14ac:dyDescent="0.25">
      <c r="A2854" s="40" t="s">
        <v>38</v>
      </c>
      <c r="B2854" s="40" t="s">
        <v>5173</v>
      </c>
      <c r="C2854" s="40" t="s">
        <v>5174</v>
      </c>
      <c r="D2854" s="40" t="s">
        <v>2233</v>
      </c>
      <c r="E2854" s="40" t="s">
        <v>2233</v>
      </c>
      <c r="F2854" s="40">
        <v>1</v>
      </c>
      <c r="G2854" s="40"/>
      <c r="H2854" s="40" t="s">
        <v>2234</v>
      </c>
      <c r="I2854" s="40"/>
      <c r="J2854" s="40" t="s">
        <v>97</v>
      </c>
      <c r="K2854" s="40" t="s">
        <v>97</v>
      </c>
      <c r="L2854" s="40" t="s">
        <v>97</v>
      </c>
    </row>
    <row r="2855" spans="1:12" x14ac:dyDescent="0.25">
      <c r="A2855" s="40" t="s">
        <v>38</v>
      </c>
      <c r="B2855" s="40" t="s">
        <v>5175</v>
      </c>
      <c r="C2855" s="40" t="s">
        <v>5176</v>
      </c>
      <c r="D2855" s="40" t="s">
        <v>2233</v>
      </c>
      <c r="E2855" s="40" t="s">
        <v>2233</v>
      </c>
      <c r="F2855" s="40">
        <v>1</v>
      </c>
      <c r="G2855" s="40"/>
      <c r="H2855" s="40" t="s">
        <v>97</v>
      </c>
      <c r="I2855" s="40"/>
      <c r="J2855" s="40" t="s">
        <v>97</v>
      </c>
      <c r="K2855" s="40" t="s">
        <v>97</v>
      </c>
      <c r="L2855" s="40" t="s">
        <v>97</v>
      </c>
    </row>
    <row r="2856" spans="1:12" x14ac:dyDescent="0.25">
      <c r="A2856" s="40" t="s">
        <v>38</v>
      </c>
      <c r="B2856" s="40" t="s">
        <v>5177</v>
      </c>
      <c r="C2856" s="40" t="s">
        <v>5178</v>
      </c>
      <c r="D2856" s="40" t="s">
        <v>2233</v>
      </c>
      <c r="E2856" s="40" t="s">
        <v>2233</v>
      </c>
      <c r="F2856" s="40">
        <v>1</v>
      </c>
      <c r="G2856" s="40"/>
      <c r="H2856" s="40" t="s">
        <v>2234</v>
      </c>
      <c r="I2856" s="40"/>
      <c r="J2856" s="40" t="s">
        <v>97</v>
      </c>
      <c r="K2856" s="40" t="s">
        <v>97</v>
      </c>
      <c r="L2856" s="40" t="s">
        <v>97</v>
      </c>
    </row>
    <row r="2857" spans="1:12" x14ac:dyDescent="0.25">
      <c r="A2857" s="40" t="s">
        <v>38</v>
      </c>
      <c r="B2857" s="40" t="s">
        <v>5179</v>
      </c>
      <c r="C2857" s="40" t="s">
        <v>5180</v>
      </c>
      <c r="D2857" s="40" t="s">
        <v>2233</v>
      </c>
      <c r="E2857" s="40" t="s">
        <v>2233</v>
      </c>
      <c r="F2857" s="40">
        <v>1</v>
      </c>
      <c r="G2857" s="40"/>
      <c r="H2857" s="40" t="s">
        <v>2234</v>
      </c>
      <c r="I2857" s="40"/>
      <c r="J2857" s="40" t="s">
        <v>97</v>
      </c>
      <c r="K2857" s="40" t="s">
        <v>97</v>
      </c>
      <c r="L2857" s="40" t="s">
        <v>97</v>
      </c>
    </row>
    <row r="2858" spans="1:12" x14ac:dyDescent="0.25">
      <c r="A2858" s="40" t="s">
        <v>38</v>
      </c>
      <c r="B2858" s="40" t="s">
        <v>5181</v>
      </c>
      <c r="C2858" s="40" t="s">
        <v>5182</v>
      </c>
      <c r="D2858" s="40" t="s">
        <v>2233</v>
      </c>
      <c r="E2858" s="40" t="s">
        <v>2233</v>
      </c>
      <c r="F2858" s="40">
        <v>1</v>
      </c>
      <c r="G2858" s="40"/>
      <c r="H2858" s="40" t="s">
        <v>2234</v>
      </c>
      <c r="I2858" s="40"/>
      <c r="J2858" s="40" t="s">
        <v>97</v>
      </c>
      <c r="K2858" s="40" t="s">
        <v>97</v>
      </c>
      <c r="L2858" s="40" t="s">
        <v>97</v>
      </c>
    </row>
    <row r="2859" spans="1:12" x14ac:dyDescent="0.25">
      <c r="A2859" s="40" t="s">
        <v>38</v>
      </c>
      <c r="B2859" s="40" t="s">
        <v>5183</v>
      </c>
      <c r="C2859" s="40" t="s">
        <v>5184</v>
      </c>
      <c r="D2859" s="40" t="s">
        <v>2233</v>
      </c>
      <c r="E2859" s="40" t="s">
        <v>2233</v>
      </c>
      <c r="F2859" s="40">
        <v>1</v>
      </c>
      <c r="G2859" s="40"/>
      <c r="H2859" s="40" t="s">
        <v>2234</v>
      </c>
      <c r="I2859" s="40"/>
      <c r="J2859" s="40" t="s">
        <v>97</v>
      </c>
      <c r="K2859" s="40" t="s">
        <v>97</v>
      </c>
      <c r="L2859" s="40" t="s">
        <v>97</v>
      </c>
    </row>
    <row r="2860" spans="1:12" x14ac:dyDescent="0.25">
      <c r="A2860" s="40" t="s">
        <v>38</v>
      </c>
      <c r="B2860" s="40" t="s">
        <v>5185</v>
      </c>
      <c r="C2860" s="40" t="s">
        <v>5186</v>
      </c>
      <c r="D2860" s="40" t="s">
        <v>2233</v>
      </c>
      <c r="E2860" s="40" t="s">
        <v>2233</v>
      </c>
      <c r="F2860" s="40">
        <v>1</v>
      </c>
      <c r="G2860" s="40"/>
      <c r="H2860" s="40" t="s">
        <v>2234</v>
      </c>
      <c r="I2860" s="40"/>
      <c r="J2860" s="40" t="s">
        <v>97</v>
      </c>
      <c r="K2860" s="40" t="s">
        <v>97</v>
      </c>
      <c r="L2860" s="40" t="s">
        <v>97</v>
      </c>
    </row>
    <row r="2861" spans="1:12" x14ac:dyDescent="0.25">
      <c r="A2861" s="40" t="s">
        <v>38</v>
      </c>
      <c r="B2861" s="40" t="s">
        <v>5187</v>
      </c>
      <c r="C2861" s="40" t="s">
        <v>5188</v>
      </c>
      <c r="D2861" s="40" t="s">
        <v>2233</v>
      </c>
      <c r="E2861" s="40" t="s">
        <v>2233</v>
      </c>
      <c r="F2861" s="40">
        <v>1</v>
      </c>
      <c r="G2861" s="40"/>
      <c r="H2861" s="40" t="s">
        <v>2234</v>
      </c>
      <c r="I2861" s="40"/>
      <c r="J2861" s="40" t="s">
        <v>97</v>
      </c>
      <c r="K2861" s="40" t="s">
        <v>97</v>
      </c>
      <c r="L2861" s="40" t="s">
        <v>97</v>
      </c>
    </row>
    <row r="2862" spans="1:12" x14ac:dyDescent="0.25">
      <c r="A2862" s="40" t="s">
        <v>38</v>
      </c>
      <c r="B2862" s="40" t="s">
        <v>5189</v>
      </c>
      <c r="C2862" s="40" t="s">
        <v>5190</v>
      </c>
      <c r="D2862" s="40" t="s">
        <v>2233</v>
      </c>
      <c r="E2862" s="40" t="s">
        <v>2233</v>
      </c>
      <c r="F2862" s="40">
        <v>1</v>
      </c>
      <c r="G2862" s="40"/>
      <c r="H2862" s="40" t="s">
        <v>2234</v>
      </c>
      <c r="I2862" s="40"/>
      <c r="J2862" s="40" t="s">
        <v>97</v>
      </c>
      <c r="K2862" s="40" t="s">
        <v>97</v>
      </c>
      <c r="L2862" s="40" t="s">
        <v>97</v>
      </c>
    </row>
    <row r="2863" spans="1:12" x14ac:dyDescent="0.25">
      <c r="A2863" s="40" t="s">
        <v>38</v>
      </c>
      <c r="B2863" s="40" t="s">
        <v>5191</v>
      </c>
      <c r="C2863" s="40" t="s">
        <v>5192</v>
      </c>
      <c r="D2863" s="40" t="s">
        <v>2233</v>
      </c>
      <c r="E2863" s="40" t="s">
        <v>2233</v>
      </c>
      <c r="F2863" s="40">
        <v>1</v>
      </c>
      <c r="G2863" s="40"/>
      <c r="H2863" s="40" t="s">
        <v>2234</v>
      </c>
      <c r="I2863" s="40"/>
      <c r="J2863" s="40" t="s">
        <v>97</v>
      </c>
      <c r="K2863" s="40" t="s">
        <v>97</v>
      </c>
      <c r="L2863" s="40" t="s">
        <v>97</v>
      </c>
    </row>
    <row r="2864" spans="1:12" x14ac:dyDescent="0.25">
      <c r="A2864" s="40" t="s">
        <v>38</v>
      </c>
      <c r="B2864" s="40" t="s">
        <v>5193</v>
      </c>
      <c r="C2864" s="40" t="s">
        <v>5194</v>
      </c>
      <c r="D2864" s="40" t="s">
        <v>5133</v>
      </c>
      <c r="E2864" s="40" t="s">
        <v>5133</v>
      </c>
      <c r="F2864" s="40">
        <v>1</v>
      </c>
      <c r="G2864" s="40"/>
      <c r="H2864" s="40" t="s">
        <v>97</v>
      </c>
      <c r="I2864" s="40"/>
      <c r="J2864" s="40" t="s">
        <v>97</v>
      </c>
      <c r="K2864" s="40" t="s">
        <v>97</v>
      </c>
      <c r="L2864" s="40" t="s">
        <v>97</v>
      </c>
    </row>
    <row r="2865" spans="1:12" x14ac:dyDescent="0.25">
      <c r="A2865" s="40" t="s">
        <v>38</v>
      </c>
      <c r="B2865" s="40" t="s">
        <v>5195</v>
      </c>
      <c r="C2865" s="40" t="s">
        <v>5196</v>
      </c>
      <c r="D2865" s="40" t="s">
        <v>3246</v>
      </c>
      <c r="E2865" s="40" t="s">
        <v>3246</v>
      </c>
      <c r="F2865" s="40">
        <v>1</v>
      </c>
      <c r="G2865" s="40"/>
      <c r="H2865" s="40" t="s">
        <v>97</v>
      </c>
      <c r="I2865" s="40"/>
      <c r="J2865" s="40" t="s">
        <v>97</v>
      </c>
      <c r="K2865" s="40" t="s">
        <v>97</v>
      </c>
      <c r="L2865" s="40" t="s">
        <v>97</v>
      </c>
    </row>
    <row r="2866" spans="1:12" x14ac:dyDescent="0.25">
      <c r="A2866" s="40" t="s">
        <v>38</v>
      </c>
      <c r="B2866" s="40" t="s">
        <v>5197</v>
      </c>
      <c r="C2866" s="40" t="s">
        <v>5198</v>
      </c>
      <c r="D2866" s="40" t="s">
        <v>2233</v>
      </c>
      <c r="E2866" s="40" t="s">
        <v>2233</v>
      </c>
      <c r="F2866" s="40">
        <v>1</v>
      </c>
      <c r="G2866" s="40"/>
      <c r="H2866" s="40" t="s">
        <v>2234</v>
      </c>
      <c r="I2866" s="40"/>
      <c r="J2866" s="40" t="s">
        <v>97</v>
      </c>
      <c r="K2866" s="40" t="s">
        <v>97</v>
      </c>
      <c r="L2866" s="40" t="s">
        <v>97</v>
      </c>
    </row>
    <row r="2867" spans="1:12" x14ac:dyDescent="0.25">
      <c r="A2867" s="40" t="s">
        <v>38</v>
      </c>
      <c r="B2867" s="40" t="s">
        <v>5199</v>
      </c>
      <c r="C2867" s="40" t="s">
        <v>5200</v>
      </c>
      <c r="D2867" s="40" t="s">
        <v>2233</v>
      </c>
      <c r="E2867" s="40" t="s">
        <v>2233</v>
      </c>
      <c r="F2867" s="40">
        <v>1</v>
      </c>
      <c r="G2867" s="40"/>
      <c r="H2867" s="40" t="s">
        <v>97</v>
      </c>
      <c r="I2867" s="40"/>
      <c r="J2867" s="40" t="s">
        <v>97</v>
      </c>
      <c r="K2867" s="40" t="s">
        <v>97</v>
      </c>
      <c r="L2867" s="40" t="s">
        <v>97</v>
      </c>
    </row>
    <row r="2868" spans="1:12" x14ac:dyDescent="0.25">
      <c r="A2868" s="40" t="s">
        <v>38</v>
      </c>
      <c r="B2868" s="40" t="s">
        <v>5201</v>
      </c>
      <c r="C2868" s="40" t="s">
        <v>5202</v>
      </c>
      <c r="D2868" s="40" t="s">
        <v>2233</v>
      </c>
      <c r="E2868" s="40" t="s">
        <v>2233</v>
      </c>
      <c r="F2868" s="40">
        <v>1</v>
      </c>
      <c r="G2868" s="40"/>
      <c r="H2868" s="40" t="s">
        <v>2234</v>
      </c>
      <c r="I2868" s="40"/>
      <c r="J2868" s="40" t="s">
        <v>97</v>
      </c>
      <c r="K2868" s="40" t="s">
        <v>97</v>
      </c>
      <c r="L2868" s="40" t="s">
        <v>97</v>
      </c>
    </row>
    <row r="2869" spans="1:12" x14ac:dyDescent="0.25">
      <c r="A2869" s="40" t="s">
        <v>38</v>
      </c>
      <c r="B2869" s="40" t="s">
        <v>5203</v>
      </c>
      <c r="C2869" s="40" t="s">
        <v>5204</v>
      </c>
      <c r="D2869" s="40" t="s">
        <v>2233</v>
      </c>
      <c r="E2869" s="40" t="s">
        <v>2233</v>
      </c>
      <c r="F2869" s="40">
        <v>1</v>
      </c>
      <c r="G2869" s="40"/>
      <c r="H2869" s="40" t="s">
        <v>2234</v>
      </c>
      <c r="I2869" s="40"/>
      <c r="J2869" s="40" t="s">
        <v>97</v>
      </c>
      <c r="K2869" s="40" t="s">
        <v>97</v>
      </c>
      <c r="L2869" s="40" t="s">
        <v>97</v>
      </c>
    </row>
    <row r="2870" spans="1:12" x14ac:dyDescent="0.25">
      <c r="A2870" s="40" t="s">
        <v>38</v>
      </c>
      <c r="B2870" s="40" t="s">
        <v>5205</v>
      </c>
      <c r="C2870" s="40" t="s">
        <v>5206</v>
      </c>
      <c r="D2870" s="40" t="s">
        <v>2233</v>
      </c>
      <c r="E2870" s="40" t="s">
        <v>2233</v>
      </c>
      <c r="F2870" s="40">
        <v>1</v>
      </c>
      <c r="G2870" s="40"/>
      <c r="H2870" s="40" t="s">
        <v>2234</v>
      </c>
      <c r="I2870" s="40"/>
      <c r="J2870" s="40" t="s">
        <v>97</v>
      </c>
      <c r="K2870" s="40" t="s">
        <v>97</v>
      </c>
      <c r="L2870" s="40" t="s">
        <v>97</v>
      </c>
    </row>
    <row r="2871" spans="1:12" x14ac:dyDescent="0.25">
      <c r="A2871" s="40" t="s">
        <v>38</v>
      </c>
      <c r="B2871" s="40" t="s">
        <v>5207</v>
      </c>
      <c r="C2871" s="40" t="s">
        <v>5208</v>
      </c>
      <c r="D2871" s="40" t="s">
        <v>2233</v>
      </c>
      <c r="E2871" s="40" t="s">
        <v>2233</v>
      </c>
      <c r="F2871" s="40">
        <v>1</v>
      </c>
      <c r="G2871" s="40"/>
      <c r="H2871" s="40" t="s">
        <v>2234</v>
      </c>
      <c r="I2871" s="40"/>
      <c r="J2871" s="40" t="s">
        <v>97</v>
      </c>
      <c r="K2871" s="40" t="s">
        <v>97</v>
      </c>
      <c r="L2871" s="40" t="s">
        <v>97</v>
      </c>
    </row>
    <row r="2872" spans="1:12" x14ac:dyDescent="0.25">
      <c r="A2872" s="40" t="s">
        <v>38</v>
      </c>
      <c r="B2872" s="40" t="s">
        <v>5209</v>
      </c>
      <c r="C2872" s="40" t="s">
        <v>5210</v>
      </c>
      <c r="D2872" s="40" t="s">
        <v>2233</v>
      </c>
      <c r="E2872" s="40" t="s">
        <v>2233</v>
      </c>
      <c r="F2872" s="40">
        <v>1</v>
      </c>
      <c r="G2872" s="40"/>
      <c r="H2872" s="40" t="s">
        <v>2234</v>
      </c>
      <c r="I2872" s="40"/>
      <c r="J2872" s="40" t="s">
        <v>97</v>
      </c>
      <c r="K2872" s="40" t="s">
        <v>97</v>
      </c>
      <c r="L2872" s="40" t="s">
        <v>97</v>
      </c>
    </row>
    <row r="2873" spans="1:12" x14ac:dyDescent="0.25">
      <c r="A2873" s="40" t="s">
        <v>38</v>
      </c>
      <c r="B2873" s="40" t="s">
        <v>5211</v>
      </c>
      <c r="C2873" s="40" t="s">
        <v>5212</v>
      </c>
      <c r="D2873" s="40" t="s">
        <v>2233</v>
      </c>
      <c r="E2873" s="40" t="s">
        <v>2233</v>
      </c>
      <c r="F2873" s="40">
        <v>1</v>
      </c>
      <c r="G2873" s="40"/>
      <c r="H2873" s="40" t="s">
        <v>2234</v>
      </c>
      <c r="I2873" s="40"/>
      <c r="J2873" s="40" t="s">
        <v>97</v>
      </c>
      <c r="K2873" s="40" t="s">
        <v>97</v>
      </c>
      <c r="L2873" s="40" t="s">
        <v>97</v>
      </c>
    </row>
    <row r="2874" spans="1:12" x14ac:dyDescent="0.25">
      <c r="A2874" s="40" t="s">
        <v>38</v>
      </c>
      <c r="B2874" s="40" t="s">
        <v>5213</v>
      </c>
      <c r="C2874" s="40" t="s">
        <v>5214</v>
      </c>
      <c r="D2874" s="40" t="s">
        <v>2233</v>
      </c>
      <c r="E2874" s="40" t="s">
        <v>2233</v>
      </c>
      <c r="F2874" s="40">
        <v>1</v>
      </c>
      <c r="G2874" s="40"/>
      <c r="H2874" s="40" t="s">
        <v>2234</v>
      </c>
      <c r="I2874" s="40"/>
      <c r="J2874" s="40" t="s">
        <v>97</v>
      </c>
      <c r="K2874" s="40" t="s">
        <v>97</v>
      </c>
      <c r="L2874" s="40" t="s">
        <v>97</v>
      </c>
    </row>
    <row r="2875" spans="1:12" x14ac:dyDescent="0.25">
      <c r="A2875" s="40" t="s">
        <v>38</v>
      </c>
      <c r="B2875" s="40" t="s">
        <v>5215</v>
      </c>
      <c r="C2875" s="40" t="s">
        <v>5216</v>
      </c>
      <c r="D2875" s="40" t="s">
        <v>2233</v>
      </c>
      <c r="E2875" s="40" t="s">
        <v>2233</v>
      </c>
      <c r="F2875" s="40">
        <v>1</v>
      </c>
      <c r="G2875" s="40"/>
      <c r="H2875" s="40" t="s">
        <v>2234</v>
      </c>
      <c r="I2875" s="40"/>
      <c r="J2875" s="40" t="s">
        <v>97</v>
      </c>
      <c r="K2875" s="40" t="s">
        <v>97</v>
      </c>
      <c r="L2875" s="40" t="s">
        <v>97</v>
      </c>
    </row>
    <row r="2876" spans="1:12" x14ac:dyDescent="0.25">
      <c r="A2876" s="40" t="s">
        <v>38</v>
      </c>
      <c r="B2876" s="40" t="s">
        <v>5217</v>
      </c>
      <c r="C2876" s="40" t="s">
        <v>5218</v>
      </c>
      <c r="D2876" s="40" t="s">
        <v>5133</v>
      </c>
      <c r="E2876" s="40" t="s">
        <v>5133</v>
      </c>
      <c r="F2876" s="40">
        <v>1</v>
      </c>
      <c r="G2876" s="40"/>
      <c r="H2876" s="40" t="s">
        <v>97</v>
      </c>
      <c r="I2876" s="40"/>
      <c r="J2876" s="40" t="s">
        <v>97</v>
      </c>
      <c r="K2876" s="40" t="s">
        <v>97</v>
      </c>
      <c r="L2876" s="40" t="s">
        <v>97</v>
      </c>
    </row>
    <row r="2877" spans="1:12" x14ac:dyDescent="0.25">
      <c r="A2877" s="40" t="s">
        <v>38</v>
      </c>
      <c r="B2877" s="40" t="s">
        <v>5219</v>
      </c>
      <c r="C2877" s="40" t="s">
        <v>5220</v>
      </c>
      <c r="D2877" s="40" t="s">
        <v>3246</v>
      </c>
      <c r="E2877" s="40" t="s">
        <v>3246</v>
      </c>
      <c r="F2877" s="40">
        <v>1</v>
      </c>
      <c r="G2877" s="40"/>
      <c r="H2877" s="40" t="s">
        <v>97</v>
      </c>
      <c r="I2877" s="40"/>
      <c r="J2877" s="40" t="s">
        <v>97</v>
      </c>
      <c r="K2877" s="40" t="s">
        <v>97</v>
      </c>
      <c r="L2877" s="40" t="s">
        <v>97</v>
      </c>
    </row>
    <row r="2878" spans="1:12" x14ac:dyDescent="0.25">
      <c r="A2878" s="40" t="s">
        <v>38</v>
      </c>
      <c r="B2878" s="40" t="s">
        <v>5221</v>
      </c>
      <c r="C2878" s="40" t="s">
        <v>5222</v>
      </c>
      <c r="D2878" s="40" t="s">
        <v>2233</v>
      </c>
      <c r="E2878" s="40" t="s">
        <v>2233</v>
      </c>
      <c r="F2878" s="40">
        <v>1</v>
      </c>
      <c r="G2878" s="40"/>
      <c r="H2878" s="40" t="s">
        <v>2234</v>
      </c>
      <c r="I2878" s="40"/>
      <c r="J2878" s="40" t="s">
        <v>97</v>
      </c>
      <c r="K2878" s="40" t="s">
        <v>97</v>
      </c>
      <c r="L2878" s="40" t="s">
        <v>97</v>
      </c>
    </row>
    <row r="2879" spans="1:12" x14ac:dyDescent="0.25">
      <c r="A2879" s="40" t="s">
        <v>38</v>
      </c>
      <c r="B2879" s="40" t="s">
        <v>5223</v>
      </c>
      <c r="C2879" s="40" t="s">
        <v>5224</v>
      </c>
      <c r="D2879" s="40" t="s">
        <v>2233</v>
      </c>
      <c r="E2879" s="40" t="s">
        <v>2233</v>
      </c>
      <c r="F2879" s="40">
        <v>1</v>
      </c>
      <c r="G2879" s="40"/>
      <c r="H2879" s="40" t="s">
        <v>97</v>
      </c>
      <c r="I2879" s="40"/>
      <c r="J2879" s="40" t="s">
        <v>97</v>
      </c>
      <c r="K2879" s="40" t="s">
        <v>97</v>
      </c>
      <c r="L2879" s="40" t="s">
        <v>97</v>
      </c>
    </row>
    <row r="2880" spans="1:12" x14ac:dyDescent="0.25">
      <c r="A2880" s="40" t="s">
        <v>38</v>
      </c>
      <c r="B2880" s="40" t="s">
        <v>5225</v>
      </c>
      <c r="C2880" s="40" t="s">
        <v>5226</v>
      </c>
      <c r="D2880" s="40" t="s">
        <v>2233</v>
      </c>
      <c r="E2880" s="40" t="s">
        <v>2233</v>
      </c>
      <c r="F2880" s="40">
        <v>1</v>
      </c>
      <c r="G2880" s="40"/>
      <c r="H2880" s="40" t="s">
        <v>2234</v>
      </c>
      <c r="I2880" s="40"/>
      <c r="J2880" s="40" t="s">
        <v>97</v>
      </c>
      <c r="K2880" s="40" t="s">
        <v>97</v>
      </c>
      <c r="L2880" s="40" t="s">
        <v>97</v>
      </c>
    </row>
    <row r="2881" spans="1:12" x14ac:dyDescent="0.25">
      <c r="A2881" s="40" t="s">
        <v>38</v>
      </c>
      <c r="B2881" s="40" t="s">
        <v>5227</v>
      </c>
      <c r="C2881" s="40" t="s">
        <v>5228</v>
      </c>
      <c r="D2881" s="40" t="s">
        <v>2233</v>
      </c>
      <c r="E2881" s="40" t="s">
        <v>2233</v>
      </c>
      <c r="F2881" s="40">
        <v>1</v>
      </c>
      <c r="G2881" s="40"/>
      <c r="H2881" s="40" t="s">
        <v>2234</v>
      </c>
      <c r="I2881" s="40"/>
      <c r="J2881" s="40" t="s">
        <v>97</v>
      </c>
      <c r="K2881" s="40" t="s">
        <v>97</v>
      </c>
      <c r="L2881" s="40" t="s">
        <v>97</v>
      </c>
    </row>
    <row r="2882" spans="1:12" x14ac:dyDescent="0.25">
      <c r="A2882" s="40" t="s">
        <v>38</v>
      </c>
      <c r="B2882" s="40" t="s">
        <v>5229</v>
      </c>
      <c r="C2882" s="40" t="s">
        <v>5230</v>
      </c>
      <c r="D2882" s="40" t="s">
        <v>2233</v>
      </c>
      <c r="E2882" s="40" t="s">
        <v>2233</v>
      </c>
      <c r="F2882" s="40">
        <v>1</v>
      </c>
      <c r="G2882" s="40"/>
      <c r="H2882" s="40" t="s">
        <v>2234</v>
      </c>
      <c r="I2882" s="40"/>
      <c r="J2882" s="40" t="s">
        <v>97</v>
      </c>
      <c r="K2882" s="40" t="s">
        <v>97</v>
      </c>
      <c r="L2882" s="40" t="s">
        <v>97</v>
      </c>
    </row>
    <row r="2883" spans="1:12" x14ac:dyDescent="0.25">
      <c r="A2883" s="40" t="s">
        <v>38</v>
      </c>
      <c r="B2883" s="40" t="s">
        <v>5231</v>
      </c>
      <c r="C2883" s="40" t="s">
        <v>5232</v>
      </c>
      <c r="D2883" s="40" t="s">
        <v>2233</v>
      </c>
      <c r="E2883" s="40" t="s">
        <v>2233</v>
      </c>
      <c r="F2883" s="40">
        <v>1</v>
      </c>
      <c r="G2883" s="40"/>
      <c r="H2883" s="40" t="s">
        <v>2234</v>
      </c>
      <c r="I2883" s="40"/>
      <c r="J2883" s="40" t="s">
        <v>97</v>
      </c>
      <c r="K2883" s="40" t="s">
        <v>97</v>
      </c>
      <c r="L2883" s="40" t="s">
        <v>97</v>
      </c>
    </row>
    <row r="2884" spans="1:12" x14ac:dyDescent="0.25">
      <c r="A2884" s="40" t="s">
        <v>38</v>
      </c>
      <c r="B2884" s="40" t="s">
        <v>5233</v>
      </c>
      <c r="C2884" s="40" t="s">
        <v>5234</v>
      </c>
      <c r="D2884" s="40" t="s">
        <v>2233</v>
      </c>
      <c r="E2884" s="40" t="s">
        <v>2233</v>
      </c>
      <c r="F2884" s="40">
        <v>1</v>
      </c>
      <c r="G2884" s="40"/>
      <c r="H2884" s="40" t="s">
        <v>2234</v>
      </c>
      <c r="I2884" s="40"/>
      <c r="J2884" s="40" t="s">
        <v>97</v>
      </c>
      <c r="K2884" s="40" t="s">
        <v>97</v>
      </c>
      <c r="L2884" s="40" t="s">
        <v>97</v>
      </c>
    </row>
    <row r="2885" spans="1:12" x14ac:dyDescent="0.25">
      <c r="A2885" s="40" t="s">
        <v>38</v>
      </c>
      <c r="B2885" s="40" t="s">
        <v>5235</v>
      </c>
      <c r="C2885" s="40" t="s">
        <v>5236</v>
      </c>
      <c r="D2885" s="40" t="s">
        <v>2233</v>
      </c>
      <c r="E2885" s="40" t="s">
        <v>2233</v>
      </c>
      <c r="F2885" s="40">
        <v>1</v>
      </c>
      <c r="G2885" s="40"/>
      <c r="H2885" s="40" t="s">
        <v>2234</v>
      </c>
      <c r="I2885" s="40"/>
      <c r="J2885" s="40" t="s">
        <v>97</v>
      </c>
      <c r="K2885" s="40" t="s">
        <v>97</v>
      </c>
      <c r="L2885" s="40" t="s">
        <v>97</v>
      </c>
    </row>
    <row r="2886" spans="1:12" x14ac:dyDescent="0.25">
      <c r="A2886" s="40" t="s">
        <v>38</v>
      </c>
      <c r="B2886" s="40" t="s">
        <v>5237</v>
      </c>
      <c r="C2886" s="40" t="s">
        <v>5238</v>
      </c>
      <c r="D2886" s="40" t="s">
        <v>2233</v>
      </c>
      <c r="E2886" s="40" t="s">
        <v>2233</v>
      </c>
      <c r="F2886" s="40">
        <v>1</v>
      </c>
      <c r="G2886" s="40"/>
      <c r="H2886" s="40" t="s">
        <v>2234</v>
      </c>
      <c r="I2886" s="40"/>
      <c r="J2886" s="40" t="s">
        <v>97</v>
      </c>
      <c r="K2886" s="40" t="s">
        <v>97</v>
      </c>
      <c r="L2886" s="40" t="s">
        <v>97</v>
      </c>
    </row>
    <row r="2887" spans="1:12" x14ac:dyDescent="0.25">
      <c r="A2887" s="40" t="s">
        <v>38</v>
      </c>
      <c r="B2887" s="40" t="s">
        <v>5239</v>
      </c>
      <c r="C2887" s="40" t="s">
        <v>5240</v>
      </c>
      <c r="D2887" s="40" t="s">
        <v>2233</v>
      </c>
      <c r="E2887" s="40" t="s">
        <v>2233</v>
      </c>
      <c r="F2887" s="40">
        <v>1</v>
      </c>
      <c r="G2887" s="40"/>
      <c r="H2887" s="40" t="s">
        <v>2234</v>
      </c>
      <c r="I2887" s="40"/>
      <c r="J2887" s="40" t="s">
        <v>97</v>
      </c>
      <c r="K2887" s="40" t="s">
        <v>97</v>
      </c>
      <c r="L2887" s="40" t="s">
        <v>97</v>
      </c>
    </row>
    <row r="2888" spans="1:12" x14ac:dyDescent="0.25">
      <c r="A2888" s="40" t="s">
        <v>38</v>
      </c>
      <c r="B2888" s="40" t="s">
        <v>5241</v>
      </c>
      <c r="C2888" s="40" t="s">
        <v>5242</v>
      </c>
      <c r="D2888" s="40" t="s">
        <v>5133</v>
      </c>
      <c r="E2888" s="40" t="s">
        <v>5133</v>
      </c>
      <c r="F2888" s="40">
        <v>1</v>
      </c>
      <c r="G2888" s="40"/>
      <c r="H2888" s="40" t="s">
        <v>97</v>
      </c>
      <c r="I2888" s="40"/>
      <c r="J2888" s="40" t="s">
        <v>97</v>
      </c>
      <c r="K2888" s="40" t="s">
        <v>97</v>
      </c>
      <c r="L2888" s="40" t="s">
        <v>97</v>
      </c>
    </row>
    <row r="2889" spans="1:12" x14ac:dyDescent="0.25">
      <c r="A2889" s="40" t="s">
        <v>38</v>
      </c>
      <c r="B2889" s="40" t="s">
        <v>5243</v>
      </c>
      <c r="C2889" s="40" t="s">
        <v>5244</v>
      </c>
      <c r="D2889" s="40" t="s">
        <v>3246</v>
      </c>
      <c r="E2889" s="40" t="s">
        <v>3246</v>
      </c>
      <c r="F2889" s="40">
        <v>1</v>
      </c>
      <c r="G2889" s="40"/>
      <c r="H2889" s="40" t="s">
        <v>97</v>
      </c>
      <c r="I2889" s="40"/>
      <c r="J2889" s="40" t="s">
        <v>97</v>
      </c>
      <c r="K2889" s="40" t="s">
        <v>97</v>
      </c>
      <c r="L2889" s="40" t="s">
        <v>97</v>
      </c>
    </row>
    <row r="2890" spans="1:12" x14ac:dyDescent="0.25">
      <c r="A2890" s="40" t="s">
        <v>38</v>
      </c>
      <c r="B2890" s="40" t="s">
        <v>5245</v>
      </c>
      <c r="C2890" s="40" t="s">
        <v>5246</v>
      </c>
      <c r="D2890" s="40" t="s">
        <v>2233</v>
      </c>
      <c r="E2890" s="40" t="s">
        <v>2233</v>
      </c>
      <c r="F2890" s="40">
        <v>1</v>
      </c>
      <c r="G2890" s="40"/>
      <c r="H2890" s="40" t="s">
        <v>2234</v>
      </c>
      <c r="I2890" s="40"/>
      <c r="J2890" s="40" t="s">
        <v>97</v>
      </c>
      <c r="K2890" s="40" t="s">
        <v>97</v>
      </c>
      <c r="L2890" s="40" t="s">
        <v>97</v>
      </c>
    </row>
    <row r="2891" spans="1:12" x14ac:dyDescent="0.25">
      <c r="A2891" s="40" t="s">
        <v>38</v>
      </c>
      <c r="B2891" s="40" t="s">
        <v>5247</v>
      </c>
      <c r="C2891" s="40" t="s">
        <v>5248</v>
      </c>
      <c r="D2891" s="40" t="s">
        <v>2233</v>
      </c>
      <c r="E2891" s="40" t="s">
        <v>2233</v>
      </c>
      <c r="F2891" s="40">
        <v>1</v>
      </c>
      <c r="G2891" s="40"/>
      <c r="H2891" s="40" t="s">
        <v>97</v>
      </c>
      <c r="I2891" s="40"/>
      <c r="J2891" s="40" t="s">
        <v>97</v>
      </c>
      <c r="K2891" s="40" t="s">
        <v>97</v>
      </c>
      <c r="L2891" s="40" t="s">
        <v>97</v>
      </c>
    </row>
    <row r="2892" spans="1:12" x14ac:dyDescent="0.25">
      <c r="A2892" s="40" t="s">
        <v>38</v>
      </c>
      <c r="B2892" s="40" t="s">
        <v>5249</v>
      </c>
      <c r="C2892" s="40" t="s">
        <v>5250</v>
      </c>
      <c r="D2892" s="40" t="s">
        <v>2233</v>
      </c>
      <c r="E2892" s="40" t="s">
        <v>2233</v>
      </c>
      <c r="F2892" s="40">
        <v>1</v>
      </c>
      <c r="G2892" s="40"/>
      <c r="H2892" s="40" t="s">
        <v>2234</v>
      </c>
      <c r="I2892" s="40"/>
      <c r="J2892" s="40" t="s">
        <v>97</v>
      </c>
      <c r="K2892" s="40" t="s">
        <v>97</v>
      </c>
      <c r="L2892" s="40" t="s">
        <v>97</v>
      </c>
    </row>
    <row r="2893" spans="1:12" x14ac:dyDescent="0.25">
      <c r="A2893" s="40" t="s">
        <v>38</v>
      </c>
      <c r="B2893" s="40" t="s">
        <v>5251</v>
      </c>
      <c r="C2893" s="40" t="s">
        <v>5252</v>
      </c>
      <c r="D2893" s="40" t="s">
        <v>2233</v>
      </c>
      <c r="E2893" s="40" t="s">
        <v>2233</v>
      </c>
      <c r="F2893" s="40">
        <v>1</v>
      </c>
      <c r="G2893" s="40"/>
      <c r="H2893" s="40" t="s">
        <v>2234</v>
      </c>
      <c r="I2893" s="40"/>
      <c r="J2893" s="40" t="s">
        <v>97</v>
      </c>
      <c r="K2893" s="40" t="s">
        <v>97</v>
      </c>
      <c r="L2893" s="40" t="s">
        <v>97</v>
      </c>
    </row>
    <row r="2894" spans="1:12" x14ac:dyDescent="0.25">
      <c r="A2894" s="40" t="s">
        <v>38</v>
      </c>
      <c r="B2894" s="40" t="s">
        <v>5253</v>
      </c>
      <c r="C2894" s="40" t="s">
        <v>5254</v>
      </c>
      <c r="D2894" s="40" t="s">
        <v>2233</v>
      </c>
      <c r="E2894" s="40" t="s">
        <v>2233</v>
      </c>
      <c r="F2894" s="40">
        <v>1</v>
      </c>
      <c r="G2894" s="40"/>
      <c r="H2894" s="40" t="s">
        <v>2234</v>
      </c>
      <c r="I2894" s="40"/>
      <c r="J2894" s="40" t="s">
        <v>97</v>
      </c>
      <c r="K2894" s="40" t="s">
        <v>97</v>
      </c>
      <c r="L2894" s="40" t="s">
        <v>97</v>
      </c>
    </row>
    <row r="2895" spans="1:12" x14ac:dyDescent="0.25">
      <c r="A2895" s="40" t="s">
        <v>38</v>
      </c>
      <c r="B2895" s="40" t="s">
        <v>5255</v>
      </c>
      <c r="C2895" s="40" t="s">
        <v>5256</v>
      </c>
      <c r="D2895" s="40" t="s">
        <v>2233</v>
      </c>
      <c r="E2895" s="40" t="s">
        <v>2233</v>
      </c>
      <c r="F2895" s="40">
        <v>1</v>
      </c>
      <c r="G2895" s="40"/>
      <c r="H2895" s="40" t="s">
        <v>2234</v>
      </c>
      <c r="I2895" s="40"/>
      <c r="J2895" s="40" t="s">
        <v>97</v>
      </c>
      <c r="K2895" s="40" t="s">
        <v>97</v>
      </c>
      <c r="L2895" s="40" t="s">
        <v>97</v>
      </c>
    </row>
    <row r="2896" spans="1:12" x14ac:dyDescent="0.25">
      <c r="A2896" s="40" t="s">
        <v>38</v>
      </c>
      <c r="B2896" s="40" t="s">
        <v>5257</v>
      </c>
      <c r="C2896" s="40" t="s">
        <v>5258</v>
      </c>
      <c r="D2896" s="40" t="s">
        <v>2233</v>
      </c>
      <c r="E2896" s="40" t="s">
        <v>2233</v>
      </c>
      <c r="F2896" s="40">
        <v>1</v>
      </c>
      <c r="G2896" s="40"/>
      <c r="H2896" s="40" t="s">
        <v>2234</v>
      </c>
      <c r="I2896" s="40"/>
      <c r="J2896" s="40" t="s">
        <v>97</v>
      </c>
      <c r="K2896" s="40" t="s">
        <v>97</v>
      </c>
      <c r="L2896" s="40" t="s">
        <v>97</v>
      </c>
    </row>
    <row r="2897" spans="1:12" x14ac:dyDescent="0.25">
      <c r="A2897" s="40" t="s">
        <v>38</v>
      </c>
      <c r="B2897" s="40" t="s">
        <v>5259</v>
      </c>
      <c r="C2897" s="40" t="s">
        <v>5260</v>
      </c>
      <c r="D2897" s="40" t="s">
        <v>2233</v>
      </c>
      <c r="E2897" s="40" t="s">
        <v>2233</v>
      </c>
      <c r="F2897" s="40">
        <v>1</v>
      </c>
      <c r="G2897" s="40"/>
      <c r="H2897" s="40" t="s">
        <v>2234</v>
      </c>
      <c r="I2897" s="40"/>
      <c r="J2897" s="40" t="s">
        <v>97</v>
      </c>
      <c r="K2897" s="40" t="s">
        <v>97</v>
      </c>
      <c r="L2897" s="40" t="s">
        <v>97</v>
      </c>
    </row>
    <row r="2898" spans="1:12" x14ac:dyDescent="0.25">
      <c r="A2898" s="40" t="s">
        <v>38</v>
      </c>
      <c r="B2898" s="40" t="s">
        <v>5261</v>
      </c>
      <c r="C2898" s="40" t="s">
        <v>5262</v>
      </c>
      <c r="D2898" s="40" t="s">
        <v>2233</v>
      </c>
      <c r="E2898" s="40" t="s">
        <v>2233</v>
      </c>
      <c r="F2898" s="40">
        <v>1</v>
      </c>
      <c r="G2898" s="40"/>
      <c r="H2898" s="40" t="s">
        <v>2234</v>
      </c>
      <c r="I2898" s="40"/>
      <c r="J2898" s="40" t="s">
        <v>97</v>
      </c>
      <c r="K2898" s="40" t="s">
        <v>97</v>
      </c>
      <c r="L2898" s="40" t="s">
        <v>97</v>
      </c>
    </row>
    <row r="2899" spans="1:12" x14ac:dyDescent="0.25">
      <c r="A2899" s="40" t="s">
        <v>38</v>
      </c>
      <c r="B2899" s="40" t="s">
        <v>5263</v>
      </c>
      <c r="C2899" s="40" t="s">
        <v>5264</v>
      </c>
      <c r="D2899" s="40" t="s">
        <v>2233</v>
      </c>
      <c r="E2899" s="40" t="s">
        <v>2233</v>
      </c>
      <c r="F2899" s="40">
        <v>1</v>
      </c>
      <c r="G2899" s="40"/>
      <c r="H2899" s="40" t="s">
        <v>2234</v>
      </c>
      <c r="I2899" s="40"/>
      <c r="J2899" s="40" t="s">
        <v>97</v>
      </c>
      <c r="K2899" s="40" t="s">
        <v>97</v>
      </c>
      <c r="L2899" s="40" t="s">
        <v>97</v>
      </c>
    </row>
    <row r="2900" spans="1:12" x14ac:dyDescent="0.25">
      <c r="A2900" s="40" t="s">
        <v>38</v>
      </c>
      <c r="B2900" s="40" t="s">
        <v>5265</v>
      </c>
      <c r="C2900" s="40" t="s">
        <v>5266</v>
      </c>
      <c r="D2900" s="40" t="s">
        <v>5133</v>
      </c>
      <c r="E2900" s="40" t="s">
        <v>5133</v>
      </c>
      <c r="F2900" s="40">
        <v>1</v>
      </c>
      <c r="G2900" s="40"/>
      <c r="H2900" s="40" t="s">
        <v>97</v>
      </c>
      <c r="I2900" s="40"/>
      <c r="J2900" s="40" t="s">
        <v>97</v>
      </c>
      <c r="K2900" s="40" t="s">
        <v>97</v>
      </c>
      <c r="L2900" s="40" t="s">
        <v>97</v>
      </c>
    </row>
    <row r="2901" spans="1:12" x14ac:dyDescent="0.25">
      <c r="A2901" s="40" t="s">
        <v>38</v>
      </c>
      <c r="B2901" s="40" t="s">
        <v>5267</v>
      </c>
      <c r="C2901" s="40" t="s">
        <v>5268</v>
      </c>
      <c r="D2901" s="40" t="s">
        <v>3246</v>
      </c>
      <c r="E2901" s="40" t="s">
        <v>3246</v>
      </c>
      <c r="F2901" s="40">
        <v>1</v>
      </c>
      <c r="G2901" s="40"/>
      <c r="H2901" s="40" t="s">
        <v>97</v>
      </c>
      <c r="I2901" s="40"/>
      <c r="J2901" s="40" t="s">
        <v>97</v>
      </c>
      <c r="K2901" s="40" t="s">
        <v>97</v>
      </c>
      <c r="L2901" s="40" t="s">
        <v>97</v>
      </c>
    </row>
    <row r="2902" spans="1:12" x14ac:dyDescent="0.25">
      <c r="A2902" s="40" t="s">
        <v>38</v>
      </c>
      <c r="B2902" s="40" t="s">
        <v>5269</v>
      </c>
      <c r="C2902" s="40" t="s">
        <v>5270</v>
      </c>
      <c r="D2902" s="40" t="s">
        <v>2233</v>
      </c>
      <c r="E2902" s="40" t="s">
        <v>2233</v>
      </c>
      <c r="F2902" s="40">
        <v>1</v>
      </c>
      <c r="G2902" s="40"/>
      <c r="H2902" s="40" t="s">
        <v>2234</v>
      </c>
      <c r="I2902" s="40"/>
      <c r="J2902" s="40" t="s">
        <v>97</v>
      </c>
      <c r="K2902" s="40" t="s">
        <v>97</v>
      </c>
      <c r="L2902" s="40" t="s">
        <v>97</v>
      </c>
    </row>
    <row r="2903" spans="1:12" x14ac:dyDescent="0.25">
      <c r="A2903" s="40" t="s">
        <v>38</v>
      </c>
      <c r="B2903" s="40" t="s">
        <v>5271</v>
      </c>
      <c r="C2903" s="40" t="s">
        <v>5272</v>
      </c>
      <c r="D2903" s="40" t="s">
        <v>2233</v>
      </c>
      <c r="E2903" s="40" t="s">
        <v>2233</v>
      </c>
      <c r="F2903" s="40">
        <v>1</v>
      </c>
      <c r="G2903" s="40"/>
      <c r="H2903" s="40" t="s">
        <v>97</v>
      </c>
      <c r="I2903" s="40"/>
      <c r="J2903" s="40" t="s">
        <v>97</v>
      </c>
      <c r="K2903" s="40" t="s">
        <v>97</v>
      </c>
      <c r="L2903" s="40" t="s">
        <v>97</v>
      </c>
    </row>
    <row r="2904" spans="1:12" x14ac:dyDescent="0.25">
      <c r="A2904" s="40" t="s">
        <v>38</v>
      </c>
      <c r="B2904" s="40" t="s">
        <v>5273</v>
      </c>
      <c r="C2904" s="40" t="s">
        <v>5274</v>
      </c>
      <c r="D2904" s="40" t="s">
        <v>2233</v>
      </c>
      <c r="E2904" s="40" t="s">
        <v>2233</v>
      </c>
      <c r="F2904" s="40">
        <v>1</v>
      </c>
      <c r="G2904" s="40"/>
      <c r="H2904" s="40" t="s">
        <v>2234</v>
      </c>
      <c r="I2904" s="40"/>
      <c r="J2904" s="40" t="s">
        <v>97</v>
      </c>
      <c r="K2904" s="40" t="s">
        <v>97</v>
      </c>
      <c r="L2904" s="40" t="s">
        <v>97</v>
      </c>
    </row>
    <row r="2905" spans="1:12" x14ac:dyDescent="0.25">
      <c r="A2905" s="40" t="s">
        <v>38</v>
      </c>
      <c r="B2905" s="40" t="s">
        <v>5275</v>
      </c>
      <c r="C2905" s="40" t="s">
        <v>5276</v>
      </c>
      <c r="D2905" s="40" t="s">
        <v>2233</v>
      </c>
      <c r="E2905" s="40" t="s">
        <v>2233</v>
      </c>
      <c r="F2905" s="40">
        <v>1</v>
      </c>
      <c r="G2905" s="40"/>
      <c r="H2905" s="40" t="s">
        <v>2234</v>
      </c>
      <c r="I2905" s="40"/>
      <c r="J2905" s="40" t="s">
        <v>97</v>
      </c>
      <c r="K2905" s="40" t="s">
        <v>97</v>
      </c>
      <c r="L2905" s="40" t="s">
        <v>97</v>
      </c>
    </row>
    <row r="2906" spans="1:12" x14ac:dyDescent="0.25">
      <c r="A2906" s="40" t="s">
        <v>38</v>
      </c>
      <c r="B2906" s="40" t="s">
        <v>5277</v>
      </c>
      <c r="C2906" s="40" t="s">
        <v>5278</v>
      </c>
      <c r="D2906" s="40" t="s">
        <v>2233</v>
      </c>
      <c r="E2906" s="40" t="s">
        <v>2233</v>
      </c>
      <c r="F2906" s="40">
        <v>1</v>
      </c>
      <c r="G2906" s="40"/>
      <c r="H2906" s="40" t="s">
        <v>2234</v>
      </c>
      <c r="I2906" s="40"/>
      <c r="J2906" s="40" t="s">
        <v>97</v>
      </c>
      <c r="K2906" s="40" t="s">
        <v>97</v>
      </c>
      <c r="L2906" s="40" t="s">
        <v>97</v>
      </c>
    </row>
    <row r="2907" spans="1:12" x14ac:dyDescent="0.25">
      <c r="A2907" s="40" t="s">
        <v>38</v>
      </c>
      <c r="B2907" s="40" t="s">
        <v>5279</v>
      </c>
      <c r="C2907" s="40" t="s">
        <v>5280</v>
      </c>
      <c r="D2907" s="40" t="s">
        <v>2233</v>
      </c>
      <c r="E2907" s="40" t="s">
        <v>2233</v>
      </c>
      <c r="F2907" s="40">
        <v>1</v>
      </c>
      <c r="G2907" s="40"/>
      <c r="H2907" s="40" t="s">
        <v>2234</v>
      </c>
      <c r="I2907" s="40"/>
      <c r="J2907" s="40" t="s">
        <v>97</v>
      </c>
      <c r="K2907" s="40" t="s">
        <v>97</v>
      </c>
      <c r="L2907" s="40" t="s">
        <v>97</v>
      </c>
    </row>
    <row r="2908" spans="1:12" x14ac:dyDescent="0.25">
      <c r="A2908" s="40" t="s">
        <v>38</v>
      </c>
      <c r="B2908" s="40" t="s">
        <v>5281</v>
      </c>
      <c r="C2908" s="40" t="s">
        <v>5282</v>
      </c>
      <c r="D2908" s="40" t="s">
        <v>2233</v>
      </c>
      <c r="E2908" s="40" t="s">
        <v>2233</v>
      </c>
      <c r="F2908" s="40">
        <v>1</v>
      </c>
      <c r="G2908" s="40"/>
      <c r="H2908" s="40" t="s">
        <v>2234</v>
      </c>
      <c r="I2908" s="40"/>
      <c r="J2908" s="40" t="s">
        <v>97</v>
      </c>
      <c r="K2908" s="40" t="s">
        <v>97</v>
      </c>
      <c r="L2908" s="40" t="s">
        <v>97</v>
      </c>
    </row>
    <row r="2909" spans="1:12" x14ac:dyDescent="0.25">
      <c r="A2909" s="40" t="s">
        <v>38</v>
      </c>
      <c r="B2909" s="40" t="s">
        <v>5283</v>
      </c>
      <c r="C2909" s="40" t="s">
        <v>5284</v>
      </c>
      <c r="D2909" s="40" t="s">
        <v>2233</v>
      </c>
      <c r="E2909" s="40" t="s">
        <v>2233</v>
      </c>
      <c r="F2909" s="40">
        <v>1</v>
      </c>
      <c r="G2909" s="40"/>
      <c r="H2909" s="40" t="s">
        <v>2234</v>
      </c>
      <c r="I2909" s="40"/>
      <c r="J2909" s="40" t="s">
        <v>97</v>
      </c>
      <c r="K2909" s="40" t="s">
        <v>97</v>
      </c>
      <c r="L2909" s="40" t="s">
        <v>97</v>
      </c>
    </row>
    <row r="2910" spans="1:12" x14ac:dyDescent="0.25">
      <c r="A2910" s="40" t="s">
        <v>38</v>
      </c>
      <c r="B2910" s="40" t="s">
        <v>5285</v>
      </c>
      <c r="C2910" s="40" t="s">
        <v>5286</v>
      </c>
      <c r="D2910" s="40" t="s">
        <v>2233</v>
      </c>
      <c r="E2910" s="40" t="s">
        <v>2233</v>
      </c>
      <c r="F2910" s="40">
        <v>1</v>
      </c>
      <c r="G2910" s="40"/>
      <c r="H2910" s="40" t="s">
        <v>2234</v>
      </c>
      <c r="I2910" s="40"/>
      <c r="J2910" s="40" t="s">
        <v>97</v>
      </c>
      <c r="K2910" s="40" t="s">
        <v>97</v>
      </c>
      <c r="L2910" s="40" t="s">
        <v>97</v>
      </c>
    </row>
    <row r="2911" spans="1:12" x14ac:dyDescent="0.25">
      <c r="A2911" s="40" t="s">
        <v>38</v>
      </c>
      <c r="B2911" s="40" t="s">
        <v>5287</v>
      </c>
      <c r="C2911" s="40" t="s">
        <v>5288</v>
      </c>
      <c r="D2911" s="40" t="s">
        <v>2233</v>
      </c>
      <c r="E2911" s="40" t="s">
        <v>2233</v>
      </c>
      <c r="F2911" s="40">
        <v>1</v>
      </c>
      <c r="G2911" s="40"/>
      <c r="H2911" s="40" t="s">
        <v>2234</v>
      </c>
      <c r="I2911" s="40"/>
      <c r="J2911" s="40" t="s">
        <v>97</v>
      </c>
      <c r="K2911" s="40" t="s">
        <v>97</v>
      </c>
      <c r="L2911" s="40" t="s">
        <v>97</v>
      </c>
    </row>
    <row r="2912" spans="1:12" x14ac:dyDescent="0.25">
      <c r="A2912" s="40" t="s">
        <v>38</v>
      </c>
      <c r="B2912" s="40" t="s">
        <v>5289</v>
      </c>
      <c r="C2912" s="40" t="s">
        <v>5290</v>
      </c>
      <c r="D2912" s="40" t="s">
        <v>5133</v>
      </c>
      <c r="E2912" s="40" t="s">
        <v>5133</v>
      </c>
      <c r="F2912" s="40">
        <v>1</v>
      </c>
      <c r="G2912" s="40"/>
      <c r="H2912" s="40" t="s">
        <v>97</v>
      </c>
      <c r="I2912" s="40"/>
      <c r="J2912" s="40" t="s">
        <v>97</v>
      </c>
      <c r="K2912" s="40" t="s">
        <v>97</v>
      </c>
      <c r="L2912" s="40" t="s">
        <v>97</v>
      </c>
    </row>
    <row r="2913" spans="1:12" x14ac:dyDescent="0.25">
      <c r="A2913" s="40" t="s">
        <v>38</v>
      </c>
      <c r="B2913" s="40" t="s">
        <v>5291</v>
      </c>
      <c r="C2913" s="40" t="s">
        <v>5292</v>
      </c>
      <c r="D2913" s="40" t="s">
        <v>3246</v>
      </c>
      <c r="E2913" s="40" t="s">
        <v>3246</v>
      </c>
      <c r="F2913" s="40">
        <v>1</v>
      </c>
      <c r="G2913" s="40"/>
      <c r="H2913" s="40" t="s">
        <v>97</v>
      </c>
      <c r="I2913" s="40"/>
      <c r="J2913" s="40" t="s">
        <v>97</v>
      </c>
      <c r="K2913" s="40" t="s">
        <v>97</v>
      </c>
      <c r="L2913" s="40" t="s">
        <v>97</v>
      </c>
    </row>
    <row r="2914" spans="1:12" x14ac:dyDescent="0.25">
      <c r="A2914" s="40" t="s">
        <v>38</v>
      </c>
      <c r="B2914" s="40" t="s">
        <v>5293</v>
      </c>
      <c r="C2914" s="40" t="s">
        <v>5294</v>
      </c>
      <c r="D2914" s="40" t="s">
        <v>2233</v>
      </c>
      <c r="E2914" s="40" t="s">
        <v>2233</v>
      </c>
      <c r="F2914" s="40">
        <v>1</v>
      </c>
      <c r="G2914" s="40"/>
      <c r="H2914" s="40" t="s">
        <v>2234</v>
      </c>
      <c r="I2914" s="40"/>
      <c r="J2914" s="40" t="s">
        <v>97</v>
      </c>
      <c r="K2914" s="40" t="s">
        <v>97</v>
      </c>
      <c r="L2914" s="40" t="s">
        <v>97</v>
      </c>
    </row>
    <row r="2915" spans="1:12" x14ac:dyDescent="0.25">
      <c r="A2915" s="40" t="s">
        <v>38</v>
      </c>
      <c r="B2915" s="40" t="s">
        <v>5295</v>
      </c>
      <c r="C2915" s="40" t="s">
        <v>5296</v>
      </c>
      <c r="D2915" s="40" t="s">
        <v>2233</v>
      </c>
      <c r="E2915" s="40" t="s">
        <v>2233</v>
      </c>
      <c r="F2915" s="40">
        <v>1</v>
      </c>
      <c r="G2915" s="40"/>
      <c r="H2915" s="40" t="s">
        <v>97</v>
      </c>
      <c r="I2915" s="40"/>
      <c r="J2915" s="40" t="s">
        <v>97</v>
      </c>
      <c r="K2915" s="40" t="s">
        <v>97</v>
      </c>
      <c r="L2915" s="40" t="s">
        <v>97</v>
      </c>
    </row>
    <row r="2916" spans="1:12" x14ac:dyDescent="0.25">
      <c r="A2916" s="40" t="s">
        <v>38</v>
      </c>
      <c r="B2916" s="40" t="s">
        <v>5297</v>
      </c>
      <c r="C2916" s="40" t="s">
        <v>5298</v>
      </c>
      <c r="D2916" s="40" t="s">
        <v>2233</v>
      </c>
      <c r="E2916" s="40" t="s">
        <v>2233</v>
      </c>
      <c r="F2916" s="40">
        <v>1</v>
      </c>
      <c r="G2916" s="40"/>
      <c r="H2916" s="40" t="s">
        <v>2234</v>
      </c>
      <c r="I2916" s="40"/>
      <c r="J2916" s="40" t="s">
        <v>97</v>
      </c>
      <c r="K2916" s="40" t="s">
        <v>97</v>
      </c>
      <c r="L2916" s="40" t="s">
        <v>97</v>
      </c>
    </row>
    <row r="2917" spans="1:12" x14ac:dyDescent="0.25">
      <c r="A2917" s="40" t="s">
        <v>38</v>
      </c>
      <c r="B2917" s="40" t="s">
        <v>5299</v>
      </c>
      <c r="C2917" s="40" t="s">
        <v>5300</v>
      </c>
      <c r="D2917" s="40" t="s">
        <v>2233</v>
      </c>
      <c r="E2917" s="40" t="s">
        <v>2233</v>
      </c>
      <c r="F2917" s="40">
        <v>1</v>
      </c>
      <c r="G2917" s="40"/>
      <c r="H2917" s="40" t="s">
        <v>2234</v>
      </c>
      <c r="I2917" s="40"/>
      <c r="J2917" s="40" t="s">
        <v>97</v>
      </c>
      <c r="K2917" s="40" t="s">
        <v>97</v>
      </c>
      <c r="L2917" s="40" t="s">
        <v>97</v>
      </c>
    </row>
    <row r="2918" spans="1:12" x14ac:dyDescent="0.25">
      <c r="A2918" s="40" t="s">
        <v>38</v>
      </c>
      <c r="B2918" s="40" t="s">
        <v>5301</v>
      </c>
      <c r="C2918" s="40" t="s">
        <v>5302</v>
      </c>
      <c r="D2918" s="40" t="s">
        <v>2233</v>
      </c>
      <c r="E2918" s="40" t="s">
        <v>2233</v>
      </c>
      <c r="F2918" s="40">
        <v>1</v>
      </c>
      <c r="G2918" s="40"/>
      <c r="H2918" s="40" t="s">
        <v>2234</v>
      </c>
      <c r="I2918" s="40"/>
      <c r="J2918" s="40" t="s">
        <v>97</v>
      </c>
      <c r="K2918" s="40" t="s">
        <v>97</v>
      </c>
      <c r="L2918" s="40" t="s">
        <v>97</v>
      </c>
    </row>
    <row r="2919" spans="1:12" x14ac:dyDescent="0.25">
      <c r="A2919" s="40" t="s">
        <v>38</v>
      </c>
      <c r="B2919" s="40" t="s">
        <v>5303</v>
      </c>
      <c r="C2919" s="40" t="s">
        <v>5304</v>
      </c>
      <c r="D2919" s="40" t="s">
        <v>2233</v>
      </c>
      <c r="E2919" s="40" t="s">
        <v>2233</v>
      </c>
      <c r="F2919" s="40">
        <v>1</v>
      </c>
      <c r="G2919" s="40"/>
      <c r="H2919" s="40" t="s">
        <v>2234</v>
      </c>
      <c r="I2919" s="40"/>
      <c r="J2919" s="40" t="s">
        <v>97</v>
      </c>
      <c r="K2919" s="40" t="s">
        <v>97</v>
      </c>
      <c r="L2919" s="40" t="s">
        <v>97</v>
      </c>
    </row>
    <row r="2920" spans="1:12" x14ac:dyDescent="0.25">
      <c r="A2920" s="40" t="s">
        <v>38</v>
      </c>
      <c r="B2920" s="40" t="s">
        <v>5305</v>
      </c>
      <c r="C2920" s="40" t="s">
        <v>5306</v>
      </c>
      <c r="D2920" s="40" t="s">
        <v>2233</v>
      </c>
      <c r="E2920" s="40" t="s">
        <v>2233</v>
      </c>
      <c r="F2920" s="40">
        <v>1</v>
      </c>
      <c r="G2920" s="40"/>
      <c r="H2920" s="40" t="s">
        <v>2234</v>
      </c>
      <c r="I2920" s="40"/>
      <c r="J2920" s="40" t="s">
        <v>97</v>
      </c>
      <c r="K2920" s="40" t="s">
        <v>97</v>
      </c>
      <c r="L2920" s="40" t="s">
        <v>97</v>
      </c>
    </row>
    <row r="2921" spans="1:12" x14ac:dyDescent="0.25">
      <c r="A2921" s="40" t="s">
        <v>38</v>
      </c>
      <c r="B2921" s="40" t="s">
        <v>5307</v>
      </c>
      <c r="C2921" s="40" t="s">
        <v>5308</v>
      </c>
      <c r="D2921" s="40" t="s">
        <v>2233</v>
      </c>
      <c r="E2921" s="40" t="s">
        <v>2233</v>
      </c>
      <c r="F2921" s="40">
        <v>1</v>
      </c>
      <c r="G2921" s="40"/>
      <c r="H2921" s="40" t="s">
        <v>2234</v>
      </c>
      <c r="I2921" s="40"/>
      <c r="J2921" s="40" t="s">
        <v>97</v>
      </c>
      <c r="K2921" s="40" t="s">
        <v>97</v>
      </c>
      <c r="L2921" s="40" t="s">
        <v>97</v>
      </c>
    </row>
    <row r="2922" spans="1:12" x14ac:dyDescent="0.25">
      <c r="A2922" s="40" t="s">
        <v>38</v>
      </c>
      <c r="B2922" s="40" t="s">
        <v>5309</v>
      </c>
      <c r="C2922" s="40" t="s">
        <v>5310</v>
      </c>
      <c r="D2922" s="40" t="s">
        <v>2233</v>
      </c>
      <c r="E2922" s="40" t="s">
        <v>2233</v>
      </c>
      <c r="F2922" s="40">
        <v>1</v>
      </c>
      <c r="G2922" s="40"/>
      <c r="H2922" s="40" t="s">
        <v>2234</v>
      </c>
      <c r="I2922" s="40"/>
      <c r="J2922" s="40" t="s">
        <v>97</v>
      </c>
      <c r="K2922" s="40" t="s">
        <v>97</v>
      </c>
      <c r="L2922" s="40" t="s">
        <v>97</v>
      </c>
    </row>
    <row r="2923" spans="1:12" x14ac:dyDescent="0.25">
      <c r="A2923" s="40" t="s">
        <v>38</v>
      </c>
      <c r="B2923" s="40" t="s">
        <v>5311</v>
      </c>
      <c r="C2923" s="40" t="s">
        <v>5312</v>
      </c>
      <c r="D2923" s="40" t="s">
        <v>2233</v>
      </c>
      <c r="E2923" s="40" t="s">
        <v>2233</v>
      </c>
      <c r="F2923" s="40">
        <v>1</v>
      </c>
      <c r="G2923" s="40"/>
      <c r="H2923" s="40" t="s">
        <v>2234</v>
      </c>
      <c r="I2923" s="40"/>
      <c r="J2923" s="40" t="s">
        <v>97</v>
      </c>
      <c r="K2923" s="40" t="s">
        <v>97</v>
      </c>
      <c r="L2923" s="40" t="s">
        <v>97</v>
      </c>
    </row>
    <row r="2924" spans="1:12" x14ac:dyDescent="0.25">
      <c r="A2924" s="40" t="s">
        <v>38</v>
      </c>
      <c r="B2924" s="40" t="s">
        <v>5313</v>
      </c>
      <c r="C2924" s="40" t="s">
        <v>5314</v>
      </c>
      <c r="D2924" s="40" t="s">
        <v>5133</v>
      </c>
      <c r="E2924" s="40" t="s">
        <v>5133</v>
      </c>
      <c r="F2924" s="40">
        <v>1</v>
      </c>
      <c r="G2924" s="40"/>
      <c r="H2924" s="40" t="s">
        <v>97</v>
      </c>
      <c r="I2924" s="40"/>
      <c r="J2924" s="40" t="s">
        <v>97</v>
      </c>
      <c r="K2924" s="40" t="s">
        <v>97</v>
      </c>
      <c r="L2924" s="40" t="s">
        <v>97</v>
      </c>
    </row>
    <row r="2925" spans="1:12" x14ac:dyDescent="0.25">
      <c r="A2925" s="40" t="s">
        <v>38</v>
      </c>
      <c r="B2925" s="40" t="s">
        <v>5315</v>
      </c>
      <c r="C2925" s="40" t="s">
        <v>5316</v>
      </c>
      <c r="D2925" s="40" t="s">
        <v>3246</v>
      </c>
      <c r="E2925" s="40" t="s">
        <v>3246</v>
      </c>
      <c r="F2925" s="40">
        <v>1</v>
      </c>
      <c r="G2925" s="40"/>
      <c r="H2925" s="40" t="s">
        <v>97</v>
      </c>
      <c r="I2925" s="40"/>
      <c r="J2925" s="40" t="s">
        <v>97</v>
      </c>
      <c r="K2925" s="40" t="s">
        <v>97</v>
      </c>
      <c r="L2925" s="40" t="s">
        <v>97</v>
      </c>
    </row>
    <row r="2926" spans="1:12" x14ac:dyDescent="0.25">
      <c r="A2926" s="40" t="s">
        <v>38</v>
      </c>
      <c r="B2926" s="40" t="s">
        <v>5317</v>
      </c>
      <c r="C2926" s="40" t="s">
        <v>5318</v>
      </c>
      <c r="D2926" s="40" t="s">
        <v>2233</v>
      </c>
      <c r="E2926" s="40" t="s">
        <v>2233</v>
      </c>
      <c r="F2926" s="40">
        <v>1</v>
      </c>
      <c r="G2926" s="40"/>
      <c r="H2926" s="40" t="s">
        <v>2234</v>
      </c>
      <c r="I2926" s="40"/>
      <c r="J2926" s="40" t="s">
        <v>97</v>
      </c>
      <c r="K2926" s="40" t="s">
        <v>97</v>
      </c>
      <c r="L2926" s="40" t="s">
        <v>97</v>
      </c>
    </row>
    <row r="2927" spans="1:12" x14ac:dyDescent="0.25">
      <c r="A2927" s="40" t="s">
        <v>38</v>
      </c>
      <c r="B2927" s="40" t="s">
        <v>5319</v>
      </c>
      <c r="C2927" s="40" t="s">
        <v>5320</v>
      </c>
      <c r="D2927" s="40" t="s">
        <v>2233</v>
      </c>
      <c r="E2927" s="40" t="s">
        <v>2233</v>
      </c>
      <c r="F2927" s="40">
        <v>1</v>
      </c>
      <c r="G2927" s="40"/>
      <c r="H2927" s="40" t="s">
        <v>97</v>
      </c>
      <c r="I2927" s="40"/>
      <c r="J2927" s="40" t="s">
        <v>97</v>
      </c>
      <c r="K2927" s="40" t="s">
        <v>97</v>
      </c>
      <c r="L2927" s="40" t="s">
        <v>97</v>
      </c>
    </row>
    <row r="2928" spans="1:12" x14ac:dyDescent="0.25">
      <c r="A2928" s="40" t="s">
        <v>38</v>
      </c>
      <c r="B2928" s="40" t="s">
        <v>5321</v>
      </c>
      <c r="C2928" s="40" t="s">
        <v>5322</v>
      </c>
      <c r="D2928" s="40" t="s">
        <v>2233</v>
      </c>
      <c r="E2928" s="40" t="s">
        <v>2233</v>
      </c>
      <c r="F2928" s="40">
        <v>1</v>
      </c>
      <c r="G2928" s="40"/>
      <c r="H2928" s="40" t="s">
        <v>2234</v>
      </c>
      <c r="I2928" s="40"/>
      <c r="J2928" s="40" t="s">
        <v>97</v>
      </c>
      <c r="K2928" s="40" t="s">
        <v>97</v>
      </c>
      <c r="L2928" s="40" t="s">
        <v>97</v>
      </c>
    </row>
    <row r="2929" spans="1:12" x14ac:dyDescent="0.25">
      <c r="A2929" s="40" t="s">
        <v>38</v>
      </c>
      <c r="B2929" s="40" t="s">
        <v>5323</v>
      </c>
      <c r="C2929" s="40" t="s">
        <v>5324</v>
      </c>
      <c r="D2929" s="40" t="s">
        <v>2233</v>
      </c>
      <c r="E2929" s="40" t="s">
        <v>2233</v>
      </c>
      <c r="F2929" s="40">
        <v>1</v>
      </c>
      <c r="G2929" s="40"/>
      <c r="H2929" s="40" t="s">
        <v>2234</v>
      </c>
      <c r="I2929" s="40"/>
      <c r="J2929" s="40" t="s">
        <v>97</v>
      </c>
      <c r="K2929" s="40" t="s">
        <v>97</v>
      </c>
      <c r="L2929" s="40" t="s">
        <v>97</v>
      </c>
    </row>
    <row r="2930" spans="1:12" x14ac:dyDescent="0.25">
      <c r="A2930" s="40" t="s">
        <v>38</v>
      </c>
      <c r="B2930" s="40" t="s">
        <v>5325</v>
      </c>
      <c r="C2930" s="40" t="s">
        <v>5326</v>
      </c>
      <c r="D2930" s="40" t="s">
        <v>2233</v>
      </c>
      <c r="E2930" s="40" t="s">
        <v>2233</v>
      </c>
      <c r="F2930" s="40">
        <v>1</v>
      </c>
      <c r="G2930" s="40"/>
      <c r="H2930" s="40" t="s">
        <v>2234</v>
      </c>
      <c r="I2930" s="40"/>
      <c r="J2930" s="40" t="s">
        <v>97</v>
      </c>
      <c r="K2930" s="40" t="s">
        <v>97</v>
      </c>
      <c r="L2930" s="40" t="s">
        <v>97</v>
      </c>
    </row>
    <row r="2931" spans="1:12" x14ac:dyDescent="0.25">
      <c r="A2931" s="40" t="s">
        <v>38</v>
      </c>
      <c r="B2931" s="40" t="s">
        <v>5327</v>
      </c>
      <c r="C2931" s="40" t="s">
        <v>5328</v>
      </c>
      <c r="D2931" s="40" t="s">
        <v>2233</v>
      </c>
      <c r="E2931" s="40" t="s">
        <v>2233</v>
      </c>
      <c r="F2931" s="40">
        <v>1</v>
      </c>
      <c r="G2931" s="40"/>
      <c r="H2931" s="40" t="s">
        <v>2234</v>
      </c>
      <c r="I2931" s="40"/>
      <c r="J2931" s="40" t="s">
        <v>97</v>
      </c>
      <c r="K2931" s="40" t="s">
        <v>97</v>
      </c>
      <c r="L2931" s="40" t="s">
        <v>97</v>
      </c>
    </row>
    <row r="2932" spans="1:12" x14ac:dyDescent="0.25">
      <c r="A2932" s="40" t="s">
        <v>38</v>
      </c>
      <c r="B2932" s="40" t="s">
        <v>5329</v>
      </c>
      <c r="C2932" s="40" t="s">
        <v>5330</v>
      </c>
      <c r="D2932" s="40" t="s">
        <v>2233</v>
      </c>
      <c r="E2932" s="40" t="s">
        <v>2233</v>
      </c>
      <c r="F2932" s="40">
        <v>1</v>
      </c>
      <c r="G2932" s="40"/>
      <c r="H2932" s="40" t="s">
        <v>2234</v>
      </c>
      <c r="I2932" s="40"/>
      <c r="J2932" s="40" t="s">
        <v>97</v>
      </c>
      <c r="K2932" s="40" t="s">
        <v>97</v>
      </c>
      <c r="L2932" s="40" t="s">
        <v>97</v>
      </c>
    </row>
    <row r="2933" spans="1:12" x14ac:dyDescent="0.25">
      <c r="A2933" s="40" t="s">
        <v>38</v>
      </c>
      <c r="B2933" s="40" t="s">
        <v>5331</v>
      </c>
      <c r="C2933" s="40" t="s">
        <v>5332</v>
      </c>
      <c r="D2933" s="40" t="s">
        <v>2233</v>
      </c>
      <c r="E2933" s="40" t="s">
        <v>2233</v>
      </c>
      <c r="F2933" s="40">
        <v>1</v>
      </c>
      <c r="G2933" s="40"/>
      <c r="H2933" s="40" t="s">
        <v>2234</v>
      </c>
      <c r="I2933" s="40"/>
      <c r="J2933" s="40" t="s">
        <v>97</v>
      </c>
      <c r="K2933" s="40" t="s">
        <v>97</v>
      </c>
      <c r="L2933" s="40" t="s">
        <v>97</v>
      </c>
    </row>
    <row r="2934" spans="1:12" x14ac:dyDescent="0.25">
      <c r="A2934" s="40" t="s">
        <v>38</v>
      </c>
      <c r="B2934" s="40" t="s">
        <v>5333</v>
      </c>
      <c r="C2934" s="40" t="s">
        <v>5334</v>
      </c>
      <c r="D2934" s="40" t="s">
        <v>2233</v>
      </c>
      <c r="E2934" s="40" t="s">
        <v>2233</v>
      </c>
      <c r="F2934" s="40">
        <v>1</v>
      </c>
      <c r="G2934" s="40"/>
      <c r="H2934" s="40" t="s">
        <v>2234</v>
      </c>
      <c r="I2934" s="40"/>
      <c r="J2934" s="40" t="s">
        <v>97</v>
      </c>
      <c r="K2934" s="40" t="s">
        <v>97</v>
      </c>
      <c r="L2934" s="40" t="s">
        <v>97</v>
      </c>
    </row>
    <row r="2935" spans="1:12" x14ac:dyDescent="0.25">
      <c r="A2935" s="40" t="s">
        <v>38</v>
      </c>
      <c r="B2935" s="40" t="s">
        <v>5335</v>
      </c>
      <c r="C2935" s="40" t="s">
        <v>5336</v>
      </c>
      <c r="D2935" s="40" t="s">
        <v>2233</v>
      </c>
      <c r="E2935" s="40" t="s">
        <v>2233</v>
      </c>
      <c r="F2935" s="40">
        <v>1</v>
      </c>
      <c r="G2935" s="40"/>
      <c r="H2935" s="40" t="s">
        <v>2234</v>
      </c>
      <c r="I2935" s="40"/>
      <c r="J2935" s="40" t="s">
        <v>97</v>
      </c>
      <c r="K2935" s="40" t="s">
        <v>97</v>
      </c>
      <c r="L2935" s="40" t="s">
        <v>97</v>
      </c>
    </row>
    <row r="2936" spans="1:12" x14ac:dyDescent="0.25">
      <c r="A2936" s="40" t="s">
        <v>38</v>
      </c>
      <c r="B2936" s="40" t="s">
        <v>5337</v>
      </c>
      <c r="C2936" s="40" t="s">
        <v>5338</v>
      </c>
      <c r="D2936" s="40" t="s">
        <v>5133</v>
      </c>
      <c r="E2936" s="40" t="s">
        <v>5133</v>
      </c>
      <c r="F2936" s="40">
        <v>1</v>
      </c>
      <c r="G2936" s="40"/>
      <c r="H2936" s="40" t="s">
        <v>97</v>
      </c>
      <c r="I2936" s="40"/>
      <c r="J2936" s="40" t="s">
        <v>97</v>
      </c>
      <c r="K2936" s="40" t="s">
        <v>97</v>
      </c>
      <c r="L2936" s="40" t="s">
        <v>97</v>
      </c>
    </row>
    <row r="2937" spans="1:12" x14ac:dyDescent="0.25">
      <c r="A2937" s="40" t="s">
        <v>38</v>
      </c>
      <c r="B2937" s="40" t="s">
        <v>5339</v>
      </c>
      <c r="C2937" s="40" t="s">
        <v>5340</v>
      </c>
      <c r="D2937" s="40" t="s">
        <v>3246</v>
      </c>
      <c r="E2937" s="40" t="s">
        <v>3246</v>
      </c>
      <c r="F2937" s="40">
        <v>1</v>
      </c>
      <c r="G2937" s="40"/>
      <c r="H2937" s="40" t="s">
        <v>97</v>
      </c>
      <c r="I2937" s="40"/>
      <c r="J2937" s="40" t="s">
        <v>97</v>
      </c>
      <c r="K2937" s="40" t="s">
        <v>97</v>
      </c>
      <c r="L2937" s="40" t="s">
        <v>97</v>
      </c>
    </row>
    <row r="2938" spans="1:12" x14ac:dyDescent="0.25">
      <c r="A2938" s="40" t="s">
        <v>38</v>
      </c>
      <c r="B2938" s="40" t="s">
        <v>5341</v>
      </c>
      <c r="C2938" s="40" t="s">
        <v>5342</v>
      </c>
      <c r="D2938" s="40" t="s">
        <v>2233</v>
      </c>
      <c r="E2938" s="40" t="s">
        <v>2233</v>
      </c>
      <c r="F2938" s="40">
        <v>1</v>
      </c>
      <c r="G2938" s="40"/>
      <c r="H2938" s="40" t="s">
        <v>2234</v>
      </c>
      <c r="I2938" s="40"/>
      <c r="J2938" s="40" t="s">
        <v>97</v>
      </c>
      <c r="K2938" s="40" t="s">
        <v>97</v>
      </c>
      <c r="L2938" s="40" t="s">
        <v>97</v>
      </c>
    </row>
    <row r="2939" spans="1:12" x14ac:dyDescent="0.25">
      <c r="A2939" s="40" t="s">
        <v>38</v>
      </c>
      <c r="B2939" s="40" t="s">
        <v>5343</v>
      </c>
      <c r="C2939" s="40" t="s">
        <v>5344</v>
      </c>
      <c r="D2939" s="40" t="s">
        <v>2233</v>
      </c>
      <c r="E2939" s="40" t="s">
        <v>2233</v>
      </c>
      <c r="F2939" s="40">
        <v>1</v>
      </c>
      <c r="G2939" s="40"/>
      <c r="H2939" s="40" t="s">
        <v>97</v>
      </c>
      <c r="I2939" s="40"/>
      <c r="J2939" s="40" t="s">
        <v>97</v>
      </c>
      <c r="K2939" s="40" t="s">
        <v>97</v>
      </c>
      <c r="L2939" s="40" t="s">
        <v>97</v>
      </c>
    </row>
    <row r="2940" spans="1:12" x14ac:dyDescent="0.25">
      <c r="A2940" s="40" t="s">
        <v>38</v>
      </c>
      <c r="B2940" s="40" t="s">
        <v>5345</v>
      </c>
      <c r="C2940" s="40" t="s">
        <v>5346</v>
      </c>
      <c r="D2940" s="40" t="s">
        <v>2233</v>
      </c>
      <c r="E2940" s="40" t="s">
        <v>2233</v>
      </c>
      <c r="F2940" s="40">
        <v>1</v>
      </c>
      <c r="G2940" s="40"/>
      <c r="H2940" s="40" t="s">
        <v>2234</v>
      </c>
      <c r="I2940" s="40"/>
      <c r="J2940" s="40" t="s">
        <v>97</v>
      </c>
      <c r="K2940" s="40" t="s">
        <v>97</v>
      </c>
      <c r="L2940" s="40" t="s">
        <v>97</v>
      </c>
    </row>
    <row r="2941" spans="1:12" x14ac:dyDescent="0.25">
      <c r="A2941" s="40" t="s">
        <v>38</v>
      </c>
      <c r="B2941" s="40" t="s">
        <v>5347</v>
      </c>
      <c r="C2941" s="40" t="s">
        <v>5348</v>
      </c>
      <c r="D2941" s="40" t="s">
        <v>2233</v>
      </c>
      <c r="E2941" s="40" t="s">
        <v>2233</v>
      </c>
      <c r="F2941" s="40">
        <v>1</v>
      </c>
      <c r="G2941" s="40"/>
      <c r="H2941" s="40" t="s">
        <v>2234</v>
      </c>
      <c r="I2941" s="40"/>
      <c r="J2941" s="40" t="s">
        <v>97</v>
      </c>
      <c r="K2941" s="40" t="s">
        <v>97</v>
      </c>
      <c r="L2941" s="40" t="s">
        <v>97</v>
      </c>
    </row>
    <row r="2942" spans="1:12" x14ac:dyDescent="0.25">
      <c r="A2942" s="40" t="s">
        <v>38</v>
      </c>
      <c r="B2942" s="40" t="s">
        <v>5349</v>
      </c>
      <c r="C2942" s="40" t="s">
        <v>5350</v>
      </c>
      <c r="D2942" s="40" t="s">
        <v>2233</v>
      </c>
      <c r="E2942" s="40" t="s">
        <v>2233</v>
      </c>
      <c r="F2942" s="40">
        <v>1</v>
      </c>
      <c r="G2942" s="40"/>
      <c r="H2942" s="40" t="s">
        <v>2234</v>
      </c>
      <c r="I2942" s="40"/>
      <c r="J2942" s="40" t="s">
        <v>97</v>
      </c>
      <c r="K2942" s="40" t="s">
        <v>97</v>
      </c>
      <c r="L2942" s="40" t="s">
        <v>97</v>
      </c>
    </row>
    <row r="2943" spans="1:12" x14ac:dyDescent="0.25">
      <c r="A2943" s="40" t="s">
        <v>38</v>
      </c>
      <c r="B2943" s="40" t="s">
        <v>5351</v>
      </c>
      <c r="C2943" s="40" t="s">
        <v>5352</v>
      </c>
      <c r="D2943" s="40" t="s">
        <v>2233</v>
      </c>
      <c r="E2943" s="40" t="s">
        <v>2233</v>
      </c>
      <c r="F2943" s="40">
        <v>1</v>
      </c>
      <c r="G2943" s="40"/>
      <c r="H2943" s="40" t="s">
        <v>2234</v>
      </c>
      <c r="I2943" s="40"/>
      <c r="J2943" s="40" t="s">
        <v>97</v>
      </c>
      <c r="K2943" s="40" t="s">
        <v>97</v>
      </c>
      <c r="L2943" s="40" t="s">
        <v>97</v>
      </c>
    </row>
    <row r="2944" spans="1:12" x14ac:dyDescent="0.25">
      <c r="A2944" s="40" t="s">
        <v>38</v>
      </c>
      <c r="B2944" s="40" t="s">
        <v>5353</v>
      </c>
      <c r="C2944" s="40" t="s">
        <v>5354</v>
      </c>
      <c r="D2944" s="40" t="s">
        <v>2233</v>
      </c>
      <c r="E2944" s="40" t="s">
        <v>2233</v>
      </c>
      <c r="F2944" s="40">
        <v>1</v>
      </c>
      <c r="G2944" s="40"/>
      <c r="H2944" s="40" t="s">
        <v>2234</v>
      </c>
      <c r="I2944" s="40"/>
      <c r="J2944" s="40" t="s">
        <v>97</v>
      </c>
      <c r="K2944" s="40" t="s">
        <v>97</v>
      </c>
      <c r="L2944" s="40" t="s">
        <v>97</v>
      </c>
    </row>
    <row r="2945" spans="1:12" x14ac:dyDescent="0.25">
      <c r="A2945" s="40" t="s">
        <v>38</v>
      </c>
      <c r="B2945" s="40" t="s">
        <v>5355</v>
      </c>
      <c r="C2945" s="40" t="s">
        <v>5356</v>
      </c>
      <c r="D2945" s="40" t="s">
        <v>2233</v>
      </c>
      <c r="E2945" s="40" t="s">
        <v>2233</v>
      </c>
      <c r="F2945" s="40">
        <v>1</v>
      </c>
      <c r="G2945" s="40"/>
      <c r="H2945" s="40" t="s">
        <v>2234</v>
      </c>
      <c r="I2945" s="40"/>
      <c r="J2945" s="40" t="s">
        <v>97</v>
      </c>
      <c r="K2945" s="40" t="s">
        <v>97</v>
      </c>
      <c r="L2945" s="40" t="s">
        <v>97</v>
      </c>
    </row>
    <row r="2946" spans="1:12" x14ac:dyDescent="0.25">
      <c r="A2946" s="40" t="s">
        <v>38</v>
      </c>
      <c r="B2946" s="40" t="s">
        <v>5357</v>
      </c>
      <c r="C2946" s="40" t="s">
        <v>5358</v>
      </c>
      <c r="D2946" s="40" t="s">
        <v>2233</v>
      </c>
      <c r="E2946" s="40" t="s">
        <v>2233</v>
      </c>
      <c r="F2946" s="40">
        <v>1</v>
      </c>
      <c r="G2946" s="40"/>
      <c r="H2946" s="40" t="s">
        <v>2234</v>
      </c>
      <c r="I2946" s="40"/>
      <c r="J2946" s="40" t="s">
        <v>97</v>
      </c>
      <c r="K2946" s="40" t="s">
        <v>97</v>
      </c>
      <c r="L2946" s="40" t="s">
        <v>97</v>
      </c>
    </row>
    <row r="2947" spans="1:12" x14ac:dyDescent="0.25">
      <c r="A2947" s="40" t="s">
        <v>38</v>
      </c>
      <c r="B2947" s="40" t="s">
        <v>5359</v>
      </c>
      <c r="C2947" s="40" t="s">
        <v>5360</v>
      </c>
      <c r="D2947" s="40" t="s">
        <v>2233</v>
      </c>
      <c r="E2947" s="40" t="s">
        <v>2233</v>
      </c>
      <c r="F2947" s="40">
        <v>1</v>
      </c>
      <c r="G2947" s="40"/>
      <c r="H2947" s="40" t="s">
        <v>2234</v>
      </c>
      <c r="I2947" s="40"/>
      <c r="J2947" s="40" t="s">
        <v>97</v>
      </c>
      <c r="K2947" s="40" t="s">
        <v>97</v>
      </c>
      <c r="L2947" s="40" t="s">
        <v>97</v>
      </c>
    </row>
    <row r="2948" spans="1:12" x14ac:dyDescent="0.25">
      <c r="A2948" s="40" t="s">
        <v>38</v>
      </c>
      <c r="B2948" s="40" t="s">
        <v>5361</v>
      </c>
      <c r="C2948" s="40" t="s">
        <v>5362</v>
      </c>
      <c r="D2948" s="40" t="s">
        <v>5133</v>
      </c>
      <c r="E2948" s="40" t="s">
        <v>5133</v>
      </c>
      <c r="F2948" s="40">
        <v>1</v>
      </c>
      <c r="G2948" s="40"/>
      <c r="H2948" s="40" t="s">
        <v>97</v>
      </c>
      <c r="I2948" s="40"/>
      <c r="J2948" s="40" t="s">
        <v>97</v>
      </c>
      <c r="K2948" s="40" t="s">
        <v>97</v>
      </c>
      <c r="L2948" s="40" t="s">
        <v>97</v>
      </c>
    </row>
    <row r="2949" spans="1:12" x14ac:dyDescent="0.25">
      <c r="A2949" s="40" t="s">
        <v>38</v>
      </c>
      <c r="B2949" s="40" t="s">
        <v>5363</v>
      </c>
      <c r="C2949" s="40" t="s">
        <v>5364</v>
      </c>
      <c r="D2949" s="40" t="s">
        <v>3246</v>
      </c>
      <c r="E2949" s="40" t="s">
        <v>3246</v>
      </c>
      <c r="F2949" s="40">
        <v>1</v>
      </c>
      <c r="G2949" s="40"/>
      <c r="H2949" s="40" t="s">
        <v>97</v>
      </c>
      <c r="I2949" s="40"/>
      <c r="J2949" s="40" t="s">
        <v>97</v>
      </c>
      <c r="K2949" s="40" t="s">
        <v>97</v>
      </c>
      <c r="L2949" s="40" t="s">
        <v>97</v>
      </c>
    </row>
    <row r="2950" spans="1:12" x14ac:dyDescent="0.25">
      <c r="A2950" s="40" t="s">
        <v>38</v>
      </c>
      <c r="B2950" s="40" t="s">
        <v>5365</v>
      </c>
      <c r="C2950" s="40" t="s">
        <v>5366</v>
      </c>
      <c r="D2950" s="40" t="s">
        <v>2233</v>
      </c>
      <c r="E2950" s="40" t="s">
        <v>2233</v>
      </c>
      <c r="F2950" s="40">
        <v>1</v>
      </c>
      <c r="G2950" s="40"/>
      <c r="H2950" s="40" t="s">
        <v>2234</v>
      </c>
      <c r="I2950" s="40"/>
      <c r="J2950" s="40" t="s">
        <v>97</v>
      </c>
      <c r="K2950" s="40" t="s">
        <v>97</v>
      </c>
      <c r="L2950" s="40" t="s">
        <v>97</v>
      </c>
    </row>
    <row r="2951" spans="1:12" x14ac:dyDescent="0.25">
      <c r="A2951" s="40" t="s">
        <v>38</v>
      </c>
      <c r="B2951" s="40" t="s">
        <v>5367</v>
      </c>
      <c r="C2951" s="40" t="s">
        <v>5368</v>
      </c>
      <c r="D2951" s="40" t="s">
        <v>2233</v>
      </c>
      <c r="E2951" s="40" t="s">
        <v>2233</v>
      </c>
      <c r="F2951" s="40">
        <v>1</v>
      </c>
      <c r="G2951" s="40"/>
      <c r="H2951" s="40" t="s">
        <v>97</v>
      </c>
      <c r="I2951" s="40"/>
      <c r="J2951" s="40" t="s">
        <v>97</v>
      </c>
      <c r="K2951" s="40" t="s">
        <v>97</v>
      </c>
      <c r="L2951" s="40" t="s">
        <v>97</v>
      </c>
    </row>
    <row r="2952" spans="1:12" x14ac:dyDescent="0.25">
      <c r="A2952" s="40" t="s">
        <v>38</v>
      </c>
      <c r="B2952" s="40" t="s">
        <v>5369</v>
      </c>
      <c r="C2952" s="40" t="s">
        <v>5370</v>
      </c>
      <c r="D2952" s="40" t="s">
        <v>2233</v>
      </c>
      <c r="E2952" s="40" t="s">
        <v>2233</v>
      </c>
      <c r="F2952" s="40">
        <v>1</v>
      </c>
      <c r="G2952" s="40"/>
      <c r="H2952" s="40" t="s">
        <v>2234</v>
      </c>
      <c r="I2952" s="40"/>
      <c r="J2952" s="40" t="s">
        <v>97</v>
      </c>
      <c r="K2952" s="40" t="s">
        <v>97</v>
      </c>
      <c r="L2952" s="40" t="s">
        <v>97</v>
      </c>
    </row>
    <row r="2953" spans="1:12" x14ac:dyDescent="0.25">
      <c r="A2953" s="40" t="s">
        <v>38</v>
      </c>
      <c r="B2953" s="40" t="s">
        <v>5371</v>
      </c>
      <c r="C2953" s="40" t="s">
        <v>5372</v>
      </c>
      <c r="D2953" s="40" t="s">
        <v>2233</v>
      </c>
      <c r="E2953" s="40" t="s">
        <v>2233</v>
      </c>
      <c r="F2953" s="40">
        <v>1</v>
      </c>
      <c r="G2953" s="40"/>
      <c r="H2953" s="40" t="s">
        <v>2234</v>
      </c>
      <c r="I2953" s="40"/>
      <c r="J2953" s="40" t="s">
        <v>97</v>
      </c>
      <c r="K2953" s="40" t="s">
        <v>97</v>
      </c>
      <c r="L2953" s="40" t="s">
        <v>97</v>
      </c>
    </row>
    <row r="2954" spans="1:12" x14ac:dyDescent="0.25">
      <c r="A2954" s="40" t="s">
        <v>38</v>
      </c>
      <c r="B2954" s="40" t="s">
        <v>5373</v>
      </c>
      <c r="C2954" s="40" t="s">
        <v>5374</v>
      </c>
      <c r="D2954" s="40" t="s">
        <v>2233</v>
      </c>
      <c r="E2954" s="40" t="s">
        <v>2233</v>
      </c>
      <c r="F2954" s="40">
        <v>1</v>
      </c>
      <c r="G2954" s="40"/>
      <c r="H2954" s="40" t="s">
        <v>2234</v>
      </c>
      <c r="I2954" s="40"/>
      <c r="J2954" s="40" t="s">
        <v>97</v>
      </c>
      <c r="K2954" s="40" t="s">
        <v>97</v>
      </c>
      <c r="L2954" s="40" t="s">
        <v>97</v>
      </c>
    </row>
    <row r="2955" spans="1:12" x14ac:dyDescent="0.25">
      <c r="A2955" s="40" t="s">
        <v>38</v>
      </c>
      <c r="B2955" s="40" t="s">
        <v>5375</v>
      </c>
      <c r="C2955" s="40" t="s">
        <v>5376</v>
      </c>
      <c r="D2955" s="40" t="s">
        <v>2233</v>
      </c>
      <c r="E2955" s="40" t="s">
        <v>2233</v>
      </c>
      <c r="F2955" s="40">
        <v>1</v>
      </c>
      <c r="G2955" s="40"/>
      <c r="H2955" s="40" t="s">
        <v>2234</v>
      </c>
      <c r="I2955" s="40"/>
      <c r="J2955" s="40" t="s">
        <v>97</v>
      </c>
      <c r="K2955" s="40" t="s">
        <v>97</v>
      </c>
      <c r="L2955" s="40" t="s">
        <v>97</v>
      </c>
    </row>
    <row r="2956" spans="1:12" x14ac:dyDescent="0.25">
      <c r="A2956" s="40" t="s">
        <v>38</v>
      </c>
      <c r="B2956" s="40" t="s">
        <v>5377</v>
      </c>
      <c r="C2956" s="40" t="s">
        <v>5378</v>
      </c>
      <c r="D2956" s="40" t="s">
        <v>2233</v>
      </c>
      <c r="E2956" s="40" t="s">
        <v>2233</v>
      </c>
      <c r="F2956" s="40">
        <v>1</v>
      </c>
      <c r="G2956" s="40"/>
      <c r="H2956" s="40" t="s">
        <v>2234</v>
      </c>
      <c r="I2956" s="40"/>
      <c r="J2956" s="40" t="s">
        <v>97</v>
      </c>
      <c r="K2956" s="40" t="s">
        <v>97</v>
      </c>
      <c r="L2956" s="40" t="s">
        <v>97</v>
      </c>
    </row>
    <row r="2957" spans="1:12" x14ac:dyDescent="0.25">
      <c r="A2957" s="40" t="s">
        <v>38</v>
      </c>
      <c r="B2957" s="40" t="s">
        <v>5379</v>
      </c>
      <c r="C2957" s="40" t="s">
        <v>5380</v>
      </c>
      <c r="D2957" s="40" t="s">
        <v>2233</v>
      </c>
      <c r="E2957" s="40" t="s">
        <v>2233</v>
      </c>
      <c r="F2957" s="40">
        <v>1</v>
      </c>
      <c r="G2957" s="40"/>
      <c r="H2957" s="40" t="s">
        <v>2234</v>
      </c>
      <c r="I2957" s="40"/>
      <c r="J2957" s="40" t="s">
        <v>97</v>
      </c>
      <c r="K2957" s="40" t="s">
        <v>97</v>
      </c>
      <c r="L2957" s="40" t="s">
        <v>97</v>
      </c>
    </row>
    <row r="2958" spans="1:12" x14ac:dyDescent="0.25">
      <c r="A2958" s="40" t="s">
        <v>38</v>
      </c>
      <c r="B2958" s="40" t="s">
        <v>5381</v>
      </c>
      <c r="C2958" s="40" t="s">
        <v>5382</v>
      </c>
      <c r="D2958" s="40" t="s">
        <v>2233</v>
      </c>
      <c r="E2958" s="40" t="s">
        <v>2233</v>
      </c>
      <c r="F2958" s="40">
        <v>1</v>
      </c>
      <c r="G2958" s="40"/>
      <c r="H2958" s="40" t="s">
        <v>2234</v>
      </c>
      <c r="I2958" s="40"/>
      <c r="J2958" s="40" t="s">
        <v>97</v>
      </c>
      <c r="K2958" s="40" t="s">
        <v>97</v>
      </c>
      <c r="L2958" s="40" t="s">
        <v>97</v>
      </c>
    </row>
    <row r="2959" spans="1:12" x14ac:dyDescent="0.25">
      <c r="A2959" s="40" t="s">
        <v>38</v>
      </c>
      <c r="B2959" s="40" t="s">
        <v>5383</v>
      </c>
      <c r="C2959" s="40" t="s">
        <v>5384</v>
      </c>
      <c r="D2959" s="40" t="s">
        <v>2233</v>
      </c>
      <c r="E2959" s="40" t="s">
        <v>2233</v>
      </c>
      <c r="F2959" s="40">
        <v>1</v>
      </c>
      <c r="G2959" s="40"/>
      <c r="H2959" s="40" t="s">
        <v>2234</v>
      </c>
      <c r="I2959" s="40"/>
      <c r="J2959" s="40" t="s">
        <v>97</v>
      </c>
      <c r="K2959" s="40" t="s">
        <v>97</v>
      </c>
      <c r="L2959" s="40" t="s">
        <v>97</v>
      </c>
    </row>
    <row r="2960" spans="1:12" x14ac:dyDescent="0.25">
      <c r="A2960" s="40" t="s">
        <v>38</v>
      </c>
      <c r="B2960" s="40" t="s">
        <v>5385</v>
      </c>
      <c r="C2960" s="40" t="s">
        <v>5386</v>
      </c>
      <c r="D2960" s="40" t="s">
        <v>5133</v>
      </c>
      <c r="E2960" s="40" t="s">
        <v>5133</v>
      </c>
      <c r="F2960" s="40">
        <v>1</v>
      </c>
      <c r="G2960" s="40"/>
      <c r="H2960" s="40" t="s">
        <v>97</v>
      </c>
      <c r="I2960" s="40"/>
      <c r="J2960" s="40" t="s">
        <v>97</v>
      </c>
      <c r="K2960" s="40" t="s">
        <v>97</v>
      </c>
      <c r="L2960" s="40" t="s">
        <v>97</v>
      </c>
    </row>
    <row r="2961" spans="1:12" x14ac:dyDescent="0.25">
      <c r="A2961" s="40" t="s">
        <v>38</v>
      </c>
      <c r="B2961" s="40" t="s">
        <v>5387</v>
      </c>
      <c r="C2961" s="40" t="s">
        <v>5388</v>
      </c>
      <c r="D2961" s="40" t="s">
        <v>3246</v>
      </c>
      <c r="E2961" s="40" t="s">
        <v>3246</v>
      </c>
      <c r="F2961" s="40">
        <v>1</v>
      </c>
      <c r="G2961" s="40"/>
      <c r="H2961" s="40" t="s">
        <v>97</v>
      </c>
      <c r="I2961" s="40"/>
      <c r="J2961" s="40" t="s">
        <v>97</v>
      </c>
      <c r="K2961" s="40" t="s">
        <v>97</v>
      </c>
      <c r="L2961" s="40" t="s">
        <v>97</v>
      </c>
    </row>
    <row r="2962" spans="1:12" x14ac:dyDescent="0.25">
      <c r="A2962" s="40" t="s">
        <v>38</v>
      </c>
      <c r="B2962" s="40" t="s">
        <v>5389</v>
      </c>
      <c r="C2962" s="40" t="s">
        <v>5390</v>
      </c>
      <c r="D2962" s="40" t="s">
        <v>2233</v>
      </c>
      <c r="E2962" s="40" t="s">
        <v>2233</v>
      </c>
      <c r="F2962" s="40">
        <v>1</v>
      </c>
      <c r="G2962" s="40"/>
      <c r="H2962" s="40" t="s">
        <v>2234</v>
      </c>
      <c r="I2962" s="40"/>
      <c r="J2962" s="40" t="s">
        <v>97</v>
      </c>
      <c r="K2962" s="40" t="s">
        <v>97</v>
      </c>
      <c r="L2962" s="40" t="s">
        <v>97</v>
      </c>
    </row>
    <row r="2963" spans="1:12" x14ac:dyDescent="0.25">
      <c r="A2963" s="40" t="s">
        <v>38</v>
      </c>
      <c r="B2963" s="40" t="s">
        <v>5391</v>
      </c>
      <c r="C2963" s="40" t="s">
        <v>5392</v>
      </c>
      <c r="D2963" s="40" t="s">
        <v>2233</v>
      </c>
      <c r="E2963" s="40" t="s">
        <v>2233</v>
      </c>
      <c r="F2963" s="40">
        <v>1</v>
      </c>
      <c r="G2963" s="40"/>
      <c r="H2963" s="40" t="s">
        <v>97</v>
      </c>
      <c r="I2963" s="40"/>
      <c r="J2963" s="40" t="s">
        <v>97</v>
      </c>
      <c r="K2963" s="40" t="s">
        <v>97</v>
      </c>
      <c r="L2963" s="40" t="s">
        <v>97</v>
      </c>
    </row>
    <row r="2964" spans="1:12" x14ac:dyDescent="0.25">
      <c r="A2964" s="40" t="s">
        <v>38</v>
      </c>
      <c r="B2964" s="40" t="s">
        <v>5393</v>
      </c>
      <c r="C2964" s="40" t="s">
        <v>5394</v>
      </c>
      <c r="D2964" s="40" t="s">
        <v>2233</v>
      </c>
      <c r="E2964" s="40" t="s">
        <v>2233</v>
      </c>
      <c r="F2964" s="40">
        <v>1</v>
      </c>
      <c r="G2964" s="40"/>
      <c r="H2964" s="40" t="s">
        <v>2234</v>
      </c>
      <c r="I2964" s="40"/>
      <c r="J2964" s="40" t="s">
        <v>97</v>
      </c>
      <c r="K2964" s="40" t="s">
        <v>97</v>
      </c>
      <c r="L2964" s="40" t="s">
        <v>97</v>
      </c>
    </row>
    <row r="2965" spans="1:12" x14ac:dyDescent="0.25">
      <c r="A2965" s="40" t="s">
        <v>38</v>
      </c>
      <c r="B2965" s="40" t="s">
        <v>5395</v>
      </c>
      <c r="C2965" s="40" t="s">
        <v>5396</v>
      </c>
      <c r="D2965" s="40" t="s">
        <v>2233</v>
      </c>
      <c r="E2965" s="40" t="s">
        <v>2233</v>
      </c>
      <c r="F2965" s="40">
        <v>1</v>
      </c>
      <c r="G2965" s="40"/>
      <c r="H2965" s="40" t="s">
        <v>2234</v>
      </c>
      <c r="I2965" s="40"/>
      <c r="J2965" s="40" t="s">
        <v>97</v>
      </c>
      <c r="K2965" s="40" t="s">
        <v>97</v>
      </c>
      <c r="L2965" s="40" t="s">
        <v>97</v>
      </c>
    </row>
    <row r="2966" spans="1:12" x14ac:dyDescent="0.25">
      <c r="A2966" s="40" t="s">
        <v>38</v>
      </c>
      <c r="B2966" s="40" t="s">
        <v>5397</v>
      </c>
      <c r="C2966" s="40" t="s">
        <v>5398</v>
      </c>
      <c r="D2966" s="40" t="s">
        <v>2233</v>
      </c>
      <c r="E2966" s="40" t="s">
        <v>2233</v>
      </c>
      <c r="F2966" s="40">
        <v>1</v>
      </c>
      <c r="G2966" s="40"/>
      <c r="H2966" s="40" t="s">
        <v>2234</v>
      </c>
      <c r="I2966" s="40"/>
      <c r="J2966" s="40" t="s">
        <v>97</v>
      </c>
      <c r="K2966" s="40" t="s">
        <v>97</v>
      </c>
      <c r="L2966" s="40" t="s">
        <v>97</v>
      </c>
    </row>
    <row r="2967" spans="1:12" x14ac:dyDescent="0.25">
      <c r="A2967" s="40" t="s">
        <v>38</v>
      </c>
      <c r="B2967" s="40" t="s">
        <v>5399</v>
      </c>
      <c r="C2967" s="40" t="s">
        <v>5400</v>
      </c>
      <c r="D2967" s="40" t="s">
        <v>2233</v>
      </c>
      <c r="E2967" s="40" t="s">
        <v>2233</v>
      </c>
      <c r="F2967" s="40">
        <v>1</v>
      </c>
      <c r="G2967" s="40"/>
      <c r="H2967" s="40" t="s">
        <v>2234</v>
      </c>
      <c r="I2967" s="40"/>
      <c r="J2967" s="40" t="s">
        <v>97</v>
      </c>
      <c r="K2967" s="40" t="s">
        <v>97</v>
      </c>
      <c r="L2967" s="40" t="s">
        <v>97</v>
      </c>
    </row>
    <row r="2968" spans="1:12" x14ac:dyDescent="0.25">
      <c r="A2968" s="40" t="s">
        <v>38</v>
      </c>
      <c r="B2968" s="40" t="s">
        <v>5401</v>
      </c>
      <c r="C2968" s="40" t="s">
        <v>5402</v>
      </c>
      <c r="D2968" s="40" t="s">
        <v>2233</v>
      </c>
      <c r="E2968" s="40" t="s">
        <v>2233</v>
      </c>
      <c r="F2968" s="40">
        <v>1</v>
      </c>
      <c r="G2968" s="40"/>
      <c r="H2968" s="40" t="s">
        <v>2234</v>
      </c>
      <c r="I2968" s="40"/>
      <c r="J2968" s="40" t="s">
        <v>97</v>
      </c>
      <c r="K2968" s="40" t="s">
        <v>97</v>
      </c>
      <c r="L2968" s="40" t="s">
        <v>97</v>
      </c>
    </row>
    <row r="2969" spans="1:12" x14ac:dyDescent="0.25">
      <c r="A2969" s="40" t="s">
        <v>38</v>
      </c>
      <c r="B2969" s="40" t="s">
        <v>5403</v>
      </c>
      <c r="C2969" s="40" t="s">
        <v>5404</v>
      </c>
      <c r="D2969" s="40" t="s">
        <v>2233</v>
      </c>
      <c r="E2969" s="40" t="s">
        <v>2233</v>
      </c>
      <c r="F2969" s="40">
        <v>1</v>
      </c>
      <c r="G2969" s="40"/>
      <c r="H2969" s="40" t="s">
        <v>2234</v>
      </c>
      <c r="I2969" s="40"/>
      <c r="J2969" s="40" t="s">
        <v>97</v>
      </c>
      <c r="K2969" s="40" t="s">
        <v>97</v>
      </c>
      <c r="L2969" s="40" t="s">
        <v>97</v>
      </c>
    </row>
    <row r="2970" spans="1:12" x14ac:dyDescent="0.25">
      <c r="A2970" s="40" t="s">
        <v>38</v>
      </c>
      <c r="B2970" s="40" t="s">
        <v>5405</v>
      </c>
      <c r="C2970" s="40" t="s">
        <v>5406</v>
      </c>
      <c r="D2970" s="40" t="s">
        <v>2233</v>
      </c>
      <c r="E2970" s="40" t="s">
        <v>2233</v>
      </c>
      <c r="F2970" s="40">
        <v>1</v>
      </c>
      <c r="G2970" s="40"/>
      <c r="H2970" s="40" t="s">
        <v>2234</v>
      </c>
      <c r="I2970" s="40"/>
      <c r="J2970" s="40" t="s">
        <v>97</v>
      </c>
      <c r="K2970" s="40" t="s">
        <v>97</v>
      </c>
      <c r="L2970" s="40" t="s">
        <v>97</v>
      </c>
    </row>
    <row r="2971" spans="1:12" x14ac:dyDescent="0.25">
      <c r="A2971" s="40" t="s">
        <v>38</v>
      </c>
      <c r="B2971" s="40" t="s">
        <v>5407</v>
      </c>
      <c r="C2971" s="40" t="s">
        <v>5408</v>
      </c>
      <c r="D2971" s="40" t="s">
        <v>2233</v>
      </c>
      <c r="E2971" s="40" t="s">
        <v>2233</v>
      </c>
      <c r="F2971" s="40">
        <v>1</v>
      </c>
      <c r="G2971" s="40"/>
      <c r="H2971" s="40" t="s">
        <v>2234</v>
      </c>
      <c r="I2971" s="40"/>
      <c r="J2971" s="40" t="s">
        <v>97</v>
      </c>
      <c r="K2971" s="40" t="s">
        <v>97</v>
      </c>
      <c r="L2971" s="40" t="s">
        <v>97</v>
      </c>
    </row>
    <row r="2972" spans="1:12" x14ac:dyDescent="0.25">
      <c r="A2972" s="40" t="s">
        <v>38</v>
      </c>
      <c r="B2972" s="40" t="s">
        <v>5409</v>
      </c>
      <c r="C2972" s="40" t="s">
        <v>5410</v>
      </c>
      <c r="D2972" s="40" t="s">
        <v>5133</v>
      </c>
      <c r="E2972" s="40" t="s">
        <v>5133</v>
      </c>
      <c r="F2972" s="40">
        <v>1</v>
      </c>
      <c r="G2972" s="40"/>
      <c r="H2972" s="40" t="s">
        <v>97</v>
      </c>
      <c r="I2972" s="40"/>
      <c r="J2972" s="40" t="s">
        <v>97</v>
      </c>
      <c r="K2972" s="40" t="s">
        <v>97</v>
      </c>
      <c r="L2972" s="40" t="s">
        <v>97</v>
      </c>
    </row>
    <row r="2973" spans="1:12" x14ac:dyDescent="0.25">
      <c r="A2973" s="40" t="s">
        <v>38</v>
      </c>
      <c r="B2973" s="40" t="s">
        <v>5411</v>
      </c>
      <c r="C2973" s="40" t="s">
        <v>5412</v>
      </c>
      <c r="D2973" s="40" t="s">
        <v>3246</v>
      </c>
      <c r="E2973" s="40" t="s">
        <v>3246</v>
      </c>
      <c r="F2973" s="40">
        <v>1</v>
      </c>
      <c r="G2973" s="40"/>
      <c r="H2973" s="40" t="s">
        <v>97</v>
      </c>
      <c r="I2973" s="40"/>
      <c r="J2973" s="40" t="s">
        <v>97</v>
      </c>
      <c r="K2973" s="40" t="s">
        <v>97</v>
      </c>
      <c r="L2973" s="40" t="s">
        <v>97</v>
      </c>
    </row>
    <row r="2974" spans="1:12" x14ac:dyDescent="0.25">
      <c r="A2974" s="40" t="s">
        <v>38</v>
      </c>
      <c r="B2974" s="40" t="s">
        <v>5413</v>
      </c>
      <c r="C2974" s="40" t="s">
        <v>5414</v>
      </c>
      <c r="D2974" s="40" t="s">
        <v>2233</v>
      </c>
      <c r="E2974" s="40" t="s">
        <v>2233</v>
      </c>
      <c r="F2974" s="40">
        <v>1</v>
      </c>
      <c r="G2974" s="40"/>
      <c r="H2974" s="40" t="s">
        <v>2234</v>
      </c>
      <c r="I2974" s="40"/>
      <c r="J2974" s="40" t="s">
        <v>97</v>
      </c>
      <c r="K2974" s="40" t="s">
        <v>97</v>
      </c>
      <c r="L2974" s="40" t="s">
        <v>97</v>
      </c>
    </row>
    <row r="2975" spans="1:12" x14ac:dyDescent="0.25">
      <c r="A2975" s="40" t="s">
        <v>38</v>
      </c>
      <c r="B2975" s="40" t="s">
        <v>5415</v>
      </c>
      <c r="C2975" s="40" t="s">
        <v>5416</v>
      </c>
      <c r="D2975" s="40" t="s">
        <v>2233</v>
      </c>
      <c r="E2975" s="40" t="s">
        <v>2233</v>
      </c>
      <c r="F2975" s="40">
        <v>1</v>
      </c>
      <c r="G2975" s="40"/>
      <c r="H2975" s="40" t="s">
        <v>97</v>
      </c>
      <c r="I2975" s="40"/>
      <c r="J2975" s="40" t="s">
        <v>97</v>
      </c>
      <c r="K2975" s="40" t="s">
        <v>97</v>
      </c>
      <c r="L2975" s="40" t="s">
        <v>97</v>
      </c>
    </row>
    <row r="2976" spans="1:12" x14ac:dyDescent="0.25">
      <c r="A2976" s="40" t="s">
        <v>38</v>
      </c>
      <c r="B2976" s="40" t="s">
        <v>5417</v>
      </c>
      <c r="C2976" s="40" t="s">
        <v>5418</v>
      </c>
      <c r="D2976" s="40" t="s">
        <v>2233</v>
      </c>
      <c r="E2976" s="40" t="s">
        <v>2233</v>
      </c>
      <c r="F2976" s="40">
        <v>1</v>
      </c>
      <c r="G2976" s="40"/>
      <c r="H2976" s="40" t="s">
        <v>2234</v>
      </c>
      <c r="I2976" s="40"/>
      <c r="J2976" s="40" t="s">
        <v>97</v>
      </c>
      <c r="K2976" s="40" t="s">
        <v>97</v>
      </c>
      <c r="L2976" s="40" t="s">
        <v>97</v>
      </c>
    </row>
    <row r="2977" spans="1:12" x14ac:dyDescent="0.25">
      <c r="A2977" s="40" t="s">
        <v>38</v>
      </c>
      <c r="B2977" s="40" t="s">
        <v>5419</v>
      </c>
      <c r="C2977" s="40" t="s">
        <v>5420</v>
      </c>
      <c r="D2977" s="40" t="s">
        <v>2233</v>
      </c>
      <c r="E2977" s="40" t="s">
        <v>2233</v>
      </c>
      <c r="F2977" s="40">
        <v>1</v>
      </c>
      <c r="G2977" s="40"/>
      <c r="H2977" s="40" t="s">
        <v>2234</v>
      </c>
      <c r="I2977" s="40"/>
      <c r="J2977" s="40" t="s">
        <v>97</v>
      </c>
      <c r="K2977" s="40" t="s">
        <v>97</v>
      </c>
      <c r="L2977" s="40" t="s">
        <v>97</v>
      </c>
    </row>
    <row r="2978" spans="1:12" x14ac:dyDescent="0.25">
      <c r="A2978" s="40" t="s">
        <v>38</v>
      </c>
      <c r="B2978" s="40" t="s">
        <v>5421</v>
      </c>
      <c r="C2978" s="40" t="s">
        <v>5422</v>
      </c>
      <c r="D2978" s="40" t="s">
        <v>2233</v>
      </c>
      <c r="E2978" s="40" t="s">
        <v>2233</v>
      </c>
      <c r="F2978" s="40">
        <v>1</v>
      </c>
      <c r="G2978" s="40"/>
      <c r="H2978" s="40" t="s">
        <v>2234</v>
      </c>
      <c r="I2978" s="40"/>
      <c r="J2978" s="40" t="s">
        <v>97</v>
      </c>
      <c r="K2978" s="40" t="s">
        <v>97</v>
      </c>
      <c r="L2978" s="40" t="s">
        <v>97</v>
      </c>
    </row>
    <row r="2979" spans="1:12" x14ac:dyDescent="0.25">
      <c r="A2979" s="40" t="s">
        <v>38</v>
      </c>
      <c r="B2979" s="40" t="s">
        <v>5423</v>
      </c>
      <c r="C2979" s="40" t="s">
        <v>5424</v>
      </c>
      <c r="D2979" s="40" t="s">
        <v>2233</v>
      </c>
      <c r="E2979" s="40" t="s">
        <v>2233</v>
      </c>
      <c r="F2979" s="40">
        <v>1</v>
      </c>
      <c r="G2979" s="40"/>
      <c r="H2979" s="40" t="s">
        <v>2234</v>
      </c>
      <c r="I2979" s="40"/>
      <c r="J2979" s="40" t="s">
        <v>97</v>
      </c>
      <c r="K2979" s="40" t="s">
        <v>97</v>
      </c>
      <c r="L2979" s="40" t="s">
        <v>97</v>
      </c>
    </row>
    <row r="2980" spans="1:12" x14ac:dyDescent="0.25">
      <c r="A2980" s="40" t="s">
        <v>38</v>
      </c>
      <c r="B2980" s="40" t="s">
        <v>5425</v>
      </c>
      <c r="C2980" s="40" t="s">
        <v>5426</v>
      </c>
      <c r="D2980" s="40" t="s">
        <v>2233</v>
      </c>
      <c r="E2980" s="40" t="s">
        <v>2233</v>
      </c>
      <c r="F2980" s="40">
        <v>1</v>
      </c>
      <c r="G2980" s="40"/>
      <c r="H2980" s="40" t="s">
        <v>2234</v>
      </c>
      <c r="I2980" s="40"/>
      <c r="J2980" s="40" t="s">
        <v>97</v>
      </c>
      <c r="K2980" s="40" t="s">
        <v>97</v>
      </c>
      <c r="L2980" s="40" t="s">
        <v>97</v>
      </c>
    </row>
    <row r="2981" spans="1:12" x14ac:dyDescent="0.25">
      <c r="A2981" s="40" t="s">
        <v>38</v>
      </c>
      <c r="B2981" s="40" t="s">
        <v>5427</v>
      </c>
      <c r="C2981" s="40" t="s">
        <v>5428</v>
      </c>
      <c r="D2981" s="40" t="s">
        <v>2233</v>
      </c>
      <c r="E2981" s="40" t="s">
        <v>2233</v>
      </c>
      <c r="F2981" s="40">
        <v>1</v>
      </c>
      <c r="G2981" s="40"/>
      <c r="H2981" s="40" t="s">
        <v>2234</v>
      </c>
      <c r="I2981" s="40"/>
      <c r="J2981" s="40" t="s">
        <v>97</v>
      </c>
      <c r="K2981" s="40" t="s">
        <v>97</v>
      </c>
      <c r="L2981" s="40" t="s">
        <v>97</v>
      </c>
    </row>
    <row r="2982" spans="1:12" x14ac:dyDescent="0.25">
      <c r="A2982" s="40" t="s">
        <v>38</v>
      </c>
      <c r="B2982" s="40" t="s">
        <v>5429</v>
      </c>
      <c r="C2982" s="40" t="s">
        <v>5430</v>
      </c>
      <c r="D2982" s="40" t="s">
        <v>2233</v>
      </c>
      <c r="E2982" s="40" t="s">
        <v>2233</v>
      </c>
      <c r="F2982" s="40">
        <v>1</v>
      </c>
      <c r="G2982" s="40"/>
      <c r="H2982" s="40" t="s">
        <v>2234</v>
      </c>
      <c r="I2982" s="40"/>
      <c r="J2982" s="40" t="s">
        <v>97</v>
      </c>
      <c r="K2982" s="40" t="s">
        <v>97</v>
      </c>
      <c r="L2982" s="40" t="s">
        <v>97</v>
      </c>
    </row>
    <row r="2983" spans="1:12" x14ac:dyDescent="0.25">
      <c r="A2983" s="40" t="s">
        <v>38</v>
      </c>
      <c r="B2983" s="40" t="s">
        <v>5431</v>
      </c>
      <c r="C2983" s="40" t="s">
        <v>5432</v>
      </c>
      <c r="D2983" s="40" t="s">
        <v>2233</v>
      </c>
      <c r="E2983" s="40" t="s">
        <v>2233</v>
      </c>
      <c r="F2983" s="40">
        <v>1</v>
      </c>
      <c r="G2983" s="40"/>
      <c r="H2983" s="40" t="s">
        <v>2234</v>
      </c>
      <c r="I2983" s="40"/>
      <c r="J2983" s="40" t="s">
        <v>97</v>
      </c>
      <c r="K2983" s="40" t="s">
        <v>97</v>
      </c>
      <c r="L2983" s="40" t="s">
        <v>97</v>
      </c>
    </row>
    <row r="2984" spans="1:12" x14ac:dyDescent="0.25">
      <c r="A2984" s="40" t="s">
        <v>38</v>
      </c>
      <c r="B2984" s="40" t="s">
        <v>4907</v>
      </c>
      <c r="C2984" s="40" t="s">
        <v>5433</v>
      </c>
      <c r="D2984" s="40" t="s">
        <v>5434</v>
      </c>
      <c r="E2984" s="40" t="s">
        <v>5434</v>
      </c>
      <c r="F2984" s="40">
        <v>1</v>
      </c>
      <c r="G2984" s="40"/>
      <c r="H2984" s="40" t="s">
        <v>97</v>
      </c>
      <c r="I2984" s="40"/>
      <c r="J2984" s="40" t="s">
        <v>97</v>
      </c>
      <c r="K2984" s="40" t="s">
        <v>97</v>
      </c>
      <c r="L2984" s="40" t="s">
        <v>97</v>
      </c>
    </row>
    <row r="2985" spans="1:12" x14ac:dyDescent="0.25">
      <c r="A2985" s="40" t="s">
        <v>38</v>
      </c>
      <c r="B2985" s="40" t="s">
        <v>5435</v>
      </c>
      <c r="C2985" s="40" t="s">
        <v>5436</v>
      </c>
      <c r="D2985" s="40" t="s">
        <v>3246</v>
      </c>
      <c r="E2985" s="40" t="s">
        <v>3246</v>
      </c>
      <c r="F2985" s="40">
        <v>1</v>
      </c>
      <c r="G2985" s="40"/>
      <c r="H2985" s="40" t="s">
        <v>97</v>
      </c>
      <c r="I2985" s="40"/>
      <c r="J2985" s="40" t="s">
        <v>97</v>
      </c>
      <c r="K2985" s="40" t="s">
        <v>97</v>
      </c>
      <c r="L2985" s="40" t="s">
        <v>97</v>
      </c>
    </row>
    <row r="2986" spans="1:12" x14ac:dyDescent="0.25">
      <c r="A2986" s="40" t="s">
        <v>38</v>
      </c>
      <c r="B2986" s="40" t="s">
        <v>5437</v>
      </c>
      <c r="C2986" s="40" t="s">
        <v>5438</v>
      </c>
      <c r="D2986" s="40" t="s">
        <v>2298</v>
      </c>
      <c r="E2986" s="40" t="s">
        <v>2298</v>
      </c>
      <c r="F2986" s="40">
        <v>1</v>
      </c>
      <c r="G2986" s="40"/>
      <c r="H2986" s="40" t="s">
        <v>2234</v>
      </c>
      <c r="I2986" s="40"/>
      <c r="J2986" s="40" t="s">
        <v>97</v>
      </c>
      <c r="K2986" s="40" t="s">
        <v>97</v>
      </c>
      <c r="L2986" s="40" t="s">
        <v>97</v>
      </c>
    </row>
    <row r="2987" spans="1:12" x14ac:dyDescent="0.25">
      <c r="A2987" s="40" t="s">
        <v>38</v>
      </c>
      <c r="B2987" s="40" t="s">
        <v>5439</v>
      </c>
      <c r="C2987" s="40" t="s">
        <v>5440</v>
      </c>
      <c r="D2987" s="40" t="s">
        <v>2298</v>
      </c>
      <c r="E2987" s="40" t="s">
        <v>2298</v>
      </c>
      <c r="F2987" s="40">
        <v>1</v>
      </c>
      <c r="G2987" s="40"/>
      <c r="H2987" s="40" t="s">
        <v>2234</v>
      </c>
      <c r="I2987" s="40"/>
      <c r="J2987" s="40" t="s">
        <v>97</v>
      </c>
      <c r="K2987" s="40" t="s">
        <v>97</v>
      </c>
      <c r="L2987" s="40" t="s">
        <v>97</v>
      </c>
    </row>
    <row r="2988" spans="1:12" x14ac:dyDescent="0.25">
      <c r="A2988" s="40" t="s">
        <v>38</v>
      </c>
      <c r="B2988" s="40" t="s">
        <v>5441</v>
      </c>
      <c r="C2988" s="40" t="s">
        <v>5442</v>
      </c>
      <c r="D2988" s="40" t="s">
        <v>5443</v>
      </c>
      <c r="E2988" s="40" t="s">
        <v>5443</v>
      </c>
      <c r="F2988" s="40">
        <v>1</v>
      </c>
      <c r="G2988" s="40"/>
      <c r="H2988" s="40" t="s">
        <v>97</v>
      </c>
      <c r="I2988" s="40"/>
      <c r="J2988" s="40" t="s">
        <v>97</v>
      </c>
      <c r="K2988" s="40" t="s">
        <v>97</v>
      </c>
      <c r="L2988" s="40" t="s">
        <v>97</v>
      </c>
    </row>
    <row r="2989" spans="1:12" x14ac:dyDescent="0.25">
      <c r="A2989" s="40" t="s">
        <v>38</v>
      </c>
      <c r="B2989" s="40" t="s">
        <v>5444</v>
      </c>
      <c r="C2989" s="40" t="s">
        <v>5445</v>
      </c>
      <c r="D2989" s="40" t="s">
        <v>3246</v>
      </c>
      <c r="E2989" s="40" t="s">
        <v>3246</v>
      </c>
      <c r="F2989" s="40">
        <v>1</v>
      </c>
      <c r="G2989" s="40"/>
      <c r="H2989" s="40" t="s">
        <v>97</v>
      </c>
      <c r="I2989" s="40"/>
      <c r="J2989" s="40" t="s">
        <v>97</v>
      </c>
      <c r="K2989" s="40" t="s">
        <v>97</v>
      </c>
      <c r="L2989" s="40" t="s">
        <v>97</v>
      </c>
    </row>
    <row r="2990" spans="1:12" x14ac:dyDescent="0.25">
      <c r="A2990" s="40" t="s">
        <v>38</v>
      </c>
      <c r="B2990" s="40" t="s">
        <v>5446</v>
      </c>
      <c r="C2990" s="40" t="s">
        <v>5447</v>
      </c>
      <c r="D2990" s="40" t="s">
        <v>2233</v>
      </c>
      <c r="E2990" s="40" t="s">
        <v>2233</v>
      </c>
      <c r="F2990" s="40">
        <v>1</v>
      </c>
      <c r="G2990" s="40"/>
      <c r="H2990" s="40" t="s">
        <v>2234</v>
      </c>
      <c r="I2990" s="40"/>
      <c r="J2990" s="40" t="s">
        <v>97</v>
      </c>
      <c r="K2990" s="40" t="s">
        <v>97</v>
      </c>
      <c r="L2990" s="40" t="s">
        <v>97</v>
      </c>
    </row>
    <row r="2991" spans="1:12" x14ac:dyDescent="0.25">
      <c r="A2991" s="40" t="s">
        <v>38</v>
      </c>
      <c r="B2991" s="40" t="s">
        <v>5448</v>
      </c>
      <c r="C2991" s="40" t="s">
        <v>5449</v>
      </c>
      <c r="D2991" s="40" t="s">
        <v>2233</v>
      </c>
      <c r="E2991" s="40" t="s">
        <v>2233</v>
      </c>
      <c r="F2991" s="40">
        <v>1</v>
      </c>
      <c r="G2991" s="40"/>
      <c r="H2991" s="40" t="s">
        <v>2234</v>
      </c>
      <c r="I2991" s="40"/>
      <c r="J2991" s="40" t="s">
        <v>97</v>
      </c>
      <c r="K2991" s="40" t="s">
        <v>97</v>
      </c>
      <c r="L2991" s="40" t="s">
        <v>97</v>
      </c>
    </row>
    <row r="2992" spans="1:12" x14ac:dyDescent="0.25">
      <c r="A2992" s="40" t="s">
        <v>38</v>
      </c>
      <c r="B2992" s="40" t="s">
        <v>5450</v>
      </c>
      <c r="C2992" s="40" t="s">
        <v>5451</v>
      </c>
      <c r="D2992" s="40" t="s">
        <v>2233</v>
      </c>
      <c r="E2992" s="40" t="s">
        <v>2233</v>
      </c>
      <c r="F2992" s="40">
        <v>1</v>
      </c>
      <c r="G2992" s="40"/>
      <c r="H2992" s="40" t="s">
        <v>97</v>
      </c>
      <c r="I2992" s="40"/>
      <c r="J2992" s="40" t="s">
        <v>97</v>
      </c>
      <c r="K2992" s="40" t="s">
        <v>97</v>
      </c>
      <c r="L2992" s="40" t="s">
        <v>97</v>
      </c>
    </row>
    <row r="2993" spans="1:12" x14ac:dyDescent="0.25">
      <c r="A2993" s="40" t="s">
        <v>38</v>
      </c>
      <c r="B2993" s="40" t="s">
        <v>5452</v>
      </c>
      <c r="C2993" s="40" t="s">
        <v>5453</v>
      </c>
      <c r="D2993" s="40" t="s">
        <v>5454</v>
      </c>
      <c r="E2993" s="40" t="s">
        <v>5454</v>
      </c>
      <c r="F2993" s="40">
        <v>1</v>
      </c>
      <c r="G2993" s="40"/>
      <c r="H2993" s="40" t="s">
        <v>97</v>
      </c>
      <c r="I2993" s="40"/>
      <c r="J2993" s="40" t="s">
        <v>97</v>
      </c>
      <c r="K2993" s="40" t="s">
        <v>97</v>
      </c>
      <c r="L2993" s="40" t="s">
        <v>97</v>
      </c>
    </row>
    <row r="2994" spans="1:12" x14ac:dyDescent="0.25">
      <c r="A2994" s="40" t="s">
        <v>38</v>
      </c>
      <c r="B2994" s="40" t="s">
        <v>5455</v>
      </c>
      <c r="C2994" s="40" t="s">
        <v>5456</v>
      </c>
      <c r="D2994" s="40" t="s">
        <v>3246</v>
      </c>
      <c r="E2994" s="40" t="s">
        <v>3246</v>
      </c>
      <c r="F2994" s="40">
        <v>1</v>
      </c>
      <c r="G2994" s="40"/>
      <c r="H2994" s="40" t="s">
        <v>97</v>
      </c>
      <c r="I2994" s="40"/>
      <c r="J2994" s="40" t="s">
        <v>97</v>
      </c>
      <c r="K2994" s="40" t="s">
        <v>97</v>
      </c>
      <c r="L2994" s="40" t="s">
        <v>97</v>
      </c>
    </row>
    <row r="2995" spans="1:12" x14ac:dyDescent="0.25">
      <c r="A2995" s="40" t="s">
        <v>38</v>
      </c>
      <c r="B2995" s="40" t="s">
        <v>5457</v>
      </c>
      <c r="C2995" s="40" t="s">
        <v>5458</v>
      </c>
      <c r="D2995" s="40" t="s">
        <v>2233</v>
      </c>
      <c r="E2995" s="40" t="s">
        <v>2233</v>
      </c>
      <c r="F2995" s="40">
        <v>1</v>
      </c>
      <c r="G2995" s="40"/>
      <c r="H2995" s="40" t="s">
        <v>2234</v>
      </c>
      <c r="I2995" s="40"/>
      <c r="J2995" s="40" t="s">
        <v>97</v>
      </c>
      <c r="K2995" s="40" t="s">
        <v>97</v>
      </c>
      <c r="L2995" s="40" t="s">
        <v>97</v>
      </c>
    </row>
    <row r="2996" spans="1:12" x14ac:dyDescent="0.25">
      <c r="A2996" s="40" t="s">
        <v>38</v>
      </c>
      <c r="B2996" s="40" t="s">
        <v>5459</v>
      </c>
      <c r="C2996" s="40" t="s">
        <v>5460</v>
      </c>
      <c r="D2996" s="40" t="s">
        <v>2233</v>
      </c>
      <c r="E2996" s="40" t="s">
        <v>2233</v>
      </c>
      <c r="F2996" s="40">
        <v>1</v>
      </c>
      <c r="G2996" s="40"/>
      <c r="H2996" s="40" t="s">
        <v>2234</v>
      </c>
      <c r="I2996" s="40"/>
      <c r="J2996" s="40" t="s">
        <v>97</v>
      </c>
      <c r="K2996" s="40" t="s">
        <v>97</v>
      </c>
      <c r="L2996" s="40" t="s">
        <v>97</v>
      </c>
    </row>
    <row r="2997" spans="1:12" x14ac:dyDescent="0.25">
      <c r="A2997" s="40" t="s">
        <v>38</v>
      </c>
      <c r="B2997" s="40" t="s">
        <v>5461</v>
      </c>
      <c r="C2997" s="40" t="s">
        <v>5462</v>
      </c>
      <c r="D2997" s="40" t="s">
        <v>2233</v>
      </c>
      <c r="E2997" s="40" t="s">
        <v>2233</v>
      </c>
      <c r="F2997" s="40">
        <v>1</v>
      </c>
      <c r="G2997" s="40"/>
      <c r="H2997" s="40" t="s">
        <v>97</v>
      </c>
      <c r="I2997" s="40"/>
      <c r="J2997" s="40" t="s">
        <v>97</v>
      </c>
      <c r="K2997" s="40" t="s">
        <v>97</v>
      </c>
      <c r="L2997" s="40" t="s">
        <v>97</v>
      </c>
    </row>
    <row r="2998" spans="1:12" x14ac:dyDescent="0.25">
      <c r="A2998" s="40" t="s">
        <v>38</v>
      </c>
      <c r="B2998" s="40" t="s">
        <v>5463</v>
      </c>
      <c r="C2998" s="40" t="s">
        <v>5464</v>
      </c>
      <c r="D2998" s="40" t="s">
        <v>2233</v>
      </c>
      <c r="E2998" s="40" t="s">
        <v>2233</v>
      </c>
      <c r="F2998" s="40">
        <v>1</v>
      </c>
      <c r="G2998" s="40"/>
      <c r="H2998" s="40" t="s">
        <v>97</v>
      </c>
      <c r="I2998" s="40"/>
      <c r="J2998" s="40" t="s">
        <v>97</v>
      </c>
      <c r="K2998" s="40" t="s">
        <v>97</v>
      </c>
      <c r="L2998" s="40" t="s">
        <v>97</v>
      </c>
    </row>
    <row r="2999" spans="1:12" x14ac:dyDescent="0.25">
      <c r="A2999" s="40" t="s">
        <v>38</v>
      </c>
      <c r="B2999" s="40" t="s">
        <v>5465</v>
      </c>
      <c r="C2999" s="40" t="s">
        <v>5466</v>
      </c>
      <c r="D2999" s="40" t="s">
        <v>5467</v>
      </c>
      <c r="E2999" s="40" t="s">
        <v>5467</v>
      </c>
      <c r="F2999" s="40">
        <v>1</v>
      </c>
      <c r="G2999" s="40"/>
      <c r="H2999" s="40" t="s">
        <v>97</v>
      </c>
      <c r="I2999" s="40"/>
      <c r="J2999" s="40" t="s">
        <v>97</v>
      </c>
      <c r="K2999" s="40" t="s">
        <v>97</v>
      </c>
      <c r="L2999" s="40" t="s">
        <v>97</v>
      </c>
    </row>
    <row r="3000" spans="1:12" x14ac:dyDescent="0.25">
      <c r="A3000" s="40" t="s">
        <v>38</v>
      </c>
      <c r="B3000" s="40" t="s">
        <v>5468</v>
      </c>
      <c r="C3000" s="40" t="s">
        <v>5469</v>
      </c>
      <c r="D3000" s="40" t="s">
        <v>3246</v>
      </c>
      <c r="E3000" s="40" t="s">
        <v>3246</v>
      </c>
      <c r="F3000" s="40">
        <v>1</v>
      </c>
      <c r="G3000" s="40"/>
      <c r="H3000" s="40" t="s">
        <v>97</v>
      </c>
      <c r="I3000" s="40"/>
      <c r="J3000" s="40" t="s">
        <v>97</v>
      </c>
      <c r="K3000" s="40" t="s">
        <v>97</v>
      </c>
      <c r="L3000" s="40" t="s">
        <v>97</v>
      </c>
    </row>
    <row r="3001" spans="1:12" x14ac:dyDescent="0.25">
      <c r="A3001" s="40" t="s">
        <v>38</v>
      </c>
      <c r="B3001" s="40" t="s">
        <v>5470</v>
      </c>
      <c r="C3001" s="40" t="s">
        <v>5471</v>
      </c>
      <c r="D3001" s="40" t="s">
        <v>2281</v>
      </c>
      <c r="E3001" s="40" t="s">
        <v>2281</v>
      </c>
      <c r="F3001" s="40">
        <v>1</v>
      </c>
      <c r="G3001" s="40"/>
      <c r="H3001" s="40" t="s">
        <v>2234</v>
      </c>
      <c r="I3001" s="40"/>
      <c r="J3001" s="40" t="s">
        <v>97</v>
      </c>
      <c r="K3001" s="40" t="s">
        <v>97</v>
      </c>
      <c r="L3001" s="40" t="s">
        <v>97</v>
      </c>
    </row>
    <row r="3002" spans="1:12" x14ac:dyDescent="0.25">
      <c r="A3002" s="40" t="s">
        <v>38</v>
      </c>
      <c r="B3002" s="40" t="s">
        <v>5472</v>
      </c>
      <c r="C3002" s="40" t="s">
        <v>5473</v>
      </c>
      <c r="D3002" s="40" t="s">
        <v>5474</v>
      </c>
      <c r="E3002" s="40" t="s">
        <v>5474</v>
      </c>
      <c r="F3002" s="40">
        <v>1</v>
      </c>
      <c r="G3002" s="40"/>
      <c r="H3002" s="40" t="s">
        <v>2234</v>
      </c>
      <c r="I3002" s="40"/>
      <c r="J3002" s="40" t="s">
        <v>97</v>
      </c>
      <c r="K3002" s="40" t="s">
        <v>97</v>
      </c>
      <c r="L3002" s="40" t="s">
        <v>97</v>
      </c>
    </row>
    <row r="3003" spans="1:12" x14ac:dyDescent="0.25">
      <c r="A3003" s="40" t="s">
        <v>38</v>
      </c>
      <c r="B3003" s="40" t="s">
        <v>5475</v>
      </c>
      <c r="C3003" s="40" t="s">
        <v>5476</v>
      </c>
      <c r="D3003" s="40" t="s">
        <v>2233</v>
      </c>
      <c r="E3003" s="40" t="s">
        <v>2233</v>
      </c>
      <c r="F3003" s="40">
        <v>1</v>
      </c>
      <c r="G3003" s="40"/>
      <c r="H3003" s="40" t="s">
        <v>2234</v>
      </c>
      <c r="I3003" s="40"/>
      <c r="J3003" s="40" t="s">
        <v>97</v>
      </c>
      <c r="K3003" s="40" t="s">
        <v>97</v>
      </c>
      <c r="L3003" s="40" t="s">
        <v>97</v>
      </c>
    </row>
    <row r="3004" spans="1:12" x14ac:dyDescent="0.25">
      <c r="A3004" s="40" t="s">
        <v>38</v>
      </c>
      <c r="B3004" s="40" t="s">
        <v>5477</v>
      </c>
      <c r="C3004" s="40" t="s">
        <v>5478</v>
      </c>
      <c r="D3004" s="40" t="s">
        <v>5479</v>
      </c>
      <c r="E3004" s="40" t="s">
        <v>5474</v>
      </c>
      <c r="F3004" s="40">
        <v>0</v>
      </c>
      <c r="G3004" s="40"/>
      <c r="H3004" s="40" t="s">
        <v>2234</v>
      </c>
      <c r="I3004" s="40"/>
      <c r="J3004" s="40" t="s">
        <v>97</v>
      </c>
      <c r="K3004" s="40" t="s">
        <v>97</v>
      </c>
      <c r="L3004" s="40" t="s">
        <v>97</v>
      </c>
    </row>
    <row r="3005" spans="1:12" x14ac:dyDescent="0.25">
      <c r="A3005" s="40" t="s">
        <v>38</v>
      </c>
      <c r="B3005" s="40" t="s">
        <v>5480</v>
      </c>
      <c r="C3005" s="40" t="s">
        <v>5481</v>
      </c>
      <c r="D3005" s="40" t="s">
        <v>2233</v>
      </c>
      <c r="E3005" s="40" t="s">
        <v>2233</v>
      </c>
      <c r="F3005" s="40">
        <v>1</v>
      </c>
      <c r="G3005" s="40"/>
      <c r="H3005" s="40" t="s">
        <v>2234</v>
      </c>
      <c r="I3005" s="40"/>
      <c r="J3005" s="40" t="s">
        <v>97</v>
      </c>
      <c r="K3005" s="40" t="s">
        <v>97</v>
      </c>
      <c r="L3005" s="40" t="s">
        <v>97</v>
      </c>
    </row>
    <row r="3006" spans="1:12" x14ac:dyDescent="0.25">
      <c r="A3006" s="40" t="s">
        <v>38</v>
      </c>
      <c r="B3006" s="40" t="s">
        <v>5482</v>
      </c>
      <c r="C3006" s="40" t="s">
        <v>5483</v>
      </c>
      <c r="D3006" s="40" t="s">
        <v>5484</v>
      </c>
      <c r="E3006" s="40" t="s">
        <v>5474</v>
      </c>
      <c r="F3006" s="40">
        <v>0</v>
      </c>
      <c r="G3006" s="40"/>
      <c r="H3006" s="40" t="s">
        <v>2234</v>
      </c>
      <c r="I3006" s="40"/>
      <c r="J3006" s="40" t="s">
        <v>97</v>
      </c>
      <c r="K3006" s="40" t="s">
        <v>97</v>
      </c>
      <c r="L3006" s="40" t="s">
        <v>97</v>
      </c>
    </row>
    <row r="3007" spans="1:12" x14ac:dyDescent="0.25">
      <c r="A3007" s="40" t="s">
        <v>38</v>
      </c>
      <c r="B3007" s="40" t="s">
        <v>5485</v>
      </c>
      <c r="C3007" s="40" t="s">
        <v>5486</v>
      </c>
      <c r="D3007" s="40" t="s">
        <v>2233</v>
      </c>
      <c r="E3007" s="40" t="s">
        <v>2233</v>
      </c>
      <c r="F3007" s="40">
        <v>1</v>
      </c>
      <c r="G3007" s="40"/>
      <c r="H3007" s="40" t="s">
        <v>2234</v>
      </c>
      <c r="I3007" s="40"/>
      <c r="J3007" s="40" t="s">
        <v>97</v>
      </c>
      <c r="K3007" s="40" t="s">
        <v>97</v>
      </c>
      <c r="L3007" s="40" t="s">
        <v>97</v>
      </c>
    </row>
    <row r="3008" spans="1:12" x14ac:dyDescent="0.25">
      <c r="A3008" s="40" t="s">
        <v>38</v>
      </c>
      <c r="B3008" s="40" t="s">
        <v>5487</v>
      </c>
      <c r="C3008" s="40" t="s">
        <v>5488</v>
      </c>
      <c r="D3008" s="40" t="s">
        <v>5489</v>
      </c>
      <c r="E3008" s="40" t="s">
        <v>5474</v>
      </c>
      <c r="F3008" s="40">
        <v>0</v>
      </c>
      <c r="G3008" s="40"/>
      <c r="H3008" s="40" t="s">
        <v>2234</v>
      </c>
      <c r="I3008" s="40"/>
      <c r="J3008" s="40" t="s">
        <v>97</v>
      </c>
      <c r="K3008" s="40" t="s">
        <v>97</v>
      </c>
      <c r="L3008" s="40" t="s">
        <v>97</v>
      </c>
    </row>
    <row r="3009" spans="1:12" x14ac:dyDescent="0.25">
      <c r="A3009" s="40" t="s">
        <v>38</v>
      </c>
      <c r="B3009" s="40" t="s">
        <v>5490</v>
      </c>
      <c r="C3009" s="40" t="s">
        <v>5491</v>
      </c>
      <c r="D3009" s="40" t="s">
        <v>2233</v>
      </c>
      <c r="E3009" s="40" t="s">
        <v>2233</v>
      </c>
      <c r="F3009" s="40">
        <v>1</v>
      </c>
      <c r="G3009" s="40"/>
      <c r="H3009" s="40" t="s">
        <v>2234</v>
      </c>
      <c r="I3009" s="40"/>
      <c r="J3009" s="40" t="s">
        <v>97</v>
      </c>
      <c r="K3009" s="40" t="s">
        <v>97</v>
      </c>
      <c r="L3009" s="40" t="s">
        <v>97</v>
      </c>
    </row>
    <row r="3010" spans="1:12" x14ac:dyDescent="0.25">
      <c r="A3010" s="40" t="s">
        <v>38</v>
      </c>
      <c r="B3010" s="40" t="s">
        <v>5492</v>
      </c>
      <c r="C3010" s="40" t="s">
        <v>5493</v>
      </c>
      <c r="D3010" s="40" t="s">
        <v>5474</v>
      </c>
      <c r="E3010" s="40" t="s">
        <v>5474</v>
      </c>
      <c r="F3010" s="40">
        <v>1</v>
      </c>
      <c r="G3010" s="40"/>
      <c r="H3010" s="40" t="s">
        <v>2234</v>
      </c>
      <c r="I3010" s="40"/>
      <c r="J3010" s="40" t="s">
        <v>97</v>
      </c>
      <c r="K3010" s="40" t="s">
        <v>97</v>
      </c>
      <c r="L3010" s="40" t="s">
        <v>97</v>
      </c>
    </row>
    <row r="3011" spans="1:12" x14ac:dyDescent="0.25">
      <c r="A3011" s="40" t="s">
        <v>38</v>
      </c>
      <c r="B3011" s="40" t="s">
        <v>5494</v>
      </c>
      <c r="C3011" s="40" t="s">
        <v>5495</v>
      </c>
      <c r="D3011" s="40" t="s">
        <v>2233</v>
      </c>
      <c r="E3011" s="40" t="s">
        <v>2233</v>
      </c>
      <c r="F3011" s="40">
        <v>1</v>
      </c>
      <c r="G3011" s="40"/>
      <c r="H3011" s="40" t="s">
        <v>2234</v>
      </c>
      <c r="I3011" s="40"/>
      <c r="J3011" s="40" t="s">
        <v>97</v>
      </c>
      <c r="K3011" s="40" t="s">
        <v>97</v>
      </c>
      <c r="L3011" s="40" t="s">
        <v>97</v>
      </c>
    </row>
    <row r="3012" spans="1:12" x14ac:dyDescent="0.25">
      <c r="A3012" s="40" t="s">
        <v>38</v>
      </c>
      <c r="B3012" s="40" t="s">
        <v>5496</v>
      </c>
      <c r="C3012" s="40" t="s">
        <v>5497</v>
      </c>
      <c r="D3012" s="40" t="s">
        <v>2233</v>
      </c>
      <c r="E3012" s="40" t="s">
        <v>5474</v>
      </c>
      <c r="F3012" s="40">
        <v>0</v>
      </c>
      <c r="G3012" s="40"/>
      <c r="H3012" s="40" t="s">
        <v>2234</v>
      </c>
      <c r="I3012" s="40"/>
      <c r="J3012" s="40" t="s">
        <v>97</v>
      </c>
      <c r="K3012" s="40" t="s">
        <v>97</v>
      </c>
      <c r="L3012" s="40" t="s">
        <v>97</v>
      </c>
    </row>
    <row r="3013" spans="1:12" x14ac:dyDescent="0.25">
      <c r="A3013" s="40" t="s">
        <v>38</v>
      </c>
      <c r="B3013" s="40" t="s">
        <v>5498</v>
      </c>
      <c r="C3013" s="40" t="s">
        <v>5499</v>
      </c>
      <c r="D3013" s="40" t="s">
        <v>2233</v>
      </c>
      <c r="E3013" s="40" t="s">
        <v>2233</v>
      </c>
      <c r="F3013" s="40">
        <v>1</v>
      </c>
      <c r="G3013" s="40"/>
      <c r="H3013" s="40" t="s">
        <v>2234</v>
      </c>
      <c r="I3013" s="40"/>
      <c r="J3013" s="40" t="s">
        <v>97</v>
      </c>
      <c r="K3013" s="40" t="s">
        <v>97</v>
      </c>
      <c r="L3013" s="40" t="s">
        <v>97</v>
      </c>
    </row>
    <row r="3014" spans="1:12" x14ac:dyDescent="0.25">
      <c r="A3014" s="40" t="s">
        <v>38</v>
      </c>
      <c r="B3014" s="40" t="s">
        <v>5500</v>
      </c>
      <c r="C3014" s="40" t="s">
        <v>5501</v>
      </c>
      <c r="D3014" s="40" t="s">
        <v>2233</v>
      </c>
      <c r="E3014" s="40" t="s">
        <v>5474</v>
      </c>
      <c r="F3014" s="40">
        <v>0</v>
      </c>
      <c r="G3014" s="40"/>
      <c r="H3014" s="40" t="s">
        <v>2234</v>
      </c>
      <c r="I3014" s="40"/>
      <c r="J3014" s="40" t="s">
        <v>97</v>
      </c>
      <c r="K3014" s="40" t="s">
        <v>97</v>
      </c>
      <c r="L3014" s="40" t="s">
        <v>97</v>
      </c>
    </row>
    <row r="3015" spans="1:12" x14ac:dyDescent="0.25">
      <c r="A3015" s="40" t="s">
        <v>38</v>
      </c>
      <c r="B3015" s="40" t="s">
        <v>5502</v>
      </c>
      <c r="C3015" s="40" t="s">
        <v>5503</v>
      </c>
      <c r="D3015" s="40" t="s">
        <v>2233</v>
      </c>
      <c r="E3015" s="40" t="s">
        <v>2233</v>
      </c>
      <c r="F3015" s="40">
        <v>1</v>
      </c>
      <c r="G3015" s="40"/>
      <c r="H3015" s="40" t="s">
        <v>2234</v>
      </c>
      <c r="I3015" s="40"/>
      <c r="J3015" s="40" t="s">
        <v>97</v>
      </c>
      <c r="K3015" s="40" t="s">
        <v>97</v>
      </c>
      <c r="L3015" s="40" t="s">
        <v>97</v>
      </c>
    </row>
    <row r="3016" spans="1:12" x14ac:dyDescent="0.25">
      <c r="A3016" s="40" t="s">
        <v>38</v>
      </c>
      <c r="B3016" s="40" t="s">
        <v>5504</v>
      </c>
      <c r="C3016" s="40" t="s">
        <v>5505</v>
      </c>
      <c r="D3016" s="40" t="s">
        <v>2233</v>
      </c>
      <c r="E3016" s="40" t="s">
        <v>5474</v>
      </c>
      <c r="F3016" s="40">
        <v>0</v>
      </c>
      <c r="G3016" s="40"/>
      <c r="H3016" s="40" t="s">
        <v>2234</v>
      </c>
      <c r="I3016" s="40"/>
      <c r="J3016" s="40" t="s">
        <v>97</v>
      </c>
      <c r="K3016" s="40" t="s">
        <v>97</v>
      </c>
      <c r="L3016" s="40" t="s">
        <v>97</v>
      </c>
    </row>
    <row r="3017" spans="1:12" x14ac:dyDescent="0.25">
      <c r="A3017" s="40" t="s">
        <v>38</v>
      </c>
      <c r="B3017" s="40" t="s">
        <v>5506</v>
      </c>
      <c r="C3017" s="40" t="s">
        <v>5507</v>
      </c>
      <c r="D3017" s="40" t="s">
        <v>2233</v>
      </c>
      <c r="E3017" s="40" t="s">
        <v>2233</v>
      </c>
      <c r="F3017" s="40">
        <v>1</v>
      </c>
      <c r="G3017" s="40"/>
      <c r="H3017" s="40" t="s">
        <v>2234</v>
      </c>
      <c r="I3017" s="40"/>
      <c r="J3017" s="40" t="s">
        <v>97</v>
      </c>
      <c r="K3017" s="40" t="s">
        <v>97</v>
      </c>
      <c r="L3017" s="40" t="s">
        <v>97</v>
      </c>
    </row>
    <row r="3018" spans="1:12" x14ac:dyDescent="0.25">
      <c r="A3018" s="40" t="s">
        <v>38</v>
      </c>
      <c r="B3018" s="40" t="s">
        <v>5508</v>
      </c>
      <c r="C3018" s="40" t="s">
        <v>5509</v>
      </c>
      <c r="D3018" s="40" t="s">
        <v>2233</v>
      </c>
      <c r="E3018" s="40" t="s">
        <v>5474</v>
      </c>
      <c r="F3018" s="40">
        <v>0</v>
      </c>
      <c r="G3018" s="40"/>
      <c r="H3018" s="40" t="s">
        <v>2234</v>
      </c>
      <c r="I3018" s="40"/>
      <c r="J3018" s="40" t="s">
        <v>97</v>
      </c>
      <c r="K3018" s="40" t="s">
        <v>97</v>
      </c>
      <c r="L3018" s="40" t="s">
        <v>97</v>
      </c>
    </row>
    <row r="3019" spans="1:12" x14ac:dyDescent="0.25">
      <c r="A3019" s="40" t="s">
        <v>38</v>
      </c>
      <c r="B3019" s="40" t="s">
        <v>5510</v>
      </c>
      <c r="C3019" s="40" t="s">
        <v>5511</v>
      </c>
      <c r="D3019" s="40" t="s">
        <v>2233</v>
      </c>
      <c r="E3019" s="40" t="s">
        <v>2233</v>
      </c>
      <c r="F3019" s="40">
        <v>1</v>
      </c>
      <c r="G3019" s="40"/>
      <c r="H3019" s="40" t="s">
        <v>2234</v>
      </c>
      <c r="I3019" s="40"/>
      <c r="J3019" s="40" t="s">
        <v>97</v>
      </c>
      <c r="K3019" s="40" t="s">
        <v>97</v>
      </c>
      <c r="L3019" s="40" t="s">
        <v>97</v>
      </c>
    </row>
    <row r="3020" spans="1:12" x14ac:dyDescent="0.25">
      <c r="A3020" s="40" t="s">
        <v>38</v>
      </c>
      <c r="B3020" s="40" t="s">
        <v>5512</v>
      </c>
      <c r="C3020" s="40" t="s">
        <v>5513</v>
      </c>
      <c r="D3020" s="40" t="s">
        <v>2233</v>
      </c>
      <c r="E3020" s="40" t="s">
        <v>5474</v>
      </c>
      <c r="F3020" s="40">
        <v>0</v>
      </c>
      <c r="G3020" s="40"/>
      <c r="H3020" s="40" t="s">
        <v>2234</v>
      </c>
      <c r="I3020" s="40"/>
      <c r="J3020" s="40" t="s">
        <v>97</v>
      </c>
      <c r="K3020" s="40" t="s">
        <v>97</v>
      </c>
      <c r="L3020" s="40" t="s">
        <v>97</v>
      </c>
    </row>
    <row r="3021" spans="1:12" x14ac:dyDescent="0.25">
      <c r="A3021" s="40" t="s">
        <v>38</v>
      </c>
      <c r="B3021" s="40" t="s">
        <v>5514</v>
      </c>
      <c r="C3021" s="40" t="s">
        <v>5515</v>
      </c>
      <c r="D3021" s="40" t="s">
        <v>2233</v>
      </c>
      <c r="E3021" s="40" t="s">
        <v>2233</v>
      </c>
      <c r="F3021" s="40">
        <v>1</v>
      </c>
      <c r="G3021" s="40"/>
      <c r="H3021" s="40" t="s">
        <v>2234</v>
      </c>
      <c r="I3021" s="40"/>
      <c r="J3021" s="40" t="s">
        <v>97</v>
      </c>
      <c r="K3021" s="40" t="s">
        <v>97</v>
      </c>
      <c r="L3021" s="40" t="s">
        <v>97</v>
      </c>
    </row>
    <row r="3022" spans="1:12" x14ac:dyDescent="0.25">
      <c r="A3022" s="40" t="s">
        <v>38</v>
      </c>
      <c r="B3022" s="40" t="s">
        <v>5516</v>
      </c>
      <c r="C3022" s="40" t="s">
        <v>5517</v>
      </c>
      <c r="D3022" s="40" t="s">
        <v>2233</v>
      </c>
      <c r="E3022" s="40" t="s">
        <v>5474</v>
      </c>
      <c r="F3022" s="40">
        <v>0</v>
      </c>
      <c r="G3022" s="40"/>
      <c r="H3022" s="40" t="s">
        <v>2234</v>
      </c>
      <c r="I3022" s="40"/>
      <c r="J3022" s="40" t="s">
        <v>97</v>
      </c>
      <c r="K3022" s="40" t="s">
        <v>97</v>
      </c>
      <c r="L3022" s="40" t="s">
        <v>97</v>
      </c>
    </row>
    <row r="3023" spans="1:12" x14ac:dyDescent="0.25">
      <c r="A3023" s="40" t="s">
        <v>38</v>
      </c>
      <c r="B3023" s="40" t="s">
        <v>5518</v>
      </c>
      <c r="C3023" s="40" t="s">
        <v>5519</v>
      </c>
      <c r="D3023" s="40" t="s">
        <v>2233</v>
      </c>
      <c r="E3023" s="40" t="s">
        <v>2233</v>
      </c>
      <c r="F3023" s="40">
        <v>1</v>
      </c>
      <c r="G3023" s="40"/>
      <c r="H3023" s="40" t="s">
        <v>2234</v>
      </c>
      <c r="I3023" s="40"/>
      <c r="J3023" s="40" t="s">
        <v>97</v>
      </c>
      <c r="K3023" s="40" t="s">
        <v>97</v>
      </c>
      <c r="L3023" s="40" t="s">
        <v>97</v>
      </c>
    </row>
    <row r="3024" spans="1:12" x14ac:dyDescent="0.25">
      <c r="A3024" s="40" t="s">
        <v>38</v>
      </c>
      <c r="B3024" s="40" t="s">
        <v>5520</v>
      </c>
      <c r="C3024" s="40" t="s">
        <v>5521</v>
      </c>
      <c r="D3024" s="40" t="s">
        <v>2233</v>
      </c>
      <c r="E3024" s="40" t="s">
        <v>5474</v>
      </c>
      <c r="F3024" s="40">
        <v>0</v>
      </c>
      <c r="G3024" s="40"/>
      <c r="H3024" s="40" t="s">
        <v>2234</v>
      </c>
      <c r="I3024" s="40"/>
      <c r="J3024" s="40" t="s">
        <v>97</v>
      </c>
      <c r="K3024" s="40" t="s">
        <v>97</v>
      </c>
      <c r="L3024" s="40" t="s">
        <v>97</v>
      </c>
    </row>
    <row r="3025" spans="1:12" x14ac:dyDescent="0.25">
      <c r="A3025" s="40" t="s">
        <v>38</v>
      </c>
      <c r="B3025" s="40" t="s">
        <v>5522</v>
      </c>
      <c r="C3025" s="40" t="s">
        <v>5523</v>
      </c>
      <c r="D3025" s="40" t="s">
        <v>2233</v>
      </c>
      <c r="E3025" s="40" t="s">
        <v>2233</v>
      </c>
      <c r="F3025" s="40">
        <v>1</v>
      </c>
      <c r="G3025" s="40"/>
      <c r="H3025" s="40" t="s">
        <v>2234</v>
      </c>
      <c r="I3025" s="40"/>
      <c r="J3025" s="40" t="s">
        <v>97</v>
      </c>
      <c r="K3025" s="40" t="s">
        <v>97</v>
      </c>
      <c r="L3025" s="40" t="s">
        <v>97</v>
      </c>
    </row>
    <row r="3026" spans="1:12" x14ac:dyDescent="0.25">
      <c r="A3026" s="40" t="s">
        <v>38</v>
      </c>
      <c r="B3026" s="40" t="s">
        <v>5524</v>
      </c>
      <c r="C3026" s="40" t="s">
        <v>5525</v>
      </c>
      <c r="D3026" s="40" t="s">
        <v>2233</v>
      </c>
      <c r="E3026" s="40" t="s">
        <v>5474</v>
      </c>
      <c r="F3026" s="40">
        <v>0</v>
      </c>
      <c r="G3026" s="40"/>
      <c r="H3026" s="40" t="s">
        <v>2234</v>
      </c>
      <c r="I3026" s="40"/>
      <c r="J3026" s="40" t="s">
        <v>97</v>
      </c>
      <c r="K3026" s="40" t="s">
        <v>97</v>
      </c>
      <c r="L3026" s="40" t="s">
        <v>97</v>
      </c>
    </row>
    <row r="3027" spans="1:12" x14ac:dyDescent="0.25">
      <c r="A3027" s="40" t="s">
        <v>38</v>
      </c>
      <c r="B3027" s="40" t="s">
        <v>5526</v>
      </c>
      <c r="C3027" s="40" t="s">
        <v>5527</v>
      </c>
      <c r="D3027" s="40" t="s">
        <v>2233</v>
      </c>
      <c r="E3027" s="40" t="s">
        <v>2233</v>
      </c>
      <c r="F3027" s="40">
        <v>1</v>
      </c>
      <c r="G3027" s="40"/>
      <c r="H3027" s="40" t="s">
        <v>2234</v>
      </c>
      <c r="I3027" s="40"/>
      <c r="J3027" s="40" t="s">
        <v>97</v>
      </c>
      <c r="K3027" s="40" t="s">
        <v>97</v>
      </c>
      <c r="L3027" s="40" t="s">
        <v>97</v>
      </c>
    </row>
    <row r="3028" spans="1:12" x14ac:dyDescent="0.25">
      <c r="A3028" s="40" t="s">
        <v>38</v>
      </c>
      <c r="B3028" s="40" t="s">
        <v>5528</v>
      </c>
      <c r="C3028" s="40" t="s">
        <v>5529</v>
      </c>
      <c r="D3028" s="40" t="s">
        <v>2233</v>
      </c>
      <c r="E3028" s="40" t="s">
        <v>5474</v>
      </c>
      <c r="F3028" s="40">
        <v>0</v>
      </c>
      <c r="G3028" s="40"/>
      <c r="H3028" s="40" t="s">
        <v>2234</v>
      </c>
      <c r="I3028" s="40"/>
      <c r="J3028" s="40" t="s">
        <v>97</v>
      </c>
      <c r="K3028" s="40" t="s">
        <v>97</v>
      </c>
      <c r="L3028" s="40" t="s">
        <v>97</v>
      </c>
    </row>
    <row r="3029" spans="1:12" x14ac:dyDescent="0.25">
      <c r="A3029" s="40" t="s">
        <v>38</v>
      </c>
      <c r="B3029" s="40" t="s">
        <v>5530</v>
      </c>
      <c r="C3029" s="40" t="s">
        <v>5531</v>
      </c>
      <c r="D3029" s="40" t="s">
        <v>2233</v>
      </c>
      <c r="E3029" s="40" t="s">
        <v>2233</v>
      </c>
      <c r="F3029" s="40">
        <v>1</v>
      </c>
      <c r="G3029" s="40"/>
      <c r="H3029" s="40" t="s">
        <v>2234</v>
      </c>
      <c r="I3029" s="40"/>
      <c r="J3029" s="40" t="s">
        <v>97</v>
      </c>
      <c r="K3029" s="40" t="s">
        <v>97</v>
      </c>
      <c r="L3029" s="40" t="s">
        <v>97</v>
      </c>
    </row>
    <row r="3030" spans="1:12" x14ac:dyDescent="0.25">
      <c r="A3030" s="40" t="s">
        <v>38</v>
      </c>
      <c r="B3030" s="40" t="s">
        <v>5532</v>
      </c>
      <c r="C3030" s="40" t="s">
        <v>5533</v>
      </c>
      <c r="D3030" s="40" t="s">
        <v>2233</v>
      </c>
      <c r="E3030" s="40" t="s">
        <v>5474</v>
      </c>
      <c r="F3030" s="40">
        <v>0</v>
      </c>
      <c r="G3030" s="40"/>
      <c r="H3030" s="40" t="s">
        <v>2234</v>
      </c>
      <c r="I3030" s="40"/>
      <c r="J3030" s="40" t="s">
        <v>97</v>
      </c>
      <c r="K3030" s="40" t="s">
        <v>97</v>
      </c>
      <c r="L3030" s="40" t="s">
        <v>97</v>
      </c>
    </row>
    <row r="3031" spans="1:12" x14ac:dyDescent="0.25">
      <c r="A3031" s="40" t="s">
        <v>38</v>
      </c>
      <c r="B3031" s="40" t="s">
        <v>5534</v>
      </c>
      <c r="C3031" s="40" t="s">
        <v>5535</v>
      </c>
      <c r="D3031" s="40" t="s">
        <v>2233</v>
      </c>
      <c r="E3031" s="40" t="s">
        <v>2233</v>
      </c>
      <c r="F3031" s="40">
        <v>1</v>
      </c>
      <c r="G3031" s="40"/>
      <c r="H3031" s="40" t="s">
        <v>2234</v>
      </c>
      <c r="I3031" s="40"/>
      <c r="J3031" s="40" t="s">
        <v>97</v>
      </c>
      <c r="K3031" s="40" t="s">
        <v>97</v>
      </c>
      <c r="L3031" s="40" t="s">
        <v>97</v>
      </c>
    </row>
    <row r="3032" spans="1:12" x14ac:dyDescent="0.25">
      <c r="A3032" s="40" t="s">
        <v>38</v>
      </c>
      <c r="B3032" s="40" t="s">
        <v>5536</v>
      </c>
      <c r="C3032" s="40" t="s">
        <v>5537</v>
      </c>
      <c r="D3032" s="40" t="s">
        <v>2233</v>
      </c>
      <c r="E3032" s="40" t="s">
        <v>5474</v>
      </c>
      <c r="F3032" s="40">
        <v>0</v>
      </c>
      <c r="G3032" s="40"/>
      <c r="H3032" s="40" t="s">
        <v>2234</v>
      </c>
      <c r="I3032" s="40"/>
      <c r="J3032" s="40" t="s">
        <v>97</v>
      </c>
      <c r="K3032" s="40" t="s">
        <v>97</v>
      </c>
      <c r="L3032" s="40" t="s">
        <v>97</v>
      </c>
    </row>
    <row r="3033" spans="1:12" x14ac:dyDescent="0.25">
      <c r="A3033" s="40" t="s">
        <v>38</v>
      </c>
      <c r="B3033" s="40" t="s">
        <v>5538</v>
      </c>
      <c r="C3033" s="40" t="s">
        <v>5539</v>
      </c>
      <c r="D3033" s="40" t="s">
        <v>2233</v>
      </c>
      <c r="E3033" s="40" t="s">
        <v>2233</v>
      </c>
      <c r="F3033" s="40">
        <v>1</v>
      </c>
      <c r="G3033" s="40"/>
      <c r="H3033" s="40" t="s">
        <v>2234</v>
      </c>
      <c r="I3033" s="40"/>
      <c r="J3033" s="40" t="s">
        <v>97</v>
      </c>
      <c r="K3033" s="40" t="s">
        <v>97</v>
      </c>
      <c r="L3033" s="40" t="s">
        <v>97</v>
      </c>
    </row>
    <row r="3034" spans="1:12" x14ac:dyDescent="0.25">
      <c r="A3034" s="40" t="s">
        <v>38</v>
      </c>
      <c r="B3034" s="40" t="s">
        <v>5540</v>
      </c>
      <c r="C3034" s="40" t="s">
        <v>5541</v>
      </c>
      <c r="D3034" s="40" t="s">
        <v>2233</v>
      </c>
      <c r="E3034" s="40" t="s">
        <v>5474</v>
      </c>
      <c r="F3034" s="40">
        <v>0</v>
      </c>
      <c r="G3034" s="40"/>
      <c r="H3034" s="40" t="s">
        <v>2234</v>
      </c>
      <c r="I3034" s="40"/>
      <c r="J3034" s="40" t="s">
        <v>97</v>
      </c>
      <c r="K3034" s="40" t="s">
        <v>97</v>
      </c>
      <c r="L3034" s="40" t="s">
        <v>97</v>
      </c>
    </row>
    <row r="3035" spans="1:12" x14ac:dyDescent="0.25">
      <c r="A3035" s="40" t="s">
        <v>38</v>
      </c>
      <c r="B3035" s="40" t="s">
        <v>5542</v>
      </c>
      <c r="C3035" s="40" t="s">
        <v>5543</v>
      </c>
      <c r="D3035" s="40" t="s">
        <v>2233</v>
      </c>
      <c r="E3035" s="40" t="s">
        <v>2233</v>
      </c>
      <c r="F3035" s="40">
        <v>1</v>
      </c>
      <c r="G3035" s="40"/>
      <c r="H3035" s="40" t="s">
        <v>2234</v>
      </c>
      <c r="I3035" s="40"/>
      <c r="J3035" s="40" t="s">
        <v>97</v>
      </c>
      <c r="K3035" s="40" t="s">
        <v>97</v>
      </c>
      <c r="L3035" s="40" t="s">
        <v>97</v>
      </c>
    </row>
    <row r="3036" spans="1:12" x14ac:dyDescent="0.25">
      <c r="A3036" s="40" t="s">
        <v>38</v>
      </c>
      <c r="B3036" s="40" t="s">
        <v>5544</v>
      </c>
      <c r="C3036" s="40" t="s">
        <v>5545</v>
      </c>
      <c r="D3036" s="40" t="s">
        <v>2233</v>
      </c>
      <c r="E3036" s="40" t="s">
        <v>5474</v>
      </c>
      <c r="F3036" s="40">
        <v>0</v>
      </c>
      <c r="G3036" s="40"/>
      <c r="H3036" s="40" t="s">
        <v>2234</v>
      </c>
      <c r="I3036" s="40"/>
      <c r="J3036" s="40" t="s">
        <v>97</v>
      </c>
      <c r="K3036" s="40" t="s">
        <v>97</v>
      </c>
      <c r="L3036" s="40" t="s">
        <v>97</v>
      </c>
    </row>
    <row r="3037" spans="1:12" x14ac:dyDescent="0.25">
      <c r="A3037" s="40" t="s">
        <v>38</v>
      </c>
      <c r="B3037" s="40" t="s">
        <v>5546</v>
      </c>
      <c r="C3037" s="40" t="s">
        <v>5547</v>
      </c>
      <c r="D3037" s="40" t="s">
        <v>2233</v>
      </c>
      <c r="E3037" s="40" t="s">
        <v>2233</v>
      </c>
      <c r="F3037" s="40">
        <v>1</v>
      </c>
      <c r="G3037" s="40"/>
      <c r="H3037" s="40" t="s">
        <v>2234</v>
      </c>
      <c r="I3037" s="40"/>
      <c r="J3037" s="40" t="s">
        <v>97</v>
      </c>
      <c r="K3037" s="40" t="s">
        <v>97</v>
      </c>
      <c r="L3037" s="40" t="s">
        <v>97</v>
      </c>
    </row>
    <row r="3038" spans="1:12" x14ac:dyDescent="0.25">
      <c r="A3038" s="40" t="s">
        <v>38</v>
      </c>
      <c r="B3038" s="40" t="s">
        <v>5548</v>
      </c>
      <c r="C3038" s="40" t="s">
        <v>5549</v>
      </c>
      <c r="D3038" s="40" t="s">
        <v>2233</v>
      </c>
      <c r="E3038" s="40" t="s">
        <v>5474</v>
      </c>
      <c r="F3038" s="40">
        <v>0</v>
      </c>
      <c r="G3038" s="40"/>
      <c r="H3038" s="40" t="s">
        <v>2234</v>
      </c>
      <c r="I3038" s="40"/>
      <c r="J3038" s="40" t="s">
        <v>97</v>
      </c>
      <c r="K3038" s="40" t="s">
        <v>97</v>
      </c>
      <c r="L3038" s="40" t="s">
        <v>97</v>
      </c>
    </row>
    <row r="3039" spans="1:12" x14ac:dyDescent="0.25">
      <c r="A3039" s="40" t="s">
        <v>38</v>
      </c>
      <c r="B3039" s="40" t="s">
        <v>5550</v>
      </c>
      <c r="C3039" s="40" t="s">
        <v>5551</v>
      </c>
      <c r="D3039" s="40" t="s">
        <v>2233</v>
      </c>
      <c r="E3039" s="40" t="s">
        <v>2233</v>
      </c>
      <c r="F3039" s="40">
        <v>1</v>
      </c>
      <c r="G3039" s="40"/>
      <c r="H3039" s="40" t="s">
        <v>2234</v>
      </c>
      <c r="I3039" s="40"/>
      <c r="J3039" s="40" t="s">
        <v>97</v>
      </c>
      <c r="K3039" s="40" t="s">
        <v>97</v>
      </c>
      <c r="L3039" s="40" t="s">
        <v>97</v>
      </c>
    </row>
    <row r="3040" spans="1:12" x14ac:dyDescent="0.25">
      <c r="A3040" s="40" t="s">
        <v>38</v>
      </c>
      <c r="B3040" s="40" t="s">
        <v>5552</v>
      </c>
      <c r="C3040" s="40" t="s">
        <v>5553</v>
      </c>
      <c r="D3040" s="40" t="s">
        <v>2233</v>
      </c>
      <c r="E3040" s="40" t="s">
        <v>5474</v>
      </c>
      <c r="F3040" s="40">
        <v>0</v>
      </c>
      <c r="G3040" s="40"/>
      <c r="H3040" s="40" t="s">
        <v>2234</v>
      </c>
      <c r="I3040" s="40"/>
      <c r="J3040" s="40" t="s">
        <v>97</v>
      </c>
      <c r="K3040" s="40" t="s">
        <v>97</v>
      </c>
      <c r="L3040" s="40" t="s">
        <v>97</v>
      </c>
    </row>
    <row r="3041" spans="1:12" x14ac:dyDescent="0.25">
      <c r="A3041" s="40" t="s">
        <v>38</v>
      </c>
      <c r="B3041" s="40" t="s">
        <v>5554</v>
      </c>
      <c r="C3041" s="40" t="s">
        <v>5555</v>
      </c>
      <c r="D3041" s="40" t="s">
        <v>2233</v>
      </c>
      <c r="E3041" s="40" t="s">
        <v>2233</v>
      </c>
      <c r="F3041" s="40">
        <v>1</v>
      </c>
      <c r="G3041" s="40"/>
      <c r="H3041" s="40" t="s">
        <v>2234</v>
      </c>
      <c r="I3041" s="40"/>
      <c r="J3041" s="40" t="s">
        <v>97</v>
      </c>
      <c r="K3041" s="40" t="s">
        <v>97</v>
      </c>
      <c r="L3041" s="40" t="s">
        <v>97</v>
      </c>
    </row>
    <row r="3042" spans="1:12" x14ac:dyDescent="0.25">
      <c r="A3042" s="40" t="s">
        <v>38</v>
      </c>
      <c r="B3042" s="40" t="s">
        <v>5556</v>
      </c>
      <c r="C3042" s="40" t="s">
        <v>5557</v>
      </c>
      <c r="D3042" s="40" t="s">
        <v>2233</v>
      </c>
      <c r="E3042" s="40" t="s">
        <v>2233</v>
      </c>
      <c r="F3042" s="40">
        <v>1</v>
      </c>
      <c r="G3042" s="40"/>
      <c r="H3042" s="40" t="s">
        <v>2234</v>
      </c>
      <c r="I3042" s="40"/>
      <c r="J3042" s="40" t="s">
        <v>97</v>
      </c>
      <c r="K3042" s="40" t="s">
        <v>97</v>
      </c>
      <c r="L3042" s="40" t="s">
        <v>97</v>
      </c>
    </row>
    <row r="3043" spans="1:12" x14ac:dyDescent="0.25">
      <c r="A3043" s="40" t="s">
        <v>38</v>
      </c>
      <c r="B3043" s="40" t="s">
        <v>5558</v>
      </c>
      <c r="C3043" s="40" t="s">
        <v>5559</v>
      </c>
      <c r="D3043" s="40" t="s">
        <v>2233</v>
      </c>
      <c r="E3043" s="40" t="s">
        <v>2233</v>
      </c>
      <c r="F3043" s="40">
        <v>1</v>
      </c>
      <c r="G3043" s="40"/>
      <c r="H3043" s="40" t="s">
        <v>2234</v>
      </c>
      <c r="I3043" s="40"/>
      <c r="J3043" s="40" t="s">
        <v>97</v>
      </c>
      <c r="K3043" s="40" t="s">
        <v>97</v>
      </c>
      <c r="L3043" s="40" t="s">
        <v>97</v>
      </c>
    </row>
    <row r="3044" spans="1:12" x14ac:dyDescent="0.25">
      <c r="A3044" s="40" t="s">
        <v>38</v>
      </c>
      <c r="B3044" s="40" t="s">
        <v>5560</v>
      </c>
      <c r="C3044" s="40" t="s">
        <v>5561</v>
      </c>
      <c r="D3044" s="40" t="s">
        <v>2233</v>
      </c>
      <c r="E3044" s="40" t="s">
        <v>2233</v>
      </c>
      <c r="F3044" s="40">
        <v>1</v>
      </c>
      <c r="G3044" s="40"/>
      <c r="H3044" s="40" t="s">
        <v>2234</v>
      </c>
      <c r="I3044" s="40"/>
      <c r="J3044" s="40" t="s">
        <v>97</v>
      </c>
      <c r="K3044" s="40" t="s">
        <v>97</v>
      </c>
      <c r="L3044" s="40" t="s">
        <v>97</v>
      </c>
    </row>
    <row r="3045" spans="1:12" x14ac:dyDescent="0.25">
      <c r="A3045" s="40" t="s">
        <v>38</v>
      </c>
      <c r="B3045" s="40" t="s">
        <v>5562</v>
      </c>
      <c r="C3045" s="40" t="s">
        <v>5563</v>
      </c>
      <c r="D3045" s="40" t="s">
        <v>2233</v>
      </c>
      <c r="E3045" s="40" t="s">
        <v>2233</v>
      </c>
      <c r="F3045" s="40">
        <v>1</v>
      </c>
      <c r="G3045" s="40"/>
      <c r="H3045" s="40" t="s">
        <v>2234</v>
      </c>
      <c r="I3045" s="40"/>
      <c r="J3045" s="40" t="s">
        <v>97</v>
      </c>
      <c r="K3045" s="40" t="s">
        <v>97</v>
      </c>
      <c r="L3045" s="40" t="s">
        <v>97</v>
      </c>
    </row>
    <row r="3046" spans="1:12" x14ac:dyDescent="0.25">
      <c r="A3046" s="40" t="s">
        <v>38</v>
      </c>
      <c r="B3046" s="40" t="s">
        <v>5564</v>
      </c>
      <c r="C3046" s="40" t="s">
        <v>5565</v>
      </c>
      <c r="D3046" s="40" t="s">
        <v>5467</v>
      </c>
      <c r="E3046" s="40" t="s">
        <v>5467</v>
      </c>
      <c r="F3046" s="40">
        <v>1</v>
      </c>
      <c r="G3046" s="40"/>
      <c r="H3046" s="40" t="s">
        <v>97</v>
      </c>
      <c r="I3046" s="40"/>
      <c r="J3046" s="40" t="s">
        <v>97</v>
      </c>
      <c r="K3046" s="40" t="s">
        <v>97</v>
      </c>
      <c r="L3046" s="40" t="s">
        <v>97</v>
      </c>
    </row>
    <row r="3047" spans="1:12" x14ac:dyDescent="0.25">
      <c r="A3047" s="40" t="s">
        <v>38</v>
      </c>
      <c r="B3047" s="40" t="s">
        <v>5566</v>
      </c>
      <c r="C3047" s="40" t="s">
        <v>5567</v>
      </c>
      <c r="D3047" s="40" t="s">
        <v>3246</v>
      </c>
      <c r="E3047" s="40" t="s">
        <v>3246</v>
      </c>
      <c r="F3047" s="40">
        <v>1</v>
      </c>
      <c r="G3047" s="40"/>
      <c r="H3047" s="40" t="s">
        <v>97</v>
      </c>
      <c r="I3047" s="40"/>
      <c r="J3047" s="40" t="s">
        <v>97</v>
      </c>
      <c r="K3047" s="40" t="s">
        <v>97</v>
      </c>
      <c r="L3047" s="40" t="s">
        <v>97</v>
      </c>
    </row>
    <row r="3048" spans="1:12" x14ac:dyDescent="0.25">
      <c r="A3048" s="40" t="s">
        <v>38</v>
      </c>
      <c r="B3048" s="40" t="s">
        <v>5568</v>
      </c>
      <c r="C3048" s="40" t="s">
        <v>5569</v>
      </c>
      <c r="D3048" s="40" t="s">
        <v>2281</v>
      </c>
      <c r="E3048" s="40" t="s">
        <v>2281</v>
      </c>
      <c r="F3048" s="40">
        <v>1</v>
      </c>
      <c r="G3048" s="40"/>
      <c r="H3048" s="40" t="s">
        <v>2234</v>
      </c>
      <c r="I3048" s="40"/>
      <c r="J3048" s="40" t="s">
        <v>97</v>
      </c>
      <c r="K3048" s="40" t="s">
        <v>97</v>
      </c>
      <c r="L3048" s="40" t="s">
        <v>97</v>
      </c>
    </row>
    <row r="3049" spans="1:12" x14ac:dyDescent="0.25">
      <c r="A3049" s="40" t="s">
        <v>38</v>
      </c>
      <c r="B3049" s="40" t="s">
        <v>5570</v>
      </c>
      <c r="C3049" s="40" t="s">
        <v>5571</v>
      </c>
      <c r="D3049" s="40" t="s">
        <v>5474</v>
      </c>
      <c r="E3049" s="40" t="s">
        <v>5474</v>
      </c>
      <c r="F3049" s="40">
        <v>1</v>
      </c>
      <c r="G3049" s="40"/>
      <c r="H3049" s="40" t="s">
        <v>2234</v>
      </c>
      <c r="I3049" s="40"/>
      <c r="J3049" s="40" t="s">
        <v>97</v>
      </c>
      <c r="K3049" s="40" t="s">
        <v>97</v>
      </c>
      <c r="L3049" s="40" t="s">
        <v>97</v>
      </c>
    </row>
    <row r="3050" spans="1:12" x14ac:dyDescent="0.25">
      <c r="A3050" s="40" t="s">
        <v>38</v>
      </c>
      <c r="B3050" s="40" t="s">
        <v>5572</v>
      </c>
      <c r="C3050" s="40" t="s">
        <v>5573</v>
      </c>
      <c r="D3050" s="40" t="s">
        <v>2233</v>
      </c>
      <c r="E3050" s="40" t="s">
        <v>2233</v>
      </c>
      <c r="F3050" s="40">
        <v>1</v>
      </c>
      <c r="G3050" s="40"/>
      <c r="H3050" s="40" t="s">
        <v>2234</v>
      </c>
      <c r="I3050" s="40"/>
      <c r="J3050" s="40" t="s">
        <v>97</v>
      </c>
      <c r="K3050" s="40" t="s">
        <v>97</v>
      </c>
      <c r="L3050" s="40" t="s">
        <v>97</v>
      </c>
    </row>
    <row r="3051" spans="1:12" x14ac:dyDescent="0.25">
      <c r="A3051" s="40" t="s">
        <v>38</v>
      </c>
      <c r="B3051" s="40" t="s">
        <v>5574</v>
      </c>
      <c r="C3051" s="40" t="s">
        <v>5575</v>
      </c>
      <c r="D3051" s="40" t="s">
        <v>5479</v>
      </c>
      <c r="E3051" s="40" t="s">
        <v>5474</v>
      </c>
      <c r="F3051" s="40">
        <v>0</v>
      </c>
      <c r="G3051" s="40"/>
      <c r="H3051" s="40" t="s">
        <v>2234</v>
      </c>
      <c r="I3051" s="40"/>
      <c r="J3051" s="40" t="s">
        <v>97</v>
      </c>
      <c r="K3051" s="40" t="s">
        <v>97</v>
      </c>
      <c r="L3051" s="40" t="s">
        <v>97</v>
      </c>
    </row>
    <row r="3052" spans="1:12" x14ac:dyDescent="0.25">
      <c r="A3052" s="40" t="s">
        <v>38</v>
      </c>
      <c r="B3052" s="40" t="s">
        <v>5576</v>
      </c>
      <c r="C3052" s="40" t="s">
        <v>5577</v>
      </c>
      <c r="D3052" s="40" t="s">
        <v>2233</v>
      </c>
      <c r="E3052" s="40" t="s">
        <v>2233</v>
      </c>
      <c r="F3052" s="40">
        <v>1</v>
      </c>
      <c r="G3052" s="40"/>
      <c r="H3052" s="40" t="s">
        <v>2234</v>
      </c>
      <c r="I3052" s="40"/>
      <c r="J3052" s="40" t="s">
        <v>97</v>
      </c>
      <c r="K3052" s="40" t="s">
        <v>97</v>
      </c>
      <c r="L3052" s="40" t="s">
        <v>97</v>
      </c>
    </row>
    <row r="3053" spans="1:12" x14ac:dyDescent="0.25">
      <c r="A3053" s="40" t="s">
        <v>38</v>
      </c>
      <c r="B3053" s="40" t="s">
        <v>5578</v>
      </c>
      <c r="C3053" s="40" t="s">
        <v>5579</v>
      </c>
      <c r="D3053" s="40" t="s">
        <v>5484</v>
      </c>
      <c r="E3053" s="40" t="s">
        <v>5474</v>
      </c>
      <c r="F3053" s="40">
        <v>0</v>
      </c>
      <c r="G3053" s="40"/>
      <c r="H3053" s="40" t="s">
        <v>2234</v>
      </c>
      <c r="I3053" s="40"/>
      <c r="J3053" s="40" t="s">
        <v>97</v>
      </c>
      <c r="K3053" s="40" t="s">
        <v>97</v>
      </c>
      <c r="L3053" s="40" t="s">
        <v>97</v>
      </c>
    </row>
    <row r="3054" spans="1:12" x14ac:dyDescent="0.25">
      <c r="A3054" s="40" t="s">
        <v>38</v>
      </c>
      <c r="B3054" s="40" t="s">
        <v>5580</v>
      </c>
      <c r="C3054" s="40" t="s">
        <v>5581</v>
      </c>
      <c r="D3054" s="40" t="s">
        <v>2233</v>
      </c>
      <c r="E3054" s="40" t="s">
        <v>2233</v>
      </c>
      <c r="F3054" s="40">
        <v>1</v>
      </c>
      <c r="G3054" s="40"/>
      <c r="H3054" s="40" t="s">
        <v>2234</v>
      </c>
      <c r="I3054" s="40"/>
      <c r="J3054" s="40" t="s">
        <v>97</v>
      </c>
      <c r="K3054" s="40" t="s">
        <v>97</v>
      </c>
      <c r="L3054" s="40" t="s">
        <v>97</v>
      </c>
    </row>
    <row r="3055" spans="1:12" x14ac:dyDescent="0.25">
      <c r="A3055" s="40" t="s">
        <v>38</v>
      </c>
      <c r="B3055" s="40" t="s">
        <v>5582</v>
      </c>
      <c r="C3055" s="40" t="s">
        <v>5583</v>
      </c>
      <c r="D3055" s="40" t="s">
        <v>5489</v>
      </c>
      <c r="E3055" s="40" t="s">
        <v>5474</v>
      </c>
      <c r="F3055" s="40">
        <v>0</v>
      </c>
      <c r="G3055" s="40"/>
      <c r="H3055" s="40" t="s">
        <v>2234</v>
      </c>
      <c r="I3055" s="40"/>
      <c r="J3055" s="40" t="s">
        <v>97</v>
      </c>
      <c r="K3055" s="40" t="s">
        <v>97</v>
      </c>
      <c r="L3055" s="40" t="s">
        <v>97</v>
      </c>
    </row>
    <row r="3056" spans="1:12" x14ac:dyDescent="0.25">
      <c r="A3056" s="40" t="s">
        <v>38</v>
      </c>
      <c r="B3056" s="40" t="s">
        <v>5584</v>
      </c>
      <c r="C3056" s="40" t="s">
        <v>5585</v>
      </c>
      <c r="D3056" s="40" t="s">
        <v>2233</v>
      </c>
      <c r="E3056" s="40" t="s">
        <v>2233</v>
      </c>
      <c r="F3056" s="40">
        <v>1</v>
      </c>
      <c r="G3056" s="40"/>
      <c r="H3056" s="40" t="s">
        <v>2234</v>
      </c>
      <c r="I3056" s="40"/>
      <c r="J3056" s="40" t="s">
        <v>97</v>
      </c>
      <c r="K3056" s="40" t="s">
        <v>97</v>
      </c>
      <c r="L3056" s="40" t="s">
        <v>97</v>
      </c>
    </row>
    <row r="3057" spans="1:12" x14ac:dyDescent="0.25">
      <c r="A3057" s="40" t="s">
        <v>38</v>
      </c>
      <c r="B3057" s="40" t="s">
        <v>5586</v>
      </c>
      <c r="C3057" s="40" t="s">
        <v>5587</v>
      </c>
      <c r="D3057" s="40" t="s">
        <v>5474</v>
      </c>
      <c r="E3057" s="40" t="s">
        <v>5474</v>
      </c>
      <c r="F3057" s="40">
        <v>1</v>
      </c>
      <c r="G3057" s="40"/>
      <c r="H3057" s="40" t="s">
        <v>2234</v>
      </c>
      <c r="I3057" s="40"/>
      <c r="J3057" s="40" t="s">
        <v>97</v>
      </c>
      <c r="K3057" s="40" t="s">
        <v>97</v>
      </c>
      <c r="L3057" s="40" t="s">
        <v>97</v>
      </c>
    </row>
    <row r="3058" spans="1:12" x14ac:dyDescent="0.25">
      <c r="A3058" s="40" t="s">
        <v>38</v>
      </c>
      <c r="B3058" s="40" t="s">
        <v>5588</v>
      </c>
      <c r="C3058" s="40" t="s">
        <v>5589</v>
      </c>
      <c r="D3058" s="40" t="s">
        <v>2233</v>
      </c>
      <c r="E3058" s="40" t="s">
        <v>2233</v>
      </c>
      <c r="F3058" s="40">
        <v>1</v>
      </c>
      <c r="G3058" s="40"/>
      <c r="H3058" s="40" t="s">
        <v>2234</v>
      </c>
      <c r="I3058" s="40"/>
      <c r="J3058" s="40" t="s">
        <v>97</v>
      </c>
      <c r="K3058" s="40" t="s">
        <v>97</v>
      </c>
      <c r="L3058" s="40" t="s">
        <v>97</v>
      </c>
    </row>
    <row r="3059" spans="1:12" x14ac:dyDescent="0.25">
      <c r="A3059" s="40" t="s">
        <v>38</v>
      </c>
      <c r="B3059" s="40" t="s">
        <v>5590</v>
      </c>
      <c r="C3059" s="40" t="s">
        <v>5591</v>
      </c>
      <c r="D3059" s="40" t="s">
        <v>2233</v>
      </c>
      <c r="E3059" s="40" t="s">
        <v>5474</v>
      </c>
      <c r="F3059" s="40">
        <v>0</v>
      </c>
      <c r="G3059" s="40"/>
      <c r="H3059" s="40" t="s">
        <v>2234</v>
      </c>
      <c r="I3059" s="40"/>
      <c r="J3059" s="40" t="s">
        <v>97</v>
      </c>
      <c r="K3059" s="40" t="s">
        <v>97</v>
      </c>
      <c r="L3059" s="40" t="s">
        <v>97</v>
      </c>
    </row>
    <row r="3060" spans="1:12" x14ac:dyDescent="0.25">
      <c r="A3060" s="40" t="s">
        <v>38</v>
      </c>
      <c r="B3060" s="40" t="s">
        <v>5592</v>
      </c>
      <c r="C3060" s="40" t="s">
        <v>5593</v>
      </c>
      <c r="D3060" s="40" t="s">
        <v>2233</v>
      </c>
      <c r="E3060" s="40" t="s">
        <v>2233</v>
      </c>
      <c r="F3060" s="40">
        <v>1</v>
      </c>
      <c r="G3060" s="40"/>
      <c r="H3060" s="40" t="s">
        <v>2234</v>
      </c>
      <c r="I3060" s="40"/>
      <c r="J3060" s="40" t="s">
        <v>97</v>
      </c>
      <c r="K3060" s="40" t="s">
        <v>97</v>
      </c>
      <c r="L3060" s="40" t="s">
        <v>97</v>
      </c>
    </row>
    <row r="3061" spans="1:12" x14ac:dyDescent="0.25">
      <c r="A3061" s="40" t="s">
        <v>38</v>
      </c>
      <c r="B3061" s="40" t="s">
        <v>5594</v>
      </c>
      <c r="C3061" s="40" t="s">
        <v>5595</v>
      </c>
      <c r="D3061" s="40" t="s">
        <v>2233</v>
      </c>
      <c r="E3061" s="40" t="s">
        <v>5474</v>
      </c>
      <c r="F3061" s="40">
        <v>0</v>
      </c>
      <c r="G3061" s="40"/>
      <c r="H3061" s="40" t="s">
        <v>2234</v>
      </c>
      <c r="I3061" s="40"/>
      <c r="J3061" s="40" t="s">
        <v>97</v>
      </c>
      <c r="K3061" s="40" t="s">
        <v>97</v>
      </c>
      <c r="L3061" s="40" t="s">
        <v>97</v>
      </c>
    </row>
    <row r="3062" spans="1:12" x14ac:dyDescent="0.25">
      <c r="A3062" s="40" t="s">
        <v>38</v>
      </c>
      <c r="B3062" s="40" t="s">
        <v>5596</v>
      </c>
      <c r="C3062" s="40" t="s">
        <v>5597</v>
      </c>
      <c r="D3062" s="40" t="s">
        <v>2233</v>
      </c>
      <c r="E3062" s="40" t="s">
        <v>2233</v>
      </c>
      <c r="F3062" s="40">
        <v>1</v>
      </c>
      <c r="G3062" s="40"/>
      <c r="H3062" s="40" t="s">
        <v>2234</v>
      </c>
      <c r="I3062" s="40"/>
      <c r="J3062" s="40" t="s">
        <v>97</v>
      </c>
      <c r="K3062" s="40" t="s">
        <v>97</v>
      </c>
      <c r="L3062" s="40" t="s">
        <v>97</v>
      </c>
    </row>
    <row r="3063" spans="1:12" x14ac:dyDescent="0.25">
      <c r="A3063" s="40" t="s">
        <v>38</v>
      </c>
      <c r="B3063" s="40" t="s">
        <v>5598</v>
      </c>
      <c r="C3063" s="40" t="s">
        <v>5599</v>
      </c>
      <c r="D3063" s="40" t="s">
        <v>2233</v>
      </c>
      <c r="E3063" s="40" t="s">
        <v>5474</v>
      </c>
      <c r="F3063" s="40">
        <v>0</v>
      </c>
      <c r="G3063" s="40"/>
      <c r="H3063" s="40" t="s">
        <v>2234</v>
      </c>
      <c r="I3063" s="40"/>
      <c r="J3063" s="40" t="s">
        <v>97</v>
      </c>
      <c r="K3063" s="40" t="s">
        <v>97</v>
      </c>
      <c r="L3063" s="40" t="s">
        <v>97</v>
      </c>
    </row>
    <row r="3064" spans="1:12" x14ac:dyDescent="0.25">
      <c r="A3064" s="40" t="s">
        <v>38</v>
      </c>
      <c r="B3064" s="40" t="s">
        <v>5600</v>
      </c>
      <c r="C3064" s="40" t="s">
        <v>5601</v>
      </c>
      <c r="D3064" s="40" t="s">
        <v>2233</v>
      </c>
      <c r="E3064" s="40" t="s">
        <v>2233</v>
      </c>
      <c r="F3064" s="40">
        <v>1</v>
      </c>
      <c r="G3064" s="40"/>
      <c r="H3064" s="40" t="s">
        <v>2234</v>
      </c>
      <c r="I3064" s="40"/>
      <c r="J3064" s="40" t="s">
        <v>97</v>
      </c>
      <c r="K3064" s="40" t="s">
        <v>97</v>
      </c>
      <c r="L3064" s="40" t="s">
        <v>97</v>
      </c>
    </row>
    <row r="3065" spans="1:12" x14ac:dyDescent="0.25">
      <c r="A3065" s="40" t="s">
        <v>38</v>
      </c>
      <c r="B3065" s="40" t="s">
        <v>5602</v>
      </c>
      <c r="C3065" s="40" t="s">
        <v>5603</v>
      </c>
      <c r="D3065" s="40" t="s">
        <v>2233</v>
      </c>
      <c r="E3065" s="40" t="s">
        <v>5474</v>
      </c>
      <c r="F3065" s="40">
        <v>0</v>
      </c>
      <c r="G3065" s="40"/>
      <c r="H3065" s="40" t="s">
        <v>2234</v>
      </c>
      <c r="I3065" s="40"/>
      <c r="J3065" s="40" t="s">
        <v>97</v>
      </c>
      <c r="K3065" s="40" t="s">
        <v>97</v>
      </c>
      <c r="L3065" s="40" t="s">
        <v>97</v>
      </c>
    </row>
    <row r="3066" spans="1:12" x14ac:dyDescent="0.25">
      <c r="A3066" s="40" t="s">
        <v>38</v>
      </c>
      <c r="B3066" s="40" t="s">
        <v>5604</v>
      </c>
      <c r="C3066" s="40" t="s">
        <v>5605</v>
      </c>
      <c r="D3066" s="40" t="s">
        <v>2233</v>
      </c>
      <c r="E3066" s="40" t="s">
        <v>2233</v>
      </c>
      <c r="F3066" s="40">
        <v>1</v>
      </c>
      <c r="G3066" s="40"/>
      <c r="H3066" s="40" t="s">
        <v>2234</v>
      </c>
      <c r="I3066" s="40"/>
      <c r="J3066" s="40" t="s">
        <v>97</v>
      </c>
      <c r="K3066" s="40" t="s">
        <v>97</v>
      </c>
      <c r="L3066" s="40" t="s">
        <v>97</v>
      </c>
    </row>
    <row r="3067" spans="1:12" x14ac:dyDescent="0.25">
      <c r="A3067" s="40" t="s">
        <v>38</v>
      </c>
      <c r="B3067" s="40" t="s">
        <v>5606</v>
      </c>
      <c r="C3067" s="40" t="s">
        <v>5607</v>
      </c>
      <c r="D3067" s="40" t="s">
        <v>2233</v>
      </c>
      <c r="E3067" s="40" t="s">
        <v>5474</v>
      </c>
      <c r="F3067" s="40">
        <v>0</v>
      </c>
      <c r="G3067" s="40"/>
      <c r="H3067" s="40" t="s">
        <v>2234</v>
      </c>
      <c r="I3067" s="40"/>
      <c r="J3067" s="40" t="s">
        <v>97</v>
      </c>
      <c r="K3067" s="40" t="s">
        <v>97</v>
      </c>
      <c r="L3067" s="40" t="s">
        <v>97</v>
      </c>
    </row>
    <row r="3068" spans="1:12" x14ac:dyDescent="0.25">
      <c r="A3068" s="40" t="s">
        <v>38</v>
      </c>
      <c r="B3068" s="40" t="s">
        <v>5608</v>
      </c>
      <c r="C3068" s="40" t="s">
        <v>5609</v>
      </c>
      <c r="D3068" s="40" t="s">
        <v>2233</v>
      </c>
      <c r="E3068" s="40" t="s">
        <v>2233</v>
      </c>
      <c r="F3068" s="40">
        <v>1</v>
      </c>
      <c r="G3068" s="40"/>
      <c r="H3068" s="40" t="s">
        <v>2234</v>
      </c>
      <c r="I3068" s="40"/>
      <c r="J3068" s="40" t="s">
        <v>97</v>
      </c>
      <c r="K3068" s="40" t="s">
        <v>97</v>
      </c>
      <c r="L3068" s="40" t="s">
        <v>97</v>
      </c>
    </row>
    <row r="3069" spans="1:12" x14ac:dyDescent="0.25">
      <c r="A3069" s="40" t="s">
        <v>38</v>
      </c>
      <c r="B3069" s="40" t="s">
        <v>5610</v>
      </c>
      <c r="C3069" s="40" t="s">
        <v>5611</v>
      </c>
      <c r="D3069" s="40" t="s">
        <v>2233</v>
      </c>
      <c r="E3069" s="40" t="s">
        <v>5474</v>
      </c>
      <c r="F3069" s="40">
        <v>0</v>
      </c>
      <c r="G3069" s="40"/>
      <c r="H3069" s="40" t="s">
        <v>2234</v>
      </c>
      <c r="I3069" s="40"/>
      <c r="J3069" s="40" t="s">
        <v>97</v>
      </c>
      <c r="K3069" s="40" t="s">
        <v>97</v>
      </c>
      <c r="L3069" s="40" t="s">
        <v>97</v>
      </c>
    </row>
    <row r="3070" spans="1:12" x14ac:dyDescent="0.25">
      <c r="A3070" s="40" t="s">
        <v>38</v>
      </c>
      <c r="B3070" s="40" t="s">
        <v>5612</v>
      </c>
      <c r="C3070" s="40" t="s">
        <v>5613</v>
      </c>
      <c r="D3070" s="40" t="s">
        <v>2233</v>
      </c>
      <c r="E3070" s="40" t="s">
        <v>2233</v>
      </c>
      <c r="F3070" s="40">
        <v>1</v>
      </c>
      <c r="G3070" s="40"/>
      <c r="H3070" s="40" t="s">
        <v>2234</v>
      </c>
      <c r="I3070" s="40"/>
      <c r="J3070" s="40" t="s">
        <v>97</v>
      </c>
      <c r="K3070" s="40" t="s">
        <v>97</v>
      </c>
      <c r="L3070" s="40" t="s">
        <v>97</v>
      </c>
    </row>
    <row r="3071" spans="1:12" x14ac:dyDescent="0.25">
      <c r="A3071" s="40" t="s">
        <v>38</v>
      </c>
      <c r="B3071" s="40" t="s">
        <v>5614</v>
      </c>
      <c r="C3071" s="40" t="s">
        <v>5615</v>
      </c>
      <c r="D3071" s="40" t="s">
        <v>2233</v>
      </c>
      <c r="E3071" s="40" t="s">
        <v>5474</v>
      </c>
      <c r="F3071" s="40">
        <v>0</v>
      </c>
      <c r="G3071" s="40"/>
      <c r="H3071" s="40" t="s">
        <v>2234</v>
      </c>
      <c r="I3071" s="40"/>
      <c r="J3071" s="40" t="s">
        <v>97</v>
      </c>
      <c r="K3071" s="40" t="s">
        <v>97</v>
      </c>
      <c r="L3071" s="40" t="s">
        <v>97</v>
      </c>
    </row>
    <row r="3072" spans="1:12" x14ac:dyDescent="0.25">
      <c r="A3072" s="40" t="s">
        <v>38</v>
      </c>
      <c r="B3072" s="40" t="s">
        <v>5616</v>
      </c>
      <c r="C3072" s="40" t="s">
        <v>5617</v>
      </c>
      <c r="D3072" s="40" t="s">
        <v>2233</v>
      </c>
      <c r="E3072" s="40" t="s">
        <v>2233</v>
      </c>
      <c r="F3072" s="40">
        <v>1</v>
      </c>
      <c r="G3072" s="40"/>
      <c r="H3072" s="40" t="s">
        <v>2234</v>
      </c>
      <c r="I3072" s="40"/>
      <c r="J3072" s="40" t="s">
        <v>97</v>
      </c>
      <c r="K3072" s="40" t="s">
        <v>97</v>
      </c>
      <c r="L3072" s="40" t="s">
        <v>97</v>
      </c>
    </row>
    <row r="3073" spans="1:12" x14ac:dyDescent="0.25">
      <c r="A3073" s="40" t="s">
        <v>38</v>
      </c>
      <c r="B3073" s="40" t="s">
        <v>5618</v>
      </c>
      <c r="C3073" s="40" t="s">
        <v>5619</v>
      </c>
      <c r="D3073" s="40" t="s">
        <v>2233</v>
      </c>
      <c r="E3073" s="40" t="s">
        <v>5474</v>
      </c>
      <c r="F3073" s="40">
        <v>0</v>
      </c>
      <c r="G3073" s="40"/>
      <c r="H3073" s="40" t="s">
        <v>2234</v>
      </c>
      <c r="I3073" s="40"/>
      <c r="J3073" s="40" t="s">
        <v>97</v>
      </c>
      <c r="K3073" s="40" t="s">
        <v>97</v>
      </c>
      <c r="L3073" s="40" t="s">
        <v>97</v>
      </c>
    </row>
    <row r="3074" spans="1:12" x14ac:dyDescent="0.25">
      <c r="A3074" s="40" t="s">
        <v>38</v>
      </c>
      <c r="B3074" s="40" t="s">
        <v>5620</v>
      </c>
      <c r="C3074" s="40" t="s">
        <v>5621</v>
      </c>
      <c r="D3074" s="40" t="s">
        <v>2233</v>
      </c>
      <c r="E3074" s="40" t="s">
        <v>2233</v>
      </c>
      <c r="F3074" s="40">
        <v>1</v>
      </c>
      <c r="G3074" s="40"/>
      <c r="H3074" s="40" t="s">
        <v>2234</v>
      </c>
      <c r="I3074" s="40"/>
      <c r="J3074" s="40" t="s">
        <v>97</v>
      </c>
      <c r="K3074" s="40" t="s">
        <v>97</v>
      </c>
      <c r="L3074" s="40" t="s">
        <v>97</v>
      </c>
    </row>
    <row r="3075" spans="1:12" x14ac:dyDescent="0.25">
      <c r="A3075" s="40" t="s">
        <v>38</v>
      </c>
      <c r="B3075" s="40" t="s">
        <v>5622</v>
      </c>
      <c r="C3075" s="40" t="s">
        <v>5623</v>
      </c>
      <c r="D3075" s="40" t="s">
        <v>2233</v>
      </c>
      <c r="E3075" s="40" t="s">
        <v>5474</v>
      </c>
      <c r="F3075" s="40">
        <v>0</v>
      </c>
      <c r="G3075" s="40"/>
      <c r="H3075" s="40" t="s">
        <v>2234</v>
      </c>
      <c r="I3075" s="40"/>
      <c r="J3075" s="40" t="s">
        <v>97</v>
      </c>
      <c r="K3075" s="40" t="s">
        <v>97</v>
      </c>
      <c r="L3075" s="40" t="s">
        <v>97</v>
      </c>
    </row>
    <row r="3076" spans="1:12" x14ac:dyDescent="0.25">
      <c r="A3076" s="40" t="s">
        <v>38</v>
      </c>
      <c r="B3076" s="40" t="s">
        <v>5624</v>
      </c>
      <c r="C3076" s="40" t="s">
        <v>5625</v>
      </c>
      <c r="D3076" s="40" t="s">
        <v>2233</v>
      </c>
      <c r="E3076" s="40" t="s">
        <v>2233</v>
      </c>
      <c r="F3076" s="40">
        <v>1</v>
      </c>
      <c r="G3076" s="40"/>
      <c r="H3076" s="40" t="s">
        <v>2234</v>
      </c>
      <c r="I3076" s="40"/>
      <c r="J3076" s="40" t="s">
        <v>97</v>
      </c>
      <c r="K3076" s="40" t="s">
        <v>97</v>
      </c>
      <c r="L3076" s="40" t="s">
        <v>97</v>
      </c>
    </row>
    <row r="3077" spans="1:12" x14ac:dyDescent="0.25">
      <c r="A3077" s="40" t="s">
        <v>38</v>
      </c>
      <c r="B3077" s="40" t="s">
        <v>5626</v>
      </c>
      <c r="C3077" s="40" t="s">
        <v>5627</v>
      </c>
      <c r="D3077" s="40" t="s">
        <v>2233</v>
      </c>
      <c r="E3077" s="40" t="s">
        <v>5474</v>
      </c>
      <c r="F3077" s="40">
        <v>0</v>
      </c>
      <c r="G3077" s="40"/>
      <c r="H3077" s="40" t="s">
        <v>2234</v>
      </c>
      <c r="I3077" s="40"/>
      <c r="J3077" s="40" t="s">
        <v>97</v>
      </c>
      <c r="K3077" s="40" t="s">
        <v>97</v>
      </c>
      <c r="L3077" s="40" t="s">
        <v>97</v>
      </c>
    </row>
    <row r="3078" spans="1:12" x14ac:dyDescent="0.25">
      <c r="A3078" s="40" t="s">
        <v>38</v>
      </c>
      <c r="B3078" s="40" t="s">
        <v>5628</v>
      </c>
      <c r="C3078" s="40" t="s">
        <v>5629</v>
      </c>
      <c r="D3078" s="40" t="s">
        <v>2233</v>
      </c>
      <c r="E3078" s="40" t="s">
        <v>2233</v>
      </c>
      <c r="F3078" s="40">
        <v>1</v>
      </c>
      <c r="G3078" s="40"/>
      <c r="H3078" s="40" t="s">
        <v>2234</v>
      </c>
      <c r="I3078" s="40"/>
      <c r="J3078" s="40" t="s">
        <v>97</v>
      </c>
      <c r="K3078" s="40" t="s">
        <v>97</v>
      </c>
      <c r="L3078" s="40" t="s">
        <v>97</v>
      </c>
    </row>
    <row r="3079" spans="1:12" x14ac:dyDescent="0.25">
      <c r="A3079" s="40" t="s">
        <v>38</v>
      </c>
      <c r="B3079" s="40" t="s">
        <v>5630</v>
      </c>
      <c r="C3079" s="40" t="s">
        <v>5631</v>
      </c>
      <c r="D3079" s="40" t="s">
        <v>2233</v>
      </c>
      <c r="E3079" s="40" t="s">
        <v>5474</v>
      </c>
      <c r="F3079" s="40">
        <v>0</v>
      </c>
      <c r="G3079" s="40"/>
      <c r="H3079" s="40" t="s">
        <v>2234</v>
      </c>
      <c r="I3079" s="40"/>
      <c r="J3079" s="40" t="s">
        <v>97</v>
      </c>
      <c r="K3079" s="40" t="s">
        <v>97</v>
      </c>
      <c r="L3079" s="40" t="s">
        <v>97</v>
      </c>
    </row>
    <row r="3080" spans="1:12" x14ac:dyDescent="0.25">
      <c r="A3080" s="40" t="s">
        <v>38</v>
      </c>
      <c r="B3080" s="40" t="s">
        <v>5632</v>
      </c>
      <c r="C3080" s="40" t="s">
        <v>5633</v>
      </c>
      <c r="D3080" s="40" t="s">
        <v>2233</v>
      </c>
      <c r="E3080" s="40" t="s">
        <v>2233</v>
      </c>
      <c r="F3080" s="40">
        <v>1</v>
      </c>
      <c r="G3080" s="40"/>
      <c r="H3080" s="40" t="s">
        <v>2234</v>
      </c>
      <c r="I3080" s="40"/>
      <c r="J3080" s="40" t="s">
        <v>97</v>
      </c>
      <c r="K3080" s="40" t="s">
        <v>97</v>
      </c>
      <c r="L3080" s="40" t="s">
        <v>97</v>
      </c>
    </row>
    <row r="3081" spans="1:12" x14ac:dyDescent="0.25">
      <c r="A3081" s="40" t="s">
        <v>38</v>
      </c>
      <c r="B3081" s="40" t="s">
        <v>5634</v>
      </c>
      <c r="C3081" s="40" t="s">
        <v>5635</v>
      </c>
      <c r="D3081" s="40" t="s">
        <v>2233</v>
      </c>
      <c r="E3081" s="40" t="s">
        <v>5474</v>
      </c>
      <c r="F3081" s="40">
        <v>0</v>
      </c>
      <c r="G3081" s="40"/>
      <c r="H3081" s="40" t="s">
        <v>2234</v>
      </c>
      <c r="I3081" s="40"/>
      <c r="J3081" s="40" t="s">
        <v>97</v>
      </c>
      <c r="K3081" s="40" t="s">
        <v>97</v>
      </c>
      <c r="L3081" s="40" t="s">
        <v>97</v>
      </c>
    </row>
    <row r="3082" spans="1:12" x14ac:dyDescent="0.25">
      <c r="A3082" s="40" t="s">
        <v>38</v>
      </c>
      <c r="B3082" s="40" t="s">
        <v>5636</v>
      </c>
      <c r="C3082" s="40" t="s">
        <v>5637</v>
      </c>
      <c r="D3082" s="40" t="s">
        <v>2233</v>
      </c>
      <c r="E3082" s="40" t="s">
        <v>2233</v>
      </c>
      <c r="F3082" s="40">
        <v>1</v>
      </c>
      <c r="G3082" s="40"/>
      <c r="H3082" s="40" t="s">
        <v>2234</v>
      </c>
      <c r="I3082" s="40"/>
      <c r="J3082" s="40" t="s">
        <v>97</v>
      </c>
      <c r="K3082" s="40" t="s">
        <v>97</v>
      </c>
      <c r="L3082" s="40" t="s">
        <v>97</v>
      </c>
    </row>
    <row r="3083" spans="1:12" x14ac:dyDescent="0.25">
      <c r="A3083" s="40" t="s">
        <v>38</v>
      </c>
      <c r="B3083" s="40" t="s">
        <v>5638</v>
      </c>
      <c r="C3083" s="40" t="s">
        <v>5639</v>
      </c>
      <c r="D3083" s="40" t="s">
        <v>2233</v>
      </c>
      <c r="E3083" s="40" t="s">
        <v>5474</v>
      </c>
      <c r="F3083" s="40">
        <v>0</v>
      </c>
      <c r="G3083" s="40"/>
      <c r="H3083" s="40" t="s">
        <v>2234</v>
      </c>
      <c r="I3083" s="40"/>
      <c r="J3083" s="40" t="s">
        <v>97</v>
      </c>
      <c r="K3083" s="40" t="s">
        <v>97</v>
      </c>
      <c r="L3083" s="40" t="s">
        <v>97</v>
      </c>
    </row>
    <row r="3084" spans="1:12" x14ac:dyDescent="0.25">
      <c r="A3084" s="40" t="s">
        <v>38</v>
      </c>
      <c r="B3084" s="40" t="s">
        <v>5640</v>
      </c>
      <c r="C3084" s="40" t="s">
        <v>5641</v>
      </c>
      <c r="D3084" s="40" t="s">
        <v>2233</v>
      </c>
      <c r="E3084" s="40" t="s">
        <v>2233</v>
      </c>
      <c r="F3084" s="40">
        <v>1</v>
      </c>
      <c r="G3084" s="40"/>
      <c r="H3084" s="40" t="s">
        <v>2234</v>
      </c>
      <c r="I3084" s="40"/>
      <c r="J3084" s="40" t="s">
        <v>97</v>
      </c>
      <c r="K3084" s="40" t="s">
        <v>97</v>
      </c>
      <c r="L3084" s="40" t="s">
        <v>97</v>
      </c>
    </row>
    <row r="3085" spans="1:12" x14ac:dyDescent="0.25">
      <c r="A3085" s="40" t="s">
        <v>38</v>
      </c>
      <c r="B3085" s="40" t="s">
        <v>5642</v>
      </c>
      <c r="C3085" s="40" t="s">
        <v>5643</v>
      </c>
      <c r="D3085" s="40" t="s">
        <v>2233</v>
      </c>
      <c r="E3085" s="40" t="s">
        <v>5474</v>
      </c>
      <c r="F3085" s="40">
        <v>0</v>
      </c>
      <c r="G3085" s="40"/>
      <c r="H3085" s="40" t="s">
        <v>2234</v>
      </c>
      <c r="I3085" s="40"/>
      <c r="J3085" s="40" t="s">
        <v>97</v>
      </c>
      <c r="K3085" s="40" t="s">
        <v>97</v>
      </c>
      <c r="L3085" s="40" t="s">
        <v>97</v>
      </c>
    </row>
    <row r="3086" spans="1:12" x14ac:dyDescent="0.25">
      <c r="A3086" s="40" t="s">
        <v>38</v>
      </c>
      <c r="B3086" s="40" t="s">
        <v>5644</v>
      </c>
      <c r="C3086" s="40" t="s">
        <v>5645</v>
      </c>
      <c r="D3086" s="40" t="s">
        <v>2233</v>
      </c>
      <c r="E3086" s="40" t="s">
        <v>2233</v>
      </c>
      <c r="F3086" s="40">
        <v>1</v>
      </c>
      <c r="G3086" s="40"/>
      <c r="H3086" s="40" t="s">
        <v>2234</v>
      </c>
      <c r="I3086" s="40"/>
      <c r="J3086" s="40" t="s">
        <v>97</v>
      </c>
      <c r="K3086" s="40" t="s">
        <v>97</v>
      </c>
      <c r="L3086" s="40" t="s">
        <v>97</v>
      </c>
    </row>
    <row r="3087" spans="1:12" x14ac:dyDescent="0.25">
      <c r="A3087" s="40" t="s">
        <v>38</v>
      </c>
      <c r="B3087" s="40" t="s">
        <v>5646</v>
      </c>
      <c r="C3087" s="40" t="s">
        <v>5647</v>
      </c>
      <c r="D3087" s="40" t="s">
        <v>2233</v>
      </c>
      <c r="E3087" s="40" t="s">
        <v>5474</v>
      </c>
      <c r="F3087" s="40">
        <v>0</v>
      </c>
      <c r="G3087" s="40"/>
      <c r="H3087" s="40" t="s">
        <v>2234</v>
      </c>
      <c r="I3087" s="40"/>
      <c r="J3087" s="40" t="s">
        <v>97</v>
      </c>
      <c r="K3087" s="40" t="s">
        <v>97</v>
      </c>
      <c r="L3087" s="40" t="s">
        <v>97</v>
      </c>
    </row>
    <row r="3088" spans="1:12" x14ac:dyDescent="0.25">
      <c r="A3088" s="40" t="s">
        <v>38</v>
      </c>
      <c r="B3088" s="40" t="s">
        <v>5648</v>
      </c>
      <c r="C3088" s="40" t="s">
        <v>5649</v>
      </c>
      <c r="D3088" s="40" t="s">
        <v>2233</v>
      </c>
      <c r="E3088" s="40" t="s">
        <v>2233</v>
      </c>
      <c r="F3088" s="40">
        <v>1</v>
      </c>
      <c r="G3088" s="40"/>
      <c r="H3088" s="40" t="s">
        <v>2234</v>
      </c>
      <c r="I3088" s="40"/>
      <c r="J3088" s="40" t="s">
        <v>97</v>
      </c>
      <c r="K3088" s="40" t="s">
        <v>97</v>
      </c>
      <c r="L3088" s="40" t="s">
        <v>97</v>
      </c>
    </row>
    <row r="3089" spans="1:12" x14ac:dyDescent="0.25">
      <c r="A3089" s="40" t="s">
        <v>38</v>
      </c>
      <c r="B3089" s="40" t="s">
        <v>5650</v>
      </c>
      <c r="C3089" s="40" t="s">
        <v>5651</v>
      </c>
      <c r="D3089" s="40" t="s">
        <v>2233</v>
      </c>
      <c r="E3089" s="40" t="s">
        <v>2233</v>
      </c>
      <c r="F3089" s="40">
        <v>1</v>
      </c>
      <c r="G3089" s="40"/>
      <c r="H3089" s="40" t="s">
        <v>2234</v>
      </c>
      <c r="I3089" s="40"/>
      <c r="J3089" s="40" t="s">
        <v>97</v>
      </c>
      <c r="K3089" s="40" t="s">
        <v>97</v>
      </c>
      <c r="L3089" s="40" t="s">
        <v>97</v>
      </c>
    </row>
    <row r="3090" spans="1:12" x14ac:dyDescent="0.25">
      <c r="A3090" s="40" t="s">
        <v>38</v>
      </c>
      <c r="B3090" s="40" t="s">
        <v>5652</v>
      </c>
      <c r="C3090" s="40" t="s">
        <v>5653</v>
      </c>
      <c r="D3090" s="40" t="s">
        <v>2233</v>
      </c>
      <c r="E3090" s="40" t="s">
        <v>2233</v>
      </c>
      <c r="F3090" s="40">
        <v>1</v>
      </c>
      <c r="G3090" s="40"/>
      <c r="H3090" s="40" t="s">
        <v>2234</v>
      </c>
      <c r="I3090" s="40"/>
      <c r="J3090" s="40" t="s">
        <v>97</v>
      </c>
      <c r="K3090" s="40" t="s">
        <v>97</v>
      </c>
      <c r="L3090" s="40" t="s">
        <v>97</v>
      </c>
    </row>
    <row r="3091" spans="1:12" x14ac:dyDescent="0.25">
      <c r="A3091" s="40" t="s">
        <v>38</v>
      </c>
      <c r="B3091" s="40" t="s">
        <v>5654</v>
      </c>
      <c r="C3091" s="40" t="s">
        <v>5655</v>
      </c>
      <c r="D3091" s="40" t="s">
        <v>2233</v>
      </c>
      <c r="E3091" s="40" t="s">
        <v>2233</v>
      </c>
      <c r="F3091" s="40">
        <v>1</v>
      </c>
      <c r="G3091" s="40"/>
      <c r="H3091" s="40" t="s">
        <v>2234</v>
      </c>
      <c r="I3091" s="40"/>
      <c r="J3091" s="40" t="s">
        <v>97</v>
      </c>
      <c r="K3091" s="40" t="s">
        <v>97</v>
      </c>
      <c r="L3091" s="40" t="s">
        <v>97</v>
      </c>
    </row>
    <row r="3092" spans="1:12" x14ac:dyDescent="0.25">
      <c r="A3092" s="40" t="s">
        <v>38</v>
      </c>
      <c r="B3092" s="40" t="s">
        <v>5656</v>
      </c>
      <c r="C3092" s="40" t="s">
        <v>5657</v>
      </c>
      <c r="D3092" s="40" t="s">
        <v>2233</v>
      </c>
      <c r="E3092" s="40" t="s">
        <v>2233</v>
      </c>
      <c r="F3092" s="40">
        <v>1</v>
      </c>
      <c r="G3092" s="40"/>
      <c r="H3092" s="40" t="s">
        <v>2234</v>
      </c>
      <c r="I3092" s="40"/>
      <c r="J3092" s="40" t="s">
        <v>97</v>
      </c>
      <c r="K3092" s="40" t="s">
        <v>97</v>
      </c>
      <c r="L3092" s="40" t="s">
        <v>97</v>
      </c>
    </row>
    <row r="3093" spans="1:12" x14ac:dyDescent="0.25">
      <c r="A3093" s="40" t="s">
        <v>38</v>
      </c>
      <c r="B3093" s="40" t="s">
        <v>5658</v>
      </c>
      <c r="C3093" s="40" t="s">
        <v>5659</v>
      </c>
      <c r="D3093" s="40" t="s">
        <v>5660</v>
      </c>
      <c r="E3093" s="40" t="s">
        <v>5660</v>
      </c>
      <c r="F3093" s="40">
        <v>1</v>
      </c>
      <c r="G3093" s="40"/>
      <c r="H3093" s="40" t="s">
        <v>97</v>
      </c>
      <c r="I3093" s="40"/>
      <c r="J3093" s="40" t="s">
        <v>97</v>
      </c>
      <c r="K3093" s="40" t="s">
        <v>97</v>
      </c>
      <c r="L3093" s="40" t="s">
        <v>97</v>
      </c>
    </row>
    <row r="3094" spans="1:12" x14ac:dyDescent="0.25">
      <c r="A3094" s="40" t="s">
        <v>38</v>
      </c>
      <c r="B3094" s="40" t="s">
        <v>5661</v>
      </c>
      <c r="C3094" s="40" t="s">
        <v>5662</v>
      </c>
      <c r="D3094" s="40" t="s">
        <v>3246</v>
      </c>
      <c r="E3094" s="40" t="s">
        <v>3246</v>
      </c>
      <c r="F3094" s="40">
        <v>1</v>
      </c>
      <c r="G3094" s="40"/>
      <c r="H3094" s="40" t="s">
        <v>97</v>
      </c>
      <c r="I3094" s="40"/>
      <c r="J3094" s="40" t="s">
        <v>97</v>
      </c>
      <c r="K3094" s="40" t="s">
        <v>97</v>
      </c>
      <c r="L3094" s="40" t="s">
        <v>97</v>
      </c>
    </row>
    <row r="3095" spans="1:12" x14ac:dyDescent="0.25">
      <c r="A3095" s="40" t="s">
        <v>38</v>
      </c>
      <c r="B3095" s="40" t="s">
        <v>5663</v>
      </c>
      <c r="C3095" s="40" t="s">
        <v>5664</v>
      </c>
      <c r="D3095" s="40" t="s">
        <v>2233</v>
      </c>
      <c r="E3095" s="40" t="s">
        <v>2233</v>
      </c>
      <c r="F3095" s="40">
        <v>1</v>
      </c>
      <c r="G3095" s="40"/>
      <c r="H3095" s="40" t="s">
        <v>2234</v>
      </c>
      <c r="I3095" s="40"/>
      <c r="J3095" s="40" t="s">
        <v>97</v>
      </c>
      <c r="K3095" s="40" t="s">
        <v>97</v>
      </c>
      <c r="L3095" s="40" t="s">
        <v>97</v>
      </c>
    </row>
    <row r="3096" spans="1:12" x14ac:dyDescent="0.25">
      <c r="A3096" s="40" t="s">
        <v>38</v>
      </c>
      <c r="B3096" s="40" t="s">
        <v>5665</v>
      </c>
      <c r="C3096" s="40" t="s">
        <v>5666</v>
      </c>
      <c r="D3096" s="40" t="s">
        <v>2233</v>
      </c>
      <c r="E3096" s="40" t="s">
        <v>2233</v>
      </c>
      <c r="F3096" s="40">
        <v>1</v>
      </c>
      <c r="G3096" s="40"/>
      <c r="H3096" s="40" t="s">
        <v>2234</v>
      </c>
      <c r="I3096" s="40"/>
      <c r="J3096" s="40" t="s">
        <v>97</v>
      </c>
      <c r="K3096" s="40" t="s">
        <v>97</v>
      </c>
      <c r="L3096" s="40" t="s">
        <v>97</v>
      </c>
    </row>
    <row r="3097" spans="1:12" x14ac:dyDescent="0.25">
      <c r="A3097" s="40" t="s">
        <v>38</v>
      </c>
      <c r="B3097" s="40" t="s">
        <v>5667</v>
      </c>
      <c r="C3097" s="40" t="s">
        <v>5668</v>
      </c>
      <c r="D3097" s="40" t="s">
        <v>2233</v>
      </c>
      <c r="E3097" s="40" t="s">
        <v>2233</v>
      </c>
      <c r="F3097" s="40">
        <v>1</v>
      </c>
      <c r="G3097" s="40"/>
      <c r="H3097" s="40" t="s">
        <v>97</v>
      </c>
      <c r="I3097" s="40"/>
      <c r="J3097" s="40" t="s">
        <v>97</v>
      </c>
      <c r="K3097" s="40" t="s">
        <v>97</v>
      </c>
      <c r="L3097" s="40" t="s">
        <v>97</v>
      </c>
    </row>
    <row r="3098" spans="1:12" x14ac:dyDescent="0.25">
      <c r="A3098" s="40" t="s">
        <v>38</v>
      </c>
      <c r="B3098" s="40" t="s">
        <v>5669</v>
      </c>
      <c r="C3098" s="40" t="s">
        <v>5670</v>
      </c>
      <c r="D3098" s="40" t="s">
        <v>2233</v>
      </c>
      <c r="E3098" s="40" t="s">
        <v>2233</v>
      </c>
      <c r="F3098" s="40">
        <v>1</v>
      </c>
      <c r="G3098" s="40"/>
      <c r="H3098" s="40" t="s">
        <v>97</v>
      </c>
      <c r="I3098" s="40"/>
      <c r="J3098" s="40" t="s">
        <v>97</v>
      </c>
      <c r="K3098" s="40" t="s">
        <v>97</v>
      </c>
      <c r="L3098" s="40" t="s">
        <v>97</v>
      </c>
    </row>
    <row r="3099" spans="1:12" x14ac:dyDescent="0.25">
      <c r="A3099" s="40" t="s">
        <v>38</v>
      </c>
      <c r="B3099" s="40" t="s">
        <v>5671</v>
      </c>
      <c r="C3099" s="40" t="s">
        <v>5672</v>
      </c>
      <c r="D3099" s="40" t="s">
        <v>5673</v>
      </c>
      <c r="E3099" s="40" t="s">
        <v>5673</v>
      </c>
      <c r="F3099" s="40">
        <v>1</v>
      </c>
      <c r="G3099" s="40"/>
      <c r="H3099" s="40" t="s">
        <v>97</v>
      </c>
      <c r="I3099" s="40"/>
      <c r="J3099" s="40" t="s">
        <v>97</v>
      </c>
      <c r="K3099" s="40" t="s">
        <v>97</v>
      </c>
      <c r="L3099" s="40" t="s">
        <v>97</v>
      </c>
    </row>
    <row r="3100" spans="1:12" x14ac:dyDescent="0.25">
      <c r="A3100" s="40" t="s">
        <v>38</v>
      </c>
      <c r="B3100" s="40" t="s">
        <v>5674</v>
      </c>
      <c r="C3100" s="40" t="s">
        <v>5675</v>
      </c>
      <c r="D3100" s="40" t="s">
        <v>3246</v>
      </c>
      <c r="E3100" s="40" t="s">
        <v>3246</v>
      </c>
      <c r="F3100" s="40">
        <v>1</v>
      </c>
      <c r="G3100" s="40"/>
      <c r="H3100" s="40" t="s">
        <v>97</v>
      </c>
      <c r="I3100" s="40"/>
      <c r="J3100" s="40" t="s">
        <v>97</v>
      </c>
      <c r="K3100" s="40" t="s">
        <v>97</v>
      </c>
      <c r="L3100" s="40" t="s">
        <v>97</v>
      </c>
    </row>
    <row r="3101" spans="1:12" x14ac:dyDescent="0.25">
      <c r="A3101" s="40" t="s">
        <v>38</v>
      </c>
      <c r="B3101" s="40" t="s">
        <v>5676</v>
      </c>
      <c r="C3101" s="40" t="s">
        <v>5677</v>
      </c>
      <c r="D3101" s="40" t="s">
        <v>2233</v>
      </c>
      <c r="E3101" s="40" t="s">
        <v>2233</v>
      </c>
      <c r="F3101" s="40">
        <v>1</v>
      </c>
      <c r="G3101" s="40"/>
      <c r="H3101" s="40" t="s">
        <v>2234</v>
      </c>
      <c r="I3101" s="40"/>
      <c r="J3101" s="40" t="s">
        <v>97</v>
      </c>
      <c r="K3101" s="40" t="s">
        <v>97</v>
      </c>
      <c r="L3101" s="40" t="s">
        <v>97</v>
      </c>
    </row>
    <row r="3102" spans="1:12" x14ac:dyDescent="0.25">
      <c r="A3102" s="40" t="s">
        <v>38</v>
      </c>
      <c r="B3102" s="40" t="s">
        <v>5678</v>
      </c>
      <c r="C3102" s="40" t="s">
        <v>5679</v>
      </c>
      <c r="D3102" s="40" t="s">
        <v>2233</v>
      </c>
      <c r="E3102" s="40" t="s">
        <v>2233</v>
      </c>
      <c r="F3102" s="40">
        <v>1</v>
      </c>
      <c r="G3102" s="40"/>
      <c r="H3102" s="40" t="s">
        <v>2234</v>
      </c>
      <c r="I3102" s="40"/>
      <c r="J3102" s="40" t="s">
        <v>97</v>
      </c>
      <c r="K3102" s="40" t="s">
        <v>97</v>
      </c>
      <c r="L3102" s="40" t="s">
        <v>97</v>
      </c>
    </row>
    <row r="3103" spans="1:12" x14ac:dyDescent="0.25">
      <c r="A3103" s="40" t="s">
        <v>38</v>
      </c>
      <c r="B3103" s="40" t="s">
        <v>5680</v>
      </c>
      <c r="C3103" s="40" t="s">
        <v>5681</v>
      </c>
      <c r="D3103" s="40" t="s">
        <v>2233</v>
      </c>
      <c r="E3103" s="40" t="s">
        <v>2233</v>
      </c>
      <c r="F3103" s="40">
        <v>1</v>
      </c>
      <c r="G3103" s="40"/>
      <c r="H3103" s="40" t="s">
        <v>97</v>
      </c>
      <c r="I3103" s="40"/>
      <c r="J3103" s="40" t="s">
        <v>97</v>
      </c>
      <c r="K3103" s="40" t="s">
        <v>97</v>
      </c>
      <c r="L3103" s="40" t="s">
        <v>97</v>
      </c>
    </row>
    <row r="3104" spans="1:12" x14ac:dyDescent="0.25">
      <c r="A3104" s="40" t="s">
        <v>38</v>
      </c>
      <c r="B3104" s="40" t="s">
        <v>5682</v>
      </c>
      <c r="C3104" s="40" t="s">
        <v>5683</v>
      </c>
      <c r="D3104" s="40" t="s">
        <v>5673</v>
      </c>
      <c r="E3104" s="40" t="s">
        <v>5673</v>
      </c>
      <c r="F3104" s="40">
        <v>1</v>
      </c>
      <c r="G3104" s="40"/>
      <c r="H3104" s="40" t="s">
        <v>97</v>
      </c>
      <c r="I3104" s="40"/>
      <c r="J3104" s="40" t="s">
        <v>97</v>
      </c>
      <c r="K3104" s="40" t="s">
        <v>97</v>
      </c>
      <c r="L3104" s="40" t="s">
        <v>97</v>
      </c>
    </row>
    <row r="3105" spans="1:12" x14ac:dyDescent="0.25">
      <c r="A3105" s="40" t="s">
        <v>38</v>
      </c>
      <c r="B3105" s="40" t="s">
        <v>5684</v>
      </c>
      <c r="C3105" s="40" t="s">
        <v>5685</v>
      </c>
      <c r="D3105" s="40" t="s">
        <v>3246</v>
      </c>
      <c r="E3105" s="40" t="s">
        <v>3246</v>
      </c>
      <c r="F3105" s="40">
        <v>1</v>
      </c>
      <c r="G3105" s="40"/>
      <c r="H3105" s="40" t="s">
        <v>97</v>
      </c>
      <c r="I3105" s="40"/>
      <c r="J3105" s="40" t="s">
        <v>97</v>
      </c>
      <c r="K3105" s="40" t="s">
        <v>97</v>
      </c>
      <c r="L3105" s="40" t="s">
        <v>97</v>
      </c>
    </row>
    <row r="3106" spans="1:12" x14ac:dyDescent="0.25">
      <c r="A3106" s="40" t="s">
        <v>38</v>
      </c>
      <c r="B3106" s="40" t="s">
        <v>5686</v>
      </c>
      <c r="C3106" s="40" t="s">
        <v>5687</v>
      </c>
      <c r="D3106" s="40" t="s">
        <v>2233</v>
      </c>
      <c r="E3106" s="40" t="s">
        <v>2233</v>
      </c>
      <c r="F3106" s="40">
        <v>1</v>
      </c>
      <c r="G3106" s="40"/>
      <c r="H3106" s="40" t="s">
        <v>2234</v>
      </c>
      <c r="I3106" s="40"/>
      <c r="J3106" s="40" t="s">
        <v>97</v>
      </c>
      <c r="K3106" s="40" t="s">
        <v>97</v>
      </c>
      <c r="L3106" s="40" t="s">
        <v>97</v>
      </c>
    </row>
    <row r="3107" spans="1:12" x14ac:dyDescent="0.25">
      <c r="A3107" s="40" t="s">
        <v>38</v>
      </c>
      <c r="B3107" s="40" t="s">
        <v>5688</v>
      </c>
      <c r="C3107" s="40" t="s">
        <v>5689</v>
      </c>
      <c r="D3107" s="40" t="s">
        <v>2233</v>
      </c>
      <c r="E3107" s="40" t="s">
        <v>2233</v>
      </c>
      <c r="F3107" s="40">
        <v>1</v>
      </c>
      <c r="G3107" s="40"/>
      <c r="H3107" s="40" t="s">
        <v>2234</v>
      </c>
      <c r="I3107" s="40"/>
      <c r="J3107" s="40" t="s">
        <v>97</v>
      </c>
      <c r="K3107" s="40" t="s">
        <v>97</v>
      </c>
      <c r="L3107" s="40" t="s">
        <v>97</v>
      </c>
    </row>
    <row r="3108" spans="1:12" x14ac:dyDescent="0.25">
      <c r="A3108" s="40" t="s">
        <v>38</v>
      </c>
      <c r="B3108" s="40" t="s">
        <v>5690</v>
      </c>
      <c r="C3108" s="40" t="s">
        <v>5691</v>
      </c>
      <c r="D3108" s="40" t="s">
        <v>2233</v>
      </c>
      <c r="E3108" s="40" t="s">
        <v>2233</v>
      </c>
      <c r="F3108" s="40">
        <v>1</v>
      </c>
      <c r="G3108" s="40"/>
      <c r="H3108" s="40" t="s">
        <v>97</v>
      </c>
      <c r="I3108" s="40"/>
      <c r="J3108" s="40" t="s">
        <v>97</v>
      </c>
      <c r="K3108" s="40" t="s">
        <v>97</v>
      </c>
      <c r="L3108" s="40" t="s">
        <v>97</v>
      </c>
    </row>
    <row r="3109" spans="1:12" x14ac:dyDescent="0.25">
      <c r="A3109" s="40" t="s">
        <v>35</v>
      </c>
      <c r="B3109" s="40" t="s">
        <v>2233</v>
      </c>
      <c r="C3109" s="40" t="s">
        <v>5692</v>
      </c>
      <c r="D3109" s="40" t="s">
        <v>2233</v>
      </c>
      <c r="E3109" s="40" t="s">
        <v>2233</v>
      </c>
      <c r="F3109" s="40">
        <v>1</v>
      </c>
      <c r="G3109" s="40"/>
      <c r="H3109" s="40" t="s">
        <v>2234</v>
      </c>
      <c r="I3109" s="40"/>
      <c r="J3109" s="40" t="s">
        <v>97</v>
      </c>
      <c r="K3109" s="40" t="s">
        <v>97</v>
      </c>
      <c r="L3109" s="40" t="s">
        <v>97</v>
      </c>
    </row>
    <row r="3110" spans="1:12" x14ac:dyDescent="0.25">
      <c r="A3110" s="40" t="s">
        <v>35</v>
      </c>
      <c r="B3110" s="40" t="s">
        <v>2298</v>
      </c>
      <c r="C3110" s="40" t="s">
        <v>5693</v>
      </c>
      <c r="D3110" s="40" t="s">
        <v>2248</v>
      </c>
      <c r="E3110" s="40" t="s">
        <v>2248</v>
      </c>
      <c r="F3110" s="40">
        <v>1</v>
      </c>
      <c r="G3110" s="40"/>
      <c r="H3110" s="40" t="s">
        <v>97</v>
      </c>
      <c r="I3110" s="40"/>
      <c r="J3110" s="40" t="s">
        <v>97</v>
      </c>
      <c r="K3110" s="40" t="s">
        <v>97</v>
      </c>
      <c r="L3110" s="40" t="s">
        <v>97</v>
      </c>
    </row>
    <row r="3111" spans="1:12" x14ac:dyDescent="0.25">
      <c r="A3111" s="40" t="s">
        <v>35</v>
      </c>
      <c r="B3111" s="40" t="s">
        <v>2263</v>
      </c>
      <c r="C3111" s="40" t="s">
        <v>5694</v>
      </c>
      <c r="D3111" s="40" t="s">
        <v>2233</v>
      </c>
      <c r="E3111" s="40" t="s">
        <v>2233</v>
      </c>
      <c r="F3111" s="40">
        <v>1</v>
      </c>
      <c r="G3111" s="40"/>
      <c r="H3111" s="40" t="s">
        <v>2234</v>
      </c>
      <c r="I3111" s="40"/>
      <c r="J3111" s="40" t="s">
        <v>97</v>
      </c>
      <c r="K3111" s="40" t="s">
        <v>97</v>
      </c>
      <c r="L3111" s="40" t="s">
        <v>97</v>
      </c>
    </row>
    <row r="3112" spans="1:12" x14ac:dyDescent="0.25">
      <c r="A3112" s="40" t="s">
        <v>35</v>
      </c>
      <c r="B3112" s="40" t="s">
        <v>3298</v>
      </c>
      <c r="C3112" s="40" t="s">
        <v>5695</v>
      </c>
      <c r="D3112" s="40" t="s">
        <v>2248</v>
      </c>
      <c r="E3112" s="40" t="s">
        <v>2248</v>
      </c>
      <c r="F3112" s="40">
        <v>1</v>
      </c>
      <c r="G3112" s="40"/>
      <c r="H3112" s="40" t="s">
        <v>97</v>
      </c>
      <c r="I3112" s="40"/>
      <c r="J3112" s="40" t="s">
        <v>97</v>
      </c>
      <c r="K3112" s="40" t="s">
        <v>97</v>
      </c>
      <c r="L3112" s="40" t="s">
        <v>97</v>
      </c>
    </row>
    <row r="3113" spans="1:12" x14ac:dyDescent="0.25">
      <c r="A3113" s="40" t="s">
        <v>35</v>
      </c>
      <c r="B3113" s="40" t="s">
        <v>3734</v>
      </c>
      <c r="C3113" s="40" t="s">
        <v>5696</v>
      </c>
      <c r="D3113" s="40" t="s">
        <v>2233</v>
      </c>
      <c r="E3113" s="40" t="s">
        <v>2233</v>
      </c>
      <c r="F3113" s="40">
        <v>1</v>
      </c>
      <c r="G3113" s="40"/>
      <c r="H3113" s="40" t="s">
        <v>2234</v>
      </c>
      <c r="I3113" s="40"/>
      <c r="J3113" s="40" t="s">
        <v>97</v>
      </c>
      <c r="K3113" s="40" t="s">
        <v>97</v>
      </c>
      <c r="L3113" s="40" t="s">
        <v>97</v>
      </c>
    </row>
    <row r="3114" spans="1:12" x14ac:dyDescent="0.25">
      <c r="A3114" s="40" t="s">
        <v>35</v>
      </c>
      <c r="B3114" s="40" t="s">
        <v>3737</v>
      </c>
      <c r="C3114" s="40" t="s">
        <v>5697</v>
      </c>
      <c r="D3114" s="40" t="s">
        <v>2248</v>
      </c>
      <c r="E3114" s="40" t="s">
        <v>2248</v>
      </c>
      <c r="F3114" s="40">
        <v>1</v>
      </c>
      <c r="G3114" s="40"/>
      <c r="H3114" s="40" t="s">
        <v>97</v>
      </c>
      <c r="I3114" s="40"/>
      <c r="J3114" s="40" t="s">
        <v>97</v>
      </c>
      <c r="K3114" s="40" t="s">
        <v>97</v>
      </c>
      <c r="L3114" s="40" t="s">
        <v>97</v>
      </c>
    </row>
    <row r="3115" spans="1:12" x14ac:dyDescent="0.25">
      <c r="A3115" s="40" t="s">
        <v>35</v>
      </c>
      <c r="B3115" s="40" t="s">
        <v>3953</v>
      </c>
      <c r="C3115" s="40" t="s">
        <v>5698</v>
      </c>
      <c r="D3115" s="40" t="s">
        <v>2233</v>
      </c>
      <c r="E3115" s="40" t="s">
        <v>2233</v>
      </c>
      <c r="F3115" s="40">
        <v>1</v>
      </c>
      <c r="G3115" s="40"/>
      <c r="H3115" s="40" t="s">
        <v>2234</v>
      </c>
      <c r="I3115" s="40"/>
      <c r="J3115" s="40" t="s">
        <v>97</v>
      </c>
      <c r="K3115" s="40" t="s">
        <v>97</v>
      </c>
      <c r="L3115" s="40" t="s">
        <v>97</v>
      </c>
    </row>
    <row r="3116" spans="1:12" x14ac:dyDescent="0.25">
      <c r="A3116" s="40" t="s">
        <v>35</v>
      </c>
      <c r="B3116" s="40" t="s">
        <v>3956</v>
      </c>
      <c r="C3116" s="40" t="s">
        <v>5699</v>
      </c>
      <c r="D3116" s="40" t="s">
        <v>2248</v>
      </c>
      <c r="E3116" s="40" t="s">
        <v>2248</v>
      </c>
      <c r="F3116" s="40">
        <v>1</v>
      </c>
      <c r="G3116" s="40"/>
      <c r="H3116" s="40" t="s">
        <v>97</v>
      </c>
      <c r="I3116" s="40"/>
      <c r="J3116" s="40" t="s">
        <v>97</v>
      </c>
      <c r="K3116" s="40" t="s">
        <v>97</v>
      </c>
      <c r="L3116" s="40" t="s">
        <v>97</v>
      </c>
    </row>
    <row r="3117" spans="1:12" x14ac:dyDescent="0.25">
      <c r="A3117" s="40" t="s">
        <v>35</v>
      </c>
      <c r="B3117" s="40" t="s">
        <v>3149</v>
      </c>
      <c r="C3117" s="40" t="s">
        <v>5700</v>
      </c>
      <c r="D3117" s="40" t="s">
        <v>2233</v>
      </c>
      <c r="E3117" s="40" t="s">
        <v>2233</v>
      </c>
      <c r="F3117" s="40">
        <v>1</v>
      </c>
      <c r="G3117" s="40"/>
      <c r="H3117" s="40" t="s">
        <v>2234</v>
      </c>
      <c r="I3117" s="40"/>
      <c r="J3117" s="40" t="s">
        <v>97</v>
      </c>
      <c r="K3117" s="40" t="s">
        <v>97</v>
      </c>
      <c r="L3117" s="40" t="s">
        <v>97</v>
      </c>
    </row>
    <row r="3118" spans="1:12" x14ac:dyDescent="0.25">
      <c r="A3118" s="40" t="s">
        <v>35</v>
      </c>
      <c r="B3118" s="40" t="s">
        <v>4209</v>
      </c>
      <c r="C3118" s="40" t="s">
        <v>5701</v>
      </c>
      <c r="D3118" s="40" t="s">
        <v>2248</v>
      </c>
      <c r="E3118" s="40" t="s">
        <v>2248</v>
      </c>
      <c r="F3118" s="40">
        <v>1</v>
      </c>
      <c r="G3118" s="40"/>
      <c r="H3118" s="40" t="s">
        <v>97</v>
      </c>
      <c r="I3118" s="40"/>
      <c r="J3118" s="40" t="s">
        <v>97</v>
      </c>
      <c r="K3118" s="40" t="s">
        <v>97</v>
      </c>
      <c r="L3118" s="40" t="s">
        <v>97</v>
      </c>
    </row>
    <row r="3119" spans="1:12" x14ac:dyDescent="0.25">
      <c r="A3119" s="40" t="s">
        <v>35</v>
      </c>
      <c r="B3119" s="40" t="s">
        <v>5702</v>
      </c>
      <c r="C3119" s="40" t="s">
        <v>5703</v>
      </c>
      <c r="D3119" s="40" t="s">
        <v>2233</v>
      </c>
      <c r="E3119" s="40" t="s">
        <v>2233</v>
      </c>
      <c r="F3119" s="40">
        <v>1</v>
      </c>
      <c r="G3119" s="40"/>
      <c r="H3119" s="40" t="s">
        <v>2234</v>
      </c>
      <c r="I3119" s="40"/>
      <c r="J3119" s="40" t="s">
        <v>97</v>
      </c>
      <c r="K3119" s="40" t="s">
        <v>97</v>
      </c>
      <c r="L3119" s="40" t="s">
        <v>97</v>
      </c>
    </row>
    <row r="3120" spans="1:12" x14ac:dyDescent="0.25">
      <c r="A3120" s="40" t="s">
        <v>35</v>
      </c>
      <c r="B3120" s="40" t="s">
        <v>5704</v>
      </c>
      <c r="C3120" s="40" t="s">
        <v>5705</v>
      </c>
      <c r="D3120" s="40" t="s">
        <v>2248</v>
      </c>
      <c r="E3120" s="40" t="s">
        <v>2248</v>
      </c>
      <c r="F3120" s="40">
        <v>1</v>
      </c>
      <c r="G3120" s="40"/>
      <c r="H3120" s="40" t="s">
        <v>97</v>
      </c>
      <c r="I3120" s="40"/>
      <c r="J3120" s="40" t="s">
        <v>97</v>
      </c>
      <c r="K3120" s="40" t="s">
        <v>97</v>
      </c>
      <c r="L3120" s="40" t="s">
        <v>97</v>
      </c>
    </row>
    <row r="3121" spans="1:12" x14ac:dyDescent="0.25">
      <c r="A3121" s="40" t="s">
        <v>35</v>
      </c>
      <c r="B3121" s="40" t="s">
        <v>4595</v>
      </c>
      <c r="C3121" s="40" t="s">
        <v>5706</v>
      </c>
      <c r="D3121" s="40" t="s">
        <v>2233</v>
      </c>
      <c r="E3121" s="40" t="s">
        <v>2233</v>
      </c>
      <c r="F3121" s="40">
        <v>1</v>
      </c>
      <c r="G3121" s="40"/>
      <c r="H3121" s="40" t="s">
        <v>2234</v>
      </c>
      <c r="I3121" s="40"/>
      <c r="J3121" s="40" t="s">
        <v>97</v>
      </c>
      <c r="K3121" s="40" t="s">
        <v>97</v>
      </c>
      <c r="L3121" s="40" t="s">
        <v>97</v>
      </c>
    </row>
    <row r="3122" spans="1:12" x14ac:dyDescent="0.25">
      <c r="A3122" s="40" t="s">
        <v>35</v>
      </c>
      <c r="B3122" s="40" t="s">
        <v>4598</v>
      </c>
      <c r="C3122" s="40" t="s">
        <v>5707</v>
      </c>
      <c r="D3122" s="40" t="s">
        <v>2248</v>
      </c>
      <c r="E3122" s="40" t="s">
        <v>2248</v>
      </c>
      <c r="F3122" s="40">
        <v>1</v>
      </c>
      <c r="G3122" s="40"/>
      <c r="H3122" s="40" t="s">
        <v>97</v>
      </c>
      <c r="I3122" s="40"/>
      <c r="J3122" s="40" t="s">
        <v>97</v>
      </c>
      <c r="K3122" s="40" t="s">
        <v>97</v>
      </c>
      <c r="L3122" s="40" t="s">
        <v>97</v>
      </c>
    </row>
    <row r="3123" spans="1:12" x14ac:dyDescent="0.25">
      <c r="A3123" s="40" t="s">
        <v>35</v>
      </c>
      <c r="B3123" s="40" t="s">
        <v>4634</v>
      </c>
      <c r="C3123" s="40" t="s">
        <v>5708</v>
      </c>
      <c r="D3123" s="40" t="s">
        <v>2233</v>
      </c>
      <c r="E3123" s="40" t="s">
        <v>2233</v>
      </c>
      <c r="F3123" s="40">
        <v>1</v>
      </c>
      <c r="G3123" s="40"/>
      <c r="H3123" s="40" t="s">
        <v>2234</v>
      </c>
      <c r="I3123" s="40"/>
      <c r="J3123" s="40" t="s">
        <v>97</v>
      </c>
      <c r="K3123" s="40" t="s">
        <v>97</v>
      </c>
      <c r="L3123" s="40" t="s">
        <v>97</v>
      </c>
    </row>
    <row r="3124" spans="1:12" x14ac:dyDescent="0.25">
      <c r="A3124" s="40" t="s">
        <v>35</v>
      </c>
      <c r="B3124" s="40" t="s">
        <v>4637</v>
      </c>
      <c r="C3124" s="40" t="s">
        <v>5709</v>
      </c>
      <c r="D3124" s="40" t="s">
        <v>2248</v>
      </c>
      <c r="E3124" s="40" t="s">
        <v>2248</v>
      </c>
      <c r="F3124" s="40">
        <v>1</v>
      </c>
      <c r="G3124" s="40"/>
      <c r="H3124" s="40" t="s">
        <v>97</v>
      </c>
      <c r="I3124" s="40"/>
      <c r="J3124" s="40" t="s">
        <v>97</v>
      </c>
      <c r="K3124" s="40" t="s">
        <v>97</v>
      </c>
      <c r="L3124" s="40" t="s">
        <v>97</v>
      </c>
    </row>
    <row r="3125" spans="1:12" x14ac:dyDescent="0.25">
      <c r="A3125" s="40" t="s">
        <v>35</v>
      </c>
      <c r="B3125" s="40" t="s">
        <v>4674</v>
      </c>
      <c r="C3125" s="40" t="s">
        <v>5710</v>
      </c>
      <c r="D3125" s="40" t="s">
        <v>2233</v>
      </c>
      <c r="E3125" s="40" t="s">
        <v>2233</v>
      </c>
      <c r="F3125" s="40">
        <v>1</v>
      </c>
      <c r="G3125" s="40"/>
      <c r="H3125" s="40" t="s">
        <v>2234</v>
      </c>
      <c r="I3125" s="40"/>
      <c r="J3125" s="40" t="s">
        <v>97</v>
      </c>
      <c r="K3125" s="40" t="s">
        <v>97</v>
      </c>
      <c r="L3125" s="40" t="s">
        <v>97</v>
      </c>
    </row>
    <row r="3126" spans="1:12" x14ac:dyDescent="0.25">
      <c r="A3126" s="40" t="s">
        <v>35</v>
      </c>
      <c r="B3126" s="40" t="s">
        <v>4677</v>
      </c>
      <c r="C3126" s="40" t="s">
        <v>5711</v>
      </c>
      <c r="D3126" s="40" t="s">
        <v>2248</v>
      </c>
      <c r="E3126" s="40" t="s">
        <v>2248</v>
      </c>
      <c r="F3126" s="40">
        <v>1</v>
      </c>
      <c r="G3126" s="40"/>
      <c r="H3126" s="40" t="s">
        <v>97</v>
      </c>
      <c r="I3126" s="40"/>
      <c r="J3126" s="40" t="s">
        <v>97</v>
      </c>
      <c r="K3126" s="40" t="s">
        <v>97</v>
      </c>
      <c r="L3126" s="40" t="s">
        <v>97</v>
      </c>
    </row>
    <row r="3127" spans="1:12" x14ac:dyDescent="0.25">
      <c r="A3127" s="40" t="s">
        <v>35</v>
      </c>
      <c r="B3127" s="40" t="s">
        <v>4746</v>
      </c>
      <c r="C3127" s="40" t="s">
        <v>5712</v>
      </c>
      <c r="D3127" s="40" t="s">
        <v>2233</v>
      </c>
      <c r="E3127" s="40" t="s">
        <v>2233</v>
      </c>
      <c r="F3127" s="40">
        <v>1</v>
      </c>
      <c r="G3127" s="40"/>
      <c r="H3127" s="40" t="s">
        <v>2234</v>
      </c>
      <c r="I3127" s="40"/>
      <c r="J3127" s="40" t="s">
        <v>97</v>
      </c>
      <c r="K3127" s="40" t="s">
        <v>97</v>
      </c>
      <c r="L3127" s="40" t="s">
        <v>97</v>
      </c>
    </row>
    <row r="3128" spans="1:12" x14ac:dyDescent="0.25">
      <c r="A3128" s="40" t="s">
        <v>35</v>
      </c>
      <c r="B3128" s="40" t="s">
        <v>4748</v>
      </c>
      <c r="C3128" s="40" t="s">
        <v>5713</v>
      </c>
      <c r="D3128" s="40" t="s">
        <v>2248</v>
      </c>
      <c r="E3128" s="40" t="s">
        <v>2248</v>
      </c>
      <c r="F3128" s="40">
        <v>1</v>
      </c>
      <c r="G3128" s="40"/>
      <c r="H3128" s="40" t="s">
        <v>97</v>
      </c>
      <c r="I3128" s="40"/>
      <c r="J3128" s="40" t="s">
        <v>97</v>
      </c>
      <c r="K3128" s="40" t="s">
        <v>97</v>
      </c>
      <c r="L3128" s="40" t="s">
        <v>97</v>
      </c>
    </row>
    <row r="3129" spans="1:12" x14ac:dyDescent="0.25">
      <c r="A3129" s="40" t="s">
        <v>35</v>
      </c>
      <c r="B3129" s="40" t="s">
        <v>5714</v>
      </c>
      <c r="C3129" s="40" t="s">
        <v>5715</v>
      </c>
      <c r="D3129" s="40" t="s">
        <v>2233</v>
      </c>
      <c r="E3129" s="40" t="s">
        <v>2233</v>
      </c>
      <c r="F3129" s="40">
        <v>1</v>
      </c>
      <c r="G3129" s="40"/>
      <c r="H3129" s="40" t="s">
        <v>2234</v>
      </c>
      <c r="I3129" s="40"/>
      <c r="J3129" s="40" t="s">
        <v>97</v>
      </c>
      <c r="K3129" s="40" t="s">
        <v>97</v>
      </c>
      <c r="L3129" s="40" t="s">
        <v>97</v>
      </c>
    </row>
    <row r="3130" spans="1:12" x14ac:dyDescent="0.25">
      <c r="A3130" s="40" t="s">
        <v>35</v>
      </c>
      <c r="B3130" s="40" t="s">
        <v>5716</v>
      </c>
      <c r="C3130" s="40" t="s">
        <v>5717</v>
      </c>
      <c r="D3130" s="40" t="s">
        <v>2248</v>
      </c>
      <c r="E3130" s="40" t="s">
        <v>2248</v>
      </c>
      <c r="F3130" s="40">
        <v>1</v>
      </c>
      <c r="G3130" s="40"/>
      <c r="H3130" s="40" t="s">
        <v>97</v>
      </c>
      <c r="I3130" s="40"/>
      <c r="J3130" s="40" t="s">
        <v>97</v>
      </c>
      <c r="K3130" s="40" t="s">
        <v>97</v>
      </c>
      <c r="L3130" s="40" t="s">
        <v>97</v>
      </c>
    </row>
    <row r="3131" spans="1:12" x14ac:dyDescent="0.25">
      <c r="A3131" s="40" t="s">
        <v>35</v>
      </c>
      <c r="B3131" s="40" t="s">
        <v>5718</v>
      </c>
      <c r="C3131" s="40" t="s">
        <v>5719</v>
      </c>
      <c r="D3131" s="40" t="s">
        <v>2233</v>
      </c>
      <c r="E3131" s="40" t="s">
        <v>2233</v>
      </c>
      <c r="F3131" s="40">
        <v>1</v>
      </c>
      <c r="G3131" s="40"/>
      <c r="H3131" s="40" t="s">
        <v>2234</v>
      </c>
      <c r="I3131" s="40"/>
      <c r="J3131" s="40" t="s">
        <v>97</v>
      </c>
      <c r="K3131" s="40" t="s">
        <v>97</v>
      </c>
      <c r="L3131" s="40" t="s">
        <v>97</v>
      </c>
    </row>
    <row r="3132" spans="1:12" x14ac:dyDescent="0.25">
      <c r="A3132" s="40" t="s">
        <v>35</v>
      </c>
      <c r="B3132" s="40" t="s">
        <v>5720</v>
      </c>
      <c r="C3132" s="40" t="s">
        <v>5721</v>
      </c>
      <c r="D3132" s="40" t="s">
        <v>2248</v>
      </c>
      <c r="E3132" s="40" t="s">
        <v>2248</v>
      </c>
      <c r="F3132" s="40">
        <v>1</v>
      </c>
      <c r="G3132" s="40"/>
      <c r="H3132" s="40" t="s">
        <v>97</v>
      </c>
      <c r="I3132" s="40"/>
      <c r="J3132" s="40" t="s">
        <v>97</v>
      </c>
      <c r="K3132" s="40" t="s">
        <v>97</v>
      </c>
      <c r="L3132" s="40" t="s">
        <v>97</v>
      </c>
    </row>
    <row r="3133" spans="1:12" x14ac:dyDescent="0.25">
      <c r="A3133" s="40" t="s">
        <v>35</v>
      </c>
      <c r="B3133" s="40" t="s">
        <v>4816</v>
      </c>
      <c r="C3133" s="40" t="s">
        <v>5722</v>
      </c>
      <c r="D3133" s="40" t="s">
        <v>2233</v>
      </c>
      <c r="E3133" s="40" t="s">
        <v>2233</v>
      </c>
      <c r="F3133" s="40">
        <v>1</v>
      </c>
      <c r="G3133" s="40"/>
      <c r="H3133" s="40" t="s">
        <v>2234</v>
      </c>
      <c r="I3133" s="40"/>
      <c r="J3133" s="40" t="s">
        <v>97</v>
      </c>
      <c r="K3133" s="40" t="s">
        <v>97</v>
      </c>
      <c r="L3133" s="40" t="s">
        <v>97</v>
      </c>
    </row>
    <row r="3134" spans="1:12" x14ac:dyDescent="0.25">
      <c r="A3134" s="40" t="s">
        <v>35</v>
      </c>
      <c r="B3134" s="40" t="s">
        <v>4819</v>
      </c>
      <c r="C3134" s="40" t="s">
        <v>5723</v>
      </c>
      <c r="D3134" s="40" t="s">
        <v>2248</v>
      </c>
      <c r="E3134" s="40" t="s">
        <v>2248</v>
      </c>
      <c r="F3134" s="40">
        <v>1</v>
      </c>
      <c r="G3134" s="40"/>
      <c r="H3134" s="40" t="s">
        <v>97</v>
      </c>
      <c r="I3134" s="40"/>
      <c r="J3134" s="40" t="s">
        <v>97</v>
      </c>
      <c r="K3134" s="40" t="s">
        <v>97</v>
      </c>
      <c r="L3134" s="40" t="s">
        <v>97</v>
      </c>
    </row>
    <row r="3135" spans="1:12" x14ac:dyDescent="0.25">
      <c r="A3135" s="40" t="s">
        <v>35</v>
      </c>
      <c r="B3135" s="40" t="s">
        <v>4865</v>
      </c>
      <c r="C3135" s="40" t="s">
        <v>5724</v>
      </c>
      <c r="D3135" s="40" t="s">
        <v>2233</v>
      </c>
      <c r="E3135" s="40" t="s">
        <v>2233</v>
      </c>
      <c r="F3135" s="40">
        <v>1</v>
      </c>
      <c r="G3135" s="40"/>
      <c r="H3135" s="40" t="s">
        <v>2234</v>
      </c>
      <c r="I3135" s="40"/>
      <c r="J3135" s="40" t="s">
        <v>97</v>
      </c>
      <c r="K3135" s="40" t="s">
        <v>97</v>
      </c>
      <c r="L3135" s="40" t="s">
        <v>97</v>
      </c>
    </row>
    <row r="3136" spans="1:12" x14ac:dyDescent="0.25">
      <c r="A3136" s="40" t="s">
        <v>35</v>
      </c>
      <c r="B3136" s="40" t="s">
        <v>4867</v>
      </c>
      <c r="C3136" s="40" t="s">
        <v>5725</v>
      </c>
      <c r="D3136" s="40" t="s">
        <v>2248</v>
      </c>
      <c r="E3136" s="40" t="s">
        <v>2248</v>
      </c>
      <c r="F3136" s="40">
        <v>1</v>
      </c>
      <c r="G3136" s="40"/>
      <c r="H3136" s="40" t="s">
        <v>97</v>
      </c>
      <c r="I3136" s="40"/>
      <c r="J3136" s="40" t="s">
        <v>97</v>
      </c>
      <c r="K3136" s="40" t="s">
        <v>97</v>
      </c>
      <c r="L3136" s="40" t="s">
        <v>97</v>
      </c>
    </row>
    <row r="3137" spans="1:12" x14ac:dyDescent="0.25">
      <c r="A3137" s="40" t="s">
        <v>35</v>
      </c>
      <c r="B3137" s="40" t="s">
        <v>5726</v>
      </c>
      <c r="C3137" s="40" t="s">
        <v>5727</v>
      </c>
      <c r="D3137" s="40" t="s">
        <v>2233</v>
      </c>
      <c r="E3137" s="40" t="s">
        <v>2233</v>
      </c>
      <c r="F3137" s="40">
        <v>1</v>
      </c>
      <c r="G3137" s="40"/>
      <c r="H3137" s="40" t="s">
        <v>2234</v>
      </c>
      <c r="I3137" s="40"/>
      <c r="J3137" s="40" t="s">
        <v>97</v>
      </c>
      <c r="K3137" s="40" t="s">
        <v>97</v>
      </c>
      <c r="L3137" s="40" t="s">
        <v>97</v>
      </c>
    </row>
    <row r="3138" spans="1:12" x14ac:dyDescent="0.25">
      <c r="A3138" s="40" t="s">
        <v>35</v>
      </c>
      <c r="B3138" s="40" t="s">
        <v>5728</v>
      </c>
      <c r="C3138" s="40" t="s">
        <v>5729</v>
      </c>
      <c r="D3138" s="40" t="s">
        <v>2248</v>
      </c>
      <c r="E3138" s="40" t="s">
        <v>2248</v>
      </c>
      <c r="F3138" s="40">
        <v>1</v>
      </c>
      <c r="G3138" s="40"/>
      <c r="H3138" s="40" t="s">
        <v>97</v>
      </c>
      <c r="I3138" s="40"/>
      <c r="J3138" s="40" t="s">
        <v>97</v>
      </c>
      <c r="K3138" s="40" t="s">
        <v>97</v>
      </c>
      <c r="L3138" s="40" t="s">
        <v>97</v>
      </c>
    </row>
    <row r="3139" spans="1:12" x14ac:dyDescent="0.25">
      <c r="A3139" s="40" t="s">
        <v>35</v>
      </c>
      <c r="B3139" s="40" t="s">
        <v>5730</v>
      </c>
      <c r="C3139" s="40" t="s">
        <v>5731</v>
      </c>
      <c r="D3139" s="40" t="s">
        <v>2233</v>
      </c>
      <c r="E3139" s="40" t="s">
        <v>2233</v>
      </c>
      <c r="F3139" s="40">
        <v>1</v>
      </c>
      <c r="G3139" s="40"/>
      <c r="H3139" s="40" t="s">
        <v>2234</v>
      </c>
      <c r="I3139" s="40"/>
      <c r="J3139" s="40" t="s">
        <v>97</v>
      </c>
      <c r="K3139" s="40" t="s">
        <v>97</v>
      </c>
      <c r="L3139" s="40" t="s">
        <v>97</v>
      </c>
    </row>
    <row r="3140" spans="1:12" x14ac:dyDescent="0.25">
      <c r="A3140" s="40" t="s">
        <v>35</v>
      </c>
      <c r="B3140" s="40" t="s">
        <v>5732</v>
      </c>
      <c r="C3140" s="40" t="s">
        <v>5733</v>
      </c>
      <c r="D3140" s="40" t="s">
        <v>2248</v>
      </c>
      <c r="E3140" s="40" t="s">
        <v>2248</v>
      </c>
      <c r="F3140" s="40">
        <v>1</v>
      </c>
      <c r="G3140" s="40"/>
      <c r="H3140" s="40" t="s">
        <v>97</v>
      </c>
      <c r="I3140" s="40"/>
      <c r="J3140" s="40" t="s">
        <v>97</v>
      </c>
      <c r="K3140" s="40" t="s">
        <v>97</v>
      </c>
      <c r="L3140" s="40" t="s">
        <v>97</v>
      </c>
    </row>
    <row r="3141" spans="1:12" x14ac:dyDescent="0.25">
      <c r="A3141" s="40" t="s">
        <v>35</v>
      </c>
      <c r="B3141" s="40" t="s">
        <v>2737</v>
      </c>
      <c r="C3141" s="40" t="s">
        <v>5734</v>
      </c>
      <c r="D3141" s="40" t="s">
        <v>2233</v>
      </c>
      <c r="E3141" s="40" t="s">
        <v>2233</v>
      </c>
      <c r="F3141" s="40">
        <v>1</v>
      </c>
      <c r="G3141" s="40"/>
      <c r="H3141" s="40" t="s">
        <v>2234</v>
      </c>
      <c r="I3141" s="40"/>
      <c r="J3141" s="40" t="s">
        <v>97</v>
      </c>
      <c r="K3141" s="40" t="s">
        <v>97</v>
      </c>
      <c r="L3141" s="40" t="s">
        <v>97</v>
      </c>
    </row>
    <row r="3142" spans="1:12" x14ac:dyDescent="0.25">
      <c r="A3142" s="40" t="s">
        <v>35</v>
      </c>
      <c r="B3142" s="40" t="s">
        <v>4903</v>
      </c>
      <c r="C3142" s="40" t="s">
        <v>5735</v>
      </c>
      <c r="D3142" s="40" t="s">
        <v>2248</v>
      </c>
      <c r="E3142" s="40" t="s">
        <v>2248</v>
      </c>
      <c r="F3142" s="40">
        <v>1</v>
      </c>
      <c r="G3142" s="40"/>
      <c r="H3142" s="40" t="s">
        <v>97</v>
      </c>
      <c r="I3142" s="40"/>
      <c r="J3142" s="40" t="s">
        <v>97</v>
      </c>
      <c r="K3142" s="40" t="s">
        <v>97</v>
      </c>
      <c r="L3142" s="40" t="s">
        <v>97</v>
      </c>
    </row>
    <row r="3143" spans="1:12" x14ac:dyDescent="0.25">
      <c r="A3143" s="40" t="s">
        <v>35</v>
      </c>
      <c r="B3143" s="40" t="s">
        <v>5736</v>
      </c>
      <c r="C3143" s="40" t="s">
        <v>5737</v>
      </c>
      <c r="D3143" s="40" t="s">
        <v>2233</v>
      </c>
      <c r="E3143" s="40" t="s">
        <v>2233</v>
      </c>
      <c r="F3143" s="40">
        <v>1</v>
      </c>
      <c r="G3143" s="40"/>
      <c r="H3143" s="40" t="s">
        <v>2234</v>
      </c>
      <c r="I3143" s="40"/>
      <c r="J3143" s="40" t="s">
        <v>97</v>
      </c>
      <c r="K3143" s="40" t="s">
        <v>97</v>
      </c>
      <c r="L3143" s="40" t="s">
        <v>97</v>
      </c>
    </row>
    <row r="3144" spans="1:12" x14ac:dyDescent="0.25">
      <c r="A3144" s="40" t="s">
        <v>35</v>
      </c>
      <c r="B3144" s="40" t="s">
        <v>5738</v>
      </c>
      <c r="C3144" s="40" t="s">
        <v>5739</v>
      </c>
      <c r="D3144" s="40" t="s">
        <v>2248</v>
      </c>
      <c r="E3144" s="40" t="s">
        <v>2248</v>
      </c>
      <c r="F3144" s="40">
        <v>1</v>
      </c>
      <c r="G3144" s="40"/>
      <c r="H3144" s="40" t="s">
        <v>97</v>
      </c>
      <c r="I3144" s="40"/>
      <c r="J3144" s="40" t="s">
        <v>97</v>
      </c>
      <c r="K3144" s="40" t="s">
        <v>97</v>
      </c>
      <c r="L3144" s="40" t="s">
        <v>97</v>
      </c>
    </row>
    <row r="3145" spans="1:12" x14ac:dyDescent="0.25">
      <c r="A3145" s="40" t="s">
        <v>35</v>
      </c>
      <c r="B3145" s="40" t="s">
        <v>4921</v>
      </c>
      <c r="C3145" s="40" t="s">
        <v>5740</v>
      </c>
      <c r="D3145" s="40" t="s">
        <v>2233</v>
      </c>
      <c r="E3145" s="40" t="s">
        <v>2233</v>
      </c>
      <c r="F3145" s="40">
        <v>1</v>
      </c>
      <c r="G3145" s="40"/>
      <c r="H3145" s="40" t="s">
        <v>2234</v>
      </c>
      <c r="I3145" s="40"/>
      <c r="J3145" s="40" t="s">
        <v>97</v>
      </c>
      <c r="K3145" s="40" t="s">
        <v>97</v>
      </c>
      <c r="L3145" s="40" t="s">
        <v>97</v>
      </c>
    </row>
    <row r="3146" spans="1:12" x14ac:dyDescent="0.25">
      <c r="A3146" s="40" t="s">
        <v>35</v>
      </c>
      <c r="B3146" s="40" t="s">
        <v>4924</v>
      </c>
      <c r="C3146" s="40" t="s">
        <v>5741</v>
      </c>
      <c r="D3146" s="40" t="s">
        <v>2248</v>
      </c>
      <c r="E3146" s="40" t="s">
        <v>2248</v>
      </c>
      <c r="F3146" s="40">
        <v>1</v>
      </c>
      <c r="G3146" s="40"/>
      <c r="H3146" s="40" t="s">
        <v>97</v>
      </c>
      <c r="I3146" s="40"/>
      <c r="J3146" s="40" t="s">
        <v>97</v>
      </c>
      <c r="K3146" s="40" t="s">
        <v>97</v>
      </c>
      <c r="L3146" s="40" t="s">
        <v>97</v>
      </c>
    </row>
    <row r="3147" spans="1:12" x14ac:dyDescent="0.25">
      <c r="A3147" s="40" t="s">
        <v>35</v>
      </c>
      <c r="B3147" s="40" t="s">
        <v>4942</v>
      </c>
      <c r="C3147" s="40" t="s">
        <v>5742</v>
      </c>
      <c r="D3147" s="40" t="s">
        <v>2233</v>
      </c>
      <c r="E3147" s="40" t="s">
        <v>2233</v>
      </c>
      <c r="F3147" s="40">
        <v>1</v>
      </c>
      <c r="G3147" s="40"/>
      <c r="H3147" s="40" t="s">
        <v>2234</v>
      </c>
      <c r="I3147" s="40"/>
      <c r="J3147" s="40" t="s">
        <v>97</v>
      </c>
      <c r="K3147" s="40" t="s">
        <v>97</v>
      </c>
      <c r="L3147" s="40" t="s">
        <v>97</v>
      </c>
    </row>
    <row r="3148" spans="1:12" x14ac:dyDescent="0.25">
      <c r="A3148" s="40" t="s">
        <v>35</v>
      </c>
      <c r="B3148" s="40" t="s">
        <v>3169</v>
      </c>
      <c r="C3148" s="40" t="s">
        <v>5743</v>
      </c>
      <c r="D3148" s="40" t="s">
        <v>2248</v>
      </c>
      <c r="E3148" s="40" t="s">
        <v>2248</v>
      </c>
      <c r="F3148" s="40">
        <v>1</v>
      </c>
      <c r="G3148" s="40"/>
      <c r="H3148" s="40" t="s">
        <v>97</v>
      </c>
      <c r="I3148" s="40"/>
      <c r="J3148" s="40" t="s">
        <v>97</v>
      </c>
      <c r="K3148" s="40" t="s">
        <v>97</v>
      </c>
      <c r="L3148" s="40" t="s">
        <v>97</v>
      </c>
    </row>
    <row r="3149" spans="1:12" x14ac:dyDescent="0.25">
      <c r="A3149" s="40" t="s">
        <v>35</v>
      </c>
      <c r="B3149" s="40" t="s">
        <v>4960</v>
      </c>
      <c r="C3149" s="40" t="s">
        <v>5744</v>
      </c>
      <c r="D3149" s="40" t="s">
        <v>2233</v>
      </c>
      <c r="E3149" s="40" t="s">
        <v>2233</v>
      </c>
      <c r="F3149" s="40">
        <v>1</v>
      </c>
      <c r="G3149" s="40"/>
      <c r="H3149" s="40" t="s">
        <v>2234</v>
      </c>
      <c r="I3149" s="40"/>
      <c r="J3149" s="40" t="s">
        <v>97</v>
      </c>
      <c r="K3149" s="40" t="s">
        <v>97</v>
      </c>
      <c r="L3149" s="40" t="s">
        <v>97</v>
      </c>
    </row>
    <row r="3150" spans="1:12" x14ac:dyDescent="0.25">
      <c r="A3150" s="40" t="s">
        <v>35</v>
      </c>
      <c r="B3150" s="40" t="s">
        <v>4963</v>
      </c>
      <c r="C3150" s="40" t="s">
        <v>5745</v>
      </c>
      <c r="D3150" s="40" t="s">
        <v>2248</v>
      </c>
      <c r="E3150" s="40" t="s">
        <v>2248</v>
      </c>
      <c r="F3150" s="40">
        <v>1</v>
      </c>
      <c r="G3150" s="40"/>
      <c r="H3150" s="40" t="s">
        <v>97</v>
      </c>
      <c r="I3150" s="40"/>
      <c r="J3150" s="40" t="s">
        <v>97</v>
      </c>
      <c r="K3150" s="40" t="s">
        <v>97</v>
      </c>
      <c r="L3150" s="40" t="s">
        <v>97</v>
      </c>
    </row>
    <row r="3151" spans="1:12" x14ac:dyDescent="0.25">
      <c r="A3151" s="40" t="s">
        <v>35</v>
      </c>
      <c r="B3151" s="40" t="s">
        <v>4980</v>
      </c>
      <c r="C3151" s="40" t="s">
        <v>5746</v>
      </c>
      <c r="D3151" s="40" t="s">
        <v>2233</v>
      </c>
      <c r="E3151" s="40" t="s">
        <v>2233</v>
      </c>
      <c r="F3151" s="40">
        <v>1</v>
      </c>
      <c r="G3151" s="40"/>
      <c r="H3151" s="40" t="s">
        <v>2234</v>
      </c>
      <c r="I3151" s="40"/>
      <c r="J3151" s="40" t="s">
        <v>97</v>
      </c>
      <c r="K3151" s="40" t="s">
        <v>97</v>
      </c>
      <c r="L3151" s="40" t="s">
        <v>97</v>
      </c>
    </row>
    <row r="3152" spans="1:12" x14ac:dyDescent="0.25">
      <c r="A3152" s="40" t="s">
        <v>35</v>
      </c>
      <c r="B3152" s="40" t="s">
        <v>4982</v>
      </c>
      <c r="C3152" s="40" t="s">
        <v>5747</v>
      </c>
      <c r="D3152" s="40" t="s">
        <v>2248</v>
      </c>
      <c r="E3152" s="40" t="s">
        <v>2248</v>
      </c>
      <c r="F3152" s="40">
        <v>1</v>
      </c>
      <c r="G3152" s="40"/>
      <c r="H3152" s="40" t="s">
        <v>97</v>
      </c>
      <c r="I3152" s="40"/>
      <c r="J3152" s="40" t="s">
        <v>97</v>
      </c>
      <c r="K3152" s="40" t="s">
        <v>97</v>
      </c>
      <c r="L3152" s="40" t="s">
        <v>97</v>
      </c>
    </row>
    <row r="3153" spans="1:12" x14ac:dyDescent="0.25">
      <c r="A3153" s="40" t="s">
        <v>35</v>
      </c>
      <c r="B3153" s="40" t="s">
        <v>4998</v>
      </c>
      <c r="C3153" s="40" t="s">
        <v>5748</v>
      </c>
      <c r="D3153" s="40" t="s">
        <v>2233</v>
      </c>
      <c r="E3153" s="40" t="s">
        <v>2233</v>
      </c>
      <c r="F3153" s="40">
        <v>1</v>
      </c>
      <c r="G3153" s="40"/>
      <c r="H3153" s="40" t="s">
        <v>2234</v>
      </c>
      <c r="I3153" s="40"/>
      <c r="J3153" s="40" t="s">
        <v>97</v>
      </c>
      <c r="K3153" s="40" t="s">
        <v>97</v>
      </c>
      <c r="L3153" s="40" t="s">
        <v>97</v>
      </c>
    </row>
    <row r="3154" spans="1:12" x14ac:dyDescent="0.25">
      <c r="A3154" s="40" t="s">
        <v>35</v>
      </c>
      <c r="B3154" s="40" t="s">
        <v>5001</v>
      </c>
      <c r="C3154" s="40" t="s">
        <v>5749</v>
      </c>
      <c r="D3154" s="40" t="s">
        <v>2248</v>
      </c>
      <c r="E3154" s="40" t="s">
        <v>2248</v>
      </c>
      <c r="F3154" s="40">
        <v>1</v>
      </c>
      <c r="G3154" s="40"/>
      <c r="H3154" s="40" t="s">
        <v>97</v>
      </c>
      <c r="I3154" s="40"/>
      <c r="J3154" s="40" t="s">
        <v>97</v>
      </c>
      <c r="K3154" s="40" t="s">
        <v>97</v>
      </c>
      <c r="L3154" s="40" t="s">
        <v>97</v>
      </c>
    </row>
    <row r="3155" spans="1:12" x14ac:dyDescent="0.25">
      <c r="A3155" s="40" t="s">
        <v>35</v>
      </c>
      <c r="B3155" s="40" t="s">
        <v>5017</v>
      </c>
      <c r="C3155" s="40" t="s">
        <v>5750</v>
      </c>
      <c r="D3155" s="40" t="s">
        <v>2233</v>
      </c>
      <c r="E3155" s="40" t="s">
        <v>2233</v>
      </c>
      <c r="F3155" s="40">
        <v>1</v>
      </c>
      <c r="G3155" s="40"/>
      <c r="H3155" s="40" t="s">
        <v>2234</v>
      </c>
      <c r="I3155" s="40"/>
      <c r="J3155" s="40" t="s">
        <v>97</v>
      </c>
      <c r="K3155" s="40" t="s">
        <v>97</v>
      </c>
      <c r="L3155" s="40" t="s">
        <v>97</v>
      </c>
    </row>
    <row r="3156" spans="1:12" x14ac:dyDescent="0.25">
      <c r="A3156" s="40" t="s">
        <v>35</v>
      </c>
      <c r="B3156" s="40" t="s">
        <v>5019</v>
      </c>
      <c r="C3156" s="40" t="s">
        <v>5751</v>
      </c>
      <c r="D3156" s="40" t="s">
        <v>2248</v>
      </c>
      <c r="E3156" s="40" t="s">
        <v>2248</v>
      </c>
      <c r="F3156" s="40">
        <v>1</v>
      </c>
      <c r="G3156" s="40"/>
      <c r="H3156" s="40" t="s">
        <v>97</v>
      </c>
      <c r="I3156" s="40"/>
      <c r="J3156" s="40" t="s">
        <v>97</v>
      </c>
      <c r="K3156" s="40" t="s">
        <v>97</v>
      </c>
      <c r="L3156" s="40" t="s">
        <v>97</v>
      </c>
    </row>
    <row r="3157" spans="1:12" x14ac:dyDescent="0.25">
      <c r="A3157" s="40" t="s">
        <v>35</v>
      </c>
      <c r="B3157" s="40" t="s">
        <v>5035</v>
      </c>
      <c r="C3157" s="40" t="s">
        <v>5752</v>
      </c>
      <c r="D3157" s="40" t="s">
        <v>2233</v>
      </c>
      <c r="E3157" s="40" t="s">
        <v>2233</v>
      </c>
      <c r="F3157" s="40">
        <v>1</v>
      </c>
      <c r="G3157" s="40"/>
      <c r="H3157" s="40" t="s">
        <v>2234</v>
      </c>
      <c r="I3157" s="40"/>
      <c r="J3157" s="40" t="s">
        <v>97</v>
      </c>
      <c r="K3157" s="40" t="s">
        <v>97</v>
      </c>
      <c r="L3157" s="40" t="s">
        <v>97</v>
      </c>
    </row>
    <row r="3158" spans="1:12" x14ac:dyDescent="0.25">
      <c r="A3158" s="40" t="s">
        <v>35</v>
      </c>
      <c r="B3158" s="40" t="s">
        <v>5038</v>
      </c>
      <c r="C3158" s="40" t="s">
        <v>5753</v>
      </c>
      <c r="D3158" s="40" t="s">
        <v>2248</v>
      </c>
      <c r="E3158" s="40" t="s">
        <v>2248</v>
      </c>
      <c r="F3158" s="40">
        <v>1</v>
      </c>
      <c r="G3158" s="40"/>
      <c r="H3158" s="40" t="s">
        <v>97</v>
      </c>
      <c r="I3158" s="40"/>
      <c r="J3158" s="40" t="s">
        <v>97</v>
      </c>
      <c r="K3158" s="40" t="s">
        <v>97</v>
      </c>
      <c r="L3158" s="40" t="s">
        <v>97</v>
      </c>
    </row>
    <row r="3159" spans="1:12" x14ac:dyDescent="0.25">
      <c r="A3159" s="40" t="s">
        <v>35</v>
      </c>
      <c r="B3159" s="40" t="s">
        <v>5055</v>
      </c>
      <c r="C3159" s="40" t="s">
        <v>5754</v>
      </c>
      <c r="D3159" s="40" t="s">
        <v>2233</v>
      </c>
      <c r="E3159" s="40" t="s">
        <v>2233</v>
      </c>
      <c r="F3159" s="40">
        <v>1</v>
      </c>
      <c r="G3159" s="40"/>
      <c r="H3159" s="40" t="s">
        <v>2234</v>
      </c>
      <c r="I3159" s="40"/>
      <c r="J3159" s="40" t="s">
        <v>97</v>
      </c>
      <c r="K3159" s="40" t="s">
        <v>97</v>
      </c>
      <c r="L3159" s="40" t="s">
        <v>97</v>
      </c>
    </row>
    <row r="3160" spans="1:12" x14ac:dyDescent="0.25">
      <c r="A3160" s="40" t="s">
        <v>35</v>
      </c>
      <c r="B3160" s="40" t="s">
        <v>5058</v>
      </c>
      <c r="C3160" s="40" t="s">
        <v>5755</v>
      </c>
      <c r="D3160" s="40" t="s">
        <v>2248</v>
      </c>
      <c r="E3160" s="40" t="s">
        <v>2248</v>
      </c>
      <c r="F3160" s="40">
        <v>1</v>
      </c>
      <c r="G3160" s="40"/>
      <c r="H3160" s="40" t="s">
        <v>97</v>
      </c>
      <c r="I3160" s="40"/>
      <c r="J3160" s="40" t="s">
        <v>97</v>
      </c>
      <c r="K3160" s="40" t="s">
        <v>97</v>
      </c>
      <c r="L3160" s="40" t="s">
        <v>97</v>
      </c>
    </row>
    <row r="3161" spans="1:12" x14ac:dyDescent="0.25">
      <c r="A3161" s="40" t="s">
        <v>35</v>
      </c>
      <c r="B3161" s="40" t="s">
        <v>5074</v>
      </c>
      <c r="C3161" s="40" t="s">
        <v>5756</v>
      </c>
      <c r="D3161" s="40" t="s">
        <v>2233</v>
      </c>
      <c r="E3161" s="40" t="s">
        <v>2233</v>
      </c>
      <c r="F3161" s="40">
        <v>1</v>
      </c>
      <c r="G3161" s="40"/>
      <c r="H3161" s="40" t="s">
        <v>2234</v>
      </c>
      <c r="I3161" s="40"/>
      <c r="J3161" s="40" t="s">
        <v>97</v>
      </c>
      <c r="K3161" s="40" t="s">
        <v>97</v>
      </c>
      <c r="L3161" s="40" t="s">
        <v>97</v>
      </c>
    </row>
    <row r="3162" spans="1:12" x14ac:dyDescent="0.25">
      <c r="A3162" s="40" t="s">
        <v>35</v>
      </c>
      <c r="B3162" s="40" t="s">
        <v>5077</v>
      </c>
      <c r="C3162" s="40" t="s">
        <v>5757</v>
      </c>
      <c r="D3162" s="40" t="s">
        <v>2248</v>
      </c>
      <c r="E3162" s="40" t="s">
        <v>2248</v>
      </c>
      <c r="F3162" s="40">
        <v>1</v>
      </c>
      <c r="G3162" s="40"/>
      <c r="H3162" s="40" t="s">
        <v>97</v>
      </c>
      <c r="I3162" s="40"/>
      <c r="J3162" s="40" t="s">
        <v>97</v>
      </c>
      <c r="K3162" s="40" t="s">
        <v>97</v>
      </c>
      <c r="L3162" s="40" t="s">
        <v>97</v>
      </c>
    </row>
    <row r="3163" spans="1:12" x14ac:dyDescent="0.25">
      <c r="A3163" s="40" t="s">
        <v>35</v>
      </c>
      <c r="B3163" s="40" t="s">
        <v>5094</v>
      </c>
      <c r="C3163" s="40" t="s">
        <v>5758</v>
      </c>
      <c r="D3163" s="40" t="s">
        <v>2233</v>
      </c>
      <c r="E3163" s="40" t="s">
        <v>2233</v>
      </c>
      <c r="F3163" s="40">
        <v>1</v>
      </c>
      <c r="G3163" s="40"/>
      <c r="H3163" s="40" t="s">
        <v>2234</v>
      </c>
      <c r="I3163" s="40"/>
      <c r="J3163" s="40" t="s">
        <v>97</v>
      </c>
      <c r="K3163" s="40" t="s">
        <v>97</v>
      </c>
      <c r="L3163" s="40" t="s">
        <v>97</v>
      </c>
    </row>
    <row r="3164" spans="1:12" x14ac:dyDescent="0.25">
      <c r="A3164" s="40" t="s">
        <v>35</v>
      </c>
      <c r="B3164" s="40" t="s">
        <v>5096</v>
      </c>
      <c r="C3164" s="40" t="s">
        <v>5759</v>
      </c>
      <c r="D3164" s="40" t="s">
        <v>2248</v>
      </c>
      <c r="E3164" s="40" t="s">
        <v>2248</v>
      </c>
      <c r="F3164" s="40">
        <v>1</v>
      </c>
      <c r="G3164" s="40"/>
      <c r="H3164" s="40" t="s">
        <v>97</v>
      </c>
      <c r="I3164" s="40"/>
      <c r="J3164" s="40" t="s">
        <v>97</v>
      </c>
      <c r="K3164" s="40" t="s">
        <v>97</v>
      </c>
      <c r="L3164" s="40" t="s">
        <v>97</v>
      </c>
    </row>
    <row r="3165" spans="1:12" x14ac:dyDescent="0.25">
      <c r="A3165" s="40" t="s">
        <v>35</v>
      </c>
      <c r="B3165" s="40" t="s">
        <v>5112</v>
      </c>
      <c r="C3165" s="40" t="s">
        <v>5760</v>
      </c>
      <c r="D3165" s="40" t="s">
        <v>2233</v>
      </c>
      <c r="E3165" s="40" t="s">
        <v>2233</v>
      </c>
      <c r="F3165" s="40">
        <v>1</v>
      </c>
      <c r="G3165" s="40"/>
      <c r="H3165" s="40" t="s">
        <v>2234</v>
      </c>
      <c r="I3165" s="40"/>
      <c r="J3165" s="40" t="s">
        <v>97</v>
      </c>
      <c r="K3165" s="40" t="s">
        <v>97</v>
      </c>
      <c r="L3165" s="40" t="s">
        <v>97</v>
      </c>
    </row>
    <row r="3166" spans="1:12" x14ac:dyDescent="0.25">
      <c r="A3166" s="40" t="s">
        <v>35</v>
      </c>
      <c r="B3166" s="40" t="s">
        <v>5115</v>
      </c>
      <c r="C3166" s="40" t="s">
        <v>5761</v>
      </c>
      <c r="D3166" s="40" t="s">
        <v>2248</v>
      </c>
      <c r="E3166" s="40" t="s">
        <v>2248</v>
      </c>
      <c r="F3166" s="40">
        <v>1</v>
      </c>
      <c r="G3166" s="40"/>
      <c r="H3166" s="40" t="s">
        <v>97</v>
      </c>
      <c r="I3166" s="40"/>
      <c r="J3166" s="40" t="s">
        <v>97</v>
      </c>
      <c r="K3166" s="40" t="s">
        <v>97</v>
      </c>
      <c r="L3166" s="40" t="s">
        <v>97</v>
      </c>
    </row>
    <row r="3167" spans="1:12" x14ac:dyDescent="0.25">
      <c r="A3167" s="40" t="s">
        <v>35</v>
      </c>
      <c r="B3167" s="40" t="s">
        <v>5131</v>
      </c>
      <c r="C3167" s="40" t="s">
        <v>5762</v>
      </c>
      <c r="D3167" s="40" t="s">
        <v>2233</v>
      </c>
      <c r="E3167" s="40" t="s">
        <v>2233</v>
      </c>
      <c r="F3167" s="40">
        <v>1</v>
      </c>
      <c r="G3167" s="40"/>
      <c r="H3167" s="40" t="s">
        <v>2234</v>
      </c>
      <c r="I3167" s="40"/>
      <c r="J3167" s="40" t="s">
        <v>97</v>
      </c>
      <c r="K3167" s="40" t="s">
        <v>97</v>
      </c>
      <c r="L3167" s="40" t="s">
        <v>97</v>
      </c>
    </row>
    <row r="3168" spans="1:12" x14ac:dyDescent="0.25">
      <c r="A3168" s="40" t="s">
        <v>35</v>
      </c>
      <c r="B3168" s="40" t="s">
        <v>5134</v>
      </c>
      <c r="C3168" s="40" t="s">
        <v>5763</v>
      </c>
      <c r="D3168" s="40" t="s">
        <v>2248</v>
      </c>
      <c r="E3168" s="40" t="s">
        <v>2248</v>
      </c>
      <c r="F3168" s="40">
        <v>1</v>
      </c>
      <c r="G3168" s="40"/>
      <c r="H3168" s="40" t="s">
        <v>97</v>
      </c>
      <c r="I3168" s="40"/>
      <c r="J3168" s="40" t="s">
        <v>97</v>
      </c>
      <c r="K3168" s="40" t="s">
        <v>97</v>
      </c>
      <c r="L3168" s="40" t="s">
        <v>97</v>
      </c>
    </row>
    <row r="3169" spans="1:12" x14ac:dyDescent="0.25">
      <c r="A3169" s="40" t="s">
        <v>35</v>
      </c>
      <c r="B3169" s="40" t="s">
        <v>5156</v>
      </c>
      <c r="C3169" s="40" t="s">
        <v>5764</v>
      </c>
      <c r="D3169" s="40" t="s">
        <v>2233</v>
      </c>
      <c r="E3169" s="40" t="s">
        <v>2233</v>
      </c>
      <c r="F3169" s="40">
        <v>1</v>
      </c>
      <c r="G3169" s="40"/>
      <c r="H3169" s="40" t="s">
        <v>2234</v>
      </c>
      <c r="I3169" s="40"/>
      <c r="J3169" s="40" t="s">
        <v>97</v>
      </c>
      <c r="K3169" s="40" t="s">
        <v>97</v>
      </c>
      <c r="L3169" s="40" t="s">
        <v>97</v>
      </c>
    </row>
    <row r="3170" spans="1:12" x14ac:dyDescent="0.25">
      <c r="A3170" s="40" t="s">
        <v>35</v>
      </c>
      <c r="B3170" s="40" t="s">
        <v>5159</v>
      </c>
      <c r="C3170" s="40" t="s">
        <v>5765</v>
      </c>
      <c r="D3170" s="40" t="s">
        <v>2248</v>
      </c>
      <c r="E3170" s="40" t="s">
        <v>2248</v>
      </c>
      <c r="F3170" s="40">
        <v>1</v>
      </c>
      <c r="G3170" s="40"/>
      <c r="H3170" s="40" t="s">
        <v>97</v>
      </c>
      <c r="I3170" s="40"/>
      <c r="J3170" s="40" t="s">
        <v>97</v>
      </c>
      <c r="K3170" s="40" t="s">
        <v>97</v>
      </c>
      <c r="L3170" s="40" t="s">
        <v>97</v>
      </c>
    </row>
    <row r="3171" spans="1:12" x14ac:dyDescent="0.25">
      <c r="A3171" s="40" t="s">
        <v>35</v>
      </c>
      <c r="B3171" s="40" t="s">
        <v>5169</v>
      </c>
      <c r="C3171" s="40" t="s">
        <v>5766</v>
      </c>
      <c r="D3171" s="40" t="s">
        <v>2233</v>
      </c>
      <c r="E3171" s="40" t="s">
        <v>2233</v>
      </c>
      <c r="F3171" s="40">
        <v>1</v>
      </c>
      <c r="G3171" s="40"/>
      <c r="H3171" s="40" t="s">
        <v>2234</v>
      </c>
      <c r="I3171" s="40"/>
      <c r="J3171" s="40" t="s">
        <v>97</v>
      </c>
      <c r="K3171" s="40" t="s">
        <v>97</v>
      </c>
      <c r="L3171" s="40" t="s">
        <v>97</v>
      </c>
    </row>
    <row r="3172" spans="1:12" x14ac:dyDescent="0.25">
      <c r="A3172" s="40" t="s">
        <v>35</v>
      </c>
      <c r="B3172" s="40" t="s">
        <v>5171</v>
      </c>
      <c r="C3172" s="40" t="s">
        <v>5767</v>
      </c>
      <c r="D3172" s="40" t="s">
        <v>2248</v>
      </c>
      <c r="E3172" s="40" t="s">
        <v>2248</v>
      </c>
      <c r="F3172" s="40">
        <v>1</v>
      </c>
      <c r="G3172" s="40"/>
      <c r="H3172" s="40" t="s">
        <v>97</v>
      </c>
      <c r="I3172" s="40"/>
      <c r="J3172" s="40" t="s">
        <v>97</v>
      </c>
      <c r="K3172" s="40" t="s">
        <v>97</v>
      </c>
      <c r="L3172" s="40" t="s">
        <v>97</v>
      </c>
    </row>
    <row r="3173" spans="1:12" x14ac:dyDescent="0.25">
      <c r="A3173" s="40" t="s">
        <v>35</v>
      </c>
      <c r="B3173" s="40" t="s">
        <v>5768</v>
      </c>
      <c r="C3173" s="40" t="s">
        <v>5769</v>
      </c>
      <c r="D3173" s="40" t="s">
        <v>2233</v>
      </c>
      <c r="E3173" s="40" t="s">
        <v>2233</v>
      </c>
      <c r="F3173" s="40">
        <v>1</v>
      </c>
      <c r="G3173" s="40"/>
      <c r="H3173" s="40" t="s">
        <v>2234</v>
      </c>
      <c r="I3173" s="40"/>
      <c r="J3173" s="40" t="s">
        <v>97</v>
      </c>
      <c r="K3173" s="40" t="s">
        <v>97</v>
      </c>
      <c r="L3173" s="40" t="s">
        <v>97</v>
      </c>
    </row>
    <row r="3174" spans="1:12" x14ac:dyDescent="0.25">
      <c r="A3174" s="40" t="s">
        <v>35</v>
      </c>
      <c r="B3174" s="40" t="s">
        <v>5770</v>
      </c>
      <c r="C3174" s="40" t="s">
        <v>5771</v>
      </c>
      <c r="D3174" s="40" t="s">
        <v>2233</v>
      </c>
      <c r="E3174" s="40" t="s">
        <v>2233</v>
      </c>
      <c r="F3174" s="40">
        <v>1</v>
      </c>
      <c r="G3174" s="40"/>
      <c r="H3174" s="40" t="s">
        <v>97</v>
      </c>
      <c r="I3174" s="40"/>
      <c r="J3174" s="40" t="s">
        <v>97</v>
      </c>
      <c r="K3174" s="40" t="s">
        <v>97</v>
      </c>
      <c r="L3174" s="40" t="s">
        <v>97</v>
      </c>
    </row>
    <row r="3175" spans="1:12" x14ac:dyDescent="0.25">
      <c r="A3175" s="40" t="s">
        <v>35</v>
      </c>
      <c r="B3175" s="40" t="s">
        <v>5772</v>
      </c>
      <c r="C3175" s="40" t="s">
        <v>5773</v>
      </c>
      <c r="D3175" s="40" t="s">
        <v>2233</v>
      </c>
      <c r="E3175" s="40" t="s">
        <v>2233</v>
      </c>
      <c r="F3175" s="40">
        <v>1</v>
      </c>
      <c r="G3175" s="40"/>
      <c r="H3175" s="40" t="s">
        <v>97</v>
      </c>
      <c r="I3175" s="40"/>
      <c r="J3175" s="40" t="s">
        <v>97</v>
      </c>
      <c r="K3175" s="40" t="s">
        <v>97</v>
      </c>
      <c r="L3175" s="40" t="s">
        <v>97</v>
      </c>
    </row>
    <row r="3176" spans="1:12" x14ac:dyDescent="0.25">
      <c r="A3176" s="40" t="s">
        <v>35</v>
      </c>
      <c r="B3176" s="40" t="s">
        <v>5774</v>
      </c>
      <c r="C3176" s="40" t="s">
        <v>5775</v>
      </c>
      <c r="D3176" s="40" t="s">
        <v>2233</v>
      </c>
      <c r="E3176" s="40" t="s">
        <v>2233</v>
      </c>
      <c r="F3176" s="40">
        <v>1</v>
      </c>
      <c r="G3176" s="40"/>
      <c r="H3176" s="40" t="s">
        <v>2234</v>
      </c>
      <c r="I3176" s="40"/>
      <c r="J3176" s="40" t="s">
        <v>97</v>
      </c>
      <c r="K3176" s="40" t="s">
        <v>97</v>
      </c>
      <c r="L3176" s="40" t="s">
        <v>97</v>
      </c>
    </row>
    <row r="3177" spans="1:12" x14ac:dyDescent="0.25">
      <c r="A3177" s="40" t="s">
        <v>35</v>
      </c>
      <c r="B3177" s="40" t="s">
        <v>5776</v>
      </c>
      <c r="C3177" s="40" t="s">
        <v>5777</v>
      </c>
      <c r="D3177" s="40" t="s">
        <v>2233</v>
      </c>
      <c r="E3177" s="40" t="s">
        <v>2233</v>
      </c>
      <c r="F3177" s="40">
        <v>1</v>
      </c>
      <c r="G3177" s="40"/>
      <c r="H3177" s="40" t="s">
        <v>97</v>
      </c>
      <c r="I3177" s="40"/>
      <c r="J3177" s="40" t="s">
        <v>97</v>
      </c>
      <c r="K3177" s="40" t="s">
        <v>97</v>
      </c>
      <c r="L3177" s="40" t="s">
        <v>97</v>
      </c>
    </row>
    <row r="3178" spans="1:12" x14ac:dyDescent="0.25">
      <c r="A3178" s="40" t="s">
        <v>35</v>
      </c>
      <c r="B3178" s="40" t="s">
        <v>5778</v>
      </c>
      <c r="C3178" s="40" t="s">
        <v>5779</v>
      </c>
      <c r="D3178" s="40" t="s">
        <v>2233</v>
      </c>
      <c r="E3178" s="40" t="s">
        <v>2233</v>
      </c>
      <c r="F3178" s="40">
        <v>1</v>
      </c>
      <c r="G3178" s="40"/>
      <c r="H3178" s="40" t="s">
        <v>97</v>
      </c>
      <c r="I3178" s="40"/>
      <c r="J3178" s="40" t="s">
        <v>97</v>
      </c>
      <c r="K3178" s="40" t="s">
        <v>97</v>
      </c>
      <c r="L3178" s="40" t="s">
        <v>97</v>
      </c>
    </row>
    <row r="3179" spans="1:12" x14ac:dyDescent="0.25">
      <c r="A3179" s="40" t="s">
        <v>35</v>
      </c>
      <c r="B3179" s="40" t="s">
        <v>5780</v>
      </c>
      <c r="C3179" s="40" t="s">
        <v>5781</v>
      </c>
      <c r="D3179" s="40" t="s">
        <v>2233</v>
      </c>
      <c r="E3179" s="40" t="s">
        <v>2233</v>
      </c>
      <c r="F3179" s="40">
        <v>1</v>
      </c>
      <c r="G3179" s="40"/>
      <c r="H3179" s="40" t="s">
        <v>97</v>
      </c>
      <c r="I3179" s="40"/>
      <c r="J3179" s="40" t="s">
        <v>97</v>
      </c>
      <c r="K3179" s="40" t="s">
        <v>97</v>
      </c>
      <c r="L3179" s="40" t="s">
        <v>97</v>
      </c>
    </row>
    <row r="3180" spans="1:12" x14ac:dyDescent="0.25">
      <c r="A3180" s="40" t="s">
        <v>35</v>
      </c>
      <c r="B3180" s="40" t="s">
        <v>5782</v>
      </c>
      <c r="C3180" s="40" t="s">
        <v>5783</v>
      </c>
      <c r="D3180" s="40" t="s">
        <v>2233</v>
      </c>
      <c r="E3180" s="40" t="s">
        <v>2233</v>
      </c>
      <c r="F3180" s="40">
        <v>1</v>
      </c>
      <c r="G3180" s="40"/>
      <c r="H3180" s="40" t="s">
        <v>97</v>
      </c>
      <c r="I3180" s="40"/>
      <c r="J3180" s="40" t="s">
        <v>97</v>
      </c>
      <c r="K3180" s="40" t="s">
        <v>97</v>
      </c>
      <c r="L3180" s="40" t="s">
        <v>97</v>
      </c>
    </row>
    <row r="3181" spans="1:12" x14ac:dyDescent="0.25">
      <c r="A3181" s="40" t="s">
        <v>35</v>
      </c>
      <c r="B3181" s="40" t="s">
        <v>5784</v>
      </c>
      <c r="C3181" s="40" t="s">
        <v>5785</v>
      </c>
      <c r="D3181" s="40" t="s">
        <v>2233</v>
      </c>
      <c r="E3181" s="40" t="s">
        <v>2233</v>
      </c>
      <c r="F3181" s="40">
        <v>1</v>
      </c>
      <c r="G3181" s="40"/>
      <c r="H3181" s="40" t="s">
        <v>97</v>
      </c>
      <c r="I3181" s="40"/>
      <c r="J3181" s="40" t="s">
        <v>97</v>
      </c>
      <c r="K3181" s="40" t="s">
        <v>97</v>
      </c>
      <c r="L3181" s="40" t="s">
        <v>97</v>
      </c>
    </row>
    <row r="3182" spans="1:12" x14ac:dyDescent="0.25">
      <c r="A3182" s="40" t="s">
        <v>35</v>
      </c>
      <c r="B3182" s="40" t="s">
        <v>5786</v>
      </c>
      <c r="C3182" s="40" t="s">
        <v>5787</v>
      </c>
      <c r="D3182" s="40" t="s">
        <v>2233</v>
      </c>
      <c r="E3182" s="40" t="s">
        <v>2233</v>
      </c>
      <c r="F3182" s="40">
        <v>1</v>
      </c>
      <c r="G3182" s="40"/>
      <c r="H3182" s="40" t="s">
        <v>97</v>
      </c>
      <c r="I3182" s="40"/>
      <c r="J3182" s="40" t="s">
        <v>97</v>
      </c>
      <c r="K3182" s="40" t="s">
        <v>97</v>
      </c>
      <c r="L3182" s="40" t="s">
        <v>97</v>
      </c>
    </row>
    <row r="3183" spans="1:12" x14ac:dyDescent="0.25">
      <c r="A3183" s="40" t="s">
        <v>35</v>
      </c>
      <c r="B3183" s="40" t="s">
        <v>5788</v>
      </c>
      <c r="C3183" s="40" t="s">
        <v>5789</v>
      </c>
      <c r="D3183" s="40" t="s">
        <v>2233</v>
      </c>
      <c r="E3183" s="40" t="s">
        <v>2233</v>
      </c>
      <c r="F3183" s="40">
        <v>1</v>
      </c>
      <c r="G3183" s="40"/>
      <c r="H3183" s="40" t="s">
        <v>97</v>
      </c>
      <c r="I3183" s="40"/>
      <c r="J3183" s="40" t="s">
        <v>97</v>
      </c>
      <c r="K3183" s="40" t="s">
        <v>97</v>
      </c>
      <c r="L3183" s="40" t="s">
        <v>97</v>
      </c>
    </row>
    <row r="3184" spans="1:12" x14ac:dyDescent="0.25">
      <c r="A3184" s="40" t="s">
        <v>35</v>
      </c>
      <c r="B3184" s="40" t="s">
        <v>5790</v>
      </c>
      <c r="C3184" s="40" t="s">
        <v>5791</v>
      </c>
      <c r="D3184" s="40" t="s">
        <v>2233</v>
      </c>
      <c r="E3184" s="40" t="s">
        <v>2233</v>
      </c>
      <c r="F3184" s="40">
        <v>1</v>
      </c>
      <c r="G3184" s="40"/>
      <c r="H3184" s="40" t="s">
        <v>97</v>
      </c>
      <c r="I3184" s="40"/>
      <c r="J3184" s="40" t="s">
        <v>97</v>
      </c>
      <c r="K3184" s="40" t="s">
        <v>97</v>
      </c>
      <c r="L3184" s="40" t="s">
        <v>97</v>
      </c>
    </row>
    <row r="3185" spans="1:12" x14ac:dyDescent="0.25">
      <c r="A3185" s="40" t="s">
        <v>35</v>
      </c>
      <c r="B3185" s="40" t="s">
        <v>5792</v>
      </c>
      <c r="C3185" s="40" t="s">
        <v>5793</v>
      </c>
      <c r="D3185" s="40" t="s">
        <v>2233</v>
      </c>
      <c r="E3185" s="40" t="s">
        <v>2233</v>
      </c>
      <c r="F3185" s="40">
        <v>1</v>
      </c>
      <c r="G3185" s="40"/>
      <c r="H3185" s="40" t="s">
        <v>97</v>
      </c>
      <c r="I3185" s="40"/>
      <c r="J3185" s="40" t="s">
        <v>97</v>
      </c>
      <c r="K3185" s="40" t="s">
        <v>97</v>
      </c>
      <c r="L3185" s="40" t="s">
        <v>97</v>
      </c>
    </row>
    <row r="3186" spans="1:12" x14ac:dyDescent="0.25">
      <c r="A3186" s="40" t="s">
        <v>35</v>
      </c>
      <c r="B3186" s="40" t="s">
        <v>5794</v>
      </c>
      <c r="C3186" s="40" t="s">
        <v>5795</v>
      </c>
      <c r="D3186" s="40" t="s">
        <v>2233</v>
      </c>
      <c r="E3186" s="40" t="s">
        <v>2233</v>
      </c>
      <c r="F3186" s="40">
        <v>1</v>
      </c>
      <c r="G3186" s="40"/>
      <c r="H3186" s="40" t="s">
        <v>97</v>
      </c>
      <c r="I3186" s="40"/>
      <c r="J3186" s="40" t="s">
        <v>97</v>
      </c>
      <c r="K3186" s="40" t="s">
        <v>97</v>
      </c>
      <c r="L3186" s="40" t="s">
        <v>97</v>
      </c>
    </row>
    <row r="3187" spans="1:12" x14ac:dyDescent="0.25">
      <c r="A3187" s="40" t="s">
        <v>35</v>
      </c>
      <c r="B3187" s="40" t="s">
        <v>5796</v>
      </c>
      <c r="C3187" s="40" t="s">
        <v>5797</v>
      </c>
      <c r="D3187" s="40" t="s">
        <v>2233</v>
      </c>
      <c r="E3187" s="40" t="s">
        <v>2233</v>
      </c>
      <c r="F3187" s="40">
        <v>1</v>
      </c>
      <c r="G3187" s="40"/>
      <c r="H3187" s="40" t="s">
        <v>97</v>
      </c>
      <c r="I3187" s="40"/>
      <c r="J3187" s="40" t="s">
        <v>97</v>
      </c>
      <c r="K3187" s="40" t="s">
        <v>97</v>
      </c>
      <c r="L3187" s="40" t="s">
        <v>97</v>
      </c>
    </row>
    <row r="3188" spans="1:12" x14ac:dyDescent="0.25">
      <c r="A3188" s="40" t="s">
        <v>35</v>
      </c>
      <c r="B3188" s="40" t="s">
        <v>5798</v>
      </c>
      <c r="C3188" s="40" t="s">
        <v>5799</v>
      </c>
      <c r="D3188" s="40" t="s">
        <v>2233</v>
      </c>
      <c r="E3188" s="40" t="s">
        <v>2233</v>
      </c>
      <c r="F3188" s="40">
        <v>1</v>
      </c>
      <c r="G3188" s="40"/>
      <c r="H3188" s="40" t="s">
        <v>97</v>
      </c>
      <c r="I3188" s="40"/>
      <c r="J3188" s="40" t="s">
        <v>97</v>
      </c>
      <c r="K3188" s="40" t="s">
        <v>97</v>
      </c>
      <c r="L3188" s="40" t="s">
        <v>97</v>
      </c>
    </row>
    <row r="3189" spans="1:12" x14ac:dyDescent="0.25">
      <c r="A3189" s="40" t="s">
        <v>35</v>
      </c>
      <c r="B3189" s="40" t="s">
        <v>5800</v>
      </c>
      <c r="C3189" s="40" t="s">
        <v>5801</v>
      </c>
      <c r="D3189" s="40" t="s">
        <v>2233</v>
      </c>
      <c r="E3189" s="40" t="s">
        <v>2233</v>
      </c>
      <c r="F3189" s="40">
        <v>1</v>
      </c>
      <c r="G3189" s="40"/>
      <c r="H3189" s="40" t="s">
        <v>97</v>
      </c>
      <c r="I3189" s="40"/>
      <c r="J3189" s="40" t="s">
        <v>97</v>
      </c>
      <c r="K3189" s="40" t="s">
        <v>97</v>
      </c>
      <c r="L3189" s="40" t="s">
        <v>97</v>
      </c>
    </row>
    <row r="3190" spans="1:12" x14ac:dyDescent="0.25">
      <c r="A3190" s="40" t="s">
        <v>35</v>
      </c>
      <c r="B3190" s="40" t="s">
        <v>5802</v>
      </c>
      <c r="C3190" s="40" t="s">
        <v>5803</v>
      </c>
      <c r="D3190" s="40" t="s">
        <v>2233</v>
      </c>
      <c r="E3190" s="40" t="s">
        <v>2233</v>
      </c>
      <c r="F3190" s="40">
        <v>1</v>
      </c>
      <c r="G3190" s="40"/>
      <c r="H3190" s="40" t="s">
        <v>97</v>
      </c>
      <c r="I3190" s="40"/>
      <c r="J3190" s="40" t="s">
        <v>97</v>
      </c>
      <c r="K3190" s="40" t="s">
        <v>97</v>
      </c>
      <c r="L3190" s="40" t="s">
        <v>97</v>
      </c>
    </row>
    <row r="3191" spans="1:12" x14ac:dyDescent="0.25">
      <c r="A3191" s="40" t="s">
        <v>35</v>
      </c>
      <c r="B3191" s="40" t="s">
        <v>5804</v>
      </c>
      <c r="C3191" s="40" t="s">
        <v>5805</v>
      </c>
      <c r="D3191" s="40" t="s">
        <v>2233</v>
      </c>
      <c r="E3191" s="40" t="s">
        <v>2233</v>
      </c>
      <c r="F3191" s="40">
        <v>1</v>
      </c>
      <c r="G3191" s="40"/>
      <c r="H3191" s="40" t="s">
        <v>2234</v>
      </c>
      <c r="I3191" s="40"/>
      <c r="J3191" s="40" t="s">
        <v>97</v>
      </c>
      <c r="K3191" s="40" t="s">
        <v>97</v>
      </c>
      <c r="L3191" s="40" t="s">
        <v>97</v>
      </c>
    </row>
    <row r="3192" spans="1:12" x14ac:dyDescent="0.25">
      <c r="A3192" s="40" t="s">
        <v>35</v>
      </c>
      <c r="B3192" s="40" t="s">
        <v>5806</v>
      </c>
      <c r="C3192" s="40" t="s">
        <v>5807</v>
      </c>
      <c r="D3192" s="40" t="s">
        <v>2233</v>
      </c>
      <c r="E3192" s="40" t="s">
        <v>2233</v>
      </c>
      <c r="F3192" s="40">
        <v>1</v>
      </c>
      <c r="G3192" s="40"/>
      <c r="H3192" s="40" t="s">
        <v>2234</v>
      </c>
      <c r="I3192" s="40"/>
      <c r="J3192" s="40" t="s">
        <v>97</v>
      </c>
      <c r="K3192" s="40" t="s">
        <v>97</v>
      </c>
      <c r="L3192" s="40" t="s">
        <v>97</v>
      </c>
    </row>
    <row r="3193" spans="1:12" x14ac:dyDescent="0.25">
      <c r="A3193" s="40" t="s">
        <v>35</v>
      </c>
      <c r="B3193" s="40" t="s">
        <v>5808</v>
      </c>
      <c r="C3193" s="40" t="s">
        <v>5809</v>
      </c>
      <c r="D3193" s="40" t="s">
        <v>2233</v>
      </c>
      <c r="E3193" s="40" t="s">
        <v>2233</v>
      </c>
      <c r="F3193" s="40">
        <v>1</v>
      </c>
      <c r="G3193" s="40"/>
      <c r="H3193" s="40" t="s">
        <v>2234</v>
      </c>
      <c r="I3193" s="40"/>
      <c r="J3193" s="40" t="s">
        <v>97</v>
      </c>
      <c r="K3193" s="40" t="s">
        <v>97</v>
      </c>
      <c r="L3193" s="40" t="s">
        <v>97</v>
      </c>
    </row>
    <row r="3194" spans="1:12" x14ac:dyDescent="0.25">
      <c r="A3194" s="40" t="s">
        <v>35</v>
      </c>
      <c r="B3194" s="40" t="s">
        <v>5810</v>
      </c>
      <c r="C3194" s="40" t="s">
        <v>5811</v>
      </c>
      <c r="D3194" s="40" t="s">
        <v>2233</v>
      </c>
      <c r="E3194" s="40" t="s">
        <v>2233</v>
      </c>
      <c r="F3194" s="40">
        <v>1</v>
      </c>
      <c r="G3194" s="40"/>
      <c r="H3194" s="40" t="s">
        <v>97</v>
      </c>
      <c r="I3194" s="40"/>
      <c r="J3194" s="40" t="s">
        <v>97</v>
      </c>
      <c r="K3194" s="40" t="s">
        <v>97</v>
      </c>
      <c r="L3194" s="40" t="s">
        <v>97</v>
      </c>
    </row>
    <row r="3195" spans="1:12" x14ac:dyDescent="0.25">
      <c r="A3195" s="40" t="s">
        <v>35</v>
      </c>
      <c r="B3195" s="40" t="s">
        <v>5812</v>
      </c>
      <c r="C3195" s="40" t="s">
        <v>5813</v>
      </c>
      <c r="D3195" s="40" t="s">
        <v>2233</v>
      </c>
      <c r="E3195" s="40" t="s">
        <v>2233</v>
      </c>
      <c r="F3195" s="40">
        <v>1</v>
      </c>
      <c r="G3195" s="40"/>
      <c r="H3195" s="40" t="s">
        <v>2234</v>
      </c>
      <c r="I3195" s="40"/>
      <c r="J3195" s="40" t="s">
        <v>97</v>
      </c>
      <c r="K3195" s="40" t="s">
        <v>97</v>
      </c>
      <c r="L3195" s="40" t="s">
        <v>97</v>
      </c>
    </row>
    <row r="3196" spans="1:12" x14ac:dyDescent="0.25">
      <c r="A3196" s="40" t="s">
        <v>35</v>
      </c>
      <c r="B3196" s="40" t="s">
        <v>5814</v>
      </c>
      <c r="C3196" s="40" t="s">
        <v>5815</v>
      </c>
      <c r="D3196" s="40" t="s">
        <v>2499</v>
      </c>
      <c r="E3196" s="40" t="s">
        <v>2499</v>
      </c>
      <c r="F3196" s="40">
        <v>1</v>
      </c>
      <c r="G3196" s="40"/>
      <c r="H3196" s="40" t="s">
        <v>2234</v>
      </c>
      <c r="I3196" s="40"/>
      <c r="J3196" s="40" t="s">
        <v>97</v>
      </c>
      <c r="K3196" s="40" t="s">
        <v>97</v>
      </c>
      <c r="L3196" s="40" t="s">
        <v>97</v>
      </c>
    </row>
    <row r="3197" spans="1:12" x14ac:dyDescent="0.25">
      <c r="A3197" s="40" t="s">
        <v>35</v>
      </c>
      <c r="B3197" s="40" t="s">
        <v>5441</v>
      </c>
      <c r="C3197" s="40" t="s">
        <v>5816</v>
      </c>
      <c r="D3197" s="40" t="s">
        <v>2233</v>
      </c>
      <c r="E3197" s="40" t="s">
        <v>2233</v>
      </c>
      <c r="F3197" s="40">
        <v>1</v>
      </c>
      <c r="G3197" s="40"/>
      <c r="H3197" s="40" t="s">
        <v>2234</v>
      </c>
      <c r="I3197" s="40"/>
      <c r="J3197" s="40" t="s">
        <v>97</v>
      </c>
      <c r="K3197" s="40" t="s">
        <v>97</v>
      </c>
      <c r="L3197" s="40" t="s">
        <v>97</v>
      </c>
    </row>
    <row r="3198" spans="1:12" x14ac:dyDescent="0.25">
      <c r="A3198" s="40" t="s">
        <v>35</v>
      </c>
      <c r="B3198" s="40" t="s">
        <v>5444</v>
      </c>
      <c r="C3198" s="40" t="s">
        <v>5817</v>
      </c>
      <c r="D3198" s="40" t="s">
        <v>2233</v>
      </c>
      <c r="E3198" s="40" t="s">
        <v>2233</v>
      </c>
      <c r="F3198" s="40">
        <v>1</v>
      </c>
      <c r="G3198" s="40"/>
      <c r="H3198" s="40" t="s">
        <v>2234</v>
      </c>
      <c r="I3198" s="40"/>
      <c r="J3198" s="40" t="s">
        <v>97</v>
      </c>
      <c r="K3198" s="40" t="s">
        <v>97</v>
      </c>
      <c r="L3198" s="40" t="s">
        <v>97</v>
      </c>
    </row>
    <row r="3199" spans="1:12" x14ac:dyDescent="0.25">
      <c r="A3199" s="40" t="s">
        <v>35</v>
      </c>
      <c r="B3199" s="40" t="s">
        <v>5818</v>
      </c>
      <c r="C3199" s="40" t="s">
        <v>5819</v>
      </c>
      <c r="D3199" s="40" t="s">
        <v>2233</v>
      </c>
      <c r="E3199" s="40" t="s">
        <v>2233</v>
      </c>
      <c r="F3199" s="40">
        <v>1</v>
      </c>
      <c r="G3199" s="40"/>
      <c r="H3199" s="40" t="s">
        <v>2234</v>
      </c>
      <c r="I3199" s="40"/>
      <c r="J3199" s="40" t="s">
        <v>97</v>
      </c>
      <c r="K3199" s="40" t="s">
        <v>97</v>
      </c>
      <c r="L3199" s="40" t="s">
        <v>97</v>
      </c>
    </row>
    <row r="3200" spans="1:12" x14ac:dyDescent="0.25">
      <c r="A3200" s="40" t="s">
        <v>35</v>
      </c>
      <c r="B3200" s="40" t="s">
        <v>5820</v>
      </c>
      <c r="C3200" s="40" t="s">
        <v>5821</v>
      </c>
      <c r="D3200" s="40" t="s">
        <v>2233</v>
      </c>
      <c r="E3200" s="40" t="s">
        <v>2233</v>
      </c>
      <c r="F3200" s="40">
        <v>1</v>
      </c>
      <c r="G3200" s="40"/>
      <c r="H3200" s="40" t="s">
        <v>2234</v>
      </c>
      <c r="I3200" s="40"/>
      <c r="J3200" s="40" t="s">
        <v>97</v>
      </c>
      <c r="K3200" s="40" t="s">
        <v>97</v>
      </c>
      <c r="L3200" s="40" t="s">
        <v>97</v>
      </c>
    </row>
    <row r="3201" spans="1:12" x14ac:dyDescent="0.25">
      <c r="A3201" s="40" t="s">
        <v>35</v>
      </c>
      <c r="B3201" s="40" t="s">
        <v>5822</v>
      </c>
      <c r="C3201" s="40" t="s">
        <v>5823</v>
      </c>
      <c r="D3201" s="40" t="s">
        <v>2233</v>
      </c>
      <c r="E3201" s="40" t="s">
        <v>2233</v>
      </c>
      <c r="F3201" s="40">
        <v>1</v>
      </c>
      <c r="G3201" s="40"/>
      <c r="H3201" s="40" t="s">
        <v>2234</v>
      </c>
      <c r="I3201" s="40"/>
      <c r="J3201" s="40" t="s">
        <v>97</v>
      </c>
      <c r="K3201" s="40" t="s">
        <v>97</v>
      </c>
      <c r="L3201" s="40" t="s">
        <v>97</v>
      </c>
    </row>
    <row r="3202" spans="1:12" x14ac:dyDescent="0.25">
      <c r="A3202" s="40" t="s">
        <v>35</v>
      </c>
      <c r="B3202" s="40" t="s">
        <v>5824</v>
      </c>
      <c r="C3202" s="40" t="s">
        <v>5825</v>
      </c>
      <c r="D3202" s="40" t="s">
        <v>2233</v>
      </c>
      <c r="E3202" s="40" t="s">
        <v>2233</v>
      </c>
      <c r="F3202" s="40">
        <v>1</v>
      </c>
      <c r="G3202" s="40"/>
      <c r="H3202" s="40" t="s">
        <v>2234</v>
      </c>
      <c r="I3202" s="40"/>
      <c r="J3202" s="40" t="s">
        <v>97</v>
      </c>
      <c r="K3202" s="40" t="s">
        <v>97</v>
      </c>
      <c r="L3202" s="40" t="s">
        <v>97</v>
      </c>
    </row>
    <row r="3203" spans="1:12" x14ac:dyDescent="0.25">
      <c r="A3203" s="40" t="s">
        <v>35</v>
      </c>
      <c r="B3203" s="40" t="s">
        <v>5826</v>
      </c>
      <c r="C3203" s="40" t="s">
        <v>5827</v>
      </c>
      <c r="D3203" s="40" t="s">
        <v>2233</v>
      </c>
      <c r="E3203" s="40" t="s">
        <v>2233</v>
      </c>
      <c r="F3203" s="40">
        <v>1</v>
      </c>
      <c r="G3203" s="40"/>
      <c r="H3203" s="40" t="s">
        <v>2234</v>
      </c>
      <c r="I3203" s="40"/>
      <c r="J3203" s="40" t="s">
        <v>97</v>
      </c>
      <c r="K3203" s="40" t="s">
        <v>97</v>
      </c>
      <c r="L3203" s="40" t="s">
        <v>97</v>
      </c>
    </row>
    <row r="3204" spans="1:12" x14ac:dyDescent="0.25">
      <c r="A3204" s="40" t="s">
        <v>35</v>
      </c>
      <c r="B3204" s="40" t="s">
        <v>5828</v>
      </c>
      <c r="C3204" s="40" t="s">
        <v>5829</v>
      </c>
      <c r="D3204" s="40" t="s">
        <v>2233</v>
      </c>
      <c r="E3204" s="40" t="s">
        <v>2233</v>
      </c>
      <c r="F3204" s="40">
        <v>1</v>
      </c>
      <c r="G3204" s="40"/>
      <c r="H3204" s="40" t="s">
        <v>2234</v>
      </c>
      <c r="I3204" s="40"/>
      <c r="J3204" s="40" t="s">
        <v>97</v>
      </c>
      <c r="K3204" s="40" t="s">
        <v>97</v>
      </c>
      <c r="L3204" s="40" t="s">
        <v>97</v>
      </c>
    </row>
    <row r="3205" spans="1:12" x14ac:dyDescent="0.25">
      <c r="A3205" s="40" t="s">
        <v>35</v>
      </c>
      <c r="B3205" s="40" t="s">
        <v>5830</v>
      </c>
      <c r="C3205" s="40" t="s">
        <v>5831</v>
      </c>
      <c r="D3205" s="40" t="s">
        <v>2233</v>
      </c>
      <c r="E3205" s="40" t="s">
        <v>2233</v>
      </c>
      <c r="F3205" s="40">
        <v>1</v>
      </c>
      <c r="G3205" s="40"/>
      <c r="H3205" s="40" t="s">
        <v>2234</v>
      </c>
      <c r="I3205" s="40"/>
      <c r="J3205" s="40" t="s">
        <v>97</v>
      </c>
      <c r="K3205" s="40" t="s">
        <v>97</v>
      </c>
      <c r="L3205" s="40" t="s">
        <v>97</v>
      </c>
    </row>
    <row r="3206" spans="1:12" x14ac:dyDescent="0.25">
      <c r="A3206" s="40" t="s">
        <v>35</v>
      </c>
      <c r="B3206" s="40" t="s">
        <v>5832</v>
      </c>
      <c r="C3206" s="40" t="s">
        <v>5833</v>
      </c>
      <c r="D3206" s="40" t="s">
        <v>2233</v>
      </c>
      <c r="E3206" s="40" t="s">
        <v>2233</v>
      </c>
      <c r="F3206" s="40">
        <v>1</v>
      </c>
      <c r="G3206" s="40"/>
      <c r="H3206" s="40" t="s">
        <v>2234</v>
      </c>
      <c r="I3206" s="40"/>
      <c r="J3206" s="40" t="s">
        <v>97</v>
      </c>
      <c r="K3206" s="40" t="s">
        <v>97</v>
      </c>
      <c r="L3206" s="40" t="s">
        <v>97</v>
      </c>
    </row>
    <row r="3207" spans="1:12" x14ac:dyDescent="0.25">
      <c r="A3207" s="40" t="s">
        <v>35</v>
      </c>
      <c r="B3207" s="40" t="s">
        <v>5834</v>
      </c>
      <c r="C3207" s="40" t="s">
        <v>5835</v>
      </c>
      <c r="D3207" s="40" t="s">
        <v>2233</v>
      </c>
      <c r="E3207" s="40" t="s">
        <v>2233</v>
      </c>
      <c r="F3207" s="40">
        <v>1</v>
      </c>
      <c r="G3207" s="40"/>
      <c r="H3207" s="40" t="s">
        <v>2234</v>
      </c>
      <c r="I3207" s="40"/>
      <c r="J3207" s="40" t="s">
        <v>97</v>
      </c>
      <c r="K3207" s="40" t="s">
        <v>97</v>
      </c>
      <c r="L3207" s="40" t="s">
        <v>97</v>
      </c>
    </row>
    <row r="3208" spans="1:12" x14ac:dyDescent="0.25">
      <c r="A3208" s="40" t="s">
        <v>35</v>
      </c>
      <c r="B3208" s="40" t="s">
        <v>5836</v>
      </c>
      <c r="C3208" s="40" t="s">
        <v>5837</v>
      </c>
      <c r="D3208" s="40" t="s">
        <v>2233</v>
      </c>
      <c r="E3208" s="40" t="s">
        <v>2233</v>
      </c>
      <c r="F3208" s="40">
        <v>1</v>
      </c>
      <c r="G3208" s="40"/>
      <c r="H3208" s="40" t="s">
        <v>2234</v>
      </c>
      <c r="I3208" s="40"/>
      <c r="J3208" s="40" t="s">
        <v>97</v>
      </c>
      <c r="K3208" s="40" t="s">
        <v>97</v>
      </c>
      <c r="L3208" s="40" t="s">
        <v>97</v>
      </c>
    </row>
    <row r="3209" spans="1:12" x14ac:dyDescent="0.25">
      <c r="A3209" s="40" t="s">
        <v>35</v>
      </c>
      <c r="B3209" s="40" t="s">
        <v>5838</v>
      </c>
      <c r="C3209" s="40" t="s">
        <v>5839</v>
      </c>
      <c r="D3209" s="40" t="s">
        <v>2233</v>
      </c>
      <c r="E3209" s="40" t="s">
        <v>2233</v>
      </c>
      <c r="F3209" s="40">
        <v>1</v>
      </c>
      <c r="G3209" s="40"/>
      <c r="H3209" s="40" t="s">
        <v>2234</v>
      </c>
      <c r="I3209" s="40"/>
      <c r="J3209" s="40" t="s">
        <v>97</v>
      </c>
      <c r="K3209" s="40" t="s">
        <v>97</v>
      </c>
      <c r="L3209" s="40" t="s">
        <v>97</v>
      </c>
    </row>
    <row r="3210" spans="1:12" x14ac:dyDescent="0.25">
      <c r="A3210" s="40" t="s">
        <v>35</v>
      </c>
      <c r="B3210" s="40" t="s">
        <v>5840</v>
      </c>
      <c r="C3210" s="40" t="s">
        <v>5841</v>
      </c>
      <c r="D3210" s="40" t="s">
        <v>2233</v>
      </c>
      <c r="E3210" s="40" t="s">
        <v>2233</v>
      </c>
      <c r="F3210" s="40">
        <v>1</v>
      </c>
      <c r="G3210" s="40"/>
      <c r="H3210" s="40" t="s">
        <v>2234</v>
      </c>
      <c r="I3210" s="40"/>
      <c r="J3210" s="40" t="s">
        <v>97</v>
      </c>
      <c r="K3210" s="40" t="s">
        <v>97</v>
      </c>
      <c r="L3210" s="40" t="s">
        <v>97</v>
      </c>
    </row>
    <row r="3211" spans="1:12" x14ac:dyDescent="0.25">
      <c r="A3211" s="40" t="s">
        <v>35</v>
      </c>
      <c r="B3211" s="40" t="s">
        <v>5842</v>
      </c>
      <c r="C3211" s="40" t="s">
        <v>5843</v>
      </c>
      <c r="D3211" s="40" t="s">
        <v>2233</v>
      </c>
      <c r="E3211" s="40" t="s">
        <v>2233</v>
      </c>
      <c r="F3211" s="40">
        <v>1</v>
      </c>
      <c r="G3211" s="40"/>
      <c r="H3211" s="40" t="s">
        <v>2234</v>
      </c>
      <c r="I3211" s="40"/>
      <c r="J3211" s="40" t="s">
        <v>97</v>
      </c>
      <c r="K3211" s="40" t="s">
        <v>97</v>
      </c>
      <c r="L3211" s="40" t="s">
        <v>97</v>
      </c>
    </row>
    <row r="3212" spans="1:12" x14ac:dyDescent="0.25">
      <c r="A3212" s="40" t="s">
        <v>35</v>
      </c>
      <c r="B3212" s="40" t="s">
        <v>5844</v>
      </c>
      <c r="C3212" s="40" t="s">
        <v>5845</v>
      </c>
      <c r="D3212" s="40" t="s">
        <v>2233</v>
      </c>
      <c r="E3212" s="40" t="s">
        <v>2233</v>
      </c>
      <c r="F3212" s="40">
        <v>1</v>
      </c>
      <c r="G3212" s="40"/>
      <c r="H3212" s="40" t="s">
        <v>2234</v>
      </c>
      <c r="I3212" s="40"/>
      <c r="J3212" s="40" t="s">
        <v>97</v>
      </c>
      <c r="K3212" s="40" t="s">
        <v>97</v>
      </c>
      <c r="L3212" s="40" t="s">
        <v>97</v>
      </c>
    </row>
    <row r="3213" spans="1:12" x14ac:dyDescent="0.25">
      <c r="A3213" s="40" t="s">
        <v>35</v>
      </c>
      <c r="B3213" s="40" t="s">
        <v>5846</v>
      </c>
      <c r="C3213" s="40" t="s">
        <v>5847</v>
      </c>
      <c r="D3213" s="40" t="s">
        <v>2233</v>
      </c>
      <c r="E3213" s="40" t="s">
        <v>2233</v>
      </c>
      <c r="F3213" s="40">
        <v>1</v>
      </c>
      <c r="G3213" s="40"/>
      <c r="H3213" s="40" t="s">
        <v>2234</v>
      </c>
      <c r="I3213" s="40"/>
      <c r="J3213" s="40" t="s">
        <v>97</v>
      </c>
      <c r="K3213" s="40" t="s">
        <v>97</v>
      </c>
      <c r="L3213" s="40" t="s">
        <v>97</v>
      </c>
    </row>
    <row r="3214" spans="1:12" x14ac:dyDescent="0.25">
      <c r="A3214" s="40" t="s">
        <v>35</v>
      </c>
      <c r="B3214" s="40" t="s">
        <v>5848</v>
      </c>
      <c r="C3214" s="40" t="s">
        <v>5849</v>
      </c>
      <c r="D3214" s="40" t="s">
        <v>2233</v>
      </c>
      <c r="E3214" s="40" t="s">
        <v>2233</v>
      </c>
      <c r="F3214" s="40">
        <v>1</v>
      </c>
      <c r="G3214" s="40"/>
      <c r="H3214" s="40" t="s">
        <v>2234</v>
      </c>
      <c r="I3214" s="40"/>
      <c r="J3214" s="40" t="s">
        <v>97</v>
      </c>
      <c r="K3214" s="40" t="s">
        <v>97</v>
      </c>
      <c r="L3214" s="40" t="s">
        <v>97</v>
      </c>
    </row>
    <row r="3215" spans="1:12" x14ac:dyDescent="0.25">
      <c r="A3215" s="40" t="s">
        <v>35</v>
      </c>
      <c r="B3215" s="40" t="s">
        <v>5850</v>
      </c>
      <c r="C3215" s="40" t="s">
        <v>5851</v>
      </c>
      <c r="D3215" s="40" t="s">
        <v>2233</v>
      </c>
      <c r="E3215" s="40" t="s">
        <v>2233</v>
      </c>
      <c r="F3215" s="40">
        <v>1</v>
      </c>
      <c r="G3215" s="40"/>
      <c r="H3215" s="40" t="s">
        <v>2234</v>
      </c>
      <c r="I3215" s="40"/>
      <c r="J3215" s="40" t="s">
        <v>97</v>
      </c>
      <c r="K3215" s="40" t="s">
        <v>97</v>
      </c>
      <c r="L3215" s="40" t="s">
        <v>97</v>
      </c>
    </row>
    <row r="3216" spans="1:12" x14ac:dyDescent="0.25">
      <c r="A3216" s="40" t="s">
        <v>35</v>
      </c>
      <c r="B3216" s="40" t="s">
        <v>5852</v>
      </c>
      <c r="C3216" s="40" t="s">
        <v>5853</v>
      </c>
      <c r="D3216" s="40" t="s">
        <v>2233</v>
      </c>
      <c r="E3216" s="40" t="s">
        <v>2233</v>
      </c>
      <c r="F3216" s="40">
        <v>1</v>
      </c>
      <c r="G3216" s="40"/>
      <c r="H3216" s="40" t="s">
        <v>2234</v>
      </c>
      <c r="I3216" s="40"/>
      <c r="J3216" s="40" t="s">
        <v>97</v>
      </c>
      <c r="K3216" s="40" t="s">
        <v>97</v>
      </c>
      <c r="L3216" s="40" t="s">
        <v>97</v>
      </c>
    </row>
    <row r="3217" spans="1:12" x14ac:dyDescent="0.25">
      <c r="A3217" s="40" t="s">
        <v>35</v>
      </c>
      <c r="B3217" s="40" t="s">
        <v>5854</v>
      </c>
      <c r="C3217" s="40" t="s">
        <v>5855</v>
      </c>
      <c r="D3217" s="40" t="s">
        <v>2233</v>
      </c>
      <c r="E3217" s="40" t="s">
        <v>2233</v>
      </c>
      <c r="F3217" s="40">
        <v>1</v>
      </c>
      <c r="G3217" s="40"/>
      <c r="H3217" s="40" t="s">
        <v>2234</v>
      </c>
      <c r="I3217" s="40"/>
      <c r="J3217" s="40" t="s">
        <v>97</v>
      </c>
      <c r="K3217" s="40" t="s">
        <v>97</v>
      </c>
      <c r="L3217" s="40" t="s">
        <v>97</v>
      </c>
    </row>
    <row r="3218" spans="1:12" x14ac:dyDescent="0.25">
      <c r="A3218" s="40" t="s">
        <v>35</v>
      </c>
      <c r="B3218" s="40" t="s">
        <v>5856</v>
      </c>
      <c r="C3218" s="40" t="s">
        <v>5857</v>
      </c>
      <c r="D3218" s="40" t="s">
        <v>2233</v>
      </c>
      <c r="E3218" s="40" t="s">
        <v>2233</v>
      </c>
      <c r="F3218" s="40">
        <v>1</v>
      </c>
      <c r="G3218" s="40"/>
      <c r="H3218" s="40" t="s">
        <v>2234</v>
      </c>
      <c r="I3218" s="40"/>
      <c r="J3218" s="40" t="s">
        <v>97</v>
      </c>
      <c r="K3218" s="40" t="s">
        <v>97</v>
      </c>
      <c r="L3218" s="40" t="s">
        <v>97</v>
      </c>
    </row>
    <row r="3219" spans="1:12" x14ac:dyDescent="0.25">
      <c r="A3219" s="40" t="s">
        <v>35</v>
      </c>
      <c r="B3219" s="40" t="s">
        <v>5858</v>
      </c>
      <c r="C3219" s="40" t="s">
        <v>5859</v>
      </c>
      <c r="D3219" s="40" t="s">
        <v>2233</v>
      </c>
      <c r="E3219" s="40" t="s">
        <v>2233</v>
      </c>
      <c r="F3219" s="40">
        <v>1</v>
      </c>
      <c r="G3219" s="40"/>
      <c r="H3219" s="40" t="s">
        <v>2234</v>
      </c>
      <c r="I3219" s="40"/>
      <c r="J3219" s="40" t="s">
        <v>97</v>
      </c>
      <c r="K3219" s="40" t="s">
        <v>97</v>
      </c>
      <c r="L3219" s="40" t="s">
        <v>97</v>
      </c>
    </row>
    <row r="3220" spans="1:12" x14ac:dyDescent="0.25">
      <c r="A3220" s="40" t="s">
        <v>35</v>
      </c>
      <c r="B3220" s="40" t="s">
        <v>5860</v>
      </c>
      <c r="C3220" s="40" t="s">
        <v>5861</v>
      </c>
      <c r="D3220" s="40" t="s">
        <v>2233</v>
      </c>
      <c r="E3220" s="40" t="s">
        <v>2233</v>
      </c>
      <c r="F3220" s="40">
        <v>1</v>
      </c>
      <c r="G3220" s="40"/>
      <c r="H3220" s="40" t="s">
        <v>2234</v>
      </c>
      <c r="I3220" s="40"/>
      <c r="J3220" s="40" t="s">
        <v>97</v>
      </c>
      <c r="K3220" s="40" t="s">
        <v>97</v>
      </c>
      <c r="L3220" s="40" t="s">
        <v>97</v>
      </c>
    </row>
    <row r="3221" spans="1:12" x14ac:dyDescent="0.25">
      <c r="A3221" s="40" t="s">
        <v>35</v>
      </c>
      <c r="B3221" s="40" t="s">
        <v>5862</v>
      </c>
      <c r="C3221" s="40" t="s">
        <v>5863</v>
      </c>
      <c r="D3221" s="40" t="s">
        <v>2233</v>
      </c>
      <c r="E3221" s="40" t="s">
        <v>2233</v>
      </c>
      <c r="F3221" s="40">
        <v>1</v>
      </c>
      <c r="G3221" s="40"/>
      <c r="H3221" s="40" t="s">
        <v>2234</v>
      </c>
      <c r="I3221" s="40"/>
      <c r="J3221" s="40" t="s">
        <v>97</v>
      </c>
      <c r="K3221" s="40" t="s">
        <v>97</v>
      </c>
      <c r="L3221" s="40" t="s">
        <v>97</v>
      </c>
    </row>
    <row r="3222" spans="1:12" x14ac:dyDescent="0.25">
      <c r="A3222" s="40" t="s">
        <v>35</v>
      </c>
      <c r="B3222" s="40" t="s">
        <v>5864</v>
      </c>
      <c r="C3222" s="40" t="s">
        <v>5865</v>
      </c>
      <c r="D3222" s="40" t="s">
        <v>2233</v>
      </c>
      <c r="E3222" s="40" t="s">
        <v>2233</v>
      </c>
      <c r="F3222" s="40">
        <v>1</v>
      </c>
      <c r="G3222" s="40"/>
      <c r="H3222" s="40" t="s">
        <v>2234</v>
      </c>
      <c r="I3222" s="40"/>
      <c r="J3222" s="40" t="s">
        <v>97</v>
      </c>
      <c r="K3222" s="40" t="s">
        <v>97</v>
      </c>
      <c r="L3222" s="40" t="s">
        <v>97</v>
      </c>
    </row>
    <row r="3223" spans="1:12" x14ac:dyDescent="0.25">
      <c r="A3223" s="40" t="s">
        <v>35</v>
      </c>
      <c r="B3223" s="40" t="s">
        <v>5866</v>
      </c>
      <c r="C3223" s="40" t="s">
        <v>5867</v>
      </c>
      <c r="D3223" s="40" t="s">
        <v>2233</v>
      </c>
      <c r="E3223" s="40" t="s">
        <v>2233</v>
      </c>
      <c r="F3223" s="40">
        <v>1</v>
      </c>
      <c r="G3223" s="40"/>
      <c r="H3223" s="40" t="s">
        <v>2234</v>
      </c>
      <c r="I3223" s="40"/>
      <c r="J3223" s="40" t="s">
        <v>97</v>
      </c>
      <c r="K3223" s="40" t="s">
        <v>97</v>
      </c>
      <c r="L3223" s="40" t="s">
        <v>97</v>
      </c>
    </row>
    <row r="3224" spans="1:12" x14ac:dyDescent="0.25">
      <c r="A3224" s="40" t="s">
        <v>35</v>
      </c>
      <c r="B3224" s="40" t="s">
        <v>5868</v>
      </c>
      <c r="C3224" s="40" t="s">
        <v>5869</v>
      </c>
      <c r="D3224" s="40" t="s">
        <v>2233</v>
      </c>
      <c r="E3224" s="40" t="s">
        <v>2233</v>
      </c>
      <c r="F3224" s="40">
        <v>1</v>
      </c>
      <c r="G3224" s="40"/>
      <c r="H3224" s="40" t="s">
        <v>2234</v>
      </c>
      <c r="I3224" s="40"/>
      <c r="J3224" s="40" t="s">
        <v>97</v>
      </c>
      <c r="K3224" s="40" t="s">
        <v>97</v>
      </c>
      <c r="L3224" s="40" t="s">
        <v>97</v>
      </c>
    </row>
    <row r="3225" spans="1:12" x14ac:dyDescent="0.25">
      <c r="A3225" s="40" t="s">
        <v>35</v>
      </c>
      <c r="B3225" s="40" t="s">
        <v>5870</v>
      </c>
      <c r="C3225" s="40" t="s">
        <v>5871</v>
      </c>
      <c r="D3225" s="40" t="s">
        <v>2233</v>
      </c>
      <c r="E3225" s="40" t="s">
        <v>2233</v>
      </c>
      <c r="F3225" s="40">
        <v>1</v>
      </c>
      <c r="G3225" s="40"/>
      <c r="H3225" s="40" t="s">
        <v>2234</v>
      </c>
      <c r="I3225" s="40"/>
      <c r="J3225" s="40" t="s">
        <v>97</v>
      </c>
      <c r="K3225" s="40" t="s">
        <v>97</v>
      </c>
      <c r="L3225" s="40" t="s">
        <v>97</v>
      </c>
    </row>
    <row r="3226" spans="1:12" x14ac:dyDescent="0.25">
      <c r="A3226" s="40" t="s">
        <v>35</v>
      </c>
      <c r="B3226" s="40" t="s">
        <v>5872</v>
      </c>
      <c r="C3226" s="40" t="s">
        <v>5873</v>
      </c>
      <c r="D3226" s="40" t="s">
        <v>2233</v>
      </c>
      <c r="E3226" s="40" t="s">
        <v>2233</v>
      </c>
      <c r="F3226" s="40">
        <v>1</v>
      </c>
      <c r="G3226" s="40"/>
      <c r="H3226" s="40" t="s">
        <v>2234</v>
      </c>
      <c r="I3226" s="40"/>
      <c r="J3226" s="40" t="s">
        <v>97</v>
      </c>
      <c r="K3226" s="40" t="s">
        <v>97</v>
      </c>
      <c r="L3226" s="40" t="s">
        <v>97</v>
      </c>
    </row>
    <row r="3227" spans="1:12" x14ac:dyDescent="0.25">
      <c r="A3227" s="40" t="s">
        <v>35</v>
      </c>
      <c r="B3227" s="40" t="s">
        <v>5874</v>
      </c>
      <c r="C3227" s="40" t="s">
        <v>5875</v>
      </c>
      <c r="D3227" s="40" t="s">
        <v>2233</v>
      </c>
      <c r="E3227" s="40" t="s">
        <v>2233</v>
      </c>
      <c r="F3227" s="40">
        <v>1</v>
      </c>
      <c r="G3227" s="40"/>
      <c r="H3227" s="40" t="s">
        <v>2234</v>
      </c>
      <c r="I3227" s="40"/>
      <c r="J3227" s="40" t="s">
        <v>97</v>
      </c>
      <c r="K3227" s="40" t="s">
        <v>97</v>
      </c>
      <c r="L3227" s="40" t="s">
        <v>97</v>
      </c>
    </row>
    <row r="3228" spans="1:12" x14ac:dyDescent="0.25">
      <c r="A3228" s="40" t="s">
        <v>35</v>
      </c>
      <c r="B3228" s="40" t="s">
        <v>5876</v>
      </c>
      <c r="C3228" s="40" t="s">
        <v>5877</v>
      </c>
      <c r="D3228" s="40" t="s">
        <v>2233</v>
      </c>
      <c r="E3228" s="40" t="s">
        <v>2233</v>
      </c>
      <c r="F3228" s="40">
        <v>1</v>
      </c>
      <c r="G3228" s="40"/>
      <c r="H3228" s="40" t="s">
        <v>2234</v>
      </c>
      <c r="I3228" s="40"/>
      <c r="J3228" s="40" t="s">
        <v>97</v>
      </c>
      <c r="K3228" s="40" t="s">
        <v>97</v>
      </c>
      <c r="L3228" s="40" t="s">
        <v>97</v>
      </c>
    </row>
    <row r="3229" spans="1:12" x14ac:dyDescent="0.25">
      <c r="A3229" s="40" t="s">
        <v>35</v>
      </c>
      <c r="B3229" s="40" t="s">
        <v>5446</v>
      </c>
      <c r="C3229" s="40" t="s">
        <v>5878</v>
      </c>
      <c r="D3229" s="40" t="s">
        <v>2233</v>
      </c>
      <c r="E3229" s="40" t="s">
        <v>2233</v>
      </c>
      <c r="F3229" s="40">
        <v>1</v>
      </c>
      <c r="G3229" s="40"/>
      <c r="H3229" s="40" t="s">
        <v>2234</v>
      </c>
      <c r="I3229" s="40"/>
      <c r="J3229" s="40" t="s">
        <v>97</v>
      </c>
      <c r="K3229" s="40" t="s">
        <v>97</v>
      </c>
      <c r="L3229" s="40" t="s">
        <v>97</v>
      </c>
    </row>
    <row r="3230" spans="1:12" x14ac:dyDescent="0.25">
      <c r="A3230" s="40" t="s">
        <v>35</v>
      </c>
      <c r="B3230" s="40" t="s">
        <v>5879</v>
      </c>
      <c r="C3230" s="40" t="s">
        <v>5880</v>
      </c>
      <c r="D3230" s="40" t="s">
        <v>2233</v>
      </c>
      <c r="E3230" s="40" t="s">
        <v>2233</v>
      </c>
      <c r="F3230" s="40">
        <v>1</v>
      </c>
      <c r="G3230" s="40"/>
      <c r="H3230" s="40" t="s">
        <v>2234</v>
      </c>
      <c r="I3230" s="40"/>
      <c r="J3230" s="40" t="s">
        <v>97</v>
      </c>
      <c r="K3230" s="40" t="s">
        <v>97</v>
      </c>
      <c r="L3230" s="40" t="s">
        <v>97</v>
      </c>
    </row>
    <row r="3231" spans="1:12" x14ac:dyDescent="0.25">
      <c r="A3231" s="40" t="s">
        <v>35</v>
      </c>
      <c r="B3231" s="40" t="s">
        <v>5448</v>
      </c>
      <c r="C3231" s="40" t="s">
        <v>5881</v>
      </c>
      <c r="D3231" s="40" t="s">
        <v>2233</v>
      </c>
      <c r="E3231" s="40" t="s">
        <v>2233</v>
      </c>
      <c r="F3231" s="40">
        <v>1</v>
      </c>
      <c r="G3231" s="40"/>
      <c r="H3231" s="40" t="s">
        <v>2234</v>
      </c>
      <c r="I3231" s="40"/>
      <c r="J3231" s="40" t="s">
        <v>97</v>
      </c>
      <c r="K3231" s="40" t="s">
        <v>97</v>
      </c>
      <c r="L3231" s="40" t="s">
        <v>97</v>
      </c>
    </row>
    <row r="3232" spans="1:12" x14ac:dyDescent="0.25">
      <c r="A3232" s="40" t="s">
        <v>35</v>
      </c>
      <c r="B3232" s="40" t="s">
        <v>5882</v>
      </c>
      <c r="C3232" s="40" t="s">
        <v>5883</v>
      </c>
      <c r="D3232" s="40" t="s">
        <v>2233</v>
      </c>
      <c r="E3232" s="40" t="s">
        <v>2233</v>
      </c>
      <c r="F3232" s="40">
        <v>1</v>
      </c>
      <c r="G3232" s="40"/>
      <c r="H3232" s="40" t="s">
        <v>2234</v>
      </c>
      <c r="I3232" s="40"/>
      <c r="J3232" s="40" t="s">
        <v>97</v>
      </c>
      <c r="K3232" s="40" t="s">
        <v>97</v>
      </c>
      <c r="L3232" s="40" t="s">
        <v>97</v>
      </c>
    </row>
    <row r="3233" spans="1:12" x14ac:dyDescent="0.25">
      <c r="A3233" s="40" t="s">
        <v>35</v>
      </c>
      <c r="B3233" s="40" t="s">
        <v>5450</v>
      </c>
      <c r="C3233" s="40" t="s">
        <v>5884</v>
      </c>
      <c r="D3233" s="40" t="s">
        <v>2233</v>
      </c>
      <c r="E3233" s="40" t="s">
        <v>2233</v>
      </c>
      <c r="F3233" s="40">
        <v>1</v>
      </c>
      <c r="G3233" s="40"/>
      <c r="H3233" s="40" t="s">
        <v>2234</v>
      </c>
      <c r="I3233" s="40"/>
      <c r="J3233" s="40" t="s">
        <v>97</v>
      </c>
      <c r="K3233" s="40" t="s">
        <v>97</v>
      </c>
      <c r="L3233" s="40" t="s">
        <v>97</v>
      </c>
    </row>
    <row r="3234" spans="1:12" x14ac:dyDescent="0.25">
      <c r="A3234" s="40" t="s">
        <v>35</v>
      </c>
      <c r="B3234" s="40" t="s">
        <v>5885</v>
      </c>
      <c r="C3234" s="40" t="s">
        <v>5886</v>
      </c>
      <c r="D3234" s="40" t="s">
        <v>2233</v>
      </c>
      <c r="E3234" s="40" t="s">
        <v>2233</v>
      </c>
      <c r="F3234" s="40">
        <v>1</v>
      </c>
      <c r="G3234" s="40"/>
      <c r="H3234" s="40" t="s">
        <v>2234</v>
      </c>
      <c r="I3234" s="40"/>
      <c r="J3234" s="40" t="s">
        <v>97</v>
      </c>
      <c r="K3234" s="40" t="s">
        <v>97</v>
      </c>
      <c r="L3234" s="40" t="s">
        <v>97</v>
      </c>
    </row>
    <row r="3235" spans="1:12" x14ac:dyDescent="0.25">
      <c r="A3235" s="40" t="s">
        <v>35</v>
      </c>
      <c r="B3235" s="40" t="s">
        <v>5887</v>
      </c>
      <c r="C3235" s="40" t="s">
        <v>5888</v>
      </c>
      <c r="D3235" s="40" t="s">
        <v>2233</v>
      </c>
      <c r="E3235" s="40" t="s">
        <v>2233</v>
      </c>
      <c r="F3235" s="40">
        <v>1</v>
      </c>
      <c r="G3235" s="40"/>
      <c r="H3235" s="40" t="s">
        <v>2234</v>
      </c>
      <c r="I3235" s="40"/>
      <c r="J3235" s="40" t="s">
        <v>97</v>
      </c>
      <c r="K3235" s="40" t="s">
        <v>97</v>
      </c>
      <c r="L3235" s="40" t="s">
        <v>97</v>
      </c>
    </row>
    <row r="3236" spans="1:12" x14ac:dyDescent="0.25">
      <c r="A3236" s="40" t="s">
        <v>35</v>
      </c>
      <c r="B3236" s="40" t="s">
        <v>5889</v>
      </c>
      <c r="C3236" s="40" t="s">
        <v>5890</v>
      </c>
      <c r="D3236" s="40" t="s">
        <v>2233</v>
      </c>
      <c r="E3236" s="40" t="s">
        <v>2233</v>
      </c>
      <c r="F3236" s="40">
        <v>1</v>
      </c>
      <c r="G3236" s="40"/>
      <c r="H3236" s="40" t="s">
        <v>2234</v>
      </c>
      <c r="I3236" s="40"/>
      <c r="J3236" s="40" t="s">
        <v>97</v>
      </c>
      <c r="K3236" s="40" t="s">
        <v>97</v>
      </c>
      <c r="L3236" s="40" t="s">
        <v>97</v>
      </c>
    </row>
    <row r="3237" spans="1:12" x14ac:dyDescent="0.25">
      <c r="A3237" s="40" t="s">
        <v>35</v>
      </c>
      <c r="B3237" s="40" t="s">
        <v>5891</v>
      </c>
      <c r="C3237" s="40" t="s">
        <v>5892</v>
      </c>
      <c r="D3237" s="40" t="s">
        <v>2233</v>
      </c>
      <c r="E3237" s="40" t="s">
        <v>2233</v>
      </c>
      <c r="F3237" s="40">
        <v>1</v>
      </c>
      <c r="G3237" s="40"/>
      <c r="H3237" s="40" t="s">
        <v>2234</v>
      </c>
      <c r="I3237" s="40"/>
      <c r="J3237" s="40" t="s">
        <v>97</v>
      </c>
      <c r="K3237" s="40" t="s">
        <v>97</v>
      </c>
      <c r="L3237" s="40" t="s">
        <v>97</v>
      </c>
    </row>
    <row r="3238" spans="1:12" x14ac:dyDescent="0.25">
      <c r="A3238" s="40" t="s">
        <v>35</v>
      </c>
      <c r="B3238" s="40" t="s">
        <v>5893</v>
      </c>
      <c r="C3238" s="40" t="s">
        <v>5894</v>
      </c>
      <c r="D3238" s="40" t="s">
        <v>2233</v>
      </c>
      <c r="E3238" s="40" t="s">
        <v>2233</v>
      </c>
      <c r="F3238" s="40">
        <v>1</v>
      </c>
      <c r="G3238" s="40"/>
      <c r="H3238" s="40" t="s">
        <v>2234</v>
      </c>
      <c r="I3238" s="40"/>
      <c r="J3238" s="40" t="s">
        <v>97</v>
      </c>
      <c r="K3238" s="40" t="s">
        <v>97</v>
      </c>
      <c r="L3238" s="40" t="s">
        <v>97</v>
      </c>
    </row>
    <row r="3239" spans="1:12" x14ac:dyDescent="0.25">
      <c r="A3239" s="40" t="s">
        <v>35</v>
      </c>
      <c r="B3239" s="40" t="s">
        <v>5895</v>
      </c>
      <c r="C3239" s="40" t="s">
        <v>5896</v>
      </c>
      <c r="D3239" s="40" t="s">
        <v>2233</v>
      </c>
      <c r="E3239" s="40" t="s">
        <v>2233</v>
      </c>
      <c r="F3239" s="40">
        <v>1</v>
      </c>
      <c r="G3239" s="40"/>
      <c r="H3239" s="40" t="s">
        <v>2234</v>
      </c>
      <c r="I3239" s="40"/>
      <c r="J3239" s="40" t="s">
        <v>97</v>
      </c>
      <c r="K3239" s="40" t="s">
        <v>97</v>
      </c>
      <c r="L3239" s="40" t="s">
        <v>97</v>
      </c>
    </row>
    <row r="3240" spans="1:12" x14ac:dyDescent="0.25">
      <c r="A3240" s="40" t="s">
        <v>35</v>
      </c>
      <c r="B3240" s="40" t="s">
        <v>5897</v>
      </c>
      <c r="C3240" s="40" t="s">
        <v>5898</v>
      </c>
      <c r="D3240" s="40" t="s">
        <v>2233</v>
      </c>
      <c r="E3240" s="40" t="s">
        <v>2233</v>
      </c>
      <c r="F3240" s="40">
        <v>1</v>
      </c>
      <c r="G3240" s="40"/>
      <c r="H3240" s="40" t="s">
        <v>2234</v>
      </c>
      <c r="I3240" s="40"/>
      <c r="J3240" s="40" t="s">
        <v>97</v>
      </c>
      <c r="K3240" s="40" t="s">
        <v>97</v>
      </c>
      <c r="L3240" s="40" t="s">
        <v>97</v>
      </c>
    </row>
    <row r="3241" spans="1:12" x14ac:dyDescent="0.25">
      <c r="A3241" s="40" t="s">
        <v>35</v>
      </c>
      <c r="B3241" s="40" t="s">
        <v>5899</v>
      </c>
      <c r="C3241" s="40" t="s">
        <v>5900</v>
      </c>
      <c r="D3241" s="40" t="s">
        <v>2233</v>
      </c>
      <c r="E3241" s="40" t="s">
        <v>2233</v>
      </c>
      <c r="F3241" s="40">
        <v>1</v>
      </c>
      <c r="G3241" s="40"/>
      <c r="H3241" s="40" t="s">
        <v>2234</v>
      </c>
      <c r="I3241" s="40"/>
      <c r="J3241" s="40" t="s">
        <v>97</v>
      </c>
      <c r="K3241" s="40" t="s">
        <v>97</v>
      </c>
      <c r="L3241" s="40" t="s">
        <v>97</v>
      </c>
    </row>
    <row r="3242" spans="1:12" x14ac:dyDescent="0.25">
      <c r="A3242" s="40" t="s">
        <v>35</v>
      </c>
      <c r="B3242" s="40" t="s">
        <v>5901</v>
      </c>
      <c r="C3242" s="40" t="s">
        <v>5902</v>
      </c>
      <c r="D3242" s="40" t="s">
        <v>2233</v>
      </c>
      <c r="E3242" s="40" t="s">
        <v>2233</v>
      </c>
      <c r="F3242" s="40">
        <v>1</v>
      </c>
      <c r="G3242" s="40"/>
      <c r="H3242" s="40" t="s">
        <v>2234</v>
      </c>
      <c r="I3242" s="40"/>
      <c r="J3242" s="40" t="s">
        <v>97</v>
      </c>
      <c r="K3242" s="40" t="s">
        <v>97</v>
      </c>
      <c r="L3242" s="40" t="s">
        <v>97</v>
      </c>
    </row>
    <row r="3243" spans="1:12" x14ac:dyDescent="0.25">
      <c r="A3243" s="40" t="s">
        <v>35</v>
      </c>
      <c r="B3243" s="40" t="s">
        <v>5903</v>
      </c>
      <c r="C3243" s="40" t="s">
        <v>5904</v>
      </c>
      <c r="D3243" s="40" t="s">
        <v>2233</v>
      </c>
      <c r="E3243" s="40" t="s">
        <v>2233</v>
      </c>
      <c r="F3243" s="40">
        <v>1</v>
      </c>
      <c r="G3243" s="40"/>
      <c r="H3243" s="40" t="s">
        <v>2234</v>
      </c>
      <c r="I3243" s="40"/>
      <c r="J3243" s="40" t="s">
        <v>97</v>
      </c>
      <c r="K3243" s="40" t="s">
        <v>97</v>
      </c>
      <c r="L3243" s="40" t="s">
        <v>97</v>
      </c>
    </row>
    <row r="3244" spans="1:12" x14ac:dyDescent="0.25">
      <c r="A3244" s="40" t="s">
        <v>35</v>
      </c>
      <c r="B3244" s="40" t="s">
        <v>5905</v>
      </c>
      <c r="C3244" s="40" t="s">
        <v>5906</v>
      </c>
      <c r="D3244" s="40" t="s">
        <v>2233</v>
      </c>
      <c r="E3244" s="40" t="s">
        <v>2233</v>
      </c>
      <c r="F3244" s="40">
        <v>1</v>
      </c>
      <c r="G3244" s="40"/>
      <c r="H3244" s="40" t="s">
        <v>2234</v>
      </c>
      <c r="I3244" s="40"/>
      <c r="J3244" s="40" t="s">
        <v>97</v>
      </c>
      <c r="K3244" s="40" t="s">
        <v>97</v>
      </c>
      <c r="L3244" s="40" t="s">
        <v>97</v>
      </c>
    </row>
    <row r="3245" spans="1:12" x14ac:dyDescent="0.25">
      <c r="A3245" s="40" t="s">
        <v>35</v>
      </c>
      <c r="B3245" s="40" t="s">
        <v>5907</v>
      </c>
      <c r="C3245" s="40" t="s">
        <v>5908</v>
      </c>
      <c r="D3245" s="40" t="s">
        <v>2233</v>
      </c>
      <c r="E3245" s="40" t="s">
        <v>2233</v>
      </c>
      <c r="F3245" s="40">
        <v>1</v>
      </c>
      <c r="G3245" s="40"/>
      <c r="H3245" s="40" t="s">
        <v>2234</v>
      </c>
      <c r="I3245" s="40"/>
      <c r="J3245" s="40" t="s">
        <v>97</v>
      </c>
      <c r="K3245" s="40" t="s">
        <v>97</v>
      </c>
      <c r="L3245" s="40" t="s">
        <v>97</v>
      </c>
    </row>
    <row r="3246" spans="1:12" x14ac:dyDescent="0.25">
      <c r="A3246" s="40" t="s">
        <v>35</v>
      </c>
      <c r="B3246" s="40" t="s">
        <v>5909</v>
      </c>
      <c r="C3246" s="40" t="s">
        <v>5910</v>
      </c>
      <c r="D3246" s="40" t="s">
        <v>2233</v>
      </c>
      <c r="E3246" s="40" t="s">
        <v>2233</v>
      </c>
      <c r="F3246" s="40">
        <v>1</v>
      </c>
      <c r="G3246" s="40"/>
      <c r="H3246" s="40" t="s">
        <v>2234</v>
      </c>
      <c r="I3246" s="40"/>
      <c r="J3246" s="40" t="s">
        <v>97</v>
      </c>
      <c r="K3246" s="40" t="s">
        <v>97</v>
      </c>
      <c r="L3246" s="40" t="s">
        <v>97</v>
      </c>
    </row>
    <row r="3247" spans="1:12" x14ac:dyDescent="0.25">
      <c r="A3247" s="40" t="s">
        <v>35</v>
      </c>
      <c r="B3247" s="40" t="s">
        <v>5911</v>
      </c>
      <c r="C3247" s="40" t="s">
        <v>5912</v>
      </c>
      <c r="D3247" s="40" t="s">
        <v>2233</v>
      </c>
      <c r="E3247" s="40" t="s">
        <v>2233</v>
      </c>
      <c r="F3247" s="40">
        <v>1</v>
      </c>
      <c r="G3247" s="40"/>
      <c r="H3247" s="40" t="s">
        <v>2234</v>
      </c>
      <c r="I3247" s="40"/>
      <c r="J3247" s="40" t="s">
        <v>97</v>
      </c>
      <c r="K3247" s="40" t="s">
        <v>97</v>
      </c>
      <c r="L3247" s="40" t="s">
        <v>97</v>
      </c>
    </row>
    <row r="3248" spans="1:12" x14ac:dyDescent="0.25">
      <c r="A3248" s="40" t="s">
        <v>35</v>
      </c>
      <c r="B3248" s="40" t="s">
        <v>5913</v>
      </c>
      <c r="C3248" s="40" t="s">
        <v>5914</v>
      </c>
      <c r="D3248" s="40" t="s">
        <v>2233</v>
      </c>
      <c r="E3248" s="40" t="s">
        <v>2233</v>
      </c>
      <c r="F3248" s="40">
        <v>1</v>
      </c>
      <c r="G3248" s="40"/>
      <c r="H3248" s="40" t="s">
        <v>2234</v>
      </c>
      <c r="I3248" s="40"/>
      <c r="J3248" s="40" t="s">
        <v>97</v>
      </c>
      <c r="K3248" s="40" t="s">
        <v>97</v>
      </c>
      <c r="L3248" s="40" t="s">
        <v>97</v>
      </c>
    </row>
    <row r="3249" spans="1:12" x14ac:dyDescent="0.25">
      <c r="A3249" s="40" t="s">
        <v>35</v>
      </c>
      <c r="B3249" s="40" t="s">
        <v>5915</v>
      </c>
      <c r="C3249" s="40" t="s">
        <v>5916</v>
      </c>
      <c r="D3249" s="40" t="s">
        <v>2233</v>
      </c>
      <c r="E3249" s="40" t="s">
        <v>2233</v>
      </c>
      <c r="F3249" s="40">
        <v>1</v>
      </c>
      <c r="G3249" s="40"/>
      <c r="H3249" s="40" t="s">
        <v>2234</v>
      </c>
      <c r="I3249" s="40"/>
      <c r="J3249" s="40" t="s">
        <v>97</v>
      </c>
      <c r="K3249" s="40" t="s">
        <v>97</v>
      </c>
      <c r="L3249" s="40" t="s">
        <v>97</v>
      </c>
    </row>
    <row r="3250" spans="1:12" x14ac:dyDescent="0.25">
      <c r="A3250" s="40" t="s">
        <v>35</v>
      </c>
      <c r="B3250" s="40" t="s">
        <v>5917</v>
      </c>
      <c r="C3250" s="40" t="s">
        <v>5918</v>
      </c>
      <c r="D3250" s="40" t="s">
        <v>2233</v>
      </c>
      <c r="E3250" s="40" t="s">
        <v>2233</v>
      </c>
      <c r="F3250" s="40">
        <v>1</v>
      </c>
      <c r="G3250" s="40"/>
      <c r="H3250" s="40" t="s">
        <v>2234</v>
      </c>
      <c r="I3250" s="40"/>
      <c r="J3250" s="40" t="s">
        <v>97</v>
      </c>
      <c r="K3250" s="40" t="s">
        <v>97</v>
      </c>
      <c r="L3250" s="40" t="s">
        <v>97</v>
      </c>
    </row>
    <row r="3251" spans="1:12" x14ac:dyDescent="0.25">
      <c r="A3251" s="40" t="s">
        <v>35</v>
      </c>
      <c r="B3251" s="40" t="s">
        <v>5919</v>
      </c>
      <c r="C3251" s="40" t="s">
        <v>5920</v>
      </c>
      <c r="D3251" s="40" t="s">
        <v>2233</v>
      </c>
      <c r="E3251" s="40" t="s">
        <v>2233</v>
      </c>
      <c r="F3251" s="40">
        <v>1</v>
      </c>
      <c r="G3251" s="40"/>
      <c r="H3251" s="40" t="s">
        <v>2234</v>
      </c>
      <c r="I3251" s="40"/>
      <c r="J3251" s="40" t="s">
        <v>97</v>
      </c>
      <c r="K3251" s="40" t="s">
        <v>97</v>
      </c>
      <c r="L3251" s="40" t="s">
        <v>97</v>
      </c>
    </row>
    <row r="3252" spans="1:12" x14ac:dyDescent="0.25">
      <c r="A3252" s="40" t="s">
        <v>35</v>
      </c>
      <c r="B3252" s="40" t="s">
        <v>5921</v>
      </c>
      <c r="C3252" s="40" t="s">
        <v>5922</v>
      </c>
      <c r="D3252" s="40" t="s">
        <v>2233</v>
      </c>
      <c r="E3252" s="40" t="s">
        <v>2233</v>
      </c>
      <c r="F3252" s="40">
        <v>1</v>
      </c>
      <c r="G3252" s="40"/>
      <c r="H3252" s="40" t="s">
        <v>2234</v>
      </c>
      <c r="I3252" s="40"/>
      <c r="J3252" s="40" t="s">
        <v>97</v>
      </c>
      <c r="K3252" s="40" t="s">
        <v>97</v>
      </c>
      <c r="L3252" s="40" t="s">
        <v>97</v>
      </c>
    </row>
    <row r="3253" spans="1:12" x14ac:dyDescent="0.25">
      <c r="A3253" s="40" t="s">
        <v>35</v>
      </c>
      <c r="B3253" s="40" t="s">
        <v>5923</v>
      </c>
      <c r="C3253" s="40" t="s">
        <v>5924</v>
      </c>
      <c r="D3253" s="40" t="s">
        <v>2233</v>
      </c>
      <c r="E3253" s="40" t="s">
        <v>2233</v>
      </c>
      <c r="F3253" s="40">
        <v>1</v>
      </c>
      <c r="G3253" s="40"/>
      <c r="H3253" s="40" t="s">
        <v>2234</v>
      </c>
      <c r="I3253" s="40"/>
      <c r="J3253" s="40" t="s">
        <v>97</v>
      </c>
      <c r="K3253" s="40" t="s">
        <v>97</v>
      </c>
      <c r="L3253" s="40" t="s">
        <v>97</v>
      </c>
    </row>
    <row r="3254" spans="1:12" x14ac:dyDescent="0.25">
      <c r="A3254" s="40" t="s">
        <v>35</v>
      </c>
      <c r="B3254" s="40" t="s">
        <v>5925</v>
      </c>
      <c r="C3254" s="40" t="s">
        <v>5926</v>
      </c>
      <c r="D3254" s="40" t="s">
        <v>2233</v>
      </c>
      <c r="E3254" s="40" t="s">
        <v>2233</v>
      </c>
      <c r="F3254" s="40">
        <v>1</v>
      </c>
      <c r="G3254" s="40"/>
      <c r="H3254" s="40" t="s">
        <v>2234</v>
      </c>
      <c r="I3254" s="40"/>
      <c r="J3254" s="40" t="s">
        <v>97</v>
      </c>
      <c r="K3254" s="40" t="s">
        <v>97</v>
      </c>
      <c r="L3254" s="40" t="s">
        <v>97</v>
      </c>
    </row>
    <row r="3255" spans="1:12" x14ac:dyDescent="0.25">
      <c r="A3255" s="40" t="s">
        <v>35</v>
      </c>
      <c r="B3255" s="40" t="s">
        <v>5927</v>
      </c>
      <c r="C3255" s="40" t="s">
        <v>5928</v>
      </c>
      <c r="D3255" s="40" t="s">
        <v>2233</v>
      </c>
      <c r="E3255" s="40" t="s">
        <v>2233</v>
      </c>
      <c r="F3255" s="40">
        <v>1</v>
      </c>
      <c r="G3255" s="40"/>
      <c r="H3255" s="40" t="s">
        <v>2234</v>
      </c>
      <c r="I3255" s="40"/>
      <c r="J3255" s="40" t="s">
        <v>97</v>
      </c>
      <c r="K3255" s="40" t="s">
        <v>97</v>
      </c>
      <c r="L3255" s="40" t="s">
        <v>97</v>
      </c>
    </row>
    <row r="3256" spans="1:12" x14ac:dyDescent="0.25">
      <c r="A3256" s="40" t="s">
        <v>35</v>
      </c>
      <c r="B3256" s="40" t="s">
        <v>5929</v>
      </c>
      <c r="C3256" s="40" t="s">
        <v>5930</v>
      </c>
      <c r="D3256" s="40" t="s">
        <v>2233</v>
      </c>
      <c r="E3256" s="40" t="s">
        <v>2233</v>
      </c>
      <c r="F3256" s="40">
        <v>1</v>
      </c>
      <c r="G3256" s="40"/>
      <c r="H3256" s="40" t="s">
        <v>2234</v>
      </c>
      <c r="I3256" s="40"/>
      <c r="J3256" s="40" t="s">
        <v>97</v>
      </c>
      <c r="K3256" s="40" t="s">
        <v>97</v>
      </c>
      <c r="L3256" s="40" t="s">
        <v>97</v>
      </c>
    </row>
    <row r="3257" spans="1:12" x14ac:dyDescent="0.25">
      <c r="A3257" s="40" t="s">
        <v>35</v>
      </c>
      <c r="B3257" s="40" t="s">
        <v>5931</v>
      </c>
      <c r="C3257" s="40" t="s">
        <v>5932</v>
      </c>
      <c r="D3257" s="40" t="s">
        <v>2233</v>
      </c>
      <c r="E3257" s="40" t="s">
        <v>2233</v>
      </c>
      <c r="F3257" s="40">
        <v>1</v>
      </c>
      <c r="G3257" s="40"/>
      <c r="H3257" s="40" t="s">
        <v>2234</v>
      </c>
      <c r="I3257" s="40"/>
      <c r="J3257" s="40" t="s">
        <v>97</v>
      </c>
      <c r="K3257" s="40" t="s">
        <v>97</v>
      </c>
      <c r="L3257" s="40" t="s">
        <v>97</v>
      </c>
    </row>
    <row r="3258" spans="1:12" x14ac:dyDescent="0.25">
      <c r="A3258" s="40" t="s">
        <v>35</v>
      </c>
      <c r="B3258" s="40" t="s">
        <v>5933</v>
      </c>
      <c r="C3258" s="40" t="s">
        <v>5934</v>
      </c>
      <c r="D3258" s="40" t="s">
        <v>2233</v>
      </c>
      <c r="E3258" s="40" t="s">
        <v>2233</v>
      </c>
      <c r="F3258" s="40">
        <v>1</v>
      </c>
      <c r="G3258" s="40"/>
      <c r="H3258" s="40" t="s">
        <v>2234</v>
      </c>
      <c r="I3258" s="40"/>
      <c r="J3258" s="40" t="s">
        <v>97</v>
      </c>
      <c r="K3258" s="40" t="s">
        <v>97</v>
      </c>
      <c r="L3258" s="40" t="s">
        <v>97</v>
      </c>
    </row>
    <row r="3259" spans="1:12" x14ac:dyDescent="0.25">
      <c r="A3259" s="40" t="s">
        <v>35</v>
      </c>
      <c r="B3259" s="40" t="s">
        <v>5935</v>
      </c>
      <c r="C3259" s="40" t="s">
        <v>5936</v>
      </c>
      <c r="D3259" s="40" t="s">
        <v>2233</v>
      </c>
      <c r="E3259" s="40" t="s">
        <v>2233</v>
      </c>
      <c r="F3259" s="40">
        <v>1</v>
      </c>
      <c r="G3259" s="40"/>
      <c r="H3259" s="40" t="s">
        <v>2234</v>
      </c>
      <c r="I3259" s="40"/>
      <c r="J3259" s="40" t="s">
        <v>97</v>
      </c>
      <c r="K3259" s="40" t="s">
        <v>97</v>
      </c>
      <c r="L3259" s="40" t="s">
        <v>97</v>
      </c>
    </row>
    <row r="3260" spans="1:12" x14ac:dyDescent="0.25">
      <c r="A3260" s="40" t="s">
        <v>35</v>
      </c>
      <c r="B3260" s="40" t="s">
        <v>5937</v>
      </c>
      <c r="C3260" s="40" t="s">
        <v>5938</v>
      </c>
      <c r="D3260" s="40" t="s">
        <v>2233</v>
      </c>
      <c r="E3260" s="40" t="s">
        <v>2233</v>
      </c>
      <c r="F3260" s="40">
        <v>1</v>
      </c>
      <c r="G3260" s="40"/>
      <c r="H3260" s="40" t="s">
        <v>2234</v>
      </c>
      <c r="I3260" s="40"/>
      <c r="J3260" s="40" t="s">
        <v>97</v>
      </c>
      <c r="K3260" s="40" t="s">
        <v>97</v>
      </c>
      <c r="L3260" s="40" t="s">
        <v>97</v>
      </c>
    </row>
    <row r="3261" spans="1:12" x14ac:dyDescent="0.25">
      <c r="A3261" s="40" t="s">
        <v>35</v>
      </c>
      <c r="B3261" s="40" t="s">
        <v>5939</v>
      </c>
      <c r="C3261" s="40" t="s">
        <v>5940</v>
      </c>
      <c r="D3261" s="40" t="s">
        <v>5941</v>
      </c>
      <c r="E3261" s="40" t="s">
        <v>5942</v>
      </c>
      <c r="F3261" s="40">
        <v>0</v>
      </c>
      <c r="G3261" s="40"/>
      <c r="H3261" s="40" t="s">
        <v>2234</v>
      </c>
      <c r="I3261" s="40"/>
      <c r="J3261" s="40" t="s">
        <v>97</v>
      </c>
      <c r="K3261" s="40" t="s">
        <v>97</v>
      </c>
      <c r="L3261" s="40" t="s">
        <v>97</v>
      </c>
    </row>
    <row r="3262" spans="1:12" x14ac:dyDescent="0.25">
      <c r="A3262" s="40" t="s">
        <v>35</v>
      </c>
      <c r="B3262" s="40" t="s">
        <v>5943</v>
      </c>
      <c r="C3262" s="40" t="s">
        <v>5944</v>
      </c>
      <c r="D3262" s="40" t="s">
        <v>2298</v>
      </c>
      <c r="E3262" s="40" t="s">
        <v>4209</v>
      </c>
      <c r="F3262" s="40">
        <v>0</v>
      </c>
      <c r="G3262" s="40"/>
      <c r="H3262" s="40" t="s">
        <v>2234</v>
      </c>
      <c r="I3262" s="40"/>
      <c r="J3262" s="40" t="s">
        <v>97</v>
      </c>
      <c r="K3262" s="40" t="s">
        <v>97</v>
      </c>
      <c r="L3262" s="40" t="s">
        <v>97</v>
      </c>
    </row>
    <row r="3263" spans="1:12" x14ac:dyDescent="0.25">
      <c r="A3263" s="40" t="s">
        <v>35</v>
      </c>
      <c r="B3263" s="40" t="s">
        <v>5945</v>
      </c>
      <c r="C3263" s="40" t="s">
        <v>5946</v>
      </c>
      <c r="D3263" s="40" t="s">
        <v>2233</v>
      </c>
      <c r="E3263" s="40" t="s">
        <v>2233</v>
      </c>
      <c r="F3263" s="40">
        <v>1</v>
      </c>
      <c r="G3263" s="40"/>
      <c r="H3263" s="40" t="s">
        <v>2234</v>
      </c>
      <c r="I3263" s="40"/>
      <c r="J3263" s="40" t="s">
        <v>97</v>
      </c>
      <c r="K3263" s="40" t="s">
        <v>97</v>
      </c>
      <c r="L3263" s="40" t="s">
        <v>97</v>
      </c>
    </row>
    <row r="3264" spans="1:12" x14ac:dyDescent="0.25">
      <c r="A3264" s="40" t="s">
        <v>35</v>
      </c>
      <c r="B3264" s="40" t="s">
        <v>5947</v>
      </c>
      <c r="C3264" s="40" t="s">
        <v>5948</v>
      </c>
      <c r="D3264" s="40" t="s">
        <v>2233</v>
      </c>
      <c r="E3264" s="40" t="s">
        <v>2233</v>
      </c>
      <c r="F3264" s="40">
        <v>1</v>
      </c>
      <c r="G3264" s="40"/>
      <c r="H3264" s="40" t="s">
        <v>2234</v>
      </c>
      <c r="I3264" s="40"/>
      <c r="J3264" s="40" t="s">
        <v>97</v>
      </c>
      <c r="K3264" s="40" t="s">
        <v>97</v>
      </c>
      <c r="L3264" s="40" t="s">
        <v>97</v>
      </c>
    </row>
    <row r="3265" spans="1:12" x14ac:dyDescent="0.25">
      <c r="A3265" s="40" t="s">
        <v>35</v>
      </c>
      <c r="B3265" s="40" t="s">
        <v>5949</v>
      </c>
      <c r="C3265" s="40" t="s">
        <v>5950</v>
      </c>
      <c r="D3265" s="40" t="s">
        <v>2233</v>
      </c>
      <c r="E3265" s="40" t="s">
        <v>2233</v>
      </c>
      <c r="F3265" s="40">
        <v>1</v>
      </c>
      <c r="G3265" s="40"/>
      <c r="H3265" s="40" t="s">
        <v>2234</v>
      </c>
      <c r="I3265" s="40"/>
      <c r="J3265" s="40" t="s">
        <v>97</v>
      </c>
      <c r="K3265" s="40" t="s">
        <v>97</v>
      </c>
      <c r="L3265" s="40" t="s">
        <v>97</v>
      </c>
    </row>
    <row r="3266" spans="1:12" x14ac:dyDescent="0.25">
      <c r="A3266" s="40" t="s">
        <v>35</v>
      </c>
      <c r="B3266" s="40" t="s">
        <v>5951</v>
      </c>
      <c r="C3266" s="40" t="s">
        <v>5952</v>
      </c>
      <c r="D3266" s="40" t="s">
        <v>2233</v>
      </c>
      <c r="E3266" s="40" t="s">
        <v>2233</v>
      </c>
      <c r="F3266" s="40">
        <v>1</v>
      </c>
      <c r="G3266" s="40"/>
      <c r="H3266" s="40" t="s">
        <v>2234</v>
      </c>
      <c r="I3266" s="40"/>
      <c r="J3266" s="40" t="s">
        <v>97</v>
      </c>
      <c r="K3266" s="40" t="s">
        <v>97</v>
      </c>
      <c r="L3266" s="40" t="s">
        <v>97</v>
      </c>
    </row>
    <row r="3267" spans="1:12" x14ac:dyDescent="0.25">
      <c r="A3267" s="40" t="s">
        <v>35</v>
      </c>
      <c r="B3267" s="40" t="s">
        <v>5953</v>
      </c>
      <c r="C3267" s="40" t="s">
        <v>5954</v>
      </c>
      <c r="D3267" s="40" t="s">
        <v>2233</v>
      </c>
      <c r="E3267" s="40" t="s">
        <v>2233</v>
      </c>
      <c r="F3267" s="40">
        <v>1</v>
      </c>
      <c r="G3267" s="40"/>
      <c r="H3267" s="40" t="s">
        <v>97</v>
      </c>
      <c r="I3267" s="40"/>
      <c r="J3267" s="40" t="s">
        <v>97</v>
      </c>
      <c r="K3267" s="40" t="s">
        <v>97</v>
      </c>
      <c r="L3267" s="40" t="s">
        <v>97</v>
      </c>
    </row>
    <row r="3268" spans="1:12" x14ac:dyDescent="0.25">
      <c r="A3268" s="40" t="s">
        <v>35</v>
      </c>
      <c r="B3268" s="40" t="s">
        <v>5955</v>
      </c>
      <c r="C3268" s="40" t="s">
        <v>5956</v>
      </c>
      <c r="D3268" s="40" t="s">
        <v>2233</v>
      </c>
      <c r="E3268" s="40" t="s">
        <v>2233</v>
      </c>
      <c r="F3268" s="40">
        <v>1</v>
      </c>
      <c r="G3268" s="40"/>
      <c r="H3268" s="40" t="s">
        <v>97</v>
      </c>
      <c r="I3268" s="40"/>
      <c r="J3268" s="40" t="s">
        <v>97</v>
      </c>
      <c r="K3268" s="40" t="s">
        <v>97</v>
      </c>
      <c r="L3268" s="40" t="s">
        <v>97</v>
      </c>
    </row>
    <row r="3269" spans="1:12" x14ac:dyDescent="0.25">
      <c r="A3269" s="40" t="s">
        <v>35</v>
      </c>
      <c r="B3269" s="40" t="s">
        <v>5957</v>
      </c>
      <c r="C3269" s="40" t="s">
        <v>5958</v>
      </c>
      <c r="D3269" s="40" t="s">
        <v>2233</v>
      </c>
      <c r="E3269" s="40" t="s">
        <v>2233</v>
      </c>
      <c r="F3269" s="40">
        <v>1</v>
      </c>
      <c r="G3269" s="40"/>
      <c r="H3269" s="40" t="s">
        <v>97</v>
      </c>
      <c r="I3269" s="40"/>
      <c r="J3269" s="40" t="s">
        <v>97</v>
      </c>
      <c r="K3269" s="40" t="s">
        <v>97</v>
      </c>
      <c r="L3269" s="40" t="s">
        <v>97</v>
      </c>
    </row>
    <row r="3270" spans="1:12" x14ac:dyDescent="0.25">
      <c r="A3270" s="40" t="s">
        <v>35</v>
      </c>
      <c r="B3270" s="40" t="s">
        <v>5959</v>
      </c>
      <c r="C3270" s="40" t="s">
        <v>5960</v>
      </c>
      <c r="D3270" s="40" t="s">
        <v>2233</v>
      </c>
      <c r="E3270" s="40" t="s">
        <v>2233</v>
      </c>
      <c r="F3270" s="40">
        <v>1</v>
      </c>
      <c r="G3270" s="40"/>
      <c r="H3270" s="40" t="s">
        <v>2234</v>
      </c>
      <c r="I3270" s="40"/>
      <c r="J3270" s="40" t="s">
        <v>97</v>
      </c>
      <c r="K3270" s="40" t="s">
        <v>97</v>
      </c>
      <c r="L3270" s="40" t="s">
        <v>97</v>
      </c>
    </row>
    <row r="3271" spans="1:12" x14ac:dyDescent="0.25">
      <c r="A3271" s="40" t="s">
        <v>35</v>
      </c>
      <c r="B3271" s="40" t="s">
        <v>5961</v>
      </c>
      <c r="C3271" s="40" t="s">
        <v>5962</v>
      </c>
      <c r="D3271" s="40" t="s">
        <v>2233</v>
      </c>
      <c r="E3271" s="40" t="s">
        <v>2233</v>
      </c>
      <c r="F3271" s="40">
        <v>1</v>
      </c>
      <c r="G3271" s="40"/>
      <c r="H3271" s="40" t="s">
        <v>2234</v>
      </c>
      <c r="I3271" s="40"/>
      <c r="J3271" s="40" t="s">
        <v>97</v>
      </c>
      <c r="K3271" s="40" t="s">
        <v>97</v>
      </c>
      <c r="L3271" s="40" t="s">
        <v>97</v>
      </c>
    </row>
    <row r="3272" spans="1:12" x14ac:dyDescent="0.25">
      <c r="A3272" s="40" t="s">
        <v>35</v>
      </c>
      <c r="B3272" s="40" t="s">
        <v>5963</v>
      </c>
      <c r="C3272" s="40" t="s">
        <v>5964</v>
      </c>
      <c r="D3272" s="40" t="s">
        <v>2233</v>
      </c>
      <c r="E3272" s="40" t="s">
        <v>2233</v>
      </c>
      <c r="F3272" s="40">
        <v>1</v>
      </c>
      <c r="G3272" s="40"/>
      <c r="H3272" s="40" t="s">
        <v>97</v>
      </c>
      <c r="I3272" s="40"/>
      <c r="J3272" s="40" t="s">
        <v>97</v>
      </c>
      <c r="K3272" s="40" t="s">
        <v>97</v>
      </c>
      <c r="L3272" s="40" t="s">
        <v>97</v>
      </c>
    </row>
    <row r="3273" spans="1:12" x14ac:dyDescent="0.25">
      <c r="A3273" s="40" t="s">
        <v>35</v>
      </c>
      <c r="B3273" s="40" t="s">
        <v>5965</v>
      </c>
      <c r="C3273" s="40" t="s">
        <v>5966</v>
      </c>
      <c r="D3273" s="40" t="s">
        <v>2233</v>
      </c>
      <c r="E3273" s="40" t="s">
        <v>2233</v>
      </c>
      <c r="F3273" s="40">
        <v>1</v>
      </c>
      <c r="G3273" s="40"/>
      <c r="H3273" s="40" t="s">
        <v>2234</v>
      </c>
      <c r="I3273" s="40"/>
      <c r="J3273" s="40" t="s">
        <v>97</v>
      </c>
      <c r="K3273" s="40" t="s">
        <v>97</v>
      </c>
      <c r="L3273" s="40" t="s">
        <v>97</v>
      </c>
    </row>
    <row r="3274" spans="1:12" x14ac:dyDescent="0.25">
      <c r="A3274" s="40" t="s">
        <v>35</v>
      </c>
      <c r="B3274" s="40" t="s">
        <v>5967</v>
      </c>
      <c r="C3274" s="40" t="s">
        <v>5968</v>
      </c>
      <c r="D3274" s="40" t="s">
        <v>2233</v>
      </c>
      <c r="E3274" s="40" t="s">
        <v>2233</v>
      </c>
      <c r="F3274" s="40">
        <v>1</v>
      </c>
      <c r="G3274" s="40"/>
      <c r="H3274" s="40" t="s">
        <v>2234</v>
      </c>
      <c r="I3274" s="40"/>
      <c r="J3274" s="40" t="s">
        <v>97</v>
      </c>
      <c r="K3274" s="40" t="s">
        <v>97</v>
      </c>
      <c r="L3274" s="40" t="s">
        <v>97</v>
      </c>
    </row>
    <row r="3275" spans="1:12" x14ac:dyDescent="0.25">
      <c r="A3275" s="40" t="s">
        <v>35</v>
      </c>
      <c r="B3275" s="40" t="s">
        <v>5969</v>
      </c>
      <c r="C3275" s="40" t="s">
        <v>5970</v>
      </c>
      <c r="D3275" s="40" t="s">
        <v>2233</v>
      </c>
      <c r="E3275" s="40" t="s">
        <v>2233</v>
      </c>
      <c r="F3275" s="40">
        <v>1</v>
      </c>
      <c r="G3275" s="40"/>
      <c r="H3275" s="40" t="s">
        <v>97</v>
      </c>
      <c r="I3275" s="40"/>
      <c r="J3275" s="40" t="s">
        <v>97</v>
      </c>
      <c r="K3275" s="40" t="s">
        <v>97</v>
      </c>
      <c r="L3275" s="40" t="s">
        <v>97</v>
      </c>
    </row>
    <row r="3276" spans="1:12" x14ac:dyDescent="0.25">
      <c r="A3276" s="40" t="s">
        <v>35</v>
      </c>
      <c r="B3276" s="40" t="s">
        <v>5971</v>
      </c>
      <c r="C3276" s="40" t="s">
        <v>5972</v>
      </c>
      <c r="D3276" s="40" t="s">
        <v>2233</v>
      </c>
      <c r="E3276" s="40" t="s">
        <v>2233</v>
      </c>
      <c r="F3276" s="40">
        <v>1</v>
      </c>
      <c r="G3276" s="40"/>
      <c r="H3276" s="40" t="s">
        <v>97</v>
      </c>
      <c r="I3276" s="40"/>
      <c r="J3276" s="40" t="s">
        <v>97</v>
      </c>
      <c r="K3276" s="40" t="s">
        <v>97</v>
      </c>
      <c r="L3276" s="40" t="s">
        <v>97</v>
      </c>
    </row>
    <row r="3277" spans="1:12" x14ac:dyDescent="0.25">
      <c r="A3277" s="40" t="s">
        <v>35</v>
      </c>
      <c r="B3277" s="40" t="s">
        <v>5973</v>
      </c>
      <c r="C3277" s="40" t="s">
        <v>5974</v>
      </c>
      <c r="D3277" s="40" t="s">
        <v>3167</v>
      </c>
      <c r="E3277" s="40" t="s">
        <v>3167</v>
      </c>
      <c r="F3277" s="40">
        <v>1</v>
      </c>
      <c r="G3277" s="40"/>
      <c r="H3277" s="40" t="s">
        <v>97</v>
      </c>
      <c r="I3277" s="40"/>
      <c r="J3277" s="40" t="s">
        <v>97</v>
      </c>
      <c r="K3277" s="40" t="s">
        <v>97</v>
      </c>
      <c r="L3277" s="40" t="s">
        <v>97</v>
      </c>
    </row>
    <row r="3278" spans="1:12" x14ac:dyDescent="0.25">
      <c r="A3278" s="40" t="s">
        <v>35</v>
      </c>
      <c r="B3278" s="40" t="s">
        <v>5975</v>
      </c>
      <c r="C3278" s="40" t="s">
        <v>5976</v>
      </c>
      <c r="D3278" s="40" t="s">
        <v>2341</v>
      </c>
      <c r="E3278" s="40" t="s">
        <v>2341</v>
      </c>
      <c r="F3278" s="40">
        <v>1</v>
      </c>
      <c r="G3278" s="40"/>
      <c r="H3278" s="40" t="s">
        <v>97</v>
      </c>
      <c r="I3278" s="40"/>
      <c r="J3278" s="40" t="s">
        <v>97</v>
      </c>
      <c r="K3278" s="40" t="s">
        <v>97</v>
      </c>
      <c r="L3278" s="40" t="s">
        <v>97</v>
      </c>
    </row>
    <row r="3279" spans="1:12" x14ac:dyDescent="0.25">
      <c r="A3279" s="40" t="s">
        <v>35</v>
      </c>
      <c r="B3279" s="40" t="s">
        <v>5977</v>
      </c>
      <c r="C3279" s="40" t="s">
        <v>5978</v>
      </c>
      <c r="D3279" s="40" t="s">
        <v>5979</v>
      </c>
      <c r="E3279" s="40" t="s">
        <v>5979</v>
      </c>
      <c r="F3279" s="40">
        <v>1</v>
      </c>
      <c r="G3279" s="40"/>
      <c r="H3279" s="40" t="s">
        <v>97</v>
      </c>
      <c r="I3279" s="40"/>
      <c r="J3279" s="40" t="s">
        <v>97</v>
      </c>
      <c r="K3279" s="40" t="s">
        <v>97</v>
      </c>
      <c r="L3279" s="40" t="s">
        <v>97</v>
      </c>
    </row>
    <row r="3280" spans="1:12" x14ac:dyDescent="0.25">
      <c r="A3280" s="40" t="s">
        <v>35</v>
      </c>
      <c r="B3280" s="40" t="s">
        <v>5980</v>
      </c>
      <c r="C3280" s="40" t="s">
        <v>5981</v>
      </c>
      <c r="D3280" s="40" t="s">
        <v>2233</v>
      </c>
      <c r="E3280" s="40" t="s">
        <v>2233</v>
      </c>
      <c r="F3280" s="40">
        <v>1</v>
      </c>
      <c r="G3280" s="40"/>
      <c r="H3280" s="40" t="s">
        <v>97</v>
      </c>
      <c r="I3280" s="40"/>
      <c r="J3280" s="40" t="s">
        <v>97</v>
      </c>
      <c r="K3280" s="40" t="s">
        <v>97</v>
      </c>
      <c r="L3280" s="40" t="s">
        <v>97</v>
      </c>
    </row>
    <row r="3281" spans="1:12" x14ac:dyDescent="0.25">
      <c r="A3281" s="40" t="s">
        <v>35</v>
      </c>
      <c r="B3281" s="40" t="s">
        <v>5982</v>
      </c>
      <c r="C3281" s="40" t="s">
        <v>5983</v>
      </c>
      <c r="D3281" s="40" t="s">
        <v>2233</v>
      </c>
      <c r="E3281" s="40" t="s">
        <v>2233</v>
      </c>
      <c r="F3281" s="40">
        <v>1</v>
      </c>
      <c r="G3281" s="40"/>
      <c r="H3281" s="40" t="s">
        <v>2234</v>
      </c>
      <c r="I3281" s="40"/>
      <c r="J3281" s="40" t="s">
        <v>97</v>
      </c>
      <c r="K3281" s="40" t="s">
        <v>97</v>
      </c>
      <c r="L3281" s="40" t="s">
        <v>97</v>
      </c>
    </row>
    <row r="3282" spans="1:12" x14ac:dyDescent="0.25">
      <c r="A3282" s="40" t="s">
        <v>35</v>
      </c>
      <c r="B3282" s="40" t="s">
        <v>5984</v>
      </c>
      <c r="C3282" s="40" t="s">
        <v>5985</v>
      </c>
      <c r="D3282" s="40" t="s">
        <v>2412</v>
      </c>
      <c r="E3282" s="40" t="s">
        <v>2412</v>
      </c>
      <c r="F3282" s="40">
        <v>1</v>
      </c>
      <c r="G3282" s="40"/>
      <c r="H3282" s="40" t="s">
        <v>2234</v>
      </c>
      <c r="I3282" s="40"/>
      <c r="J3282" s="40" t="s">
        <v>97</v>
      </c>
      <c r="K3282" s="40" t="s">
        <v>97</v>
      </c>
      <c r="L3282" s="40" t="s">
        <v>97</v>
      </c>
    </row>
    <row r="3283" spans="1:12" x14ac:dyDescent="0.25">
      <c r="A3283" s="40" t="s">
        <v>35</v>
      </c>
      <c r="B3283" s="40" t="s">
        <v>5986</v>
      </c>
      <c r="C3283" s="40" t="s">
        <v>5987</v>
      </c>
      <c r="D3283" s="40" t="s">
        <v>2233</v>
      </c>
      <c r="E3283" s="40" t="s">
        <v>2233</v>
      </c>
      <c r="F3283" s="40">
        <v>1</v>
      </c>
      <c r="G3283" s="40"/>
      <c r="H3283" s="40" t="s">
        <v>2234</v>
      </c>
      <c r="I3283" s="40"/>
      <c r="J3283" s="40" t="s">
        <v>97</v>
      </c>
      <c r="K3283" s="40" t="s">
        <v>97</v>
      </c>
      <c r="L3283" s="40" t="s">
        <v>97</v>
      </c>
    </row>
    <row r="3284" spans="1:12" x14ac:dyDescent="0.25">
      <c r="A3284" s="40" t="s">
        <v>35</v>
      </c>
      <c r="B3284" s="40" t="s">
        <v>5988</v>
      </c>
      <c r="C3284" s="40" t="s">
        <v>5989</v>
      </c>
      <c r="D3284" s="40" t="s">
        <v>2233</v>
      </c>
      <c r="E3284" s="40" t="s">
        <v>2233</v>
      </c>
      <c r="F3284" s="40">
        <v>1</v>
      </c>
      <c r="G3284" s="40"/>
      <c r="H3284" s="40" t="s">
        <v>2234</v>
      </c>
      <c r="I3284" s="40"/>
      <c r="J3284" s="40" t="s">
        <v>97</v>
      </c>
      <c r="K3284" s="40" t="s">
        <v>97</v>
      </c>
      <c r="L3284" s="40" t="s">
        <v>97</v>
      </c>
    </row>
    <row r="3285" spans="1:12" x14ac:dyDescent="0.25">
      <c r="A3285" s="40" t="s">
        <v>35</v>
      </c>
      <c r="B3285" s="40" t="s">
        <v>5990</v>
      </c>
      <c r="C3285" s="40" t="s">
        <v>5991</v>
      </c>
      <c r="D3285" s="40" t="s">
        <v>2233</v>
      </c>
      <c r="E3285" s="40" t="s">
        <v>2233</v>
      </c>
      <c r="F3285" s="40">
        <v>1</v>
      </c>
      <c r="G3285" s="40"/>
      <c r="H3285" s="40" t="s">
        <v>97</v>
      </c>
      <c r="I3285" s="40"/>
      <c r="J3285" s="40" t="s">
        <v>97</v>
      </c>
      <c r="K3285" s="40" t="s">
        <v>97</v>
      </c>
      <c r="L3285" s="40" t="s">
        <v>97</v>
      </c>
    </row>
    <row r="3286" spans="1:12" x14ac:dyDescent="0.25">
      <c r="A3286" s="40" t="s">
        <v>35</v>
      </c>
      <c r="B3286" s="40" t="s">
        <v>5992</v>
      </c>
      <c r="C3286" s="40" t="s">
        <v>5993</v>
      </c>
      <c r="D3286" s="40" t="s">
        <v>2233</v>
      </c>
      <c r="E3286" s="40" t="s">
        <v>2233</v>
      </c>
      <c r="F3286" s="40">
        <v>1</v>
      </c>
      <c r="G3286" s="40"/>
      <c r="H3286" s="40" t="s">
        <v>2234</v>
      </c>
      <c r="I3286" s="40"/>
      <c r="J3286" s="40" t="s">
        <v>97</v>
      </c>
      <c r="K3286" s="40" t="s">
        <v>97</v>
      </c>
      <c r="L3286" s="40" t="s">
        <v>97</v>
      </c>
    </row>
    <row r="3287" spans="1:12" x14ac:dyDescent="0.25">
      <c r="A3287" s="40" t="s">
        <v>35</v>
      </c>
      <c r="B3287" s="40" t="s">
        <v>5994</v>
      </c>
      <c r="C3287" s="40" t="s">
        <v>5995</v>
      </c>
      <c r="D3287" s="40" t="s">
        <v>2233</v>
      </c>
      <c r="E3287" s="40" t="s">
        <v>2233</v>
      </c>
      <c r="F3287" s="40">
        <v>1</v>
      </c>
      <c r="G3287" s="40"/>
      <c r="H3287" s="40" t="s">
        <v>2234</v>
      </c>
      <c r="I3287" s="40"/>
      <c r="J3287" s="40" t="s">
        <v>97</v>
      </c>
      <c r="K3287" s="40" t="s">
        <v>97</v>
      </c>
      <c r="L3287" s="40" t="s">
        <v>97</v>
      </c>
    </row>
    <row r="3288" spans="1:12" x14ac:dyDescent="0.25">
      <c r="A3288" s="40" t="s">
        <v>35</v>
      </c>
      <c r="B3288" s="40" t="s">
        <v>5996</v>
      </c>
      <c r="C3288" s="40" t="s">
        <v>5997</v>
      </c>
      <c r="D3288" s="40" t="s">
        <v>2234</v>
      </c>
      <c r="E3288" s="40" t="s">
        <v>2233</v>
      </c>
      <c r="F3288" s="40">
        <v>1</v>
      </c>
      <c r="G3288" s="40"/>
      <c r="H3288" s="40" t="s">
        <v>2234</v>
      </c>
      <c r="I3288" s="40"/>
      <c r="J3288" s="40" t="s">
        <v>97</v>
      </c>
      <c r="K3288" s="40" t="s">
        <v>97</v>
      </c>
      <c r="L3288" s="40" t="s">
        <v>97</v>
      </c>
    </row>
    <row r="3289" spans="1:12" x14ac:dyDescent="0.25">
      <c r="A3289" s="40" t="s">
        <v>35</v>
      </c>
      <c r="B3289" s="40" t="s">
        <v>5998</v>
      </c>
      <c r="C3289" s="40" t="s">
        <v>5999</v>
      </c>
      <c r="D3289" s="40" t="s">
        <v>6000</v>
      </c>
      <c r="E3289" s="40" t="s">
        <v>2234</v>
      </c>
      <c r="F3289" s="40">
        <v>1</v>
      </c>
      <c r="G3289" s="40"/>
      <c r="H3289" s="40" t="s">
        <v>2234</v>
      </c>
      <c r="I3289" s="40"/>
      <c r="J3289" s="40" t="s">
        <v>97</v>
      </c>
      <c r="K3289" s="40" t="s">
        <v>97</v>
      </c>
      <c r="L3289" s="40" t="s">
        <v>97</v>
      </c>
    </row>
    <row r="3290" spans="1:12" x14ac:dyDescent="0.25">
      <c r="A3290" s="40" t="s">
        <v>35</v>
      </c>
      <c r="B3290" s="40" t="s">
        <v>6001</v>
      </c>
      <c r="C3290" s="40" t="s">
        <v>6002</v>
      </c>
      <c r="D3290" s="40" t="s">
        <v>2233</v>
      </c>
      <c r="E3290" s="40" t="s">
        <v>2233</v>
      </c>
      <c r="F3290" s="40">
        <v>1</v>
      </c>
      <c r="G3290" s="40"/>
      <c r="H3290" s="40" t="s">
        <v>97</v>
      </c>
      <c r="I3290" s="40"/>
      <c r="J3290" s="40" t="s">
        <v>97</v>
      </c>
      <c r="K3290" s="40" t="s">
        <v>97</v>
      </c>
      <c r="L3290" s="40" t="s">
        <v>97</v>
      </c>
    </row>
    <row r="3291" spans="1:12" x14ac:dyDescent="0.25">
      <c r="A3291" s="40" t="s">
        <v>35</v>
      </c>
      <c r="B3291" s="40" t="s">
        <v>6003</v>
      </c>
      <c r="C3291" s="40" t="s">
        <v>6004</v>
      </c>
      <c r="D3291" s="40" t="s">
        <v>2233</v>
      </c>
      <c r="E3291" s="40" t="s">
        <v>2233</v>
      </c>
      <c r="F3291" s="40">
        <v>1</v>
      </c>
      <c r="G3291" s="40"/>
      <c r="H3291" s="40" t="s">
        <v>97</v>
      </c>
      <c r="I3291" s="40"/>
      <c r="J3291" s="40" t="s">
        <v>97</v>
      </c>
      <c r="K3291" s="40" t="s">
        <v>97</v>
      </c>
      <c r="L3291" s="40" t="s">
        <v>97</v>
      </c>
    </row>
    <row r="3292" spans="1:12" x14ac:dyDescent="0.25">
      <c r="A3292" s="40" t="s">
        <v>35</v>
      </c>
      <c r="B3292" s="40" t="s">
        <v>6005</v>
      </c>
      <c r="C3292" s="40" t="s">
        <v>6006</v>
      </c>
      <c r="D3292" s="40" t="s">
        <v>2233</v>
      </c>
      <c r="E3292" s="40" t="s">
        <v>2233</v>
      </c>
      <c r="F3292" s="40">
        <v>1</v>
      </c>
      <c r="G3292" s="40"/>
      <c r="H3292" s="40" t="s">
        <v>97</v>
      </c>
      <c r="I3292" s="40"/>
      <c r="J3292" s="40" t="s">
        <v>97</v>
      </c>
      <c r="K3292" s="40" t="s">
        <v>97</v>
      </c>
      <c r="L3292" s="40" t="s">
        <v>97</v>
      </c>
    </row>
    <row r="3293" spans="1:12" x14ac:dyDescent="0.25">
      <c r="A3293" s="40" t="s">
        <v>35</v>
      </c>
      <c r="B3293" s="40" t="s">
        <v>6007</v>
      </c>
      <c r="C3293" s="40" t="s">
        <v>6008</v>
      </c>
      <c r="D3293" s="40" t="s">
        <v>2233</v>
      </c>
      <c r="E3293" s="40" t="s">
        <v>2233</v>
      </c>
      <c r="F3293" s="40">
        <v>1</v>
      </c>
      <c r="G3293" s="40"/>
      <c r="H3293" s="40" t="s">
        <v>97</v>
      </c>
      <c r="I3293" s="40"/>
      <c r="J3293" s="40" t="s">
        <v>97</v>
      </c>
      <c r="K3293" s="40" t="s">
        <v>97</v>
      </c>
      <c r="L3293" s="40" t="s">
        <v>97</v>
      </c>
    </row>
    <row r="3294" spans="1:12" x14ac:dyDescent="0.25">
      <c r="A3294" s="40" t="s">
        <v>35</v>
      </c>
      <c r="B3294" s="40" t="s">
        <v>6009</v>
      </c>
      <c r="C3294" s="40" t="s">
        <v>6010</v>
      </c>
      <c r="D3294" s="40" t="s">
        <v>2233</v>
      </c>
      <c r="E3294" s="40" t="s">
        <v>2233</v>
      </c>
      <c r="F3294" s="40">
        <v>1</v>
      </c>
      <c r="G3294" s="40"/>
      <c r="H3294" s="40" t="s">
        <v>97</v>
      </c>
      <c r="I3294" s="40"/>
      <c r="J3294" s="40" t="s">
        <v>97</v>
      </c>
      <c r="K3294" s="40" t="s">
        <v>97</v>
      </c>
      <c r="L3294" s="40" t="s">
        <v>97</v>
      </c>
    </row>
    <row r="3295" spans="1:12" x14ac:dyDescent="0.25">
      <c r="A3295" s="40" t="s">
        <v>35</v>
      </c>
      <c r="B3295" s="40" t="s">
        <v>6011</v>
      </c>
      <c r="C3295" s="40" t="s">
        <v>6012</v>
      </c>
      <c r="D3295" s="40" t="s">
        <v>2233</v>
      </c>
      <c r="E3295" s="40" t="s">
        <v>2233</v>
      </c>
      <c r="F3295" s="40">
        <v>1</v>
      </c>
      <c r="G3295" s="40"/>
      <c r="H3295" s="40" t="s">
        <v>97</v>
      </c>
      <c r="I3295" s="40"/>
      <c r="J3295" s="40" t="s">
        <v>97</v>
      </c>
      <c r="K3295" s="40" t="s">
        <v>97</v>
      </c>
      <c r="L3295" s="40" t="s">
        <v>97</v>
      </c>
    </row>
    <row r="3296" spans="1:12" x14ac:dyDescent="0.25">
      <c r="A3296" s="40" t="s">
        <v>35</v>
      </c>
      <c r="B3296" s="40" t="s">
        <v>6013</v>
      </c>
      <c r="C3296" s="40" t="s">
        <v>6014</v>
      </c>
      <c r="D3296" s="40" t="s">
        <v>2233</v>
      </c>
      <c r="E3296" s="40" t="s">
        <v>2233</v>
      </c>
      <c r="F3296" s="40">
        <v>1</v>
      </c>
      <c r="G3296" s="40"/>
      <c r="H3296" s="40" t="s">
        <v>2234</v>
      </c>
      <c r="I3296" s="40"/>
      <c r="J3296" s="40" t="s">
        <v>97</v>
      </c>
      <c r="K3296" s="40" t="s">
        <v>97</v>
      </c>
      <c r="L3296" s="40" t="s">
        <v>97</v>
      </c>
    </row>
    <row r="3297" spans="1:12" x14ac:dyDescent="0.25">
      <c r="A3297" s="40" t="s">
        <v>35</v>
      </c>
      <c r="B3297" s="40" t="s">
        <v>6015</v>
      </c>
      <c r="C3297" s="40" t="s">
        <v>6016</v>
      </c>
      <c r="D3297" s="40" t="s">
        <v>6017</v>
      </c>
      <c r="E3297" s="40" t="s">
        <v>6017</v>
      </c>
      <c r="F3297" s="40">
        <v>1</v>
      </c>
      <c r="G3297" s="40"/>
      <c r="H3297" s="40" t="s">
        <v>2234</v>
      </c>
      <c r="I3297" s="40"/>
      <c r="J3297" s="40" t="s">
        <v>97</v>
      </c>
      <c r="K3297" s="40" t="s">
        <v>97</v>
      </c>
      <c r="L3297" s="40" t="s">
        <v>97</v>
      </c>
    </row>
    <row r="3298" spans="1:12" x14ac:dyDescent="0.25">
      <c r="A3298" s="40" t="s">
        <v>35</v>
      </c>
      <c r="B3298" s="40" t="s">
        <v>6018</v>
      </c>
      <c r="C3298" s="40" t="s">
        <v>6019</v>
      </c>
      <c r="D3298" s="40" t="s">
        <v>2233</v>
      </c>
      <c r="E3298" s="40" t="s">
        <v>2233</v>
      </c>
      <c r="F3298" s="40">
        <v>1</v>
      </c>
      <c r="G3298" s="40"/>
      <c r="H3298" s="40" t="s">
        <v>97</v>
      </c>
      <c r="I3298" s="40"/>
      <c r="J3298" s="40" t="s">
        <v>97</v>
      </c>
      <c r="K3298" s="40" t="s">
        <v>97</v>
      </c>
      <c r="L3298" s="40" t="s">
        <v>97</v>
      </c>
    </row>
    <row r="3299" spans="1:12" x14ac:dyDescent="0.25">
      <c r="A3299" s="40" t="s">
        <v>35</v>
      </c>
      <c r="B3299" s="40" t="s">
        <v>6020</v>
      </c>
      <c r="C3299" s="40" t="s">
        <v>6021</v>
      </c>
      <c r="D3299" s="40" t="s">
        <v>2233</v>
      </c>
      <c r="E3299" s="40" t="s">
        <v>2233</v>
      </c>
      <c r="F3299" s="40">
        <v>1</v>
      </c>
      <c r="G3299" s="40"/>
      <c r="H3299" s="40" t="s">
        <v>2234</v>
      </c>
      <c r="I3299" s="40"/>
      <c r="J3299" s="40" t="s">
        <v>97</v>
      </c>
      <c r="K3299" s="40" t="s">
        <v>97</v>
      </c>
      <c r="L3299" s="40" t="s">
        <v>97</v>
      </c>
    </row>
    <row r="3300" spans="1:12" x14ac:dyDescent="0.25">
      <c r="A3300" s="40" t="s">
        <v>35</v>
      </c>
      <c r="B3300" s="40" t="s">
        <v>6022</v>
      </c>
      <c r="C3300" s="40" t="s">
        <v>6023</v>
      </c>
      <c r="D3300" s="40" t="s">
        <v>2233</v>
      </c>
      <c r="E3300" s="40" t="s">
        <v>2233</v>
      </c>
      <c r="F3300" s="40">
        <v>1</v>
      </c>
      <c r="G3300" s="40"/>
      <c r="H3300" s="40" t="s">
        <v>2234</v>
      </c>
      <c r="I3300" s="40"/>
      <c r="J3300" s="40" t="s">
        <v>97</v>
      </c>
      <c r="K3300" s="40" t="s">
        <v>97</v>
      </c>
      <c r="L3300" s="40" t="s">
        <v>97</v>
      </c>
    </row>
    <row r="3301" spans="1:12" x14ac:dyDescent="0.25">
      <c r="A3301" s="40" t="s">
        <v>35</v>
      </c>
      <c r="B3301" s="40" t="s">
        <v>6024</v>
      </c>
      <c r="C3301" s="40" t="s">
        <v>6025</v>
      </c>
      <c r="D3301" s="40" t="s">
        <v>2581</v>
      </c>
      <c r="E3301" s="40" t="s">
        <v>2233</v>
      </c>
      <c r="F3301" s="40">
        <v>0</v>
      </c>
      <c r="G3301" s="40"/>
      <c r="H3301" s="40" t="s">
        <v>2234</v>
      </c>
      <c r="I3301" s="40"/>
      <c r="J3301" s="40" t="s">
        <v>97</v>
      </c>
      <c r="K3301" s="40" t="s">
        <v>97</v>
      </c>
      <c r="L3301" s="40" t="s">
        <v>97</v>
      </c>
    </row>
    <row r="3302" spans="1:12" x14ac:dyDescent="0.25">
      <c r="A3302" s="40" t="s">
        <v>35</v>
      </c>
      <c r="B3302" s="40" t="s">
        <v>6026</v>
      </c>
      <c r="C3302" s="40" t="s">
        <v>6027</v>
      </c>
      <c r="D3302" s="40" t="s">
        <v>2233</v>
      </c>
      <c r="E3302" s="40" t="s">
        <v>2233</v>
      </c>
      <c r="F3302" s="40">
        <v>1</v>
      </c>
      <c r="G3302" s="40"/>
      <c r="H3302" s="40" t="s">
        <v>97</v>
      </c>
      <c r="I3302" s="40"/>
      <c r="J3302" s="40" t="s">
        <v>97</v>
      </c>
      <c r="K3302" s="40" t="s">
        <v>97</v>
      </c>
      <c r="L3302" s="40" t="s">
        <v>97</v>
      </c>
    </row>
    <row r="3303" spans="1:12" x14ac:dyDescent="0.25">
      <c r="A3303" s="40" t="s">
        <v>35</v>
      </c>
      <c r="B3303" s="40" t="s">
        <v>6028</v>
      </c>
      <c r="C3303" s="40" t="s">
        <v>6029</v>
      </c>
      <c r="D3303" s="40" t="s">
        <v>2233</v>
      </c>
      <c r="E3303" s="40" t="s">
        <v>2233</v>
      </c>
      <c r="F3303" s="40">
        <v>1</v>
      </c>
      <c r="G3303" s="40"/>
      <c r="H3303" s="40" t="s">
        <v>2234</v>
      </c>
      <c r="I3303" s="40"/>
      <c r="J3303" s="40" t="s">
        <v>97</v>
      </c>
      <c r="K3303" s="40" t="s">
        <v>97</v>
      </c>
      <c r="L3303" s="40" t="s">
        <v>97</v>
      </c>
    </row>
    <row r="3304" spans="1:12" x14ac:dyDescent="0.25">
      <c r="A3304" s="40" t="s">
        <v>35</v>
      </c>
      <c r="B3304" s="40" t="s">
        <v>6030</v>
      </c>
      <c r="C3304" s="40" t="s">
        <v>6031</v>
      </c>
      <c r="D3304" s="40" t="s">
        <v>2233</v>
      </c>
      <c r="E3304" s="40" t="s">
        <v>2233</v>
      </c>
      <c r="F3304" s="40">
        <v>1</v>
      </c>
      <c r="G3304" s="40"/>
      <c r="H3304" s="40" t="s">
        <v>97</v>
      </c>
      <c r="I3304" s="40"/>
      <c r="J3304" s="40" t="s">
        <v>97</v>
      </c>
      <c r="K3304" s="40" t="s">
        <v>97</v>
      </c>
      <c r="L3304" s="40" t="s">
        <v>97</v>
      </c>
    </row>
    <row r="3305" spans="1:12" x14ac:dyDescent="0.25">
      <c r="A3305" s="40" t="s">
        <v>35</v>
      </c>
      <c r="B3305" s="40" t="s">
        <v>6032</v>
      </c>
      <c r="C3305" s="40" t="s">
        <v>6033</v>
      </c>
      <c r="D3305" s="40" t="s">
        <v>2233</v>
      </c>
      <c r="E3305" s="40" t="s">
        <v>2233</v>
      </c>
      <c r="F3305" s="40">
        <v>1</v>
      </c>
      <c r="G3305" s="40"/>
      <c r="H3305" s="40" t="s">
        <v>2234</v>
      </c>
      <c r="I3305" s="40"/>
      <c r="J3305" s="40" t="s">
        <v>97</v>
      </c>
      <c r="K3305" s="40" t="s">
        <v>97</v>
      </c>
      <c r="L3305" s="40" t="s">
        <v>97</v>
      </c>
    </row>
    <row r="3306" spans="1:12" x14ac:dyDescent="0.25">
      <c r="A3306" s="40" t="s">
        <v>35</v>
      </c>
      <c r="B3306" s="40" t="s">
        <v>6034</v>
      </c>
      <c r="C3306" s="40" t="s">
        <v>6035</v>
      </c>
      <c r="D3306" s="40" t="s">
        <v>2300</v>
      </c>
      <c r="E3306" s="40" t="s">
        <v>2300</v>
      </c>
      <c r="F3306" s="40">
        <v>1</v>
      </c>
      <c r="G3306" s="40"/>
      <c r="H3306" s="40" t="s">
        <v>2234</v>
      </c>
      <c r="I3306" s="40"/>
      <c r="J3306" s="40" t="s">
        <v>97</v>
      </c>
      <c r="K3306" s="40" t="s">
        <v>97</v>
      </c>
      <c r="L3306" s="40" t="s">
        <v>97</v>
      </c>
    </row>
    <row r="3307" spans="1:12" x14ac:dyDescent="0.25">
      <c r="A3307" s="40" t="s">
        <v>35</v>
      </c>
      <c r="B3307" s="40" t="s">
        <v>5465</v>
      </c>
      <c r="C3307" s="40" t="s">
        <v>6036</v>
      </c>
      <c r="D3307" s="40" t="s">
        <v>2233</v>
      </c>
      <c r="E3307" s="40" t="s">
        <v>2233</v>
      </c>
      <c r="F3307" s="40">
        <v>1</v>
      </c>
      <c r="G3307" s="40"/>
      <c r="H3307" s="40" t="s">
        <v>2234</v>
      </c>
      <c r="I3307" s="40"/>
      <c r="J3307" s="40" t="s">
        <v>97</v>
      </c>
      <c r="K3307" s="40" t="s">
        <v>97</v>
      </c>
      <c r="L3307" s="40" t="s">
        <v>97</v>
      </c>
    </row>
    <row r="3308" spans="1:12" x14ac:dyDescent="0.25">
      <c r="A3308" s="40" t="s">
        <v>35</v>
      </c>
      <c r="B3308" s="40" t="s">
        <v>5468</v>
      </c>
      <c r="C3308" s="40" t="s">
        <v>6037</v>
      </c>
      <c r="D3308" s="40" t="s">
        <v>2233</v>
      </c>
      <c r="E3308" s="40" t="s">
        <v>2233</v>
      </c>
      <c r="F3308" s="40">
        <v>1</v>
      </c>
      <c r="G3308" s="40"/>
      <c r="H3308" s="40" t="s">
        <v>2234</v>
      </c>
      <c r="I3308" s="40"/>
      <c r="J3308" s="40" t="s">
        <v>97</v>
      </c>
      <c r="K3308" s="40" t="s">
        <v>97</v>
      </c>
      <c r="L3308" s="40" t="s">
        <v>97</v>
      </c>
    </row>
    <row r="3309" spans="1:12" x14ac:dyDescent="0.25">
      <c r="A3309" s="40" t="s">
        <v>35</v>
      </c>
      <c r="B3309" s="40" t="s">
        <v>6038</v>
      </c>
      <c r="C3309" s="40" t="s">
        <v>6039</v>
      </c>
      <c r="D3309" s="40" t="s">
        <v>2233</v>
      </c>
      <c r="E3309" s="40" t="s">
        <v>2233</v>
      </c>
      <c r="F3309" s="40">
        <v>1</v>
      </c>
      <c r="G3309" s="40"/>
      <c r="H3309" s="40" t="s">
        <v>2234</v>
      </c>
      <c r="I3309" s="40"/>
      <c r="J3309" s="40" t="s">
        <v>97</v>
      </c>
      <c r="K3309" s="40" t="s">
        <v>97</v>
      </c>
      <c r="L3309" s="40" t="s">
        <v>97</v>
      </c>
    </row>
    <row r="3310" spans="1:12" x14ac:dyDescent="0.25">
      <c r="A3310" s="40" t="s">
        <v>35</v>
      </c>
      <c r="B3310" s="40" t="s">
        <v>6040</v>
      </c>
      <c r="C3310" s="40" t="s">
        <v>6041</v>
      </c>
      <c r="D3310" s="40" t="s">
        <v>2233</v>
      </c>
      <c r="E3310" s="40" t="s">
        <v>2233</v>
      </c>
      <c r="F3310" s="40">
        <v>1</v>
      </c>
      <c r="G3310" s="40"/>
      <c r="H3310" s="40" t="s">
        <v>2234</v>
      </c>
      <c r="I3310" s="40"/>
      <c r="J3310" s="40" t="s">
        <v>97</v>
      </c>
      <c r="K3310" s="40" t="s">
        <v>97</v>
      </c>
      <c r="L3310" s="40" t="s">
        <v>97</v>
      </c>
    </row>
    <row r="3311" spans="1:12" x14ac:dyDescent="0.25">
      <c r="A3311" s="40" t="s">
        <v>35</v>
      </c>
      <c r="B3311" s="40" t="s">
        <v>6042</v>
      </c>
      <c r="C3311" s="40" t="s">
        <v>6043</v>
      </c>
      <c r="D3311" s="40" t="s">
        <v>2233</v>
      </c>
      <c r="E3311" s="40" t="s">
        <v>2233</v>
      </c>
      <c r="F3311" s="40">
        <v>1</v>
      </c>
      <c r="G3311" s="40"/>
      <c r="H3311" s="40" t="s">
        <v>2234</v>
      </c>
      <c r="I3311" s="40"/>
      <c r="J3311" s="40" t="s">
        <v>97</v>
      </c>
      <c r="K3311" s="40" t="s">
        <v>97</v>
      </c>
      <c r="L3311" s="40" t="s">
        <v>97</v>
      </c>
    </row>
    <row r="3312" spans="1:12" x14ac:dyDescent="0.25">
      <c r="A3312" s="40" t="s">
        <v>35</v>
      </c>
      <c r="B3312" s="40" t="s">
        <v>6044</v>
      </c>
      <c r="C3312" s="40" t="s">
        <v>6045</v>
      </c>
      <c r="D3312" s="40" t="s">
        <v>2233</v>
      </c>
      <c r="E3312" s="40" t="s">
        <v>2233</v>
      </c>
      <c r="F3312" s="40">
        <v>1</v>
      </c>
      <c r="G3312" s="40"/>
      <c r="H3312" s="40" t="s">
        <v>2234</v>
      </c>
      <c r="I3312" s="40"/>
      <c r="J3312" s="40" t="s">
        <v>97</v>
      </c>
      <c r="K3312" s="40" t="s">
        <v>97</v>
      </c>
      <c r="L3312" s="40" t="s">
        <v>97</v>
      </c>
    </row>
    <row r="3313" spans="1:12" x14ac:dyDescent="0.25">
      <c r="A3313" s="40" t="s">
        <v>35</v>
      </c>
      <c r="B3313" s="40" t="s">
        <v>6046</v>
      </c>
      <c r="C3313" s="40" t="s">
        <v>6047</v>
      </c>
      <c r="D3313" s="40" t="s">
        <v>2233</v>
      </c>
      <c r="E3313" s="40" t="s">
        <v>2233</v>
      </c>
      <c r="F3313" s="40">
        <v>1</v>
      </c>
      <c r="G3313" s="40"/>
      <c r="H3313" s="40" t="s">
        <v>2234</v>
      </c>
      <c r="I3313" s="40"/>
      <c r="J3313" s="40" t="s">
        <v>97</v>
      </c>
      <c r="K3313" s="40" t="s">
        <v>97</v>
      </c>
      <c r="L3313" s="40" t="s">
        <v>97</v>
      </c>
    </row>
    <row r="3314" spans="1:12" x14ac:dyDescent="0.25">
      <c r="A3314" s="40" t="s">
        <v>35</v>
      </c>
      <c r="B3314" s="40" t="s">
        <v>6048</v>
      </c>
      <c r="C3314" s="40" t="s">
        <v>6049</v>
      </c>
      <c r="D3314" s="40" t="s">
        <v>2233</v>
      </c>
      <c r="E3314" s="40" t="s">
        <v>2233</v>
      </c>
      <c r="F3314" s="40">
        <v>1</v>
      </c>
      <c r="G3314" s="40"/>
      <c r="H3314" s="40" t="s">
        <v>2234</v>
      </c>
      <c r="I3314" s="40"/>
      <c r="J3314" s="40" t="s">
        <v>97</v>
      </c>
      <c r="K3314" s="40" t="s">
        <v>97</v>
      </c>
      <c r="L3314" s="40" t="s">
        <v>97</v>
      </c>
    </row>
    <row r="3315" spans="1:12" x14ac:dyDescent="0.25">
      <c r="A3315" s="40" t="s">
        <v>35</v>
      </c>
      <c r="B3315" s="40" t="s">
        <v>6050</v>
      </c>
      <c r="C3315" s="40" t="s">
        <v>6051</v>
      </c>
      <c r="D3315" s="40" t="s">
        <v>2233</v>
      </c>
      <c r="E3315" s="40" t="s">
        <v>2233</v>
      </c>
      <c r="F3315" s="40">
        <v>1</v>
      </c>
      <c r="G3315" s="40"/>
      <c r="H3315" s="40" t="s">
        <v>2234</v>
      </c>
      <c r="I3315" s="40"/>
      <c r="J3315" s="40" t="s">
        <v>97</v>
      </c>
      <c r="K3315" s="40" t="s">
        <v>97</v>
      </c>
      <c r="L3315" s="40" t="s">
        <v>97</v>
      </c>
    </row>
    <row r="3316" spans="1:12" x14ac:dyDescent="0.25">
      <c r="A3316" s="40" t="s">
        <v>35</v>
      </c>
      <c r="B3316" s="40" t="s">
        <v>6052</v>
      </c>
      <c r="C3316" s="40" t="s">
        <v>6053</v>
      </c>
      <c r="D3316" s="40" t="s">
        <v>2233</v>
      </c>
      <c r="E3316" s="40" t="s">
        <v>2233</v>
      </c>
      <c r="F3316" s="40">
        <v>1</v>
      </c>
      <c r="G3316" s="40"/>
      <c r="H3316" s="40" t="s">
        <v>2234</v>
      </c>
      <c r="I3316" s="40"/>
      <c r="J3316" s="40" t="s">
        <v>97</v>
      </c>
      <c r="K3316" s="40" t="s">
        <v>97</v>
      </c>
      <c r="L3316" s="40" t="s">
        <v>97</v>
      </c>
    </row>
    <row r="3317" spans="1:12" x14ac:dyDescent="0.25">
      <c r="A3317" s="40" t="s">
        <v>35</v>
      </c>
      <c r="B3317" s="40" t="s">
        <v>6054</v>
      </c>
      <c r="C3317" s="40" t="s">
        <v>6055</v>
      </c>
      <c r="D3317" s="40" t="s">
        <v>2233</v>
      </c>
      <c r="E3317" s="40" t="s">
        <v>2233</v>
      </c>
      <c r="F3317" s="40">
        <v>1</v>
      </c>
      <c r="G3317" s="40"/>
      <c r="H3317" s="40" t="s">
        <v>2234</v>
      </c>
      <c r="I3317" s="40"/>
      <c r="J3317" s="40" t="s">
        <v>97</v>
      </c>
      <c r="K3317" s="40" t="s">
        <v>97</v>
      </c>
      <c r="L3317" s="40" t="s">
        <v>97</v>
      </c>
    </row>
    <row r="3318" spans="1:12" x14ac:dyDescent="0.25">
      <c r="A3318" s="40" t="s">
        <v>35</v>
      </c>
      <c r="B3318" s="40" t="s">
        <v>6056</v>
      </c>
      <c r="C3318" s="40" t="s">
        <v>6057</v>
      </c>
      <c r="D3318" s="40" t="s">
        <v>2233</v>
      </c>
      <c r="E3318" s="40" t="s">
        <v>2233</v>
      </c>
      <c r="F3318" s="40">
        <v>1</v>
      </c>
      <c r="G3318" s="40"/>
      <c r="H3318" s="40" t="s">
        <v>2234</v>
      </c>
      <c r="I3318" s="40"/>
      <c r="J3318" s="40" t="s">
        <v>97</v>
      </c>
      <c r="K3318" s="40" t="s">
        <v>97</v>
      </c>
      <c r="L3318" s="40" t="s">
        <v>97</v>
      </c>
    </row>
    <row r="3319" spans="1:12" x14ac:dyDescent="0.25">
      <c r="A3319" s="40" t="s">
        <v>35</v>
      </c>
      <c r="B3319" s="40" t="s">
        <v>5472</v>
      </c>
      <c r="C3319" s="40" t="s">
        <v>6058</v>
      </c>
      <c r="D3319" s="40" t="s">
        <v>2233</v>
      </c>
      <c r="E3319" s="40" t="s">
        <v>2233</v>
      </c>
      <c r="F3319" s="40">
        <v>1</v>
      </c>
      <c r="G3319" s="40"/>
      <c r="H3319" s="40" t="s">
        <v>2234</v>
      </c>
      <c r="I3319" s="40"/>
      <c r="J3319" s="40" t="s">
        <v>97</v>
      </c>
      <c r="K3319" s="40" t="s">
        <v>97</v>
      </c>
      <c r="L3319" s="40" t="s">
        <v>97</v>
      </c>
    </row>
    <row r="3320" spans="1:12" x14ac:dyDescent="0.25">
      <c r="A3320" s="40" t="s">
        <v>35</v>
      </c>
      <c r="B3320" s="40" t="s">
        <v>5475</v>
      </c>
      <c r="C3320" s="40" t="s">
        <v>6059</v>
      </c>
      <c r="D3320" s="40" t="s">
        <v>2233</v>
      </c>
      <c r="E3320" s="40" t="s">
        <v>2233</v>
      </c>
      <c r="F3320" s="40">
        <v>1</v>
      </c>
      <c r="G3320" s="40"/>
      <c r="H3320" s="40" t="s">
        <v>2234</v>
      </c>
      <c r="I3320" s="40"/>
      <c r="J3320" s="40" t="s">
        <v>97</v>
      </c>
      <c r="K3320" s="40" t="s">
        <v>97</v>
      </c>
      <c r="L3320" s="40" t="s">
        <v>97</v>
      </c>
    </row>
    <row r="3321" spans="1:12" x14ac:dyDescent="0.25">
      <c r="A3321" s="40" t="s">
        <v>35</v>
      </c>
      <c r="B3321" s="40" t="s">
        <v>5477</v>
      </c>
      <c r="C3321" s="40" t="s">
        <v>6060</v>
      </c>
      <c r="D3321" s="40" t="s">
        <v>2233</v>
      </c>
      <c r="E3321" s="40" t="s">
        <v>2233</v>
      </c>
      <c r="F3321" s="40">
        <v>1</v>
      </c>
      <c r="G3321" s="40"/>
      <c r="H3321" s="40" t="s">
        <v>2234</v>
      </c>
      <c r="I3321" s="40"/>
      <c r="J3321" s="40" t="s">
        <v>97</v>
      </c>
      <c r="K3321" s="40" t="s">
        <v>97</v>
      </c>
      <c r="L3321" s="40" t="s">
        <v>97</v>
      </c>
    </row>
    <row r="3322" spans="1:12" x14ac:dyDescent="0.25">
      <c r="A3322" s="40" t="s">
        <v>35</v>
      </c>
      <c r="B3322" s="40" t="s">
        <v>5480</v>
      </c>
      <c r="C3322" s="40" t="s">
        <v>6061</v>
      </c>
      <c r="D3322" s="40" t="s">
        <v>2233</v>
      </c>
      <c r="E3322" s="40" t="s">
        <v>2233</v>
      </c>
      <c r="F3322" s="40">
        <v>1</v>
      </c>
      <c r="G3322" s="40"/>
      <c r="H3322" s="40" t="s">
        <v>2234</v>
      </c>
      <c r="I3322" s="40"/>
      <c r="J3322" s="40" t="s">
        <v>97</v>
      </c>
      <c r="K3322" s="40" t="s">
        <v>97</v>
      </c>
      <c r="L3322" s="40" t="s">
        <v>97</v>
      </c>
    </row>
    <row r="3323" spans="1:12" x14ac:dyDescent="0.25">
      <c r="A3323" s="40" t="s">
        <v>35</v>
      </c>
      <c r="B3323" s="40" t="s">
        <v>5482</v>
      </c>
      <c r="C3323" s="40" t="s">
        <v>6062</v>
      </c>
      <c r="D3323" s="40" t="s">
        <v>2233</v>
      </c>
      <c r="E3323" s="40" t="s">
        <v>2233</v>
      </c>
      <c r="F3323" s="40">
        <v>1</v>
      </c>
      <c r="G3323" s="40"/>
      <c r="H3323" s="40" t="s">
        <v>2234</v>
      </c>
      <c r="I3323" s="40"/>
      <c r="J3323" s="40" t="s">
        <v>97</v>
      </c>
      <c r="K3323" s="40" t="s">
        <v>97</v>
      </c>
      <c r="L3323" s="40" t="s">
        <v>97</v>
      </c>
    </row>
    <row r="3324" spans="1:12" x14ac:dyDescent="0.25">
      <c r="A3324" s="40" t="s">
        <v>35</v>
      </c>
      <c r="B3324" s="40" t="s">
        <v>5485</v>
      </c>
      <c r="C3324" s="40" t="s">
        <v>6063</v>
      </c>
      <c r="D3324" s="40" t="s">
        <v>2233</v>
      </c>
      <c r="E3324" s="40" t="s">
        <v>2233</v>
      </c>
      <c r="F3324" s="40">
        <v>1</v>
      </c>
      <c r="G3324" s="40"/>
      <c r="H3324" s="40" t="s">
        <v>2234</v>
      </c>
      <c r="I3324" s="40"/>
      <c r="J3324" s="40" t="s">
        <v>97</v>
      </c>
      <c r="K3324" s="40" t="s">
        <v>97</v>
      </c>
      <c r="L3324" s="40" t="s">
        <v>97</v>
      </c>
    </row>
    <row r="3325" spans="1:12" x14ac:dyDescent="0.25">
      <c r="A3325" s="40" t="s">
        <v>35</v>
      </c>
      <c r="B3325" s="40" t="s">
        <v>5487</v>
      </c>
      <c r="C3325" s="40" t="s">
        <v>6064</v>
      </c>
      <c r="D3325" s="40" t="s">
        <v>2233</v>
      </c>
      <c r="E3325" s="40" t="s">
        <v>2233</v>
      </c>
      <c r="F3325" s="40">
        <v>1</v>
      </c>
      <c r="G3325" s="40"/>
      <c r="H3325" s="40" t="s">
        <v>2234</v>
      </c>
      <c r="I3325" s="40"/>
      <c r="J3325" s="40" t="s">
        <v>97</v>
      </c>
      <c r="K3325" s="40" t="s">
        <v>97</v>
      </c>
      <c r="L3325" s="40" t="s">
        <v>97</v>
      </c>
    </row>
    <row r="3326" spans="1:12" x14ac:dyDescent="0.25">
      <c r="A3326" s="40" t="s">
        <v>35</v>
      </c>
      <c r="B3326" s="40" t="s">
        <v>5490</v>
      </c>
      <c r="C3326" s="40" t="s">
        <v>6065</v>
      </c>
      <c r="D3326" s="40" t="s">
        <v>2233</v>
      </c>
      <c r="E3326" s="40" t="s">
        <v>2233</v>
      </c>
      <c r="F3326" s="40">
        <v>1</v>
      </c>
      <c r="G3326" s="40"/>
      <c r="H3326" s="40" t="s">
        <v>2234</v>
      </c>
      <c r="I3326" s="40"/>
      <c r="J3326" s="40" t="s">
        <v>97</v>
      </c>
      <c r="K3326" s="40" t="s">
        <v>97</v>
      </c>
      <c r="L3326" s="40" t="s">
        <v>97</v>
      </c>
    </row>
    <row r="3327" spans="1:12" x14ac:dyDescent="0.25">
      <c r="A3327" s="40" t="s">
        <v>18</v>
      </c>
      <c r="B3327" s="40" t="s">
        <v>2233</v>
      </c>
      <c r="C3327" s="40" t="s">
        <v>6066</v>
      </c>
      <c r="D3327" s="40" t="s">
        <v>6067</v>
      </c>
      <c r="E3327" s="40" t="s">
        <v>6068</v>
      </c>
      <c r="F3327" s="40">
        <v>0</v>
      </c>
      <c r="G3327" s="40"/>
      <c r="H3327" s="40" t="s">
        <v>97</v>
      </c>
      <c r="I3327" s="40"/>
      <c r="J3327" s="40" t="s">
        <v>97</v>
      </c>
      <c r="K3327" s="40" t="s">
        <v>97</v>
      </c>
      <c r="L3327" s="40" t="s">
        <v>97</v>
      </c>
    </row>
    <row r="3328" spans="1:12" x14ac:dyDescent="0.25">
      <c r="A3328" s="40" t="s">
        <v>18</v>
      </c>
      <c r="B3328" s="40" t="s">
        <v>2298</v>
      </c>
      <c r="C3328" s="40" t="s">
        <v>6069</v>
      </c>
      <c r="D3328" s="40" t="s">
        <v>6070</v>
      </c>
      <c r="E3328" s="40" t="s">
        <v>6070</v>
      </c>
      <c r="F3328" s="40">
        <v>1</v>
      </c>
      <c r="G3328" s="40"/>
      <c r="H3328" s="40" t="s">
        <v>2234</v>
      </c>
      <c r="I3328" s="40"/>
      <c r="J3328" s="40" t="s">
        <v>97</v>
      </c>
      <c r="K3328" s="40" t="s">
        <v>97</v>
      </c>
      <c r="L3328" s="40" t="s">
        <v>97</v>
      </c>
    </row>
    <row r="3329" spans="1:12" x14ac:dyDescent="0.25">
      <c r="A3329" s="40" t="s">
        <v>18</v>
      </c>
      <c r="B3329" s="40" t="s">
        <v>2300</v>
      </c>
      <c r="C3329" s="40" t="s">
        <v>6071</v>
      </c>
      <c r="D3329" s="40" t="s">
        <v>2233</v>
      </c>
      <c r="E3329" s="40" t="s">
        <v>2233</v>
      </c>
      <c r="F3329" s="40">
        <v>1</v>
      </c>
      <c r="G3329" s="40"/>
      <c r="H3329" s="40" t="s">
        <v>2234</v>
      </c>
      <c r="I3329" s="40"/>
      <c r="J3329" s="40" t="s">
        <v>97</v>
      </c>
      <c r="K3329" s="40" t="s">
        <v>97</v>
      </c>
      <c r="L3329" s="40" t="s">
        <v>97</v>
      </c>
    </row>
    <row r="3330" spans="1:12" x14ac:dyDescent="0.25">
      <c r="A3330" s="40" t="s">
        <v>18</v>
      </c>
      <c r="B3330" s="40" t="s">
        <v>479</v>
      </c>
      <c r="C3330" s="40" t="s">
        <v>6072</v>
      </c>
      <c r="D3330" s="40" t="s">
        <v>6073</v>
      </c>
      <c r="E3330" s="40" t="s">
        <v>2281</v>
      </c>
      <c r="F3330" s="40">
        <v>0</v>
      </c>
      <c r="G3330" s="40"/>
      <c r="H3330" s="40" t="s">
        <v>97</v>
      </c>
      <c r="I3330" s="40"/>
      <c r="J3330" s="40" t="s">
        <v>97</v>
      </c>
      <c r="K3330" s="40" t="s">
        <v>97</v>
      </c>
      <c r="L3330" s="40" t="s">
        <v>97</v>
      </c>
    </row>
    <row r="3331" spans="1:12" x14ac:dyDescent="0.25">
      <c r="A3331" s="40" t="s">
        <v>18</v>
      </c>
      <c r="B3331" s="40" t="s">
        <v>483</v>
      </c>
      <c r="C3331" s="40" t="s">
        <v>6074</v>
      </c>
      <c r="D3331" s="40" t="s">
        <v>2233</v>
      </c>
      <c r="E3331" s="40" t="s">
        <v>2233</v>
      </c>
      <c r="F3331" s="40">
        <v>1</v>
      </c>
      <c r="G3331" s="40"/>
      <c r="H3331" s="40" t="s">
        <v>97</v>
      </c>
      <c r="I3331" s="40"/>
      <c r="J3331" s="40" t="s">
        <v>97</v>
      </c>
      <c r="K3331" s="40" t="s">
        <v>97</v>
      </c>
      <c r="L3331" s="40" t="s">
        <v>97</v>
      </c>
    </row>
    <row r="3332" spans="1:12" x14ac:dyDescent="0.25">
      <c r="A3332" s="40" t="s">
        <v>18</v>
      </c>
      <c r="B3332" s="40" t="s">
        <v>494</v>
      </c>
      <c r="C3332" s="40" t="s">
        <v>6075</v>
      </c>
      <c r="D3332" s="40" t="s">
        <v>2233</v>
      </c>
      <c r="E3332" s="40" t="s">
        <v>577</v>
      </c>
      <c r="F3332" s="40">
        <v>1</v>
      </c>
      <c r="G3332" s="40"/>
      <c r="H3332" s="40" t="s">
        <v>2234</v>
      </c>
      <c r="I3332" s="40"/>
      <c r="J3332" s="40" t="s">
        <v>97</v>
      </c>
      <c r="K3332" s="40" t="s">
        <v>97</v>
      </c>
      <c r="L3332" s="40" t="s">
        <v>97</v>
      </c>
    </row>
    <row r="3333" spans="1:12" x14ac:dyDescent="0.25">
      <c r="A3333" s="40" t="s">
        <v>18</v>
      </c>
      <c r="B3333" s="40" t="s">
        <v>496</v>
      </c>
      <c r="C3333" s="40" t="s">
        <v>6076</v>
      </c>
      <c r="D3333" s="40" t="s">
        <v>2233</v>
      </c>
      <c r="E3333" s="40" t="s">
        <v>2233</v>
      </c>
      <c r="F3333" s="40">
        <v>1</v>
      </c>
      <c r="G3333" s="40"/>
      <c r="H3333" s="40" t="s">
        <v>97</v>
      </c>
      <c r="I3333" s="40"/>
      <c r="J3333" s="40" t="s">
        <v>97</v>
      </c>
      <c r="K3333" s="40" t="s">
        <v>97</v>
      </c>
      <c r="L3333" s="40" t="s">
        <v>97</v>
      </c>
    </row>
    <row r="3334" spans="1:12" x14ac:dyDescent="0.25">
      <c r="A3334" s="40" t="s">
        <v>18</v>
      </c>
      <c r="B3334" s="40" t="s">
        <v>1302</v>
      </c>
      <c r="C3334" s="40" t="s">
        <v>6077</v>
      </c>
      <c r="D3334" s="40" t="s">
        <v>535</v>
      </c>
      <c r="E3334" s="40" t="s">
        <v>535</v>
      </c>
      <c r="F3334" s="40">
        <v>1</v>
      </c>
      <c r="G3334" s="40"/>
      <c r="H3334" s="40" t="s">
        <v>2234</v>
      </c>
      <c r="I3334" s="40"/>
      <c r="J3334" s="40" t="s">
        <v>97</v>
      </c>
      <c r="K3334" s="40" t="s">
        <v>97</v>
      </c>
      <c r="L3334" s="40" t="s">
        <v>97</v>
      </c>
    </row>
    <row r="3335" spans="1:12" x14ac:dyDescent="0.25">
      <c r="A3335" s="40" t="s">
        <v>18</v>
      </c>
      <c r="B3335" s="40" t="s">
        <v>1304</v>
      </c>
      <c r="C3335" s="40" t="s">
        <v>6078</v>
      </c>
      <c r="D3335" s="40" t="s">
        <v>2233</v>
      </c>
      <c r="E3335" s="40" t="s">
        <v>2233</v>
      </c>
      <c r="F3335" s="40">
        <v>1</v>
      </c>
      <c r="G3335" s="40"/>
      <c r="H3335" s="40" t="s">
        <v>97</v>
      </c>
      <c r="I3335" s="40"/>
      <c r="J3335" s="40" t="s">
        <v>97</v>
      </c>
      <c r="K3335" s="40" t="s">
        <v>97</v>
      </c>
      <c r="L3335" s="40" t="s">
        <v>97</v>
      </c>
    </row>
    <row r="3336" spans="1:12" x14ac:dyDescent="0.25">
      <c r="A3336" s="40" t="s">
        <v>18</v>
      </c>
      <c r="B3336" s="40" t="s">
        <v>2311</v>
      </c>
      <c r="C3336" s="40" t="s">
        <v>6079</v>
      </c>
      <c r="D3336" s="40" t="s">
        <v>2470</v>
      </c>
      <c r="E3336" s="40" t="s">
        <v>2945</v>
      </c>
      <c r="F3336" s="40">
        <v>1</v>
      </c>
      <c r="G3336" s="40"/>
      <c r="H3336" s="40" t="s">
        <v>2234</v>
      </c>
      <c r="I3336" s="40"/>
      <c r="J3336" s="40" t="s">
        <v>97</v>
      </c>
      <c r="K3336" s="40" t="s">
        <v>97</v>
      </c>
      <c r="L3336" s="40" t="s">
        <v>97</v>
      </c>
    </row>
    <row r="3337" spans="1:12" x14ac:dyDescent="0.25">
      <c r="A3337" s="40" t="s">
        <v>18</v>
      </c>
      <c r="B3337" s="40" t="s">
        <v>498</v>
      </c>
      <c r="C3337" s="40" t="s">
        <v>6080</v>
      </c>
      <c r="D3337" s="40" t="s">
        <v>2233</v>
      </c>
      <c r="E3337" s="40" t="s">
        <v>2233</v>
      </c>
      <c r="F3337" s="40">
        <v>1</v>
      </c>
      <c r="G3337" s="40"/>
      <c r="H3337" s="40" t="s">
        <v>97</v>
      </c>
      <c r="I3337" s="40"/>
      <c r="J3337" s="40" t="s">
        <v>97</v>
      </c>
      <c r="K3337" s="40" t="s">
        <v>97</v>
      </c>
      <c r="L3337" s="40" t="s">
        <v>97</v>
      </c>
    </row>
    <row r="3338" spans="1:12" x14ac:dyDescent="0.25">
      <c r="A3338" s="40" t="s">
        <v>18</v>
      </c>
      <c r="B3338" s="40" t="s">
        <v>1316</v>
      </c>
      <c r="C3338" s="40" t="s">
        <v>6081</v>
      </c>
      <c r="D3338" s="40" t="s">
        <v>2248</v>
      </c>
      <c r="E3338" s="40" t="s">
        <v>2248</v>
      </c>
      <c r="F3338" s="40">
        <v>1</v>
      </c>
      <c r="G3338" s="40"/>
      <c r="H3338" s="40" t="s">
        <v>2234</v>
      </c>
      <c r="I3338" s="40"/>
      <c r="J3338" s="40" t="s">
        <v>97</v>
      </c>
      <c r="K3338" s="40" t="s">
        <v>97</v>
      </c>
      <c r="L3338" s="40" t="s">
        <v>97</v>
      </c>
    </row>
    <row r="3339" spans="1:12" x14ac:dyDescent="0.25">
      <c r="A3339" s="40" t="s">
        <v>18</v>
      </c>
      <c r="B3339" s="40" t="s">
        <v>502</v>
      </c>
      <c r="C3339" s="40" t="s">
        <v>6082</v>
      </c>
      <c r="D3339" s="40" t="s">
        <v>3048</v>
      </c>
      <c r="E3339" s="40" t="s">
        <v>3048</v>
      </c>
      <c r="F3339" s="40">
        <v>1</v>
      </c>
      <c r="G3339" s="40"/>
      <c r="H3339" s="40" t="s">
        <v>2234</v>
      </c>
      <c r="I3339" s="40"/>
      <c r="J3339" s="40" t="s">
        <v>97</v>
      </c>
      <c r="K3339" s="40" t="s">
        <v>97</v>
      </c>
      <c r="L3339" s="40" t="s">
        <v>97</v>
      </c>
    </row>
    <row r="3340" spans="1:12" x14ac:dyDescent="0.25">
      <c r="A3340" s="40" t="s">
        <v>18</v>
      </c>
      <c r="B3340" s="40" t="s">
        <v>518</v>
      </c>
      <c r="C3340" s="40" t="s">
        <v>6083</v>
      </c>
      <c r="D3340" s="40" t="s">
        <v>2233</v>
      </c>
      <c r="E3340" s="40" t="s">
        <v>2233</v>
      </c>
      <c r="F3340" s="40">
        <v>1</v>
      </c>
      <c r="G3340" s="40"/>
      <c r="H3340" s="40" t="s">
        <v>2234</v>
      </c>
      <c r="I3340" s="40"/>
      <c r="J3340" s="40" t="s">
        <v>97</v>
      </c>
      <c r="K3340" s="40" t="s">
        <v>97</v>
      </c>
      <c r="L3340" s="40" t="s">
        <v>97</v>
      </c>
    </row>
    <row r="3341" spans="1:12" x14ac:dyDescent="0.25">
      <c r="A3341" s="40" t="s">
        <v>18</v>
      </c>
      <c r="B3341" s="40" t="s">
        <v>521</v>
      </c>
      <c r="C3341" s="40" t="s">
        <v>6084</v>
      </c>
      <c r="D3341" s="40" t="s">
        <v>2233</v>
      </c>
      <c r="E3341" s="40" t="s">
        <v>2233</v>
      </c>
      <c r="F3341" s="40">
        <v>1</v>
      </c>
      <c r="G3341" s="40"/>
      <c r="H3341" s="40" t="s">
        <v>97</v>
      </c>
      <c r="I3341" s="40"/>
      <c r="J3341" s="40" t="s">
        <v>97</v>
      </c>
      <c r="K3341" s="40" t="s">
        <v>97</v>
      </c>
      <c r="L3341" s="40" t="s">
        <v>97</v>
      </c>
    </row>
    <row r="3342" spans="1:12" x14ac:dyDescent="0.25">
      <c r="A3342" s="40" t="s">
        <v>18</v>
      </c>
      <c r="B3342" s="40" t="s">
        <v>523</v>
      </c>
      <c r="C3342" s="40" t="s">
        <v>6085</v>
      </c>
      <c r="D3342" s="40" t="s">
        <v>2233</v>
      </c>
      <c r="E3342" s="40" t="s">
        <v>2233</v>
      </c>
      <c r="F3342" s="40">
        <v>1</v>
      </c>
      <c r="G3342" s="40"/>
      <c r="H3342" s="40" t="s">
        <v>2234</v>
      </c>
      <c r="I3342" s="40"/>
      <c r="J3342" s="40" t="s">
        <v>97</v>
      </c>
      <c r="K3342" s="40" t="s">
        <v>97</v>
      </c>
      <c r="L3342" s="40" t="s">
        <v>97</v>
      </c>
    </row>
    <row r="3343" spans="1:12" x14ac:dyDescent="0.25">
      <c r="A3343" s="40" t="s">
        <v>18</v>
      </c>
      <c r="B3343" s="40" t="s">
        <v>527</v>
      </c>
      <c r="C3343" s="40" t="s">
        <v>6086</v>
      </c>
      <c r="D3343" s="40" t="s">
        <v>2233</v>
      </c>
      <c r="E3343" s="40" t="s">
        <v>2233</v>
      </c>
      <c r="F3343" s="40">
        <v>1</v>
      </c>
      <c r="G3343" s="40"/>
      <c r="H3343" s="40" t="s">
        <v>2234</v>
      </c>
      <c r="I3343" s="40"/>
      <c r="J3343" s="40" t="s">
        <v>97</v>
      </c>
      <c r="K3343" s="40" t="s">
        <v>97</v>
      </c>
      <c r="L3343" s="40" t="s">
        <v>97</v>
      </c>
    </row>
    <row r="3344" spans="1:12" x14ac:dyDescent="0.25">
      <c r="A3344" s="40" t="s">
        <v>18</v>
      </c>
      <c r="B3344" s="40" t="s">
        <v>529</v>
      </c>
      <c r="C3344" s="40" t="s">
        <v>6087</v>
      </c>
      <c r="D3344" s="40" t="s">
        <v>2281</v>
      </c>
      <c r="E3344" s="40" t="s">
        <v>2281</v>
      </c>
      <c r="F3344" s="40">
        <v>1</v>
      </c>
      <c r="G3344" s="40"/>
      <c r="H3344" s="40" t="s">
        <v>2234</v>
      </c>
      <c r="I3344" s="40"/>
      <c r="J3344" s="40" t="s">
        <v>97</v>
      </c>
      <c r="K3344" s="40" t="s">
        <v>97</v>
      </c>
      <c r="L3344" s="40" t="s">
        <v>97</v>
      </c>
    </row>
    <row r="3345" spans="1:12" x14ac:dyDescent="0.25">
      <c r="A3345" s="40" t="s">
        <v>18</v>
      </c>
      <c r="B3345" s="40" t="s">
        <v>531</v>
      </c>
      <c r="C3345" s="40" t="s">
        <v>6088</v>
      </c>
      <c r="D3345" s="40" t="s">
        <v>2233</v>
      </c>
      <c r="E3345" s="40" t="s">
        <v>2233</v>
      </c>
      <c r="F3345" s="40">
        <v>1</v>
      </c>
      <c r="G3345" s="40"/>
      <c r="H3345" s="40" t="s">
        <v>2234</v>
      </c>
      <c r="I3345" s="40"/>
      <c r="J3345" s="40" t="s">
        <v>97</v>
      </c>
      <c r="K3345" s="40" t="s">
        <v>97</v>
      </c>
      <c r="L3345" s="40" t="s">
        <v>97</v>
      </c>
    </row>
    <row r="3346" spans="1:12" x14ac:dyDescent="0.25">
      <c r="A3346" s="40" t="s">
        <v>18</v>
      </c>
      <c r="B3346" s="40" t="s">
        <v>533</v>
      </c>
      <c r="C3346" s="40" t="s">
        <v>6089</v>
      </c>
      <c r="D3346" s="40" t="s">
        <v>2233</v>
      </c>
      <c r="E3346" s="40" t="s">
        <v>2233</v>
      </c>
      <c r="F3346" s="40">
        <v>1</v>
      </c>
      <c r="G3346" s="40"/>
      <c r="H3346" s="40" t="s">
        <v>2234</v>
      </c>
      <c r="I3346" s="40"/>
      <c r="J3346" s="40" t="s">
        <v>97</v>
      </c>
      <c r="K3346" s="40" t="s">
        <v>97</v>
      </c>
      <c r="L3346" s="40" t="s">
        <v>97</v>
      </c>
    </row>
    <row r="3347" spans="1:12" x14ac:dyDescent="0.25">
      <c r="A3347" s="40" t="s">
        <v>18</v>
      </c>
      <c r="B3347" s="40" t="s">
        <v>535</v>
      </c>
      <c r="C3347" s="40" t="s">
        <v>6090</v>
      </c>
      <c r="D3347" s="40" t="s">
        <v>2233</v>
      </c>
      <c r="E3347" s="40" t="s">
        <v>2233</v>
      </c>
      <c r="F3347" s="40">
        <v>1</v>
      </c>
      <c r="G3347" s="40"/>
      <c r="H3347" s="40" t="s">
        <v>2234</v>
      </c>
      <c r="I3347" s="40"/>
      <c r="J3347" s="40" t="s">
        <v>97</v>
      </c>
      <c r="K3347" s="40" t="s">
        <v>97</v>
      </c>
      <c r="L3347" s="40" t="s">
        <v>97</v>
      </c>
    </row>
    <row r="3348" spans="1:12" x14ac:dyDescent="0.25">
      <c r="A3348" s="40" t="s">
        <v>17</v>
      </c>
      <c r="B3348" s="40" t="s">
        <v>2298</v>
      </c>
      <c r="C3348" s="40" t="s">
        <v>6091</v>
      </c>
      <c r="D3348" s="40" t="s">
        <v>6092</v>
      </c>
      <c r="E3348" s="40" t="s">
        <v>2233</v>
      </c>
      <c r="F3348" s="40">
        <v>0</v>
      </c>
      <c r="G3348" s="40"/>
      <c r="H3348" s="40" t="s">
        <v>97</v>
      </c>
      <c r="I3348" s="40"/>
      <c r="J3348" s="40" t="s">
        <v>97</v>
      </c>
      <c r="K3348" s="40" t="s">
        <v>97</v>
      </c>
      <c r="L3348" s="40" t="s">
        <v>97</v>
      </c>
    </row>
    <row r="3349" spans="1:12" x14ac:dyDescent="0.25">
      <c r="A3349" s="40" t="s">
        <v>17</v>
      </c>
      <c r="B3349" s="40" t="s">
        <v>2300</v>
      </c>
      <c r="C3349" s="40" t="s">
        <v>6093</v>
      </c>
      <c r="D3349" s="40" t="s">
        <v>2233</v>
      </c>
      <c r="E3349" s="40" t="s">
        <v>2233</v>
      </c>
      <c r="F3349" s="40">
        <v>1</v>
      </c>
      <c r="G3349" s="40"/>
      <c r="H3349" s="40" t="s">
        <v>2234</v>
      </c>
      <c r="I3349" s="40"/>
      <c r="J3349" s="40" t="s">
        <v>97</v>
      </c>
      <c r="K3349" s="40" t="s">
        <v>97</v>
      </c>
      <c r="L3349" s="40" t="s">
        <v>97</v>
      </c>
    </row>
    <row r="3350" spans="1:12" x14ac:dyDescent="0.25">
      <c r="A3350" s="40" t="s">
        <v>17</v>
      </c>
      <c r="B3350" s="40" t="s">
        <v>479</v>
      </c>
      <c r="C3350" s="40" t="s">
        <v>6094</v>
      </c>
      <c r="D3350" s="40" t="s">
        <v>483</v>
      </c>
      <c r="E3350" s="40" t="s">
        <v>483</v>
      </c>
      <c r="F3350" s="40">
        <v>1</v>
      </c>
      <c r="G3350" s="40"/>
      <c r="H3350" s="40" t="s">
        <v>2234</v>
      </c>
      <c r="I3350" s="40"/>
      <c r="J3350" s="40" t="s">
        <v>97</v>
      </c>
      <c r="K3350" s="40" t="s">
        <v>97</v>
      </c>
      <c r="L3350" s="40" t="s">
        <v>97</v>
      </c>
    </row>
    <row r="3351" spans="1:12" x14ac:dyDescent="0.25">
      <c r="A3351" s="40" t="s">
        <v>17</v>
      </c>
      <c r="B3351" s="40" t="s">
        <v>483</v>
      </c>
      <c r="C3351" s="40" t="s">
        <v>6095</v>
      </c>
      <c r="D3351" s="40" t="s">
        <v>2233</v>
      </c>
      <c r="E3351" s="40" t="s">
        <v>2233</v>
      </c>
      <c r="F3351" s="40">
        <v>1</v>
      </c>
      <c r="G3351" s="40"/>
      <c r="H3351" s="40" t="s">
        <v>2234</v>
      </c>
      <c r="I3351" s="40"/>
      <c r="J3351" s="40" t="s">
        <v>97</v>
      </c>
      <c r="K3351" s="40" t="s">
        <v>97</v>
      </c>
      <c r="L3351" s="40" t="s">
        <v>97</v>
      </c>
    </row>
    <row r="3352" spans="1:12" x14ac:dyDescent="0.25">
      <c r="A3352" s="40" t="s">
        <v>17</v>
      </c>
      <c r="B3352" s="40" t="s">
        <v>487</v>
      </c>
      <c r="C3352" s="40" t="s">
        <v>6096</v>
      </c>
      <c r="D3352" s="40" t="s">
        <v>2233</v>
      </c>
      <c r="E3352" s="40" t="s">
        <v>2233</v>
      </c>
      <c r="F3352" s="40">
        <v>1</v>
      </c>
      <c r="G3352" s="40"/>
      <c r="H3352" s="40" t="s">
        <v>2234</v>
      </c>
      <c r="I3352" s="40"/>
      <c r="J3352" s="40" t="s">
        <v>97</v>
      </c>
      <c r="K3352" s="40" t="s">
        <v>97</v>
      </c>
      <c r="L3352" s="40" t="s">
        <v>97</v>
      </c>
    </row>
    <row r="3353" spans="1:12" x14ac:dyDescent="0.25">
      <c r="A3353" s="40" t="s">
        <v>17</v>
      </c>
      <c r="B3353" s="40" t="s">
        <v>491</v>
      </c>
      <c r="C3353" s="40" t="s">
        <v>6097</v>
      </c>
      <c r="D3353" s="40" t="s">
        <v>2233</v>
      </c>
      <c r="E3353" s="40" t="s">
        <v>2233</v>
      </c>
      <c r="F3353" s="40">
        <v>1</v>
      </c>
      <c r="G3353" s="40"/>
      <c r="H3353" s="40" t="s">
        <v>2234</v>
      </c>
      <c r="I3353" s="40"/>
      <c r="J3353" s="40" t="s">
        <v>97</v>
      </c>
      <c r="K3353" s="40" t="s">
        <v>97</v>
      </c>
      <c r="L3353" s="40" t="s">
        <v>97</v>
      </c>
    </row>
    <row r="3354" spans="1:12" x14ac:dyDescent="0.25">
      <c r="A3354" s="40" t="s">
        <v>17</v>
      </c>
      <c r="B3354" s="40" t="s">
        <v>494</v>
      </c>
      <c r="C3354" s="40" t="s">
        <v>6098</v>
      </c>
      <c r="D3354" s="40" t="s">
        <v>2233</v>
      </c>
      <c r="E3354" s="40" t="s">
        <v>2233</v>
      </c>
      <c r="F3354" s="40">
        <v>1</v>
      </c>
      <c r="G3354" s="40"/>
      <c r="H3354" s="40" t="s">
        <v>97</v>
      </c>
      <c r="I3354" s="40"/>
      <c r="J3354" s="40" t="s">
        <v>97</v>
      </c>
      <c r="K3354" s="40" t="s">
        <v>97</v>
      </c>
      <c r="L3354" s="40" t="s">
        <v>97</v>
      </c>
    </row>
    <row r="3355" spans="1:12" x14ac:dyDescent="0.25">
      <c r="A3355" s="40" t="s">
        <v>17</v>
      </c>
      <c r="B3355" s="40" t="s">
        <v>496</v>
      </c>
      <c r="C3355" s="40" t="s">
        <v>6099</v>
      </c>
      <c r="D3355" s="40" t="s">
        <v>2233</v>
      </c>
      <c r="E3355" s="40" t="s">
        <v>2233</v>
      </c>
      <c r="F3355" s="40">
        <v>1</v>
      </c>
      <c r="G3355" s="40"/>
      <c r="H3355" s="40" t="s">
        <v>2234</v>
      </c>
      <c r="I3355" s="40"/>
      <c r="J3355" s="40" t="s">
        <v>97</v>
      </c>
      <c r="K3355" s="40" t="s">
        <v>97</v>
      </c>
      <c r="L3355" s="40" t="s">
        <v>97</v>
      </c>
    </row>
    <row r="3356" spans="1:12" x14ac:dyDescent="0.25">
      <c r="A3356" s="40" t="s">
        <v>17</v>
      </c>
      <c r="B3356" s="40" t="s">
        <v>1297</v>
      </c>
      <c r="C3356" s="40" t="s">
        <v>6100</v>
      </c>
      <c r="D3356" s="40" t="s">
        <v>2233</v>
      </c>
      <c r="E3356" s="40" t="s">
        <v>2233</v>
      </c>
      <c r="F3356" s="40">
        <v>1</v>
      </c>
      <c r="G3356" s="40"/>
      <c r="H3356" s="40" t="s">
        <v>2234</v>
      </c>
      <c r="I3356" s="40"/>
      <c r="J3356" s="40" t="s">
        <v>97</v>
      </c>
      <c r="K3356" s="40" t="s">
        <v>97</v>
      </c>
      <c r="L3356" s="40" t="s">
        <v>97</v>
      </c>
    </row>
    <row r="3357" spans="1:12" x14ac:dyDescent="0.25">
      <c r="A3357" s="40" t="s">
        <v>17</v>
      </c>
      <c r="B3357" s="40" t="s">
        <v>1300</v>
      </c>
      <c r="C3357" s="40" t="s">
        <v>6101</v>
      </c>
      <c r="D3357" s="40" t="s">
        <v>2233</v>
      </c>
      <c r="E3357" s="40" t="s">
        <v>2233</v>
      </c>
      <c r="F3357" s="40">
        <v>1</v>
      </c>
      <c r="G3357" s="40"/>
      <c r="H3357" s="40" t="s">
        <v>2234</v>
      </c>
      <c r="I3357" s="40"/>
      <c r="J3357" s="40" t="s">
        <v>97</v>
      </c>
      <c r="K3357" s="40" t="s">
        <v>97</v>
      </c>
      <c r="L3357" s="40" t="s">
        <v>97</v>
      </c>
    </row>
    <row r="3358" spans="1:12" x14ac:dyDescent="0.25">
      <c r="A3358" s="40" t="s">
        <v>17</v>
      </c>
      <c r="B3358" s="40" t="s">
        <v>1302</v>
      </c>
      <c r="C3358" s="40" t="s">
        <v>6102</v>
      </c>
      <c r="D3358" s="40" t="s">
        <v>2233</v>
      </c>
      <c r="E3358" s="40" t="s">
        <v>2233</v>
      </c>
      <c r="F3358" s="40">
        <v>1</v>
      </c>
      <c r="G3358" s="40"/>
      <c r="H3358" s="40" t="s">
        <v>2234</v>
      </c>
      <c r="I3358" s="40"/>
      <c r="J3358" s="40" t="s">
        <v>97</v>
      </c>
      <c r="K3358" s="40" t="s">
        <v>97</v>
      </c>
      <c r="L3358" s="40" t="s">
        <v>97</v>
      </c>
    </row>
    <row r="3359" spans="1:12" x14ac:dyDescent="0.25">
      <c r="A3359" s="40" t="s">
        <v>17</v>
      </c>
      <c r="B3359" s="40" t="s">
        <v>1304</v>
      </c>
      <c r="C3359" s="40" t="s">
        <v>6103</v>
      </c>
      <c r="D3359" s="40" t="s">
        <v>2233</v>
      </c>
      <c r="E3359" s="40" t="s">
        <v>2233</v>
      </c>
      <c r="F3359" s="40">
        <v>1</v>
      </c>
      <c r="G3359" s="40"/>
      <c r="H3359" s="40" t="s">
        <v>2234</v>
      </c>
      <c r="I3359" s="40"/>
      <c r="J3359" s="40" t="s">
        <v>97</v>
      </c>
      <c r="K3359" s="40" t="s">
        <v>97</v>
      </c>
      <c r="L3359" s="40" t="s">
        <v>97</v>
      </c>
    </row>
    <row r="3360" spans="1:12" x14ac:dyDescent="0.25">
      <c r="A3360" s="40" t="s">
        <v>17</v>
      </c>
      <c r="B3360" s="40" t="s">
        <v>1307</v>
      </c>
      <c r="C3360" s="40" t="s">
        <v>6104</v>
      </c>
      <c r="D3360" s="40" t="s">
        <v>2233</v>
      </c>
      <c r="E3360" s="40" t="s">
        <v>2233</v>
      </c>
      <c r="F3360" s="40">
        <v>1</v>
      </c>
      <c r="G3360" s="40"/>
      <c r="H3360" s="40" t="s">
        <v>2234</v>
      </c>
      <c r="I3360" s="40"/>
      <c r="J3360" s="40" t="s">
        <v>97</v>
      </c>
      <c r="K3360" s="40" t="s">
        <v>97</v>
      </c>
      <c r="L3360" s="40" t="s">
        <v>97</v>
      </c>
    </row>
    <row r="3361" spans="1:12" x14ac:dyDescent="0.25">
      <c r="A3361" s="40" t="s">
        <v>17</v>
      </c>
      <c r="B3361" s="40" t="s">
        <v>1309</v>
      </c>
      <c r="C3361" s="40" t="s">
        <v>6105</v>
      </c>
      <c r="D3361" s="40" t="s">
        <v>2233</v>
      </c>
      <c r="E3361" s="40" t="s">
        <v>2233</v>
      </c>
      <c r="F3361" s="40">
        <v>1</v>
      </c>
      <c r="G3361" s="40"/>
      <c r="H3361" s="40" t="s">
        <v>2234</v>
      </c>
      <c r="I3361" s="40"/>
      <c r="J3361" s="40" t="s">
        <v>97</v>
      </c>
      <c r="K3361" s="40" t="s">
        <v>97</v>
      </c>
      <c r="L3361" s="40" t="s">
        <v>97</v>
      </c>
    </row>
    <row r="3362" spans="1:12" x14ac:dyDescent="0.25">
      <c r="A3362" s="40" t="s">
        <v>17</v>
      </c>
      <c r="B3362" s="40" t="s">
        <v>2311</v>
      </c>
      <c r="C3362" s="40" t="s">
        <v>6106</v>
      </c>
      <c r="D3362" s="40" t="s">
        <v>2233</v>
      </c>
      <c r="E3362" s="40" t="s">
        <v>2233</v>
      </c>
      <c r="F3362" s="40">
        <v>1</v>
      </c>
      <c r="G3362" s="40"/>
      <c r="H3362" s="40" t="s">
        <v>2234</v>
      </c>
      <c r="I3362" s="40"/>
      <c r="J3362" s="40" t="s">
        <v>97</v>
      </c>
      <c r="K3362" s="40" t="s">
        <v>97</v>
      </c>
      <c r="L3362" s="40" t="s">
        <v>97</v>
      </c>
    </row>
    <row r="3363" spans="1:12" x14ac:dyDescent="0.25">
      <c r="A3363" s="40" t="s">
        <v>17</v>
      </c>
      <c r="B3363" s="40" t="s">
        <v>498</v>
      </c>
      <c r="C3363" s="40" t="s">
        <v>6107</v>
      </c>
      <c r="D3363" s="40" t="s">
        <v>2233</v>
      </c>
      <c r="E3363" s="40" t="s">
        <v>2233</v>
      </c>
      <c r="F3363" s="40">
        <v>1</v>
      </c>
      <c r="G3363" s="40"/>
      <c r="H3363" s="40" t="s">
        <v>2234</v>
      </c>
      <c r="I3363" s="40"/>
      <c r="J3363" s="40" t="s">
        <v>97</v>
      </c>
      <c r="K3363" s="40" t="s">
        <v>97</v>
      </c>
      <c r="L3363" s="40" t="s">
        <v>97</v>
      </c>
    </row>
    <row r="3364" spans="1:12" x14ac:dyDescent="0.25">
      <c r="A3364" s="40" t="s">
        <v>17</v>
      </c>
      <c r="B3364" s="40" t="s">
        <v>500</v>
      </c>
      <c r="C3364" s="40" t="s">
        <v>6108</v>
      </c>
      <c r="D3364" s="40" t="s">
        <v>2233</v>
      </c>
      <c r="E3364" s="40" t="s">
        <v>2233</v>
      </c>
      <c r="F3364" s="40">
        <v>1</v>
      </c>
      <c r="G3364" s="40"/>
      <c r="H3364" s="40" t="s">
        <v>2234</v>
      </c>
      <c r="I3364" s="40"/>
      <c r="J3364" s="40" t="s">
        <v>97</v>
      </c>
      <c r="K3364" s="40" t="s">
        <v>97</v>
      </c>
      <c r="L3364" s="40" t="s">
        <v>97</v>
      </c>
    </row>
    <row r="3365" spans="1:12" x14ac:dyDescent="0.25">
      <c r="A3365" s="40" t="s">
        <v>17</v>
      </c>
      <c r="B3365" s="40" t="s">
        <v>2239</v>
      </c>
      <c r="C3365" s="40" t="s">
        <v>6109</v>
      </c>
      <c r="D3365" s="40" t="s">
        <v>2233</v>
      </c>
      <c r="E3365" s="40" t="s">
        <v>2233</v>
      </c>
      <c r="F3365" s="40">
        <v>1</v>
      </c>
      <c r="G3365" s="40"/>
      <c r="H3365" s="40" t="s">
        <v>2234</v>
      </c>
      <c r="I3365" s="40"/>
      <c r="J3365" s="40" t="s">
        <v>97</v>
      </c>
      <c r="K3365" s="40" t="s">
        <v>97</v>
      </c>
      <c r="L3365" s="40" t="s">
        <v>97</v>
      </c>
    </row>
    <row r="3366" spans="1:12" x14ac:dyDescent="0.25">
      <c r="A3366" s="40" t="s">
        <v>17</v>
      </c>
      <c r="B3366" s="40" t="s">
        <v>1316</v>
      </c>
      <c r="C3366" s="40" t="s">
        <v>6110</v>
      </c>
      <c r="D3366" s="40" t="s">
        <v>2233</v>
      </c>
      <c r="E3366" s="40" t="s">
        <v>2233</v>
      </c>
      <c r="F3366" s="40">
        <v>1</v>
      </c>
      <c r="G3366" s="40"/>
      <c r="H3366" s="40" t="s">
        <v>2234</v>
      </c>
      <c r="I3366" s="40"/>
      <c r="J3366" s="40" t="s">
        <v>97</v>
      </c>
      <c r="K3366" s="40" t="s">
        <v>97</v>
      </c>
      <c r="L3366" s="40" t="s">
        <v>97</v>
      </c>
    </row>
    <row r="3367" spans="1:12" x14ac:dyDescent="0.25">
      <c r="A3367" s="40" t="s">
        <v>17</v>
      </c>
      <c r="B3367" s="40" t="s">
        <v>502</v>
      </c>
      <c r="C3367" s="40" t="s">
        <v>6111</v>
      </c>
      <c r="D3367" s="40" t="s">
        <v>2233</v>
      </c>
      <c r="E3367" s="40" t="s">
        <v>2233</v>
      </c>
      <c r="F3367" s="40">
        <v>1</v>
      </c>
      <c r="G3367" s="40"/>
      <c r="H3367" s="40" t="s">
        <v>2234</v>
      </c>
      <c r="I3367" s="40"/>
      <c r="J3367" s="40" t="s">
        <v>97</v>
      </c>
      <c r="K3367" s="40" t="s">
        <v>97</v>
      </c>
      <c r="L3367" s="40" t="s">
        <v>97</v>
      </c>
    </row>
    <row r="3368" spans="1:12" x14ac:dyDescent="0.25">
      <c r="A3368" s="40" t="s">
        <v>17</v>
      </c>
      <c r="B3368" s="40" t="s">
        <v>506</v>
      </c>
      <c r="C3368" s="40" t="s">
        <v>6112</v>
      </c>
      <c r="D3368" s="40" t="s">
        <v>2233</v>
      </c>
      <c r="E3368" s="40" t="s">
        <v>2233</v>
      </c>
      <c r="F3368" s="40">
        <v>1</v>
      </c>
      <c r="G3368" s="40"/>
      <c r="H3368" s="40" t="s">
        <v>2234</v>
      </c>
      <c r="I3368" s="40"/>
      <c r="J3368" s="40" t="s">
        <v>97</v>
      </c>
      <c r="K3368" s="40" t="s">
        <v>97</v>
      </c>
      <c r="L3368" s="40" t="s">
        <v>97</v>
      </c>
    </row>
    <row r="3369" spans="1:12" x14ac:dyDescent="0.25">
      <c r="A3369" s="40" t="s">
        <v>17</v>
      </c>
      <c r="B3369" s="40" t="s">
        <v>510</v>
      </c>
      <c r="C3369" s="40" t="s">
        <v>6113</v>
      </c>
      <c r="D3369" s="40" t="s">
        <v>2233</v>
      </c>
      <c r="E3369" s="40" t="s">
        <v>2233</v>
      </c>
      <c r="F3369" s="40">
        <v>1</v>
      </c>
      <c r="G3369" s="40"/>
      <c r="H3369" s="40" t="s">
        <v>2234</v>
      </c>
      <c r="I3369" s="40"/>
      <c r="J3369" s="40" t="s">
        <v>97</v>
      </c>
      <c r="K3369" s="40" t="s">
        <v>97</v>
      </c>
      <c r="L3369" s="40" t="s">
        <v>97</v>
      </c>
    </row>
    <row r="3370" spans="1:12" x14ac:dyDescent="0.25">
      <c r="A3370" s="40" t="s">
        <v>17</v>
      </c>
      <c r="B3370" s="40" t="s">
        <v>514</v>
      </c>
      <c r="C3370" s="40" t="s">
        <v>6114</v>
      </c>
      <c r="D3370" s="40" t="s">
        <v>2233</v>
      </c>
      <c r="E3370" s="40" t="s">
        <v>2233</v>
      </c>
      <c r="F3370" s="40">
        <v>1</v>
      </c>
      <c r="G3370" s="40"/>
      <c r="H3370" s="40" t="s">
        <v>2234</v>
      </c>
      <c r="I3370" s="40"/>
      <c r="J3370" s="40" t="s">
        <v>97</v>
      </c>
      <c r="K3370" s="40" t="s">
        <v>97</v>
      </c>
      <c r="L3370" s="40" t="s">
        <v>97</v>
      </c>
    </row>
    <row r="3371" spans="1:12" x14ac:dyDescent="0.25">
      <c r="A3371" s="40" t="s">
        <v>17</v>
      </c>
      <c r="B3371" s="40" t="s">
        <v>518</v>
      </c>
      <c r="C3371" s="40" t="s">
        <v>6115</v>
      </c>
      <c r="D3371" s="40" t="s">
        <v>2233</v>
      </c>
      <c r="E3371" s="40" t="s">
        <v>2233</v>
      </c>
      <c r="F3371" s="40">
        <v>1</v>
      </c>
      <c r="G3371" s="40"/>
      <c r="H3371" s="40" t="s">
        <v>97</v>
      </c>
      <c r="I3371" s="40"/>
      <c r="J3371" s="40" t="s">
        <v>97</v>
      </c>
      <c r="K3371" s="40" t="s">
        <v>97</v>
      </c>
      <c r="L3371" s="40" t="s">
        <v>97</v>
      </c>
    </row>
    <row r="3372" spans="1:12" x14ac:dyDescent="0.25">
      <c r="A3372" s="40" t="s">
        <v>17</v>
      </c>
      <c r="B3372" s="40" t="s">
        <v>521</v>
      </c>
      <c r="C3372" s="40" t="s">
        <v>6116</v>
      </c>
      <c r="D3372" s="40" t="s">
        <v>2233</v>
      </c>
      <c r="E3372" s="40" t="s">
        <v>2233</v>
      </c>
      <c r="F3372" s="40">
        <v>1</v>
      </c>
      <c r="G3372" s="40"/>
      <c r="H3372" s="40" t="s">
        <v>97</v>
      </c>
      <c r="I3372" s="40"/>
      <c r="J3372" s="40" t="s">
        <v>97</v>
      </c>
      <c r="K3372" s="40" t="s">
        <v>97</v>
      </c>
      <c r="L3372" s="40" t="s">
        <v>97</v>
      </c>
    </row>
    <row r="3373" spans="1:12" x14ac:dyDescent="0.25">
      <c r="A3373" s="40" t="s">
        <v>17</v>
      </c>
      <c r="B3373" s="40" t="s">
        <v>523</v>
      </c>
      <c r="C3373" s="40" t="s">
        <v>6117</v>
      </c>
      <c r="D3373" s="40" t="s">
        <v>2233</v>
      </c>
      <c r="E3373" s="40" t="s">
        <v>2233</v>
      </c>
      <c r="F3373" s="40">
        <v>1</v>
      </c>
      <c r="G3373" s="40"/>
      <c r="H3373" s="40" t="s">
        <v>97</v>
      </c>
      <c r="I3373" s="40"/>
      <c r="J3373" s="40" t="s">
        <v>97</v>
      </c>
      <c r="K3373" s="40" t="s">
        <v>97</v>
      </c>
      <c r="L3373" s="40" t="s">
        <v>97</v>
      </c>
    </row>
    <row r="3374" spans="1:12" x14ac:dyDescent="0.25">
      <c r="A3374" s="40" t="s">
        <v>17</v>
      </c>
      <c r="B3374" s="40" t="s">
        <v>525</v>
      </c>
      <c r="C3374" s="40" t="s">
        <v>6118</v>
      </c>
      <c r="D3374" s="40" t="s">
        <v>2233</v>
      </c>
      <c r="E3374" s="40" t="s">
        <v>2233</v>
      </c>
      <c r="F3374" s="40">
        <v>1</v>
      </c>
      <c r="G3374" s="40"/>
      <c r="H3374" s="40" t="s">
        <v>97</v>
      </c>
      <c r="I3374" s="40"/>
      <c r="J3374" s="40" t="s">
        <v>97</v>
      </c>
      <c r="K3374" s="40" t="s">
        <v>97</v>
      </c>
      <c r="L3374" s="40" t="s">
        <v>97</v>
      </c>
    </row>
    <row r="3375" spans="1:12" x14ac:dyDescent="0.25">
      <c r="A3375" s="40" t="s">
        <v>17</v>
      </c>
      <c r="B3375" s="40" t="s">
        <v>527</v>
      </c>
      <c r="C3375" s="40" t="s">
        <v>6119</v>
      </c>
      <c r="D3375" s="40" t="s">
        <v>2233</v>
      </c>
      <c r="E3375" s="40" t="s">
        <v>2233</v>
      </c>
      <c r="F3375" s="40">
        <v>1</v>
      </c>
      <c r="G3375" s="40"/>
      <c r="H3375" s="40" t="s">
        <v>97</v>
      </c>
      <c r="I3375" s="40"/>
      <c r="J3375" s="40" t="s">
        <v>97</v>
      </c>
      <c r="K3375" s="40" t="s">
        <v>97</v>
      </c>
      <c r="L3375" s="40" t="s">
        <v>97</v>
      </c>
    </row>
    <row r="3376" spans="1:12" x14ac:dyDescent="0.25">
      <c r="A3376" s="40" t="s">
        <v>17</v>
      </c>
      <c r="B3376" s="40" t="s">
        <v>529</v>
      </c>
      <c r="C3376" s="40" t="s">
        <v>6120</v>
      </c>
      <c r="D3376" s="40" t="s">
        <v>2233</v>
      </c>
      <c r="E3376" s="40" t="s">
        <v>2233</v>
      </c>
      <c r="F3376" s="40">
        <v>1</v>
      </c>
      <c r="G3376" s="40"/>
      <c r="H3376" s="40" t="s">
        <v>97</v>
      </c>
      <c r="I3376" s="40"/>
      <c r="J3376" s="40" t="s">
        <v>97</v>
      </c>
      <c r="K3376" s="40" t="s">
        <v>97</v>
      </c>
      <c r="L3376" s="40" t="s">
        <v>97</v>
      </c>
    </row>
    <row r="3377" spans="1:12" x14ac:dyDescent="0.25">
      <c r="A3377" s="40" t="s">
        <v>17</v>
      </c>
      <c r="B3377" s="40" t="s">
        <v>531</v>
      </c>
      <c r="C3377" s="40" t="s">
        <v>6121</v>
      </c>
      <c r="D3377" s="40" t="s">
        <v>2233</v>
      </c>
      <c r="E3377" s="40" t="s">
        <v>2233</v>
      </c>
      <c r="F3377" s="40">
        <v>1</v>
      </c>
      <c r="G3377" s="40"/>
      <c r="H3377" s="40" t="s">
        <v>97</v>
      </c>
      <c r="I3377" s="40"/>
      <c r="J3377" s="40" t="s">
        <v>97</v>
      </c>
      <c r="K3377" s="40" t="s">
        <v>97</v>
      </c>
      <c r="L3377" s="40" t="s">
        <v>97</v>
      </c>
    </row>
    <row r="3378" spans="1:12" x14ac:dyDescent="0.25">
      <c r="A3378" s="40" t="s">
        <v>17</v>
      </c>
      <c r="B3378" s="40" t="s">
        <v>533</v>
      </c>
      <c r="C3378" s="40" t="s">
        <v>6122</v>
      </c>
      <c r="D3378" s="40" t="s">
        <v>2233</v>
      </c>
      <c r="E3378" s="40" t="s">
        <v>2233</v>
      </c>
      <c r="F3378" s="40">
        <v>1</v>
      </c>
      <c r="G3378" s="40"/>
      <c r="H3378" s="40" t="s">
        <v>97</v>
      </c>
      <c r="I3378" s="40"/>
      <c r="J3378" s="40" t="s">
        <v>97</v>
      </c>
      <c r="K3378" s="40" t="s">
        <v>97</v>
      </c>
      <c r="L3378" s="40" t="s">
        <v>97</v>
      </c>
    </row>
    <row r="3379" spans="1:12" x14ac:dyDescent="0.25">
      <c r="A3379" s="40" t="s">
        <v>17</v>
      </c>
      <c r="B3379" s="40" t="s">
        <v>535</v>
      </c>
      <c r="C3379" s="40" t="s">
        <v>6123</v>
      </c>
      <c r="D3379" s="40" t="s">
        <v>2233</v>
      </c>
      <c r="E3379" s="40" t="s">
        <v>2233</v>
      </c>
      <c r="F3379" s="40">
        <v>1</v>
      </c>
      <c r="G3379" s="40"/>
      <c r="H3379" s="40" t="s">
        <v>97</v>
      </c>
      <c r="I3379" s="40"/>
      <c r="J3379" s="40" t="s">
        <v>97</v>
      </c>
      <c r="K3379" s="40" t="s">
        <v>97</v>
      </c>
      <c r="L3379" s="40" t="s">
        <v>97</v>
      </c>
    </row>
    <row r="3380" spans="1:12" x14ac:dyDescent="0.25">
      <c r="A3380" s="40" t="s">
        <v>17</v>
      </c>
      <c r="B3380" s="40" t="s">
        <v>537</v>
      </c>
      <c r="C3380" s="40" t="s">
        <v>6124</v>
      </c>
      <c r="D3380" s="40" t="s">
        <v>2233</v>
      </c>
      <c r="E3380" s="40" t="s">
        <v>2233</v>
      </c>
      <c r="F3380" s="40">
        <v>1</v>
      </c>
      <c r="G3380" s="40"/>
      <c r="H3380" s="40" t="s">
        <v>97</v>
      </c>
      <c r="I3380" s="40"/>
      <c r="J3380" s="40" t="s">
        <v>97</v>
      </c>
      <c r="K3380" s="40" t="s">
        <v>97</v>
      </c>
      <c r="L3380" s="40" t="s">
        <v>97</v>
      </c>
    </row>
    <row r="3381" spans="1:12" x14ac:dyDescent="0.25">
      <c r="A3381" s="40" t="s">
        <v>17</v>
      </c>
      <c r="B3381" s="40" t="s">
        <v>540</v>
      </c>
      <c r="C3381" s="40" t="s">
        <v>6125</v>
      </c>
      <c r="D3381" s="40" t="s">
        <v>2233</v>
      </c>
      <c r="E3381" s="40" t="s">
        <v>2233</v>
      </c>
      <c r="F3381" s="40">
        <v>1</v>
      </c>
      <c r="G3381" s="40"/>
      <c r="H3381" s="40" t="s">
        <v>97</v>
      </c>
      <c r="I3381" s="40"/>
      <c r="J3381" s="40" t="s">
        <v>97</v>
      </c>
      <c r="K3381" s="40" t="s">
        <v>97</v>
      </c>
      <c r="L3381" s="40" t="s">
        <v>97</v>
      </c>
    </row>
    <row r="3382" spans="1:12" x14ac:dyDescent="0.25">
      <c r="A3382" s="40" t="s">
        <v>17</v>
      </c>
      <c r="B3382" s="40" t="s">
        <v>542</v>
      </c>
      <c r="C3382" s="40" t="s">
        <v>6126</v>
      </c>
      <c r="D3382" s="40" t="s">
        <v>2233</v>
      </c>
      <c r="E3382" s="40" t="s">
        <v>2233</v>
      </c>
      <c r="F3382" s="40">
        <v>1</v>
      </c>
      <c r="G3382" s="40"/>
      <c r="H3382" s="40" t="s">
        <v>97</v>
      </c>
      <c r="I3382" s="40"/>
      <c r="J3382" s="40" t="s">
        <v>97</v>
      </c>
      <c r="K3382" s="40" t="s">
        <v>97</v>
      </c>
      <c r="L3382" s="40" t="s">
        <v>97</v>
      </c>
    </row>
    <row r="3383" spans="1:12" x14ac:dyDescent="0.25">
      <c r="A3383" s="40" t="s">
        <v>17</v>
      </c>
      <c r="B3383" s="40" t="s">
        <v>544</v>
      </c>
      <c r="C3383" s="40" t="s">
        <v>6127</v>
      </c>
      <c r="D3383" s="40" t="s">
        <v>2233</v>
      </c>
      <c r="E3383" s="40" t="s">
        <v>2233</v>
      </c>
      <c r="F3383" s="40">
        <v>1</v>
      </c>
      <c r="G3383" s="40"/>
      <c r="H3383" s="40" t="s">
        <v>97</v>
      </c>
      <c r="I3383" s="40"/>
      <c r="J3383" s="40" t="s">
        <v>97</v>
      </c>
      <c r="K3383" s="40" t="s">
        <v>97</v>
      </c>
      <c r="L3383" s="40" t="s">
        <v>97</v>
      </c>
    </row>
    <row r="3384" spans="1:12" x14ac:dyDescent="0.25">
      <c r="A3384" s="40" t="s">
        <v>17</v>
      </c>
      <c r="B3384" s="40" t="s">
        <v>1337</v>
      </c>
      <c r="C3384" s="40" t="s">
        <v>6128</v>
      </c>
      <c r="D3384" s="40" t="s">
        <v>2233</v>
      </c>
      <c r="E3384" s="40" t="s">
        <v>2233</v>
      </c>
      <c r="F3384" s="40">
        <v>1</v>
      </c>
      <c r="G3384" s="40"/>
      <c r="H3384" s="40" t="s">
        <v>97</v>
      </c>
      <c r="I3384" s="40"/>
      <c r="J3384" s="40" t="s">
        <v>97</v>
      </c>
      <c r="K3384" s="40" t="s">
        <v>97</v>
      </c>
      <c r="L3384" s="40" t="s">
        <v>97</v>
      </c>
    </row>
    <row r="3385" spans="1:12" x14ac:dyDescent="0.25">
      <c r="A3385" s="40" t="s">
        <v>17</v>
      </c>
      <c r="B3385" s="40" t="s">
        <v>548</v>
      </c>
      <c r="C3385" s="40" t="s">
        <v>6129</v>
      </c>
      <c r="D3385" s="40" t="s">
        <v>2233</v>
      </c>
      <c r="E3385" s="40" t="s">
        <v>2233</v>
      </c>
      <c r="F3385" s="40">
        <v>1</v>
      </c>
      <c r="G3385" s="40"/>
      <c r="H3385" s="40" t="s">
        <v>97</v>
      </c>
      <c r="I3385" s="40"/>
      <c r="J3385" s="40" t="s">
        <v>97</v>
      </c>
      <c r="K3385" s="40" t="s">
        <v>97</v>
      </c>
      <c r="L3385" s="40" t="s">
        <v>97</v>
      </c>
    </row>
    <row r="3386" spans="1:12" x14ac:dyDescent="0.25">
      <c r="A3386" s="40" t="s">
        <v>17</v>
      </c>
      <c r="B3386" s="40" t="s">
        <v>3177</v>
      </c>
      <c r="C3386" s="40" t="s">
        <v>6130</v>
      </c>
      <c r="D3386" s="40" t="s">
        <v>2233</v>
      </c>
      <c r="E3386" s="40" t="s">
        <v>2233</v>
      </c>
      <c r="F3386" s="40">
        <v>1</v>
      </c>
      <c r="G3386" s="40"/>
      <c r="H3386" s="40" t="s">
        <v>97</v>
      </c>
      <c r="I3386" s="40"/>
      <c r="J3386" s="40" t="s">
        <v>97</v>
      </c>
      <c r="K3386" s="40" t="s">
        <v>97</v>
      </c>
      <c r="L3386" s="40" t="s">
        <v>97</v>
      </c>
    </row>
    <row r="3387" spans="1:12" x14ac:dyDescent="0.25">
      <c r="A3387" s="40" t="s">
        <v>17</v>
      </c>
      <c r="B3387" s="40" t="s">
        <v>1339</v>
      </c>
      <c r="C3387" s="40" t="s">
        <v>6131</v>
      </c>
      <c r="D3387" s="40" t="s">
        <v>2233</v>
      </c>
      <c r="E3387" s="40" t="s">
        <v>2233</v>
      </c>
      <c r="F3387" s="40">
        <v>1</v>
      </c>
      <c r="G3387" s="40"/>
      <c r="H3387" s="40" t="s">
        <v>97</v>
      </c>
      <c r="I3387" s="40"/>
      <c r="J3387" s="40" t="s">
        <v>97</v>
      </c>
      <c r="K3387" s="40" t="s">
        <v>97</v>
      </c>
      <c r="L3387" s="40" t="s">
        <v>97</v>
      </c>
    </row>
    <row r="3388" spans="1:12" x14ac:dyDescent="0.25">
      <c r="A3388" s="40" t="s">
        <v>17</v>
      </c>
      <c r="B3388" s="40" t="s">
        <v>1341</v>
      </c>
      <c r="C3388" s="40" t="s">
        <v>6132</v>
      </c>
      <c r="D3388" s="40" t="s">
        <v>2233</v>
      </c>
      <c r="E3388" s="40" t="s">
        <v>2233</v>
      </c>
      <c r="F3388" s="40">
        <v>1</v>
      </c>
      <c r="G3388" s="40"/>
      <c r="H3388" s="40" t="s">
        <v>97</v>
      </c>
      <c r="I3388" s="40"/>
      <c r="J3388" s="40" t="s">
        <v>97</v>
      </c>
      <c r="K3388" s="40" t="s">
        <v>97</v>
      </c>
      <c r="L3388" s="40" t="s">
        <v>97</v>
      </c>
    </row>
    <row r="3389" spans="1:12" x14ac:dyDescent="0.25">
      <c r="A3389" s="40" t="s">
        <v>17</v>
      </c>
      <c r="B3389" s="40" t="s">
        <v>1343</v>
      </c>
      <c r="C3389" s="40" t="s">
        <v>6133</v>
      </c>
      <c r="D3389" s="40" t="s">
        <v>2233</v>
      </c>
      <c r="E3389" s="40" t="s">
        <v>2233</v>
      </c>
      <c r="F3389" s="40">
        <v>1</v>
      </c>
      <c r="G3389" s="40"/>
      <c r="H3389" s="40" t="s">
        <v>97</v>
      </c>
      <c r="I3389" s="40"/>
      <c r="J3389" s="40" t="s">
        <v>97</v>
      </c>
      <c r="K3389" s="40" t="s">
        <v>97</v>
      </c>
      <c r="L3389" s="40" t="s">
        <v>97</v>
      </c>
    </row>
    <row r="3390" spans="1:12" x14ac:dyDescent="0.25">
      <c r="A3390" s="40" t="s">
        <v>17</v>
      </c>
      <c r="B3390" s="40" t="s">
        <v>6134</v>
      </c>
      <c r="C3390" s="40" t="s">
        <v>6135</v>
      </c>
      <c r="D3390" s="40" t="s">
        <v>2233</v>
      </c>
      <c r="E3390" s="40" t="s">
        <v>2233</v>
      </c>
      <c r="F3390" s="40">
        <v>1</v>
      </c>
      <c r="G3390" s="40"/>
      <c r="H3390" s="40" t="s">
        <v>97</v>
      </c>
      <c r="I3390" s="40"/>
      <c r="J3390" s="40" t="s">
        <v>97</v>
      </c>
      <c r="K3390" s="40" t="s">
        <v>97</v>
      </c>
      <c r="L3390" s="40" t="s">
        <v>97</v>
      </c>
    </row>
    <row r="3391" spans="1:12" x14ac:dyDescent="0.25">
      <c r="A3391" s="40" t="s">
        <v>17</v>
      </c>
      <c r="B3391" s="40" t="s">
        <v>550</v>
      </c>
      <c r="C3391" s="40" t="s">
        <v>6136</v>
      </c>
      <c r="D3391" s="40" t="s">
        <v>2233</v>
      </c>
      <c r="E3391" s="40" t="s">
        <v>2233</v>
      </c>
      <c r="F3391" s="40">
        <v>1</v>
      </c>
      <c r="G3391" s="40"/>
      <c r="H3391" s="40" t="s">
        <v>97</v>
      </c>
      <c r="I3391" s="40"/>
      <c r="J3391" s="40" t="s">
        <v>97</v>
      </c>
      <c r="K3391" s="40" t="s">
        <v>97</v>
      </c>
      <c r="L3391" s="40" t="s">
        <v>97</v>
      </c>
    </row>
    <row r="3392" spans="1:12" x14ac:dyDescent="0.25">
      <c r="A3392" s="40" t="s">
        <v>17</v>
      </c>
      <c r="B3392" s="40" t="s">
        <v>553</v>
      </c>
      <c r="C3392" s="40" t="s">
        <v>6137</v>
      </c>
      <c r="D3392" s="40" t="s">
        <v>2233</v>
      </c>
      <c r="E3392" s="40" t="s">
        <v>2233</v>
      </c>
      <c r="F3392" s="40">
        <v>1</v>
      </c>
      <c r="G3392" s="40"/>
      <c r="H3392" s="40" t="s">
        <v>97</v>
      </c>
      <c r="I3392" s="40"/>
      <c r="J3392" s="40" t="s">
        <v>97</v>
      </c>
      <c r="K3392" s="40" t="s">
        <v>97</v>
      </c>
      <c r="L3392" s="40" t="s">
        <v>97</v>
      </c>
    </row>
    <row r="3393" spans="1:12" x14ac:dyDescent="0.25">
      <c r="A3393" s="40" t="s">
        <v>17</v>
      </c>
      <c r="B3393" s="40" t="s">
        <v>555</v>
      </c>
      <c r="C3393" s="40" t="s">
        <v>6138</v>
      </c>
      <c r="D3393" s="40" t="s">
        <v>2233</v>
      </c>
      <c r="E3393" s="40" t="s">
        <v>2233</v>
      </c>
      <c r="F3393" s="40">
        <v>1</v>
      </c>
      <c r="G3393" s="40"/>
      <c r="H3393" s="40" t="s">
        <v>97</v>
      </c>
      <c r="I3393" s="40"/>
      <c r="J3393" s="40" t="s">
        <v>97</v>
      </c>
      <c r="K3393" s="40" t="s">
        <v>97</v>
      </c>
      <c r="L3393" s="40" t="s">
        <v>97</v>
      </c>
    </row>
    <row r="3394" spans="1:12" x14ac:dyDescent="0.25">
      <c r="A3394" s="40" t="s">
        <v>17</v>
      </c>
      <c r="B3394" s="40" t="s">
        <v>558</v>
      </c>
      <c r="C3394" s="40" t="s">
        <v>6139</v>
      </c>
      <c r="D3394" s="40" t="s">
        <v>2233</v>
      </c>
      <c r="E3394" s="40" t="s">
        <v>2233</v>
      </c>
      <c r="F3394" s="40">
        <v>1</v>
      </c>
      <c r="G3394" s="40"/>
      <c r="H3394" s="40" t="s">
        <v>97</v>
      </c>
      <c r="I3394" s="40"/>
      <c r="J3394" s="40" t="s">
        <v>97</v>
      </c>
      <c r="K3394" s="40" t="s">
        <v>97</v>
      </c>
      <c r="L3394" s="40" t="s">
        <v>97</v>
      </c>
    </row>
    <row r="3395" spans="1:12" x14ac:dyDescent="0.25">
      <c r="A3395" s="40" t="s">
        <v>17</v>
      </c>
      <c r="B3395" s="40" t="s">
        <v>561</v>
      </c>
      <c r="C3395" s="40" t="s">
        <v>6140</v>
      </c>
      <c r="D3395" s="40" t="s">
        <v>2233</v>
      </c>
      <c r="E3395" s="40" t="s">
        <v>2233</v>
      </c>
      <c r="F3395" s="40">
        <v>1</v>
      </c>
      <c r="G3395" s="40"/>
      <c r="H3395" s="40" t="s">
        <v>97</v>
      </c>
      <c r="I3395" s="40"/>
      <c r="J3395" s="40" t="s">
        <v>97</v>
      </c>
      <c r="K3395" s="40" t="s">
        <v>97</v>
      </c>
      <c r="L3395" s="40" t="s">
        <v>97</v>
      </c>
    </row>
    <row r="3396" spans="1:12" x14ac:dyDescent="0.25">
      <c r="A3396" s="40" t="s">
        <v>17</v>
      </c>
      <c r="B3396" s="40" t="s">
        <v>2416</v>
      </c>
      <c r="C3396" s="40" t="s">
        <v>6141</v>
      </c>
      <c r="D3396" s="40" t="s">
        <v>2233</v>
      </c>
      <c r="E3396" s="40" t="s">
        <v>2233</v>
      </c>
      <c r="F3396" s="40">
        <v>1</v>
      </c>
      <c r="G3396" s="40"/>
      <c r="H3396" s="40" t="s">
        <v>97</v>
      </c>
      <c r="I3396" s="40"/>
      <c r="J3396" s="40" t="s">
        <v>97</v>
      </c>
      <c r="K3396" s="40" t="s">
        <v>97</v>
      </c>
      <c r="L3396" s="40" t="s">
        <v>97</v>
      </c>
    </row>
    <row r="3397" spans="1:12" x14ac:dyDescent="0.25">
      <c r="A3397" s="40" t="s">
        <v>17</v>
      </c>
      <c r="B3397" s="40" t="s">
        <v>1345</v>
      </c>
      <c r="C3397" s="40" t="s">
        <v>6142</v>
      </c>
      <c r="D3397" s="40" t="s">
        <v>2233</v>
      </c>
      <c r="E3397" s="40" t="s">
        <v>2233</v>
      </c>
      <c r="F3397" s="40">
        <v>1</v>
      </c>
      <c r="G3397" s="40"/>
      <c r="H3397" s="40" t="s">
        <v>97</v>
      </c>
      <c r="I3397" s="40"/>
      <c r="J3397" s="40" t="s">
        <v>97</v>
      </c>
      <c r="K3397" s="40" t="s">
        <v>97</v>
      </c>
      <c r="L3397" s="40" t="s">
        <v>97</v>
      </c>
    </row>
    <row r="3398" spans="1:12" x14ac:dyDescent="0.25">
      <c r="A3398" s="40" t="s">
        <v>17</v>
      </c>
      <c r="B3398" s="40" t="s">
        <v>1347</v>
      </c>
      <c r="C3398" s="40" t="s">
        <v>6143</v>
      </c>
      <c r="D3398" s="40" t="s">
        <v>2233</v>
      </c>
      <c r="E3398" s="40" t="s">
        <v>2233</v>
      </c>
      <c r="F3398" s="40">
        <v>1</v>
      </c>
      <c r="G3398" s="40"/>
      <c r="H3398" s="40" t="s">
        <v>97</v>
      </c>
      <c r="I3398" s="40"/>
      <c r="J3398" s="40" t="s">
        <v>97</v>
      </c>
      <c r="K3398" s="40" t="s">
        <v>97</v>
      </c>
      <c r="L3398" s="40" t="s">
        <v>97</v>
      </c>
    </row>
    <row r="3399" spans="1:12" x14ac:dyDescent="0.25">
      <c r="A3399" s="40" t="s">
        <v>17</v>
      </c>
      <c r="B3399" s="40" t="s">
        <v>1349</v>
      </c>
      <c r="C3399" s="40" t="s">
        <v>6144</v>
      </c>
      <c r="D3399" s="40" t="s">
        <v>2233</v>
      </c>
      <c r="E3399" s="40" t="s">
        <v>2233</v>
      </c>
      <c r="F3399" s="40">
        <v>1</v>
      </c>
      <c r="G3399" s="40"/>
      <c r="H3399" s="40" t="s">
        <v>97</v>
      </c>
      <c r="I3399" s="40"/>
      <c r="J3399" s="40" t="s">
        <v>97</v>
      </c>
      <c r="K3399" s="40" t="s">
        <v>97</v>
      </c>
      <c r="L3399" s="40" t="s">
        <v>97</v>
      </c>
    </row>
    <row r="3400" spans="1:12" x14ac:dyDescent="0.25">
      <c r="A3400" s="40" t="s">
        <v>17</v>
      </c>
      <c r="B3400" s="40" t="s">
        <v>2252</v>
      </c>
      <c r="C3400" s="40" t="s">
        <v>6145</v>
      </c>
      <c r="D3400" s="40" t="s">
        <v>2233</v>
      </c>
      <c r="E3400" s="40" t="s">
        <v>2233</v>
      </c>
      <c r="F3400" s="40">
        <v>1</v>
      </c>
      <c r="G3400" s="40"/>
      <c r="H3400" s="40" t="s">
        <v>97</v>
      </c>
      <c r="I3400" s="40"/>
      <c r="J3400" s="40" t="s">
        <v>97</v>
      </c>
      <c r="K3400" s="40" t="s">
        <v>97</v>
      </c>
      <c r="L3400" s="40" t="s">
        <v>97</v>
      </c>
    </row>
    <row r="3401" spans="1:12" x14ac:dyDescent="0.25">
      <c r="A3401" s="40" t="s">
        <v>17</v>
      </c>
      <c r="B3401" s="40" t="s">
        <v>2254</v>
      </c>
      <c r="C3401" s="40" t="s">
        <v>6146</v>
      </c>
      <c r="D3401" s="40" t="s">
        <v>2233</v>
      </c>
      <c r="E3401" s="40" t="s">
        <v>2233</v>
      </c>
      <c r="F3401" s="40">
        <v>1</v>
      </c>
      <c r="G3401" s="40"/>
      <c r="H3401" s="40" t="s">
        <v>97</v>
      </c>
      <c r="I3401" s="40"/>
      <c r="J3401" s="40" t="s">
        <v>97</v>
      </c>
      <c r="K3401" s="40" t="s">
        <v>97</v>
      </c>
      <c r="L3401" s="40" t="s">
        <v>97</v>
      </c>
    </row>
    <row r="3402" spans="1:12" x14ac:dyDescent="0.25">
      <c r="A3402" s="40" t="s">
        <v>17</v>
      </c>
      <c r="B3402" s="40" t="s">
        <v>2256</v>
      </c>
      <c r="C3402" s="40" t="s">
        <v>6147</v>
      </c>
      <c r="D3402" s="40" t="s">
        <v>2233</v>
      </c>
      <c r="E3402" s="40" t="s">
        <v>2233</v>
      </c>
      <c r="F3402" s="40">
        <v>1</v>
      </c>
      <c r="G3402" s="40"/>
      <c r="H3402" s="40" t="s">
        <v>97</v>
      </c>
      <c r="I3402" s="40"/>
      <c r="J3402" s="40" t="s">
        <v>97</v>
      </c>
      <c r="K3402" s="40" t="s">
        <v>97</v>
      </c>
      <c r="L3402" s="40" t="s">
        <v>97</v>
      </c>
    </row>
    <row r="3403" spans="1:12" x14ac:dyDescent="0.25">
      <c r="A3403" s="40" t="s">
        <v>17</v>
      </c>
      <c r="B3403" s="40" t="s">
        <v>565</v>
      </c>
      <c r="C3403" s="40" t="s">
        <v>6148</v>
      </c>
      <c r="D3403" s="40" t="s">
        <v>2233</v>
      </c>
      <c r="E3403" s="40" t="s">
        <v>2233</v>
      </c>
      <c r="F3403" s="40">
        <v>1</v>
      </c>
      <c r="G3403" s="40"/>
      <c r="H3403" s="40" t="s">
        <v>2234</v>
      </c>
      <c r="I3403" s="40"/>
      <c r="J3403" s="40" t="s">
        <v>97</v>
      </c>
      <c r="K3403" s="40" t="s">
        <v>97</v>
      </c>
      <c r="L3403" s="40" t="s">
        <v>97</v>
      </c>
    </row>
    <row r="3404" spans="1:12" x14ac:dyDescent="0.25">
      <c r="A3404" s="40" t="s">
        <v>17</v>
      </c>
      <c r="B3404" s="40" t="s">
        <v>567</v>
      </c>
      <c r="C3404" s="40" t="s">
        <v>6149</v>
      </c>
      <c r="D3404" s="40" t="s">
        <v>2233</v>
      </c>
      <c r="E3404" s="40" t="s">
        <v>2233</v>
      </c>
      <c r="F3404" s="40">
        <v>1</v>
      </c>
      <c r="G3404" s="40"/>
      <c r="H3404" s="40" t="s">
        <v>2234</v>
      </c>
      <c r="I3404" s="40"/>
      <c r="J3404" s="40" t="s">
        <v>97</v>
      </c>
      <c r="K3404" s="40" t="s">
        <v>97</v>
      </c>
      <c r="L3404" s="40" t="s">
        <v>97</v>
      </c>
    </row>
    <row r="3405" spans="1:12" x14ac:dyDescent="0.25">
      <c r="A3405" s="40" t="s">
        <v>17</v>
      </c>
      <c r="B3405" s="40" t="s">
        <v>570</v>
      </c>
      <c r="C3405" s="40" t="s">
        <v>6150</v>
      </c>
      <c r="D3405" s="40" t="s">
        <v>2233</v>
      </c>
      <c r="E3405" s="40" t="s">
        <v>2233</v>
      </c>
      <c r="F3405" s="40">
        <v>1</v>
      </c>
      <c r="G3405" s="40"/>
      <c r="H3405" s="40" t="s">
        <v>2234</v>
      </c>
      <c r="I3405" s="40"/>
      <c r="J3405" s="40" t="s">
        <v>97</v>
      </c>
      <c r="K3405" s="40" t="s">
        <v>97</v>
      </c>
      <c r="L3405" s="40" t="s">
        <v>97</v>
      </c>
    </row>
    <row r="3406" spans="1:12" x14ac:dyDescent="0.25">
      <c r="A3406" s="40" t="s">
        <v>17</v>
      </c>
      <c r="B3406" s="40" t="s">
        <v>574</v>
      </c>
      <c r="C3406" s="40" t="s">
        <v>6151</v>
      </c>
      <c r="D3406" s="40" t="s">
        <v>3048</v>
      </c>
      <c r="E3406" s="40" t="s">
        <v>3048</v>
      </c>
      <c r="F3406" s="40">
        <v>1</v>
      </c>
      <c r="G3406" s="40"/>
      <c r="H3406" s="40" t="s">
        <v>2234</v>
      </c>
      <c r="I3406" s="40"/>
      <c r="J3406" s="40" t="s">
        <v>97</v>
      </c>
      <c r="K3406" s="40" t="s">
        <v>97</v>
      </c>
      <c r="L3406" s="40" t="s">
        <v>97</v>
      </c>
    </row>
    <row r="3407" spans="1:12" x14ac:dyDescent="0.25">
      <c r="A3407" s="40" t="s">
        <v>17</v>
      </c>
      <c r="B3407" s="40" t="s">
        <v>3118</v>
      </c>
      <c r="C3407" s="40" t="s">
        <v>6152</v>
      </c>
      <c r="D3407" s="40" t="s">
        <v>2233</v>
      </c>
      <c r="E3407" s="40" t="s">
        <v>2233</v>
      </c>
      <c r="F3407" s="40">
        <v>1</v>
      </c>
      <c r="G3407" s="40"/>
      <c r="H3407" s="40" t="s">
        <v>2234</v>
      </c>
      <c r="I3407" s="40"/>
      <c r="J3407" s="40" t="s">
        <v>97</v>
      </c>
      <c r="K3407" s="40" t="s">
        <v>97</v>
      </c>
      <c r="L3407" s="40" t="s">
        <v>97</v>
      </c>
    </row>
    <row r="3408" spans="1:12" x14ac:dyDescent="0.25">
      <c r="A3408" s="40" t="s">
        <v>17</v>
      </c>
      <c r="B3408" s="40" t="s">
        <v>577</v>
      </c>
      <c r="C3408" s="40" t="s">
        <v>6153</v>
      </c>
      <c r="D3408" s="40" t="s">
        <v>2233</v>
      </c>
      <c r="E3408" s="40" t="s">
        <v>2233</v>
      </c>
      <c r="F3408" s="40">
        <v>1</v>
      </c>
      <c r="G3408" s="40"/>
      <c r="H3408" s="40" t="s">
        <v>2234</v>
      </c>
      <c r="I3408" s="40"/>
      <c r="J3408" s="40" t="s">
        <v>97</v>
      </c>
      <c r="K3408" s="40" t="s">
        <v>97</v>
      </c>
      <c r="L3408" s="40" t="s">
        <v>97</v>
      </c>
    </row>
    <row r="3409" spans="1:12" x14ac:dyDescent="0.25">
      <c r="A3409" s="40" t="s">
        <v>17</v>
      </c>
      <c r="B3409" s="40" t="s">
        <v>580</v>
      </c>
      <c r="C3409" s="40" t="s">
        <v>6154</v>
      </c>
      <c r="D3409" s="40" t="s">
        <v>2233</v>
      </c>
      <c r="E3409" s="40" t="s">
        <v>2233</v>
      </c>
      <c r="F3409" s="40">
        <v>1</v>
      </c>
      <c r="G3409" s="40"/>
      <c r="H3409" s="40" t="s">
        <v>2234</v>
      </c>
      <c r="I3409" s="40"/>
      <c r="J3409" s="40" t="s">
        <v>97</v>
      </c>
      <c r="K3409" s="40" t="s">
        <v>97</v>
      </c>
      <c r="L3409" s="40" t="s">
        <v>97</v>
      </c>
    </row>
    <row r="3410" spans="1:12" x14ac:dyDescent="0.25">
      <c r="A3410" s="40" t="s">
        <v>17</v>
      </c>
      <c r="B3410" s="40" t="s">
        <v>582</v>
      </c>
      <c r="C3410" s="40" t="s">
        <v>6155</v>
      </c>
      <c r="D3410" s="40" t="s">
        <v>2233</v>
      </c>
      <c r="E3410" s="40" t="s">
        <v>2233</v>
      </c>
      <c r="F3410" s="40">
        <v>1</v>
      </c>
      <c r="G3410" s="40"/>
      <c r="H3410" s="40" t="s">
        <v>2234</v>
      </c>
      <c r="I3410" s="40"/>
      <c r="J3410" s="40" t="s">
        <v>97</v>
      </c>
      <c r="K3410" s="40" t="s">
        <v>97</v>
      </c>
      <c r="L3410" s="40" t="s">
        <v>97</v>
      </c>
    </row>
    <row r="3411" spans="1:12" x14ac:dyDescent="0.25">
      <c r="A3411" s="40" t="s">
        <v>17</v>
      </c>
      <c r="B3411" s="40" t="s">
        <v>586</v>
      </c>
      <c r="C3411" s="40" t="s">
        <v>6156</v>
      </c>
      <c r="D3411" s="40" t="s">
        <v>2233</v>
      </c>
      <c r="E3411" s="40" t="s">
        <v>2233</v>
      </c>
      <c r="F3411" s="40">
        <v>1</v>
      </c>
      <c r="G3411" s="40"/>
      <c r="H3411" s="40" t="s">
        <v>2234</v>
      </c>
      <c r="I3411" s="40"/>
      <c r="J3411" s="40" t="s">
        <v>97</v>
      </c>
      <c r="K3411" s="40" t="s">
        <v>97</v>
      </c>
      <c r="L3411" s="40" t="s">
        <v>97</v>
      </c>
    </row>
    <row r="3412" spans="1:12" x14ac:dyDescent="0.25">
      <c r="A3412" s="40" t="s">
        <v>17</v>
      </c>
      <c r="B3412" s="40" t="s">
        <v>593</v>
      </c>
      <c r="C3412" s="40" t="s">
        <v>6157</v>
      </c>
      <c r="D3412" s="40" t="s">
        <v>2233</v>
      </c>
      <c r="E3412" s="40" t="s">
        <v>2233</v>
      </c>
      <c r="F3412" s="40">
        <v>1</v>
      </c>
      <c r="G3412" s="40"/>
      <c r="H3412" s="40" t="s">
        <v>97</v>
      </c>
      <c r="I3412" s="40"/>
      <c r="J3412" s="40" t="s">
        <v>97</v>
      </c>
      <c r="K3412" s="40" t="s">
        <v>97</v>
      </c>
      <c r="L3412" s="40" t="s">
        <v>97</v>
      </c>
    </row>
    <row r="3413" spans="1:12" x14ac:dyDescent="0.25">
      <c r="A3413" s="40" t="s">
        <v>17</v>
      </c>
      <c r="B3413" s="40" t="s">
        <v>595</v>
      </c>
      <c r="C3413" s="40" t="s">
        <v>6158</v>
      </c>
      <c r="D3413" s="40" t="s">
        <v>2233</v>
      </c>
      <c r="E3413" s="40" t="s">
        <v>2233</v>
      </c>
      <c r="F3413" s="40">
        <v>1</v>
      </c>
      <c r="G3413" s="40"/>
      <c r="H3413" s="40" t="s">
        <v>97</v>
      </c>
      <c r="I3413" s="40"/>
      <c r="J3413" s="40" t="s">
        <v>97</v>
      </c>
      <c r="K3413" s="40" t="s">
        <v>97</v>
      </c>
      <c r="L3413" s="40" t="s">
        <v>97</v>
      </c>
    </row>
    <row r="3414" spans="1:12" x14ac:dyDescent="0.25">
      <c r="A3414" s="40" t="s">
        <v>17</v>
      </c>
      <c r="B3414" s="40" t="s">
        <v>598</v>
      </c>
      <c r="C3414" s="40" t="s">
        <v>6159</v>
      </c>
      <c r="D3414" s="40" t="s">
        <v>2233</v>
      </c>
      <c r="E3414" s="40" t="s">
        <v>2233</v>
      </c>
      <c r="F3414" s="40">
        <v>1</v>
      </c>
      <c r="G3414" s="40"/>
      <c r="H3414" s="40" t="s">
        <v>97</v>
      </c>
      <c r="I3414" s="40"/>
      <c r="J3414" s="40" t="s">
        <v>97</v>
      </c>
      <c r="K3414" s="40" t="s">
        <v>97</v>
      </c>
      <c r="L3414" s="40" t="s">
        <v>97</v>
      </c>
    </row>
    <row r="3415" spans="1:12" x14ac:dyDescent="0.25">
      <c r="A3415" s="40" t="s">
        <v>17</v>
      </c>
      <c r="B3415" s="40" t="s">
        <v>2266</v>
      </c>
      <c r="C3415" s="40" t="s">
        <v>6160</v>
      </c>
      <c r="D3415" s="40" t="s">
        <v>2233</v>
      </c>
      <c r="E3415" s="40" t="s">
        <v>2233</v>
      </c>
      <c r="F3415" s="40">
        <v>1</v>
      </c>
      <c r="G3415" s="40"/>
      <c r="H3415" s="40" t="s">
        <v>97</v>
      </c>
      <c r="I3415" s="40"/>
      <c r="J3415" s="40" t="s">
        <v>97</v>
      </c>
      <c r="K3415" s="40" t="s">
        <v>97</v>
      </c>
      <c r="L3415" s="40" t="s">
        <v>97</v>
      </c>
    </row>
    <row r="3416" spans="1:12" x14ac:dyDescent="0.25">
      <c r="A3416" s="40" t="s">
        <v>17</v>
      </c>
      <c r="B3416" s="40" t="s">
        <v>2268</v>
      </c>
      <c r="C3416" s="40" t="s">
        <v>6161</v>
      </c>
      <c r="D3416" s="40" t="s">
        <v>2233</v>
      </c>
      <c r="E3416" s="40" t="s">
        <v>2233</v>
      </c>
      <c r="F3416" s="40">
        <v>1</v>
      </c>
      <c r="G3416" s="40"/>
      <c r="H3416" s="40" t="s">
        <v>2234</v>
      </c>
      <c r="I3416" s="40"/>
      <c r="J3416" s="40" t="s">
        <v>97</v>
      </c>
      <c r="K3416" s="40" t="s">
        <v>97</v>
      </c>
      <c r="L3416" s="40" t="s">
        <v>97</v>
      </c>
    </row>
    <row r="3417" spans="1:12" x14ac:dyDescent="0.25">
      <c r="A3417" s="40" t="s">
        <v>17</v>
      </c>
      <c r="B3417" s="40" t="s">
        <v>2270</v>
      </c>
      <c r="C3417" s="40" t="s">
        <v>6162</v>
      </c>
      <c r="D3417" s="40" t="s">
        <v>2233</v>
      </c>
      <c r="E3417" s="40" t="s">
        <v>2233</v>
      </c>
      <c r="F3417" s="40">
        <v>1</v>
      </c>
      <c r="G3417" s="40"/>
      <c r="H3417" s="40" t="s">
        <v>2234</v>
      </c>
      <c r="I3417" s="40"/>
      <c r="J3417" s="40" t="s">
        <v>97</v>
      </c>
      <c r="K3417" s="40" t="s">
        <v>97</v>
      </c>
      <c r="L3417" s="40" t="s">
        <v>97</v>
      </c>
    </row>
    <row r="3418" spans="1:12" x14ac:dyDescent="0.25">
      <c r="A3418" s="40" t="s">
        <v>17</v>
      </c>
      <c r="B3418" s="40" t="s">
        <v>2274</v>
      </c>
      <c r="C3418" s="40" t="s">
        <v>6163</v>
      </c>
      <c r="D3418" s="40" t="s">
        <v>2233</v>
      </c>
      <c r="E3418" s="40" t="s">
        <v>2233</v>
      </c>
      <c r="F3418" s="40">
        <v>1</v>
      </c>
      <c r="G3418" s="40"/>
      <c r="H3418" s="40" t="s">
        <v>2234</v>
      </c>
      <c r="I3418" s="40"/>
      <c r="J3418" s="40" t="s">
        <v>97</v>
      </c>
      <c r="K3418" s="40" t="s">
        <v>97</v>
      </c>
      <c r="L3418" s="40" t="s">
        <v>97</v>
      </c>
    </row>
    <row r="3419" spans="1:12" x14ac:dyDescent="0.25">
      <c r="A3419" s="40" t="s">
        <v>17</v>
      </c>
      <c r="B3419" s="40" t="s">
        <v>2277</v>
      </c>
      <c r="C3419" s="40" t="s">
        <v>6164</v>
      </c>
      <c r="D3419" s="40" t="s">
        <v>2233</v>
      </c>
      <c r="E3419" s="40" t="s">
        <v>2233</v>
      </c>
      <c r="F3419" s="40">
        <v>1</v>
      </c>
      <c r="G3419" s="40"/>
      <c r="H3419" s="40" t="s">
        <v>2234</v>
      </c>
      <c r="I3419" s="40"/>
      <c r="J3419" s="40" t="s">
        <v>97</v>
      </c>
      <c r="K3419" s="40" t="s">
        <v>97</v>
      </c>
      <c r="L3419" s="40" t="s">
        <v>97</v>
      </c>
    </row>
    <row r="3420" spans="1:12" x14ac:dyDescent="0.25">
      <c r="A3420" s="40" t="s">
        <v>17</v>
      </c>
      <c r="B3420" s="40" t="s">
        <v>614</v>
      </c>
      <c r="C3420" s="40" t="s">
        <v>6165</v>
      </c>
      <c r="D3420" s="40" t="s">
        <v>2233</v>
      </c>
      <c r="E3420" s="40" t="s">
        <v>2233</v>
      </c>
      <c r="F3420" s="40">
        <v>1</v>
      </c>
      <c r="G3420" s="40"/>
      <c r="H3420" s="40" t="s">
        <v>2234</v>
      </c>
      <c r="I3420" s="40"/>
      <c r="J3420" s="40" t="s">
        <v>97</v>
      </c>
      <c r="K3420" s="40" t="s">
        <v>97</v>
      </c>
      <c r="L3420" s="40" t="s">
        <v>97</v>
      </c>
    </row>
    <row r="3421" spans="1:12" x14ac:dyDescent="0.25">
      <c r="A3421" s="40" t="s">
        <v>17</v>
      </c>
      <c r="B3421" s="40" t="s">
        <v>2440</v>
      </c>
      <c r="C3421" s="40" t="s">
        <v>6166</v>
      </c>
      <c r="D3421" s="40" t="s">
        <v>2233</v>
      </c>
      <c r="E3421" s="40" t="s">
        <v>2233</v>
      </c>
      <c r="F3421" s="40">
        <v>1</v>
      </c>
      <c r="G3421" s="40"/>
      <c r="H3421" s="40" t="s">
        <v>2234</v>
      </c>
      <c r="I3421" s="40"/>
      <c r="J3421" s="40" t="s">
        <v>97</v>
      </c>
      <c r="K3421" s="40" t="s">
        <v>97</v>
      </c>
      <c r="L3421" s="40" t="s">
        <v>97</v>
      </c>
    </row>
    <row r="3422" spans="1:12" x14ac:dyDescent="0.25">
      <c r="A3422" s="40" t="s">
        <v>17</v>
      </c>
      <c r="B3422" s="40" t="s">
        <v>1359</v>
      </c>
      <c r="C3422" s="40" t="s">
        <v>6167</v>
      </c>
      <c r="D3422" s="40" t="s">
        <v>2233</v>
      </c>
      <c r="E3422" s="40" t="s">
        <v>2233</v>
      </c>
      <c r="F3422" s="40">
        <v>1</v>
      </c>
      <c r="G3422" s="40"/>
      <c r="H3422" s="40" t="s">
        <v>2234</v>
      </c>
      <c r="I3422" s="40"/>
      <c r="J3422" s="40" t="s">
        <v>97</v>
      </c>
      <c r="K3422" s="40" t="s">
        <v>97</v>
      </c>
      <c r="L3422" s="40" t="s">
        <v>97</v>
      </c>
    </row>
    <row r="3423" spans="1:12" x14ac:dyDescent="0.25">
      <c r="A3423" s="40" t="s">
        <v>17</v>
      </c>
      <c r="B3423" s="40" t="s">
        <v>616</v>
      </c>
      <c r="C3423" s="40" t="s">
        <v>6168</v>
      </c>
      <c r="D3423" s="40" t="s">
        <v>2233</v>
      </c>
      <c r="E3423" s="40" t="s">
        <v>2233</v>
      </c>
      <c r="F3423" s="40">
        <v>1</v>
      </c>
      <c r="G3423" s="40"/>
      <c r="H3423" s="40" t="s">
        <v>2234</v>
      </c>
      <c r="I3423" s="40"/>
      <c r="J3423" s="40" t="s">
        <v>97</v>
      </c>
      <c r="K3423" s="40" t="s">
        <v>97</v>
      </c>
      <c r="L3423" s="40" t="s">
        <v>97</v>
      </c>
    </row>
    <row r="3424" spans="1:12" x14ac:dyDescent="0.25">
      <c r="A3424" s="40" t="s">
        <v>17</v>
      </c>
      <c r="B3424" s="40" t="s">
        <v>632</v>
      </c>
      <c r="C3424" s="40" t="s">
        <v>6169</v>
      </c>
      <c r="D3424" s="40" t="s">
        <v>483</v>
      </c>
      <c r="E3424" s="40" t="s">
        <v>483</v>
      </c>
      <c r="F3424" s="40">
        <v>1</v>
      </c>
      <c r="G3424" s="40"/>
      <c r="H3424" s="40" t="s">
        <v>2234</v>
      </c>
      <c r="I3424" s="40"/>
      <c r="J3424" s="40" t="s">
        <v>97</v>
      </c>
      <c r="K3424" s="40" t="s">
        <v>97</v>
      </c>
      <c r="L3424" s="40" t="s">
        <v>97</v>
      </c>
    </row>
    <row r="3425" spans="1:12" x14ac:dyDescent="0.25">
      <c r="A3425" s="40" t="s">
        <v>17</v>
      </c>
      <c r="B3425" s="40" t="s">
        <v>640</v>
      </c>
      <c r="C3425" s="40" t="s">
        <v>6170</v>
      </c>
      <c r="D3425" s="40" t="s">
        <v>2233</v>
      </c>
      <c r="E3425" s="40" t="s">
        <v>2233</v>
      </c>
      <c r="F3425" s="40">
        <v>1</v>
      </c>
      <c r="G3425" s="40"/>
      <c r="H3425" s="40" t="s">
        <v>97</v>
      </c>
      <c r="I3425" s="40"/>
      <c r="J3425" s="40" t="s">
        <v>97</v>
      </c>
      <c r="K3425" s="40" t="s">
        <v>97</v>
      </c>
      <c r="L3425" s="40" t="s">
        <v>97</v>
      </c>
    </row>
    <row r="3426" spans="1:12" x14ac:dyDescent="0.25">
      <c r="A3426" s="40" t="s">
        <v>17</v>
      </c>
      <c r="B3426" s="40" t="s">
        <v>648</v>
      </c>
      <c r="C3426" s="40" t="s">
        <v>6171</v>
      </c>
      <c r="D3426" s="40" t="s">
        <v>2233</v>
      </c>
      <c r="E3426" s="40" t="s">
        <v>2233</v>
      </c>
      <c r="F3426" s="40">
        <v>1</v>
      </c>
      <c r="G3426" s="40"/>
      <c r="H3426" s="40" t="s">
        <v>2234</v>
      </c>
      <c r="I3426" s="40"/>
      <c r="J3426" s="40" t="s">
        <v>97</v>
      </c>
      <c r="K3426" s="40" t="s">
        <v>97</v>
      </c>
      <c r="L3426" s="40" t="s">
        <v>97</v>
      </c>
    </row>
    <row r="3427" spans="1:12" x14ac:dyDescent="0.25">
      <c r="A3427" s="40" t="s">
        <v>17</v>
      </c>
      <c r="B3427" s="40" t="s">
        <v>650</v>
      </c>
      <c r="C3427" s="40" t="s">
        <v>6172</v>
      </c>
      <c r="D3427" s="40" t="s">
        <v>2233</v>
      </c>
      <c r="E3427" s="40" t="s">
        <v>2233</v>
      </c>
      <c r="F3427" s="40">
        <v>1</v>
      </c>
      <c r="G3427" s="40"/>
      <c r="H3427" s="40" t="s">
        <v>2234</v>
      </c>
      <c r="I3427" s="40"/>
      <c r="J3427" s="40" t="s">
        <v>97</v>
      </c>
      <c r="K3427" s="40" t="s">
        <v>97</v>
      </c>
      <c r="L3427" s="40" t="s">
        <v>97</v>
      </c>
    </row>
    <row r="3428" spans="1:12" x14ac:dyDescent="0.25">
      <c r="A3428" s="40" t="s">
        <v>17</v>
      </c>
      <c r="B3428" s="40" t="s">
        <v>659</v>
      </c>
      <c r="C3428" s="40" t="s">
        <v>6173</v>
      </c>
      <c r="D3428" s="40" t="s">
        <v>6174</v>
      </c>
      <c r="E3428" s="40" t="s">
        <v>6174</v>
      </c>
      <c r="F3428" s="40">
        <v>1</v>
      </c>
      <c r="G3428" s="40"/>
      <c r="H3428" s="40" t="s">
        <v>2234</v>
      </c>
      <c r="I3428" s="40"/>
      <c r="J3428" s="40" t="s">
        <v>97</v>
      </c>
      <c r="K3428" s="40" t="s">
        <v>97</v>
      </c>
      <c r="L3428" s="40" t="s">
        <v>97</v>
      </c>
    </row>
    <row r="3429" spans="1:12" x14ac:dyDescent="0.25">
      <c r="A3429" s="40" t="s">
        <v>17</v>
      </c>
      <c r="B3429" s="40" t="s">
        <v>663</v>
      </c>
      <c r="C3429" s="40" t="s">
        <v>6175</v>
      </c>
      <c r="D3429" s="40" t="s">
        <v>6174</v>
      </c>
      <c r="E3429" s="40" t="s">
        <v>6174</v>
      </c>
      <c r="F3429" s="40">
        <v>1</v>
      </c>
      <c r="G3429" s="40"/>
      <c r="H3429" s="40" t="s">
        <v>2234</v>
      </c>
      <c r="I3429" s="40"/>
      <c r="J3429" s="40" t="s">
        <v>97</v>
      </c>
      <c r="K3429" s="40" t="s">
        <v>97</v>
      </c>
      <c r="L3429" s="40" t="s">
        <v>97</v>
      </c>
    </row>
    <row r="3430" spans="1:12" x14ac:dyDescent="0.25">
      <c r="A3430" s="40" t="s">
        <v>17</v>
      </c>
      <c r="B3430" s="40" t="s">
        <v>667</v>
      </c>
      <c r="C3430" s="40" t="s">
        <v>6176</v>
      </c>
      <c r="D3430" s="40" t="s">
        <v>2233</v>
      </c>
      <c r="E3430" s="40" t="s">
        <v>2233</v>
      </c>
      <c r="F3430" s="40">
        <v>1</v>
      </c>
      <c r="G3430" s="40"/>
      <c r="H3430" s="40" t="s">
        <v>97</v>
      </c>
      <c r="I3430" s="40"/>
      <c r="J3430" s="40" t="s">
        <v>97</v>
      </c>
      <c r="K3430" s="40" t="s">
        <v>97</v>
      </c>
      <c r="L3430" s="40" t="s">
        <v>97</v>
      </c>
    </row>
    <row r="3431" spans="1:12" x14ac:dyDescent="0.25">
      <c r="A3431" s="40" t="s">
        <v>17</v>
      </c>
      <c r="B3431" s="40" t="s">
        <v>669</v>
      </c>
      <c r="C3431" s="40" t="s">
        <v>6177</v>
      </c>
      <c r="D3431" s="40" t="s">
        <v>2233</v>
      </c>
      <c r="E3431" s="40" t="s">
        <v>2233</v>
      </c>
      <c r="F3431" s="40">
        <v>1</v>
      </c>
      <c r="G3431" s="40"/>
      <c r="H3431" s="40" t="s">
        <v>2234</v>
      </c>
      <c r="I3431" s="40"/>
      <c r="J3431" s="40" t="s">
        <v>97</v>
      </c>
      <c r="K3431" s="40" t="s">
        <v>97</v>
      </c>
      <c r="L3431" s="40" t="s">
        <v>97</v>
      </c>
    </row>
    <row r="3432" spans="1:12" x14ac:dyDescent="0.25">
      <c r="A3432" s="40" t="s">
        <v>17</v>
      </c>
      <c r="B3432" s="40" t="s">
        <v>671</v>
      </c>
      <c r="C3432" s="40" t="s">
        <v>6178</v>
      </c>
      <c r="D3432" s="40" t="s">
        <v>2233</v>
      </c>
      <c r="E3432" s="40" t="s">
        <v>2233</v>
      </c>
      <c r="F3432" s="40">
        <v>1</v>
      </c>
      <c r="G3432" s="40"/>
      <c r="H3432" s="40" t="s">
        <v>2234</v>
      </c>
      <c r="I3432" s="40"/>
      <c r="J3432" s="40" t="s">
        <v>97</v>
      </c>
      <c r="K3432" s="40" t="s">
        <v>97</v>
      </c>
      <c r="L3432" s="40" t="s">
        <v>97</v>
      </c>
    </row>
    <row r="3433" spans="1:12" x14ac:dyDescent="0.25">
      <c r="A3433" s="40" t="s">
        <v>17</v>
      </c>
      <c r="B3433" s="40" t="s">
        <v>2460</v>
      </c>
      <c r="C3433" s="40" t="s">
        <v>6179</v>
      </c>
      <c r="D3433" s="40" t="s">
        <v>2233</v>
      </c>
      <c r="E3433" s="40" t="s">
        <v>2233</v>
      </c>
      <c r="F3433" s="40">
        <v>1</v>
      </c>
      <c r="G3433" s="40"/>
      <c r="H3433" s="40" t="s">
        <v>2234</v>
      </c>
      <c r="I3433" s="40"/>
      <c r="J3433" s="40" t="s">
        <v>97</v>
      </c>
      <c r="K3433" s="40" t="s">
        <v>97</v>
      </c>
      <c r="L3433" s="40" t="s">
        <v>97</v>
      </c>
    </row>
    <row r="3434" spans="1:12" x14ac:dyDescent="0.25">
      <c r="A3434" s="40" t="s">
        <v>24</v>
      </c>
      <c r="B3434" s="40" t="s">
        <v>2233</v>
      </c>
      <c r="C3434" s="40" t="s">
        <v>6180</v>
      </c>
      <c r="D3434" s="40" t="s">
        <v>2233</v>
      </c>
      <c r="E3434" s="40" t="s">
        <v>2233</v>
      </c>
      <c r="F3434" s="40">
        <v>1</v>
      </c>
      <c r="G3434" s="40"/>
      <c r="H3434" s="40" t="s">
        <v>2234</v>
      </c>
      <c r="I3434" s="40"/>
      <c r="J3434" s="40" t="s">
        <v>97</v>
      </c>
      <c r="K3434" s="40" t="s">
        <v>97</v>
      </c>
      <c r="L3434" s="40" t="s">
        <v>97</v>
      </c>
    </row>
    <row r="3435" spans="1:12" x14ac:dyDescent="0.25">
      <c r="A3435" s="40" t="s">
        <v>24</v>
      </c>
      <c r="B3435" s="40" t="s">
        <v>2298</v>
      </c>
      <c r="C3435" s="40" t="s">
        <v>6181</v>
      </c>
      <c r="D3435" s="40" t="s">
        <v>3167</v>
      </c>
      <c r="E3435" s="40" t="s">
        <v>3167</v>
      </c>
      <c r="F3435" s="40">
        <v>1</v>
      </c>
      <c r="G3435" s="40"/>
      <c r="H3435" s="40" t="s">
        <v>2234</v>
      </c>
      <c r="I3435" s="40"/>
      <c r="J3435" s="40" t="s">
        <v>97</v>
      </c>
      <c r="K3435" s="40" t="s">
        <v>97</v>
      </c>
      <c r="L3435" s="40" t="s">
        <v>97</v>
      </c>
    </row>
    <row r="3436" spans="1:12" x14ac:dyDescent="0.25">
      <c r="A3436" s="40" t="s">
        <v>24</v>
      </c>
      <c r="B3436" s="40" t="s">
        <v>2300</v>
      </c>
      <c r="C3436" s="40" t="s">
        <v>6182</v>
      </c>
      <c r="D3436" s="40" t="s">
        <v>2233</v>
      </c>
      <c r="E3436" s="40" t="s">
        <v>2233</v>
      </c>
      <c r="F3436" s="40">
        <v>1</v>
      </c>
      <c r="G3436" s="40"/>
      <c r="H3436" s="40" t="s">
        <v>2234</v>
      </c>
      <c r="I3436" s="40"/>
      <c r="J3436" s="40" t="s">
        <v>97</v>
      </c>
      <c r="K3436" s="40" t="s">
        <v>97</v>
      </c>
      <c r="L3436" s="40" t="s">
        <v>97</v>
      </c>
    </row>
    <row r="3437" spans="1:12" x14ac:dyDescent="0.25">
      <c r="A3437" s="40" t="s">
        <v>24</v>
      </c>
      <c r="B3437" s="40" t="s">
        <v>479</v>
      </c>
      <c r="C3437" s="40" t="s">
        <v>6183</v>
      </c>
      <c r="D3437" s="40" t="s">
        <v>2233</v>
      </c>
      <c r="E3437" s="40" t="s">
        <v>2233</v>
      </c>
      <c r="F3437" s="40">
        <v>1</v>
      </c>
      <c r="G3437" s="40"/>
      <c r="H3437" s="40" t="s">
        <v>2234</v>
      </c>
      <c r="I3437" s="40"/>
      <c r="J3437" s="40" t="s">
        <v>97</v>
      </c>
      <c r="K3437" s="40" t="s">
        <v>97</v>
      </c>
      <c r="L3437" s="40" t="s">
        <v>97</v>
      </c>
    </row>
    <row r="3438" spans="1:12" x14ac:dyDescent="0.25">
      <c r="A3438" s="40" t="s">
        <v>24</v>
      </c>
      <c r="B3438" s="40" t="s">
        <v>483</v>
      </c>
      <c r="C3438" s="40" t="s">
        <v>6184</v>
      </c>
      <c r="D3438" s="40" t="s">
        <v>2233</v>
      </c>
      <c r="E3438" s="40" t="s">
        <v>2233</v>
      </c>
      <c r="F3438" s="40">
        <v>1</v>
      </c>
      <c r="G3438" s="40"/>
      <c r="H3438" s="40" t="s">
        <v>2234</v>
      </c>
      <c r="I3438" s="40"/>
      <c r="J3438" s="40" t="s">
        <v>97</v>
      </c>
      <c r="K3438" s="40" t="s">
        <v>97</v>
      </c>
      <c r="L3438" s="40" t="s">
        <v>97</v>
      </c>
    </row>
    <row r="3439" spans="1:12" x14ac:dyDescent="0.25">
      <c r="A3439" s="40" t="s">
        <v>24</v>
      </c>
      <c r="B3439" s="40" t="s">
        <v>494</v>
      </c>
      <c r="C3439" s="40" t="s">
        <v>6185</v>
      </c>
      <c r="D3439" s="40" t="s">
        <v>2233</v>
      </c>
      <c r="E3439" s="40" t="s">
        <v>2233</v>
      </c>
      <c r="F3439" s="40">
        <v>1</v>
      </c>
      <c r="G3439" s="40"/>
      <c r="H3439" s="40" t="s">
        <v>97</v>
      </c>
      <c r="I3439" s="40"/>
      <c r="J3439" s="40" t="s">
        <v>97</v>
      </c>
      <c r="K3439" s="40" t="s">
        <v>97</v>
      </c>
      <c r="L3439" s="40" t="s">
        <v>97</v>
      </c>
    </row>
    <row r="3440" spans="1:12" x14ac:dyDescent="0.25">
      <c r="A3440" s="40" t="s">
        <v>24</v>
      </c>
      <c r="B3440" s="40" t="s">
        <v>496</v>
      </c>
      <c r="C3440" s="40" t="s">
        <v>6186</v>
      </c>
      <c r="D3440" s="40" t="s">
        <v>2233</v>
      </c>
      <c r="E3440" s="40" t="s">
        <v>2233</v>
      </c>
      <c r="F3440" s="40">
        <v>1</v>
      </c>
      <c r="G3440" s="40"/>
      <c r="H3440" s="40" t="s">
        <v>97</v>
      </c>
      <c r="I3440" s="40"/>
      <c r="J3440" s="40" t="s">
        <v>97</v>
      </c>
      <c r="K3440" s="40" t="s">
        <v>97</v>
      </c>
      <c r="L3440" s="40" t="s">
        <v>97</v>
      </c>
    </row>
    <row r="3441" spans="1:12" x14ac:dyDescent="0.25">
      <c r="A3441" s="40" t="s">
        <v>24</v>
      </c>
      <c r="B3441" s="40" t="s">
        <v>1297</v>
      </c>
      <c r="C3441" s="40" t="s">
        <v>6187</v>
      </c>
      <c r="D3441" s="40" t="s">
        <v>2233</v>
      </c>
      <c r="E3441" s="40" t="s">
        <v>2233</v>
      </c>
      <c r="F3441" s="40">
        <v>1</v>
      </c>
      <c r="G3441" s="40"/>
      <c r="H3441" s="40" t="s">
        <v>97</v>
      </c>
      <c r="I3441" s="40"/>
      <c r="J3441" s="40" t="s">
        <v>97</v>
      </c>
      <c r="K3441" s="40" t="s">
        <v>97</v>
      </c>
      <c r="L3441" s="40" t="s">
        <v>97</v>
      </c>
    </row>
    <row r="3442" spans="1:12" x14ac:dyDescent="0.25">
      <c r="A3442" s="40" t="s">
        <v>24</v>
      </c>
      <c r="B3442" s="40" t="s">
        <v>1300</v>
      </c>
      <c r="C3442" s="40" t="s">
        <v>6188</v>
      </c>
      <c r="D3442" s="40" t="s">
        <v>2233</v>
      </c>
      <c r="E3442" s="40" t="s">
        <v>2233</v>
      </c>
      <c r="F3442" s="40">
        <v>1</v>
      </c>
      <c r="G3442" s="40"/>
      <c r="H3442" s="40" t="s">
        <v>97</v>
      </c>
      <c r="I3442" s="40"/>
      <c r="J3442" s="40" t="s">
        <v>97</v>
      </c>
      <c r="K3442" s="40" t="s">
        <v>97</v>
      </c>
      <c r="L3442" s="40" t="s">
        <v>97</v>
      </c>
    </row>
    <row r="3443" spans="1:12" x14ac:dyDescent="0.25">
      <c r="A3443" s="40" t="s">
        <v>24</v>
      </c>
      <c r="B3443" s="40" t="s">
        <v>1302</v>
      </c>
      <c r="C3443" s="40" t="s">
        <v>6189</v>
      </c>
      <c r="D3443" s="40" t="s">
        <v>2233</v>
      </c>
      <c r="E3443" s="40" t="s">
        <v>2233</v>
      </c>
      <c r="F3443" s="40">
        <v>1</v>
      </c>
      <c r="G3443" s="40"/>
      <c r="H3443" s="40" t="s">
        <v>97</v>
      </c>
      <c r="I3443" s="40"/>
      <c r="J3443" s="40" t="s">
        <v>97</v>
      </c>
      <c r="K3443" s="40" t="s">
        <v>97</v>
      </c>
      <c r="L3443" s="40" t="s">
        <v>97</v>
      </c>
    </row>
    <row r="3444" spans="1:12" x14ac:dyDescent="0.25">
      <c r="A3444" s="40" t="s">
        <v>24</v>
      </c>
      <c r="B3444" s="40" t="s">
        <v>502</v>
      </c>
      <c r="C3444" s="40" t="s">
        <v>6190</v>
      </c>
      <c r="D3444" s="40" t="s">
        <v>2233</v>
      </c>
      <c r="E3444" s="40" t="s">
        <v>2233</v>
      </c>
      <c r="F3444" s="40">
        <v>1</v>
      </c>
      <c r="G3444" s="40"/>
      <c r="H3444" s="40" t="s">
        <v>97</v>
      </c>
      <c r="I3444" s="40"/>
      <c r="J3444" s="40" t="s">
        <v>97</v>
      </c>
      <c r="K3444" s="40" t="s">
        <v>97</v>
      </c>
      <c r="L3444" s="40" t="s">
        <v>97</v>
      </c>
    </row>
    <row r="3445" spans="1:12" x14ac:dyDescent="0.25">
      <c r="A3445" s="40" t="s">
        <v>24</v>
      </c>
      <c r="B3445" s="40" t="s">
        <v>510</v>
      </c>
      <c r="C3445" s="40" t="s">
        <v>6191</v>
      </c>
      <c r="D3445" s="40" t="s">
        <v>2233</v>
      </c>
      <c r="E3445" s="40" t="s">
        <v>2233</v>
      </c>
      <c r="F3445" s="40">
        <v>1</v>
      </c>
      <c r="G3445" s="40"/>
      <c r="H3445" s="40" t="s">
        <v>2234</v>
      </c>
      <c r="I3445" s="40"/>
      <c r="J3445" s="40" t="s">
        <v>97</v>
      </c>
      <c r="K3445" s="40" t="s">
        <v>97</v>
      </c>
      <c r="L3445" s="40" t="s">
        <v>97</v>
      </c>
    </row>
    <row r="3446" spans="1:12" x14ac:dyDescent="0.25">
      <c r="A3446" s="40" t="s">
        <v>24</v>
      </c>
      <c r="B3446" s="40" t="s">
        <v>514</v>
      </c>
      <c r="C3446" s="40" t="s">
        <v>6192</v>
      </c>
      <c r="D3446" s="40" t="s">
        <v>2281</v>
      </c>
      <c r="E3446" s="40" t="s">
        <v>2281</v>
      </c>
      <c r="F3446" s="40">
        <v>1</v>
      </c>
      <c r="G3446" s="40"/>
      <c r="H3446" s="40" t="s">
        <v>2234</v>
      </c>
      <c r="I3446" s="40"/>
      <c r="J3446" s="40" t="s">
        <v>97</v>
      </c>
      <c r="K3446" s="40" t="s">
        <v>97</v>
      </c>
      <c r="L3446" s="40" t="s">
        <v>97</v>
      </c>
    </row>
    <row r="3447" spans="1:12" x14ac:dyDescent="0.25">
      <c r="A3447" s="40" t="s">
        <v>24</v>
      </c>
      <c r="B3447" s="40" t="s">
        <v>518</v>
      </c>
      <c r="C3447" s="40" t="s">
        <v>6193</v>
      </c>
      <c r="D3447" s="40" t="s">
        <v>2233</v>
      </c>
      <c r="E3447" s="40" t="s">
        <v>2233</v>
      </c>
      <c r="F3447" s="40">
        <v>1</v>
      </c>
      <c r="G3447" s="40"/>
      <c r="H3447" s="40" t="s">
        <v>2234</v>
      </c>
      <c r="I3447" s="40"/>
      <c r="J3447" s="40" t="s">
        <v>97</v>
      </c>
      <c r="K3447" s="40" t="s">
        <v>97</v>
      </c>
      <c r="L3447" s="40" t="s">
        <v>97</v>
      </c>
    </row>
    <row r="3448" spans="1:12" x14ac:dyDescent="0.25">
      <c r="A3448" s="40" t="s">
        <v>24</v>
      </c>
      <c r="B3448" s="40" t="s">
        <v>577</v>
      </c>
      <c r="C3448" s="40" t="s">
        <v>6194</v>
      </c>
      <c r="D3448" s="40" t="s">
        <v>2320</v>
      </c>
      <c r="E3448" s="40" t="s">
        <v>2320</v>
      </c>
      <c r="F3448" s="40">
        <v>1</v>
      </c>
      <c r="G3448" s="40"/>
      <c r="H3448" s="40" t="s">
        <v>97</v>
      </c>
      <c r="I3448" s="40"/>
      <c r="J3448" s="40" t="s">
        <v>97</v>
      </c>
      <c r="K3448" s="40" t="s">
        <v>97</v>
      </c>
      <c r="L3448" s="40" t="s">
        <v>97</v>
      </c>
    </row>
    <row r="3449" spans="1:12" x14ac:dyDescent="0.25">
      <c r="A3449" s="40" t="s">
        <v>24</v>
      </c>
      <c r="B3449" s="40" t="s">
        <v>580</v>
      </c>
      <c r="C3449" s="40" t="s">
        <v>6195</v>
      </c>
      <c r="D3449" s="40" t="s">
        <v>2233</v>
      </c>
      <c r="E3449" s="40" t="s">
        <v>2233</v>
      </c>
      <c r="F3449" s="40">
        <v>1</v>
      </c>
      <c r="G3449" s="40"/>
      <c r="H3449" s="40" t="s">
        <v>97</v>
      </c>
      <c r="I3449" s="40"/>
      <c r="J3449" s="40" t="s">
        <v>97</v>
      </c>
      <c r="K3449" s="40" t="s">
        <v>97</v>
      </c>
      <c r="L3449" s="40" t="s">
        <v>97</v>
      </c>
    </row>
    <row r="3450" spans="1:12" x14ac:dyDescent="0.25">
      <c r="A3450" s="40" t="s">
        <v>24</v>
      </c>
      <c r="B3450" s="40" t="s">
        <v>582</v>
      </c>
      <c r="C3450" s="40" t="s">
        <v>6196</v>
      </c>
      <c r="D3450" s="40" t="s">
        <v>2233</v>
      </c>
      <c r="E3450" s="40" t="s">
        <v>2233</v>
      </c>
      <c r="F3450" s="40">
        <v>1</v>
      </c>
      <c r="G3450" s="40"/>
      <c r="H3450" s="40" t="s">
        <v>97</v>
      </c>
      <c r="I3450" s="40"/>
      <c r="J3450" s="40" t="s">
        <v>97</v>
      </c>
      <c r="K3450" s="40" t="s">
        <v>97</v>
      </c>
      <c r="L3450" s="40" t="s">
        <v>97</v>
      </c>
    </row>
    <row r="3451" spans="1:12" x14ac:dyDescent="0.25">
      <c r="A3451" s="40" t="s">
        <v>24</v>
      </c>
      <c r="B3451" s="40" t="s">
        <v>586</v>
      </c>
      <c r="C3451" s="40" t="s">
        <v>6197</v>
      </c>
      <c r="D3451" s="40" t="s">
        <v>2233</v>
      </c>
      <c r="E3451" s="40" t="s">
        <v>2233</v>
      </c>
      <c r="F3451" s="40">
        <v>1</v>
      </c>
      <c r="G3451" s="40"/>
      <c r="H3451" s="40" t="s">
        <v>97</v>
      </c>
      <c r="I3451" s="40"/>
      <c r="J3451" s="40" t="s">
        <v>97</v>
      </c>
      <c r="K3451" s="40" t="s">
        <v>97</v>
      </c>
      <c r="L3451" s="40" t="s">
        <v>97</v>
      </c>
    </row>
    <row r="3452" spans="1:12" x14ac:dyDescent="0.25">
      <c r="A3452" s="40" t="s">
        <v>24</v>
      </c>
      <c r="B3452" s="40" t="s">
        <v>588</v>
      </c>
      <c r="C3452" s="40" t="s">
        <v>6198</v>
      </c>
      <c r="D3452" s="40" t="s">
        <v>2233</v>
      </c>
      <c r="E3452" s="40" t="s">
        <v>2233</v>
      </c>
      <c r="F3452" s="40">
        <v>1</v>
      </c>
      <c r="G3452" s="40"/>
      <c r="H3452" s="40" t="s">
        <v>97</v>
      </c>
      <c r="I3452" s="40"/>
      <c r="J3452" s="40" t="s">
        <v>97</v>
      </c>
      <c r="K3452" s="40" t="s">
        <v>97</v>
      </c>
      <c r="L3452" s="40" t="s">
        <v>97</v>
      </c>
    </row>
    <row r="3453" spans="1:12" x14ac:dyDescent="0.25">
      <c r="A3453" s="40" t="s">
        <v>24</v>
      </c>
      <c r="B3453" s="40" t="s">
        <v>1353</v>
      </c>
      <c r="C3453" s="40" t="s">
        <v>6199</v>
      </c>
      <c r="D3453" s="40" t="s">
        <v>2233</v>
      </c>
      <c r="E3453" s="40" t="s">
        <v>2233</v>
      </c>
      <c r="F3453" s="40">
        <v>1</v>
      </c>
      <c r="G3453" s="40"/>
      <c r="H3453" s="40" t="s">
        <v>97</v>
      </c>
      <c r="I3453" s="40"/>
      <c r="J3453" s="40" t="s">
        <v>97</v>
      </c>
      <c r="K3453" s="40" t="s">
        <v>97</v>
      </c>
      <c r="L3453" s="40" t="s">
        <v>97</v>
      </c>
    </row>
    <row r="3454" spans="1:12" x14ac:dyDescent="0.25">
      <c r="A3454" s="40" t="s">
        <v>24</v>
      </c>
      <c r="B3454" s="40" t="s">
        <v>676</v>
      </c>
      <c r="C3454" s="40" t="s">
        <v>6200</v>
      </c>
      <c r="D3454" s="40" t="s">
        <v>2233</v>
      </c>
      <c r="E3454" s="40" t="s">
        <v>2233</v>
      </c>
      <c r="F3454" s="40">
        <v>1</v>
      </c>
      <c r="G3454" s="40"/>
      <c r="H3454" s="40" t="s">
        <v>2234</v>
      </c>
      <c r="I3454" s="40"/>
      <c r="J3454" s="40" t="s">
        <v>97</v>
      </c>
      <c r="K3454" s="40" t="s">
        <v>97</v>
      </c>
      <c r="L3454" s="40" t="s">
        <v>97</v>
      </c>
    </row>
    <row r="3455" spans="1:12" x14ac:dyDescent="0.25">
      <c r="A3455" s="40" t="s">
        <v>24</v>
      </c>
      <c r="B3455" s="40" t="s">
        <v>2538</v>
      </c>
      <c r="C3455" s="40" t="s">
        <v>6201</v>
      </c>
      <c r="D3455" s="40" t="s">
        <v>2233</v>
      </c>
      <c r="E3455" s="40" t="s">
        <v>2233</v>
      </c>
      <c r="F3455" s="40">
        <v>1</v>
      </c>
      <c r="G3455" s="40"/>
      <c r="H3455" s="40" t="s">
        <v>2234</v>
      </c>
      <c r="I3455" s="40"/>
      <c r="J3455" s="40" t="s">
        <v>97</v>
      </c>
      <c r="K3455" s="40" t="s">
        <v>97</v>
      </c>
      <c r="L3455" s="40" t="s">
        <v>97</v>
      </c>
    </row>
    <row r="3456" spans="1:12" x14ac:dyDescent="0.25">
      <c r="A3456" s="40" t="s">
        <v>24</v>
      </c>
      <c r="B3456" s="40" t="s">
        <v>2263</v>
      </c>
      <c r="C3456" s="40" t="s">
        <v>6202</v>
      </c>
      <c r="D3456" s="40" t="s">
        <v>2233</v>
      </c>
      <c r="E3456" s="40" t="s">
        <v>2233</v>
      </c>
      <c r="F3456" s="40">
        <v>1</v>
      </c>
      <c r="G3456" s="40"/>
      <c r="H3456" s="40" t="s">
        <v>2234</v>
      </c>
      <c r="I3456" s="40"/>
      <c r="J3456" s="40" t="s">
        <v>97</v>
      </c>
      <c r="K3456" s="40" t="s">
        <v>97</v>
      </c>
      <c r="L3456" s="40" t="s">
        <v>97</v>
      </c>
    </row>
    <row r="3457" spans="1:12" x14ac:dyDescent="0.25">
      <c r="A3457" s="40" t="s">
        <v>24</v>
      </c>
      <c r="B3457" s="40" t="s">
        <v>3302</v>
      </c>
      <c r="C3457" s="40" t="s">
        <v>6203</v>
      </c>
      <c r="D3457" s="40" t="s">
        <v>2233</v>
      </c>
      <c r="E3457" s="40" t="s">
        <v>2233</v>
      </c>
      <c r="F3457" s="40">
        <v>1</v>
      </c>
      <c r="G3457" s="40"/>
      <c r="H3457" s="40" t="s">
        <v>2234</v>
      </c>
      <c r="I3457" s="40"/>
      <c r="J3457" s="40" t="s">
        <v>97</v>
      </c>
      <c r="K3457" s="40" t="s">
        <v>97</v>
      </c>
      <c r="L3457" s="40" t="s">
        <v>97</v>
      </c>
    </row>
    <row r="3458" spans="1:12" x14ac:dyDescent="0.25">
      <c r="A3458" s="40" t="s">
        <v>24</v>
      </c>
      <c r="B3458" s="40" t="s">
        <v>3306</v>
      </c>
      <c r="C3458" s="40" t="s">
        <v>6204</v>
      </c>
      <c r="D3458" s="40" t="s">
        <v>2233</v>
      </c>
      <c r="E3458" s="40" t="s">
        <v>2233</v>
      </c>
      <c r="F3458" s="40">
        <v>1</v>
      </c>
      <c r="G3458" s="40"/>
      <c r="H3458" s="40" t="s">
        <v>2234</v>
      </c>
      <c r="I3458" s="40"/>
      <c r="J3458" s="40" t="s">
        <v>97</v>
      </c>
      <c r="K3458" s="40" t="s">
        <v>97</v>
      </c>
      <c r="L3458" s="40" t="s">
        <v>97</v>
      </c>
    </row>
    <row r="3459" spans="1:12" x14ac:dyDescent="0.25">
      <c r="A3459" s="40" t="s">
        <v>24</v>
      </c>
      <c r="B3459" s="40" t="s">
        <v>6205</v>
      </c>
      <c r="C3459" s="40" t="s">
        <v>6206</v>
      </c>
      <c r="D3459" s="40" t="s">
        <v>2233</v>
      </c>
      <c r="E3459" s="40" t="s">
        <v>2233</v>
      </c>
      <c r="F3459" s="40">
        <v>1</v>
      </c>
      <c r="G3459" s="40"/>
      <c r="H3459" s="40" t="s">
        <v>2234</v>
      </c>
      <c r="I3459" s="40"/>
      <c r="J3459" s="40" t="s">
        <v>97</v>
      </c>
      <c r="K3459" s="40" t="s">
        <v>97</v>
      </c>
      <c r="L3459" s="40" t="s">
        <v>97</v>
      </c>
    </row>
    <row r="3460" spans="1:12" x14ac:dyDescent="0.25">
      <c r="A3460" s="40" t="s">
        <v>24</v>
      </c>
      <c r="B3460" s="40" t="s">
        <v>3308</v>
      </c>
      <c r="C3460" s="40" t="s">
        <v>6207</v>
      </c>
      <c r="D3460" s="40" t="s">
        <v>2233</v>
      </c>
      <c r="E3460" s="40" t="s">
        <v>2233</v>
      </c>
      <c r="F3460" s="40">
        <v>1</v>
      </c>
      <c r="G3460" s="40"/>
      <c r="H3460" s="40" t="s">
        <v>2234</v>
      </c>
      <c r="I3460" s="40"/>
      <c r="J3460" s="40" t="s">
        <v>97</v>
      </c>
      <c r="K3460" s="40" t="s">
        <v>97</v>
      </c>
      <c r="L3460" s="40" t="s">
        <v>97</v>
      </c>
    </row>
    <row r="3461" spans="1:12" x14ac:dyDescent="0.25">
      <c r="A3461" s="40" t="s">
        <v>24</v>
      </c>
      <c r="B3461" s="40" t="s">
        <v>3310</v>
      </c>
      <c r="C3461" s="40" t="s">
        <v>6208</v>
      </c>
      <c r="D3461" s="40" t="s">
        <v>2233</v>
      </c>
      <c r="E3461" s="40" t="s">
        <v>2233</v>
      </c>
      <c r="F3461" s="40">
        <v>1</v>
      </c>
      <c r="G3461" s="40"/>
      <c r="H3461" s="40" t="s">
        <v>2234</v>
      </c>
      <c r="I3461" s="40"/>
      <c r="J3461" s="40" t="s">
        <v>97</v>
      </c>
      <c r="K3461" s="40" t="s">
        <v>97</v>
      </c>
      <c r="L3461" s="40" t="s">
        <v>97</v>
      </c>
    </row>
    <row r="3462" spans="1:12" x14ac:dyDescent="0.25">
      <c r="A3462" s="40" t="s">
        <v>24</v>
      </c>
      <c r="B3462" s="40" t="s">
        <v>6209</v>
      </c>
      <c r="C3462" s="40" t="s">
        <v>6210</v>
      </c>
      <c r="D3462" s="40" t="s">
        <v>2233</v>
      </c>
      <c r="E3462" s="40" t="s">
        <v>2233</v>
      </c>
      <c r="F3462" s="40">
        <v>1</v>
      </c>
      <c r="G3462" s="40"/>
      <c r="H3462" s="40" t="s">
        <v>2234</v>
      </c>
      <c r="I3462" s="40"/>
      <c r="J3462" s="40" t="s">
        <v>97</v>
      </c>
      <c r="K3462" s="40" t="s">
        <v>97</v>
      </c>
      <c r="L3462" s="40" t="s">
        <v>97</v>
      </c>
    </row>
    <row r="3463" spans="1:12" x14ac:dyDescent="0.25">
      <c r="A3463" s="40" t="s">
        <v>24</v>
      </c>
      <c r="B3463" s="40" t="s">
        <v>6211</v>
      </c>
      <c r="C3463" s="40" t="s">
        <v>6212</v>
      </c>
      <c r="D3463" s="40" t="s">
        <v>2233</v>
      </c>
      <c r="E3463" s="40" t="s">
        <v>2233</v>
      </c>
      <c r="F3463" s="40">
        <v>1</v>
      </c>
      <c r="G3463" s="40"/>
      <c r="H3463" s="40" t="s">
        <v>2234</v>
      </c>
      <c r="I3463" s="40"/>
      <c r="J3463" s="40" t="s">
        <v>97</v>
      </c>
      <c r="K3463" s="40" t="s">
        <v>97</v>
      </c>
      <c r="L3463" s="40" t="s">
        <v>97</v>
      </c>
    </row>
    <row r="3464" spans="1:12" x14ac:dyDescent="0.25">
      <c r="A3464" s="40" t="s">
        <v>24</v>
      </c>
      <c r="B3464" s="40" t="s">
        <v>6213</v>
      </c>
      <c r="C3464" s="40" t="s">
        <v>6214</v>
      </c>
      <c r="D3464" s="40" t="s">
        <v>2233</v>
      </c>
      <c r="E3464" s="40" t="s">
        <v>2233</v>
      </c>
      <c r="F3464" s="40">
        <v>1</v>
      </c>
      <c r="G3464" s="40"/>
      <c r="H3464" s="40" t="s">
        <v>2234</v>
      </c>
      <c r="I3464" s="40"/>
      <c r="J3464" s="40" t="s">
        <v>97</v>
      </c>
      <c r="K3464" s="40" t="s">
        <v>97</v>
      </c>
      <c r="L3464" s="40" t="s">
        <v>97</v>
      </c>
    </row>
    <row r="3465" spans="1:12" x14ac:dyDescent="0.25">
      <c r="A3465" s="40" t="s">
        <v>24</v>
      </c>
      <c r="B3465" s="40" t="s">
        <v>6215</v>
      </c>
      <c r="C3465" s="40" t="s">
        <v>6216</v>
      </c>
      <c r="D3465" s="40" t="s">
        <v>2233</v>
      </c>
      <c r="E3465" s="40" t="s">
        <v>2233</v>
      </c>
      <c r="F3465" s="40">
        <v>1</v>
      </c>
      <c r="G3465" s="40"/>
      <c r="H3465" s="40" t="s">
        <v>2234</v>
      </c>
      <c r="I3465" s="40"/>
      <c r="J3465" s="40" t="s">
        <v>97</v>
      </c>
      <c r="K3465" s="40" t="s">
        <v>97</v>
      </c>
      <c r="L3465" s="40" t="s">
        <v>97</v>
      </c>
    </row>
    <row r="3466" spans="1:12" x14ac:dyDescent="0.25">
      <c r="A3466" s="40" t="s">
        <v>24</v>
      </c>
      <c r="B3466" s="40" t="s">
        <v>3312</v>
      </c>
      <c r="C3466" s="40" t="s">
        <v>6217</v>
      </c>
      <c r="D3466" s="40" t="s">
        <v>2233</v>
      </c>
      <c r="E3466" s="40" t="s">
        <v>2233</v>
      </c>
      <c r="F3466" s="40">
        <v>1</v>
      </c>
      <c r="G3466" s="40"/>
      <c r="H3466" s="40" t="s">
        <v>2234</v>
      </c>
      <c r="I3466" s="40"/>
      <c r="J3466" s="40" t="s">
        <v>97</v>
      </c>
      <c r="K3466" s="40" t="s">
        <v>97</v>
      </c>
      <c r="L3466" s="40" t="s">
        <v>97</v>
      </c>
    </row>
    <row r="3467" spans="1:12" x14ac:dyDescent="0.25">
      <c r="A3467" s="40" t="s">
        <v>24</v>
      </c>
      <c r="B3467" s="40" t="s">
        <v>6218</v>
      </c>
      <c r="C3467" s="40" t="s">
        <v>6219</v>
      </c>
      <c r="D3467" s="40" t="s">
        <v>2233</v>
      </c>
      <c r="E3467" s="40" t="s">
        <v>2233</v>
      </c>
      <c r="F3467" s="40">
        <v>1</v>
      </c>
      <c r="G3467" s="40"/>
      <c r="H3467" s="40" t="s">
        <v>2234</v>
      </c>
      <c r="I3467" s="40"/>
      <c r="J3467" s="40" t="s">
        <v>97</v>
      </c>
      <c r="K3467" s="40" t="s">
        <v>97</v>
      </c>
      <c r="L3467" s="40" t="s">
        <v>97</v>
      </c>
    </row>
    <row r="3468" spans="1:12" x14ac:dyDescent="0.25">
      <c r="A3468" s="40" t="s">
        <v>24</v>
      </c>
      <c r="B3468" s="40" t="s">
        <v>3314</v>
      </c>
      <c r="C3468" s="40" t="s">
        <v>6220</v>
      </c>
      <c r="D3468" s="40" t="s">
        <v>2233</v>
      </c>
      <c r="E3468" s="40" t="s">
        <v>2233</v>
      </c>
      <c r="F3468" s="40">
        <v>1</v>
      </c>
      <c r="G3468" s="40"/>
      <c r="H3468" s="40" t="s">
        <v>2234</v>
      </c>
      <c r="I3468" s="40"/>
      <c r="J3468" s="40" t="s">
        <v>97</v>
      </c>
      <c r="K3468" s="40" t="s">
        <v>97</v>
      </c>
      <c r="L3468" s="40" t="s">
        <v>97</v>
      </c>
    </row>
    <row r="3469" spans="1:12" x14ac:dyDescent="0.25">
      <c r="A3469" s="40" t="s">
        <v>24</v>
      </c>
      <c r="B3469" s="40" t="s">
        <v>6221</v>
      </c>
      <c r="C3469" s="40" t="s">
        <v>6222</v>
      </c>
      <c r="D3469" s="40" t="s">
        <v>2233</v>
      </c>
      <c r="E3469" s="40" t="s">
        <v>2233</v>
      </c>
      <c r="F3469" s="40">
        <v>1</v>
      </c>
      <c r="G3469" s="40"/>
      <c r="H3469" s="40" t="s">
        <v>2234</v>
      </c>
      <c r="I3469" s="40"/>
      <c r="J3469" s="40" t="s">
        <v>97</v>
      </c>
      <c r="K3469" s="40" t="s">
        <v>97</v>
      </c>
      <c r="L3469" s="40" t="s">
        <v>97</v>
      </c>
    </row>
    <row r="3470" spans="1:12" x14ac:dyDescent="0.25">
      <c r="A3470" s="40" t="s">
        <v>24</v>
      </c>
      <c r="B3470" s="40" t="s">
        <v>3316</v>
      </c>
      <c r="C3470" s="40" t="s">
        <v>6223</v>
      </c>
      <c r="D3470" s="40" t="s">
        <v>2233</v>
      </c>
      <c r="E3470" s="40" t="s">
        <v>2233</v>
      </c>
      <c r="F3470" s="40">
        <v>1</v>
      </c>
      <c r="G3470" s="40"/>
      <c r="H3470" s="40" t="s">
        <v>2234</v>
      </c>
      <c r="I3470" s="40"/>
      <c r="J3470" s="40" t="s">
        <v>97</v>
      </c>
      <c r="K3470" s="40" t="s">
        <v>97</v>
      </c>
      <c r="L3470" s="40" t="s">
        <v>97</v>
      </c>
    </row>
    <row r="3471" spans="1:12" x14ac:dyDescent="0.25">
      <c r="A3471" s="40" t="s">
        <v>24</v>
      </c>
      <c r="B3471" s="40" t="s">
        <v>6224</v>
      </c>
      <c r="C3471" s="40" t="s">
        <v>6225</v>
      </c>
      <c r="D3471" s="40" t="s">
        <v>2233</v>
      </c>
      <c r="E3471" s="40" t="s">
        <v>2233</v>
      </c>
      <c r="F3471" s="40">
        <v>1</v>
      </c>
      <c r="G3471" s="40"/>
      <c r="H3471" s="40" t="s">
        <v>2234</v>
      </c>
      <c r="I3471" s="40"/>
      <c r="J3471" s="40" t="s">
        <v>97</v>
      </c>
      <c r="K3471" s="40" t="s">
        <v>97</v>
      </c>
      <c r="L3471" s="40" t="s">
        <v>97</v>
      </c>
    </row>
    <row r="3472" spans="1:12" x14ac:dyDescent="0.25">
      <c r="A3472" s="40" t="s">
        <v>24</v>
      </c>
      <c r="B3472" s="40" t="s">
        <v>3318</v>
      </c>
      <c r="C3472" s="40" t="s">
        <v>6226</v>
      </c>
      <c r="D3472" s="40" t="s">
        <v>2233</v>
      </c>
      <c r="E3472" s="40" t="s">
        <v>2233</v>
      </c>
      <c r="F3472" s="40">
        <v>1</v>
      </c>
      <c r="G3472" s="40"/>
      <c r="H3472" s="40" t="s">
        <v>2234</v>
      </c>
      <c r="I3472" s="40"/>
      <c r="J3472" s="40" t="s">
        <v>97</v>
      </c>
      <c r="K3472" s="40" t="s">
        <v>97</v>
      </c>
      <c r="L3472" s="40" t="s">
        <v>97</v>
      </c>
    </row>
    <row r="3473" spans="1:12" x14ac:dyDescent="0.25">
      <c r="A3473" s="40" t="s">
        <v>24</v>
      </c>
      <c r="B3473" s="40" t="s">
        <v>6227</v>
      </c>
      <c r="C3473" s="40" t="s">
        <v>6228</v>
      </c>
      <c r="D3473" s="40" t="s">
        <v>2233</v>
      </c>
      <c r="E3473" s="40" t="s">
        <v>2233</v>
      </c>
      <c r="F3473" s="40">
        <v>1</v>
      </c>
      <c r="G3473" s="40"/>
      <c r="H3473" s="40" t="s">
        <v>2234</v>
      </c>
      <c r="I3473" s="40"/>
      <c r="J3473" s="40" t="s">
        <v>97</v>
      </c>
      <c r="K3473" s="40" t="s">
        <v>97</v>
      </c>
      <c r="L3473" s="40" t="s">
        <v>97</v>
      </c>
    </row>
    <row r="3474" spans="1:12" x14ac:dyDescent="0.25">
      <c r="A3474" s="40" t="s">
        <v>29</v>
      </c>
      <c r="B3474" s="40" t="s">
        <v>2233</v>
      </c>
      <c r="C3474" s="40" t="s">
        <v>6229</v>
      </c>
      <c r="D3474" s="40" t="s">
        <v>2233</v>
      </c>
      <c r="E3474" s="40" t="s">
        <v>2233</v>
      </c>
      <c r="F3474" s="40">
        <v>1</v>
      </c>
      <c r="G3474" s="40"/>
      <c r="H3474" s="40" t="s">
        <v>2234</v>
      </c>
      <c r="I3474" s="40"/>
      <c r="J3474" s="40" t="s">
        <v>97</v>
      </c>
      <c r="K3474" s="40" t="s">
        <v>97</v>
      </c>
      <c r="L3474" s="40" t="s">
        <v>97</v>
      </c>
    </row>
    <row r="3475" spans="1:12" x14ac:dyDescent="0.25">
      <c r="A3475" s="40" t="s">
        <v>29</v>
      </c>
      <c r="B3475" s="40" t="s">
        <v>2298</v>
      </c>
      <c r="C3475" s="40" t="s">
        <v>6230</v>
      </c>
      <c r="D3475" s="40" t="s">
        <v>2233</v>
      </c>
      <c r="E3475" s="40" t="s">
        <v>2233</v>
      </c>
      <c r="F3475" s="40">
        <v>1</v>
      </c>
      <c r="G3475" s="40"/>
      <c r="H3475" s="40" t="s">
        <v>2234</v>
      </c>
      <c r="I3475" s="40"/>
      <c r="J3475" s="40" t="s">
        <v>97</v>
      </c>
      <c r="K3475" s="40" t="s">
        <v>97</v>
      </c>
      <c r="L3475" s="40" t="s">
        <v>97</v>
      </c>
    </row>
    <row r="3476" spans="1:12" x14ac:dyDescent="0.25">
      <c r="A3476" s="40" t="s">
        <v>29</v>
      </c>
      <c r="B3476" s="40" t="s">
        <v>2263</v>
      </c>
      <c r="C3476" s="40" t="s">
        <v>6231</v>
      </c>
      <c r="D3476" s="40" t="s">
        <v>2233</v>
      </c>
      <c r="E3476" s="40" t="s">
        <v>2233</v>
      </c>
      <c r="F3476" s="40">
        <v>1</v>
      </c>
      <c r="G3476" s="40"/>
      <c r="H3476" s="40" t="s">
        <v>2234</v>
      </c>
      <c r="I3476" s="40"/>
      <c r="J3476" s="40" t="s">
        <v>97</v>
      </c>
      <c r="K3476" s="40" t="s">
        <v>97</v>
      </c>
      <c r="L3476" s="40" t="s">
        <v>97</v>
      </c>
    </row>
    <row r="3477" spans="1:12" x14ac:dyDescent="0.25">
      <c r="A3477" s="40" t="s">
        <v>29</v>
      </c>
      <c r="B3477" s="40" t="s">
        <v>3298</v>
      </c>
      <c r="C3477" s="40" t="s">
        <v>6232</v>
      </c>
      <c r="D3477" s="40" t="s">
        <v>2233</v>
      </c>
      <c r="E3477" s="40" t="s">
        <v>2233</v>
      </c>
      <c r="F3477" s="40">
        <v>1</v>
      </c>
      <c r="G3477" s="40"/>
      <c r="H3477" s="40" t="s">
        <v>2234</v>
      </c>
      <c r="I3477" s="40"/>
      <c r="J3477" s="40" t="s">
        <v>97</v>
      </c>
      <c r="K3477" s="40" t="s">
        <v>97</v>
      </c>
      <c r="L3477" s="40" t="s">
        <v>97</v>
      </c>
    </row>
    <row r="3478" spans="1:12" x14ac:dyDescent="0.25">
      <c r="A3478" s="40" t="s">
        <v>29</v>
      </c>
      <c r="B3478" s="40" t="s">
        <v>3300</v>
      </c>
      <c r="C3478" s="40" t="s">
        <v>6233</v>
      </c>
      <c r="D3478" s="40" t="s">
        <v>2233</v>
      </c>
      <c r="E3478" s="40" t="s">
        <v>2233</v>
      </c>
      <c r="F3478" s="40">
        <v>1</v>
      </c>
      <c r="G3478" s="40"/>
      <c r="H3478" s="40" t="s">
        <v>2234</v>
      </c>
      <c r="I3478" s="40"/>
      <c r="J3478" s="40" t="s">
        <v>97</v>
      </c>
      <c r="K3478" s="40" t="s">
        <v>97</v>
      </c>
      <c r="L3478" s="40" t="s">
        <v>97</v>
      </c>
    </row>
    <row r="3479" spans="1:12" x14ac:dyDescent="0.25">
      <c r="A3479" s="40" t="s">
        <v>29</v>
      </c>
      <c r="B3479" s="40" t="s">
        <v>6234</v>
      </c>
      <c r="C3479" s="40" t="s">
        <v>6235</v>
      </c>
      <c r="D3479" s="40" t="s">
        <v>2233</v>
      </c>
      <c r="E3479" s="40" t="s">
        <v>2233</v>
      </c>
      <c r="F3479" s="40">
        <v>1</v>
      </c>
      <c r="G3479" s="40"/>
      <c r="H3479" s="40" t="s">
        <v>2234</v>
      </c>
      <c r="I3479" s="40"/>
      <c r="J3479" s="40" t="s">
        <v>97</v>
      </c>
      <c r="K3479" s="40" t="s">
        <v>97</v>
      </c>
      <c r="L3479" s="40" t="s">
        <v>97</v>
      </c>
    </row>
    <row r="3480" spans="1:12" x14ac:dyDescent="0.25">
      <c r="A3480" s="40" t="s">
        <v>29</v>
      </c>
      <c r="B3480" s="40" t="s">
        <v>3302</v>
      </c>
      <c r="C3480" s="40" t="s">
        <v>6236</v>
      </c>
      <c r="D3480" s="40" t="s">
        <v>6237</v>
      </c>
      <c r="E3480" s="40" t="s">
        <v>6237</v>
      </c>
      <c r="F3480" s="40">
        <v>1</v>
      </c>
      <c r="G3480" s="40"/>
      <c r="H3480" s="40" t="s">
        <v>2234</v>
      </c>
      <c r="I3480" s="40"/>
      <c r="J3480" s="40" t="s">
        <v>97</v>
      </c>
      <c r="K3480" s="40" t="s">
        <v>97</v>
      </c>
      <c r="L3480" s="40" t="s">
        <v>97</v>
      </c>
    </row>
    <row r="3481" spans="1:12" x14ac:dyDescent="0.25">
      <c r="A3481" s="40" t="s">
        <v>29</v>
      </c>
      <c r="B3481" s="40" t="s">
        <v>6238</v>
      </c>
      <c r="C3481" s="40" t="s">
        <v>6239</v>
      </c>
      <c r="D3481" s="40" t="s">
        <v>2362</v>
      </c>
      <c r="E3481" s="40" t="s">
        <v>2362</v>
      </c>
      <c r="F3481" s="40">
        <v>1</v>
      </c>
      <c r="G3481" s="40"/>
      <c r="H3481" s="40" t="s">
        <v>2234</v>
      </c>
      <c r="I3481" s="40"/>
      <c r="J3481" s="40" t="s">
        <v>97</v>
      </c>
      <c r="K3481" s="40" t="s">
        <v>97</v>
      </c>
      <c r="L3481" s="40" t="s">
        <v>97</v>
      </c>
    </row>
    <row r="3482" spans="1:12" x14ac:dyDescent="0.25">
      <c r="A3482" s="40" t="s">
        <v>29</v>
      </c>
      <c r="B3482" s="40" t="s">
        <v>3304</v>
      </c>
      <c r="C3482" s="40" t="s">
        <v>6240</v>
      </c>
      <c r="D3482" s="40" t="s">
        <v>2233</v>
      </c>
      <c r="E3482" s="40" t="s">
        <v>2233</v>
      </c>
      <c r="F3482" s="40">
        <v>1</v>
      </c>
      <c r="G3482" s="40"/>
      <c r="H3482" s="40" t="s">
        <v>2234</v>
      </c>
      <c r="I3482" s="40"/>
      <c r="J3482" s="40" t="s">
        <v>97</v>
      </c>
      <c r="K3482" s="40" t="s">
        <v>97</v>
      </c>
      <c r="L3482" s="40" t="s">
        <v>97</v>
      </c>
    </row>
    <row r="3483" spans="1:12" x14ac:dyDescent="0.25">
      <c r="A3483" s="40" t="s">
        <v>29</v>
      </c>
      <c r="B3483" s="40" t="s">
        <v>6241</v>
      </c>
      <c r="C3483" s="40" t="s">
        <v>6242</v>
      </c>
      <c r="D3483" s="40" t="s">
        <v>2248</v>
      </c>
      <c r="E3483" s="40" t="s">
        <v>2233</v>
      </c>
      <c r="F3483" s="40">
        <v>0</v>
      </c>
      <c r="G3483" s="40"/>
      <c r="H3483" s="40" t="s">
        <v>2234</v>
      </c>
      <c r="I3483" s="40"/>
      <c r="J3483" s="40" t="s">
        <v>97</v>
      </c>
      <c r="K3483" s="40" t="s">
        <v>97</v>
      </c>
      <c r="L3483" s="40" t="s">
        <v>97</v>
      </c>
    </row>
    <row r="3484" spans="1:12" x14ac:dyDescent="0.25">
      <c r="A3484" s="40" t="s">
        <v>29</v>
      </c>
      <c r="B3484" s="40" t="s">
        <v>3306</v>
      </c>
      <c r="C3484" s="40" t="s">
        <v>6243</v>
      </c>
      <c r="D3484" s="40" t="s">
        <v>2233</v>
      </c>
      <c r="E3484" s="40" t="s">
        <v>2233</v>
      </c>
      <c r="F3484" s="40">
        <v>1</v>
      </c>
      <c r="G3484" s="40"/>
      <c r="H3484" s="40" t="s">
        <v>2234</v>
      </c>
      <c r="I3484" s="40"/>
      <c r="J3484" s="40" t="s">
        <v>97</v>
      </c>
      <c r="K3484" s="40" t="s">
        <v>97</v>
      </c>
      <c r="L3484" s="40" t="s">
        <v>97</v>
      </c>
    </row>
    <row r="3485" spans="1:12" x14ac:dyDescent="0.25">
      <c r="A3485" s="40" t="s">
        <v>29</v>
      </c>
      <c r="B3485" s="40" t="s">
        <v>6205</v>
      </c>
      <c r="C3485" s="40" t="s">
        <v>6244</v>
      </c>
      <c r="D3485" s="40" t="s">
        <v>2233</v>
      </c>
      <c r="E3485" s="40" t="s">
        <v>2233</v>
      </c>
      <c r="F3485" s="40">
        <v>1</v>
      </c>
      <c r="G3485" s="40"/>
      <c r="H3485" s="40" t="s">
        <v>2234</v>
      </c>
      <c r="I3485" s="40"/>
      <c r="J3485" s="40" t="s">
        <v>97</v>
      </c>
      <c r="K3485" s="40" t="s">
        <v>97</v>
      </c>
      <c r="L3485" s="40" t="s">
        <v>97</v>
      </c>
    </row>
    <row r="3486" spans="1:12" x14ac:dyDescent="0.25">
      <c r="A3486" s="40" t="s">
        <v>29</v>
      </c>
      <c r="B3486" s="40" t="s">
        <v>3308</v>
      </c>
      <c r="C3486" s="40" t="s">
        <v>6245</v>
      </c>
      <c r="D3486" s="40" t="s">
        <v>2233</v>
      </c>
      <c r="E3486" s="40" t="s">
        <v>2233</v>
      </c>
      <c r="F3486" s="40">
        <v>1</v>
      </c>
      <c r="G3486" s="40"/>
      <c r="H3486" s="40" t="s">
        <v>2234</v>
      </c>
      <c r="I3486" s="40"/>
      <c r="J3486" s="40" t="s">
        <v>97</v>
      </c>
      <c r="K3486" s="40" t="s">
        <v>97</v>
      </c>
      <c r="L3486" s="40" t="s">
        <v>97</v>
      </c>
    </row>
    <row r="3487" spans="1:12" x14ac:dyDescent="0.25">
      <c r="A3487" s="40" t="s">
        <v>29</v>
      </c>
      <c r="B3487" s="40" t="s">
        <v>3310</v>
      </c>
      <c r="C3487" s="40" t="s">
        <v>6246</v>
      </c>
      <c r="D3487" s="40" t="s">
        <v>2233</v>
      </c>
      <c r="E3487" s="40" t="s">
        <v>2233</v>
      </c>
      <c r="F3487" s="40">
        <v>1</v>
      </c>
      <c r="G3487" s="40"/>
      <c r="H3487" s="40" t="s">
        <v>2234</v>
      </c>
      <c r="I3487" s="40"/>
      <c r="J3487" s="40" t="s">
        <v>97</v>
      </c>
      <c r="K3487" s="40" t="s">
        <v>97</v>
      </c>
      <c r="L3487" s="40" t="s">
        <v>97</v>
      </c>
    </row>
    <row r="3488" spans="1:12" x14ac:dyDescent="0.25">
      <c r="A3488" s="40" t="s">
        <v>29</v>
      </c>
      <c r="B3488" s="40" t="s">
        <v>6209</v>
      </c>
      <c r="C3488" s="40" t="s">
        <v>6247</v>
      </c>
      <c r="D3488" s="40" t="s">
        <v>2234</v>
      </c>
      <c r="E3488" s="40" t="s">
        <v>2234</v>
      </c>
      <c r="F3488" s="40">
        <v>1</v>
      </c>
      <c r="G3488" s="40"/>
      <c r="H3488" s="40" t="s">
        <v>2234</v>
      </c>
      <c r="I3488" s="40"/>
      <c r="J3488" s="40" t="s">
        <v>97</v>
      </c>
      <c r="K3488" s="40" t="s">
        <v>97</v>
      </c>
      <c r="L3488" s="40" t="s">
        <v>97</v>
      </c>
    </row>
    <row r="3489" spans="1:12" x14ac:dyDescent="0.25">
      <c r="A3489" s="40" t="s">
        <v>29</v>
      </c>
      <c r="B3489" s="40" t="s">
        <v>6211</v>
      </c>
      <c r="C3489" s="40" t="s">
        <v>6248</v>
      </c>
      <c r="D3489" s="40" t="s">
        <v>2233</v>
      </c>
      <c r="E3489" s="40" t="s">
        <v>2233</v>
      </c>
      <c r="F3489" s="40">
        <v>1</v>
      </c>
      <c r="G3489" s="40"/>
      <c r="H3489" s="40" t="s">
        <v>2234</v>
      </c>
      <c r="I3489" s="40"/>
      <c r="J3489" s="40" t="s">
        <v>97</v>
      </c>
      <c r="K3489" s="40" t="s">
        <v>97</v>
      </c>
      <c r="L3489" s="40" t="s">
        <v>97</v>
      </c>
    </row>
    <row r="3490" spans="1:12" x14ac:dyDescent="0.25">
      <c r="A3490" s="40" t="s">
        <v>29</v>
      </c>
      <c r="B3490" s="40" t="s">
        <v>6213</v>
      </c>
      <c r="C3490" s="40" t="s">
        <v>6249</v>
      </c>
      <c r="D3490" s="40" t="s">
        <v>2233</v>
      </c>
      <c r="E3490" s="40" t="s">
        <v>2233</v>
      </c>
      <c r="F3490" s="40">
        <v>1</v>
      </c>
      <c r="G3490" s="40"/>
      <c r="H3490" s="40" t="s">
        <v>2234</v>
      </c>
      <c r="I3490" s="40"/>
      <c r="J3490" s="40" t="s">
        <v>97</v>
      </c>
      <c r="K3490" s="40" t="s">
        <v>97</v>
      </c>
      <c r="L3490" s="40" t="s">
        <v>97</v>
      </c>
    </row>
    <row r="3491" spans="1:12" x14ac:dyDescent="0.25">
      <c r="A3491" s="40" t="s">
        <v>29</v>
      </c>
      <c r="B3491" s="40" t="s">
        <v>6215</v>
      </c>
      <c r="C3491" s="40" t="s">
        <v>6250</v>
      </c>
      <c r="D3491" s="40" t="s">
        <v>2233</v>
      </c>
      <c r="E3491" s="40" t="s">
        <v>2233</v>
      </c>
      <c r="F3491" s="40">
        <v>1</v>
      </c>
      <c r="G3491" s="40"/>
      <c r="H3491" s="40" t="s">
        <v>2234</v>
      </c>
      <c r="I3491" s="40"/>
      <c r="J3491" s="40" t="s">
        <v>97</v>
      </c>
      <c r="K3491" s="40" t="s">
        <v>97</v>
      </c>
      <c r="L3491" s="40" t="s">
        <v>97</v>
      </c>
    </row>
    <row r="3492" spans="1:12" x14ac:dyDescent="0.25">
      <c r="A3492" s="40" t="s">
        <v>29</v>
      </c>
      <c r="B3492" s="40" t="s">
        <v>3312</v>
      </c>
      <c r="C3492" s="40" t="s">
        <v>6251</v>
      </c>
      <c r="D3492" s="40" t="s">
        <v>6252</v>
      </c>
      <c r="E3492" s="40" t="s">
        <v>6253</v>
      </c>
      <c r="F3492" s="40">
        <v>0</v>
      </c>
      <c r="G3492" s="40"/>
      <c r="H3492" s="40" t="s">
        <v>2234</v>
      </c>
      <c r="I3492" s="40"/>
      <c r="J3492" s="40" t="s">
        <v>97</v>
      </c>
      <c r="K3492" s="40" t="s">
        <v>97</v>
      </c>
      <c r="L3492" s="40" t="s">
        <v>97</v>
      </c>
    </row>
    <row r="3493" spans="1:12" x14ac:dyDescent="0.25">
      <c r="A3493" s="40" t="s">
        <v>29</v>
      </c>
      <c r="B3493" s="40" t="s">
        <v>3734</v>
      </c>
      <c r="C3493" s="40" t="s">
        <v>6254</v>
      </c>
      <c r="D3493" s="40" t="s">
        <v>6255</v>
      </c>
      <c r="E3493" s="40" t="s">
        <v>6255</v>
      </c>
      <c r="F3493" s="40">
        <v>1</v>
      </c>
      <c r="G3493" s="40"/>
      <c r="H3493" s="40" t="s">
        <v>2234</v>
      </c>
      <c r="I3493" s="40"/>
      <c r="J3493" s="40" t="s">
        <v>97</v>
      </c>
      <c r="K3493" s="40" t="s">
        <v>97</v>
      </c>
      <c r="L3493" s="40" t="s">
        <v>97</v>
      </c>
    </row>
    <row r="3494" spans="1:12" x14ac:dyDescent="0.25">
      <c r="A3494" s="40" t="s">
        <v>29</v>
      </c>
      <c r="B3494" s="40" t="s">
        <v>3737</v>
      </c>
      <c r="C3494" s="40" t="s">
        <v>6256</v>
      </c>
      <c r="D3494" s="40" t="s">
        <v>2499</v>
      </c>
      <c r="E3494" s="40" t="s">
        <v>2499</v>
      </c>
      <c r="F3494" s="40">
        <v>1</v>
      </c>
      <c r="G3494" s="40"/>
      <c r="H3494" s="40" t="s">
        <v>2234</v>
      </c>
      <c r="I3494" s="40"/>
      <c r="J3494" s="40" t="s">
        <v>97</v>
      </c>
      <c r="K3494" s="40" t="s">
        <v>97</v>
      </c>
      <c r="L3494" s="40" t="s">
        <v>97</v>
      </c>
    </row>
    <row r="3495" spans="1:12" x14ac:dyDescent="0.25">
      <c r="A3495" s="40" t="s">
        <v>29</v>
      </c>
      <c r="B3495" s="40" t="s">
        <v>3739</v>
      </c>
      <c r="C3495" s="40" t="s">
        <v>6257</v>
      </c>
      <c r="D3495" s="40" t="s">
        <v>6258</v>
      </c>
      <c r="E3495" s="40" t="s">
        <v>6258</v>
      </c>
      <c r="F3495" s="40">
        <v>1</v>
      </c>
      <c r="G3495" s="40"/>
      <c r="H3495" s="40" t="s">
        <v>2234</v>
      </c>
      <c r="I3495" s="40"/>
      <c r="J3495" s="40" t="s">
        <v>97</v>
      </c>
      <c r="K3495" s="40" t="s">
        <v>97</v>
      </c>
      <c r="L3495" s="40" t="s">
        <v>97</v>
      </c>
    </row>
    <row r="3496" spans="1:12" x14ac:dyDescent="0.25">
      <c r="A3496" s="40" t="s">
        <v>29</v>
      </c>
      <c r="B3496" s="40" t="s">
        <v>6259</v>
      </c>
      <c r="C3496" s="40" t="s">
        <v>6260</v>
      </c>
      <c r="D3496" s="40" t="s">
        <v>6261</v>
      </c>
      <c r="E3496" s="40" t="s">
        <v>6262</v>
      </c>
      <c r="F3496" s="40">
        <v>0</v>
      </c>
      <c r="G3496" s="40"/>
      <c r="H3496" s="40" t="s">
        <v>2234</v>
      </c>
      <c r="I3496" s="40"/>
      <c r="J3496" s="40" t="s">
        <v>97</v>
      </c>
      <c r="K3496" s="40" t="s">
        <v>97</v>
      </c>
      <c r="L3496" s="40" t="s">
        <v>97</v>
      </c>
    </row>
    <row r="3497" spans="1:12" x14ac:dyDescent="0.25">
      <c r="A3497" s="40" t="s">
        <v>29</v>
      </c>
      <c r="B3497" s="40" t="s">
        <v>3741</v>
      </c>
      <c r="C3497" s="40" t="s">
        <v>6263</v>
      </c>
      <c r="D3497" s="40" t="s">
        <v>2233</v>
      </c>
      <c r="E3497" s="40" t="s">
        <v>2233</v>
      </c>
      <c r="F3497" s="40">
        <v>1</v>
      </c>
      <c r="G3497" s="40"/>
      <c r="H3497" s="40" t="s">
        <v>2234</v>
      </c>
      <c r="I3497" s="40"/>
      <c r="J3497" s="40" t="s">
        <v>97</v>
      </c>
      <c r="K3497" s="40" t="s">
        <v>97</v>
      </c>
      <c r="L3497" s="40" t="s">
        <v>97</v>
      </c>
    </row>
    <row r="3498" spans="1:12" x14ac:dyDescent="0.25">
      <c r="A3498" s="40" t="s">
        <v>29</v>
      </c>
      <c r="B3498" s="40" t="s">
        <v>6264</v>
      </c>
      <c r="C3498" s="40" t="s">
        <v>6265</v>
      </c>
      <c r="D3498" s="40" t="s">
        <v>2233</v>
      </c>
      <c r="E3498" s="40" t="s">
        <v>2233</v>
      </c>
      <c r="F3498" s="40">
        <v>1</v>
      </c>
      <c r="G3498" s="40"/>
      <c r="H3498" s="40" t="s">
        <v>2234</v>
      </c>
      <c r="I3498" s="40"/>
      <c r="J3498" s="40" t="s">
        <v>97</v>
      </c>
      <c r="K3498" s="40" t="s">
        <v>97</v>
      </c>
      <c r="L3498" s="40" t="s">
        <v>97</v>
      </c>
    </row>
    <row r="3499" spans="1:12" x14ac:dyDescent="0.25">
      <c r="A3499" s="40" t="s">
        <v>29</v>
      </c>
      <c r="B3499" s="40" t="s">
        <v>3743</v>
      </c>
      <c r="C3499" s="40" t="s">
        <v>6266</v>
      </c>
      <c r="D3499" s="40" t="s">
        <v>2233</v>
      </c>
      <c r="E3499" s="40" t="s">
        <v>2233</v>
      </c>
      <c r="F3499" s="40">
        <v>1</v>
      </c>
      <c r="G3499" s="40"/>
      <c r="H3499" s="40" t="s">
        <v>2234</v>
      </c>
      <c r="I3499" s="40"/>
      <c r="J3499" s="40" t="s">
        <v>97</v>
      </c>
      <c r="K3499" s="40" t="s">
        <v>97</v>
      </c>
      <c r="L3499" s="40" t="s">
        <v>97</v>
      </c>
    </row>
    <row r="3500" spans="1:12" x14ac:dyDescent="0.25">
      <c r="A3500" s="40" t="s">
        <v>29</v>
      </c>
      <c r="B3500" s="40" t="s">
        <v>6267</v>
      </c>
      <c r="C3500" s="40" t="s">
        <v>6268</v>
      </c>
      <c r="D3500" s="40" t="s">
        <v>2233</v>
      </c>
      <c r="E3500" s="40" t="s">
        <v>6269</v>
      </c>
      <c r="F3500" s="40">
        <v>0</v>
      </c>
      <c r="G3500" s="40"/>
      <c r="H3500" s="40" t="s">
        <v>2234</v>
      </c>
      <c r="I3500" s="40"/>
      <c r="J3500" s="40" t="s">
        <v>97</v>
      </c>
      <c r="K3500" s="40" t="s">
        <v>97</v>
      </c>
      <c r="L3500" s="40" t="s">
        <v>97</v>
      </c>
    </row>
    <row r="3501" spans="1:12" x14ac:dyDescent="0.25">
      <c r="A3501" s="40" t="s">
        <v>29</v>
      </c>
      <c r="B3501" s="40" t="s">
        <v>3745</v>
      </c>
      <c r="C3501" s="40" t="s">
        <v>6270</v>
      </c>
      <c r="D3501" s="40" t="s">
        <v>6271</v>
      </c>
      <c r="E3501" s="40" t="s">
        <v>6271</v>
      </c>
      <c r="F3501" s="40">
        <v>1</v>
      </c>
      <c r="G3501" s="40"/>
      <c r="H3501" s="40" t="s">
        <v>2234</v>
      </c>
      <c r="I3501" s="40"/>
      <c r="J3501" s="40" t="s">
        <v>97</v>
      </c>
      <c r="K3501" s="40" t="s">
        <v>97</v>
      </c>
      <c r="L3501" s="40" t="s">
        <v>97</v>
      </c>
    </row>
    <row r="3502" spans="1:12" x14ac:dyDescent="0.25">
      <c r="A3502" s="40" t="s">
        <v>29</v>
      </c>
      <c r="B3502" s="40" t="s">
        <v>6272</v>
      </c>
      <c r="C3502" s="40" t="s">
        <v>6273</v>
      </c>
      <c r="D3502" s="40" t="s">
        <v>2233</v>
      </c>
      <c r="E3502" s="40" t="s">
        <v>2233</v>
      </c>
      <c r="F3502" s="40">
        <v>1</v>
      </c>
      <c r="G3502" s="40"/>
      <c r="H3502" s="40" t="s">
        <v>97</v>
      </c>
      <c r="I3502" s="40"/>
      <c r="J3502" s="40" t="s">
        <v>97</v>
      </c>
      <c r="K3502" s="40" t="s">
        <v>97</v>
      </c>
      <c r="L3502" s="40" t="s">
        <v>97</v>
      </c>
    </row>
    <row r="3503" spans="1:12" x14ac:dyDescent="0.25">
      <c r="A3503" s="40" t="s">
        <v>29</v>
      </c>
      <c r="B3503" s="40" t="s">
        <v>3747</v>
      </c>
      <c r="C3503" s="40" t="s">
        <v>6274</v>
      </c>
      <c r="D3503" s="40" t="s">
        <v>2233</v>
      </c>
      <c r="E3503" s="40" t="s">
        <v>2233</v>
      </c>
      <c r="F3503" s="40">
        <v>1</v>
      </c>
      <c r="G3503" s="40"/>
      <c r="H3503" s="40" t="s">
        <v>97</v>
      </c>
      <c r="I3503" s="40"/>
      <c r="J3503" s="40" t="s">
        <v>97</v>
      </c>
      <c r="K3503" s="40" t="s">
        <v>97</v>
      </c>
      <c r="L3503" s="40" t="s">
        <v>97</v>
      </c>
    </row>
    <row r="3504" spans="1:12" x14ac:dyDescent="0.25">
      <c r="A3504" s="40" t="s">
        <v>29</v>
      </c>
      <c r="B3504" s="40" t="s">
        <v>3749</v>
      </c>
      <c r="C3504" s="40" t="s">
        <v>6275</v>
      </c>
      <c r="D3504" s="40" t="s">
        <v>2233</v>
      </c>
      <c r="E3504" s="40" t="s">
        <v>2233</v>
      </c>
      <c r="F3504" s="40">
        <v>1</v>
      </c>
      <c r="G3504" s="40"/>
      <c r="H3504" s="40" t="s">
        <v>97</v>
      </c>
      <c r="I3504" s="40"/>
      <c r="J3504" s="40" t="s">
        <v>97</v>
      </c>
      <c r="K3504" s="40" t="s">
        <v>97</v>
      </c>
      <c r="L3504" s="40" t="s">
        <v>97</v>
      </c>
    </row>
    <row r="3505" spans="1:12" x14ac:dyDescent="0.25">
      <c r="A3505" s="40" t="s">
        <v>29</v>
      </c>
      <c r="B3505" s="40" t="s">
        <v>6276</v>
      </c>
      <c r="C3505" s="40" t="s">
        <v>6277</v>
      </c>
      <c r="D3505" s="40" t="s">
        <v>2233</v>
      </c>
      <c r="E3505" s="40" t="s">
        <v>2233</v>
      </c>
      <c r="F3505" s="40">
        <v>1</v>
      </c>
      <c r="G3505" s="40"/>
      <c r="H3505" s="40" t="s">
        <v>97</v>
      </c>
      <c r="I3505" s="40"/>
      <c r="J3505" s="40" t="s">
        <v>97</v>
      </c>
      <c r="K3505" s="40" t="s">
        <v>97</v>
      </c>
      <c r="L3505" s="40" t="s">
        <v>97</v>
      </c>
    </row>
    <row r="3506" spans="1:12" x14ac:dyDescent="0.25">
      <c r="A3506" s="40" t="s">
        <v>29</v>
      </c>
      <c r="B3506" s="40" t="s">
        <v>6278</v>
      </c>
      <c r="C3506" s="40" t="s">
        <v>6279</v>
      </c>
      <c r="D3506" s="40" t="s">
        <v>2233</v>
      </c>
      <c r="E3506" s="40" t="s">
        <v>2233</v>
      </c>
      <c r="F3506" s="40">
        <v>1</v>
      </c>
      <c r="G3506" s="40"/>
      <c r="H3506" s="40" t="s">
        <v>97</v>
      </c>
      <c r="I3506" s="40"/>
      <c r="J3506" s="40" t="s">
        <v>97</v>
      </c>
      <c r="K3506" s="40" t="s">
        <v>97</v>
      </c>
      <c r="L3506" s="40" t="s">
        <v>97</v>
      </c>
    </row>
    <row r="3507" spans="1:12" x14ac:dyDescent="0.25">
      <c r="A3507" s="40" t="s">
        <v>29</v>
      </c>
      <c r="B3507" s="40" t="s">
        <v>6280</v>
      </c>
      <c r="C3507" s="40" t="s">
        <v>6281</v>
      </c>
      <c r="D3507" s="40" t="s">
        <v>2233</v>
      </c>
      <c r="E3507" s="40" t="s">
        <v>2233</v>
      </c>
      <c r="F3507" s="40">
        <v>1</v>
      </c>
      <c r="G3507" s="40"/>
      <c r="H3507" s="40" t="s">
        <v>97</v>
      </c>
      <c r="I3507" s="40"/>
      <c r="J3507" s="40" t="s">
        <v>97</v>
      </c>
      <c r="K3507" s="40" t="s">
        <v>97</v>
      </c>
      <c r="L3507" s="40" t="s">
        <v>97</v>
      </c>
    </row>
    <row r="3508" spans="1:12" x14ac:dyDescent="0.25">
      <c r="A3508" s="40" t="s">
        <v>29</v>
      </c>
      <c r="B3508" s="40" t="s">
        <v>6282</v>
      </c>
      <c r="C3508" s="40" t="s">
        <v>6283</v>
      </c>
      <c r="D3508" s="40" t="s">
        <v>2233</v>
      </c>
      <c r="E3508" s="40" t="s">
        <v>2233</v>
      </c>
      <c r="F3508" s="40">
        <v>1</v>
      </c>
      <c r="G3508" s="40"/>
      <c r="H3508" s="40" t="s">
        <v>97</v>
      </c>
      <c r="I3508" s="40"/>
      <c r="J3508" s="40" t="s">
        <v>97</v>
      </c>
      <c r="K3508" s="40" t="s">
        <v>97</v>
      </c>
      <c r="L3508" s="40" t="s">
        <v>97</v>
      </c>
    </row>
    <row r="3509" spans="1:12" x14ac:dyDescent="0.25">
      <c r="A3509" s="40" t="s">
        <v>29</v>
      </c>
      <c r="B3509" s="40" t="s">
        <v>3751</v>
      </c>
      <c r="C3509" s="40" t="s">
        <v>6284</v>
      </c>
      <c r="D3509" s="40" t="s">
        <v>2320</v>
      </c>
      <c r="E3509" s="40" t="s">
        <v>2320</v>
      </c>
      <c r="F3509" s="40">
        <v>1</v>
      </c>
      <c r="G3509" s="40"/>
      <c r="H3509" s="40" t="s">
        <v>97</v>
      </c>
      <c r="I3509" s="40"/>
      <c r="J3509" s="40" t="s">
        <v>97</v>
      </c>
      <c r="K3509" s="40" t="s">
        <v>97</v>
      </c>
      <c r="L3509" s="40" t="s">
        <v>97</v>
      </c>
    </row>
    <row r="3510" spans="1:12" x14ac:dyDescent="0.25">
      <c r="A3510" s="40" t="s">
        <v>29</v>
      </c>
      <c r="B3510" s="40" t="s">
        <v>6285</v>
      </c>
      <c r="C3510" s="40" t="s">
        <v>6286</v>
      </c>
      <c r="D3510" s="40" t="s">
        <v>2233</v>
      </c>
      <c r="E3510" s="40" t="s">
        <v>2233</v>
      </c>
      <c r="F3510" s="40">
        <v>1</v>
      </c>
      <c r="G3510" s="40"/>
      <c r="H3510" s="40" t="s">
        <v>97</v>
      </c>
      <c r="I3510" s="40"/>
      <c r="J3510" s="40" t="s">
        <v>97</v>
      </c>
      <c r="K3510" s="40" t="s">
        <v>97</v>
      </c>
      <c r="L3510" s="40" t="s">
        <v>97</v>
      </c>
    </row>
    <row r="3511" spans="1:12" x14ac:dyDescent="0.25">
      <c r="A3511" s="40" t="s">
        <v>29</v>
      </c>
      <c r="B3511" s="40" t="s">
        <v>3753</v>
      </c>
      <c r="C3511" s="40" t="s">
        <v>6287</v>
      </c>
      <c r="D3511" s="40" t="s">
        <v>577</v>
      </c>
      <c r="E3511" s="40" t="s">
        <v>577</v>
      </c>
      <c r="F3511" s="40">
        <v>1</v>
      </c>
      <c r="G3511" s="40"/>
      <c r="H3511" s="40" t="s">
        <v>97</v>
      </c>
      <c r="I3511" s="40"/>
      <c r="J3511" s="40" t="s">
        <v>97</v>
      </c>
      <c r="K3511" s="40" t="s">
        <v>97</v>
      </c>
      <c r="L3511" s="40" t="s">
        <v>97</v>
      </c>
    </row>
    <row r="3512" spans="1:12" x14ac:dyDescent="0.25">
      <c r="A3512" s="40" t="s">
        <v>29</v>
      </c>
      <c r="B3512" s="40" t="s">
        <v>6288</v>
      </c>
      <c r="C3512" s="40" t="s">
        <v>6289</v>
      </c>
      <c r="D3512" s="40" t="s">
        <v>2233</v>
      </c>
      <c r="E3512" s="40" t="s">
        <v>2233</v>
      </c>
      <c r="F3512" s="40">
        <v>1</v>
      </c>
      <c r="G3512" s="40"/>
      <c r="H3512" s="40" t="s">
        <v>97</v>
      </c>
      <c r="I3512" s="40"/>
      <c r="J3512" s="40" t="s">
        <v>97</v>
      </c>
      <c r="K3512" s="40" t="s">
        <v>97</v>
      </c>
      <c r="L3512" s="40" t="s">
        <v>97</v>
      </c>
    </row>
    <row r="3513" spans="1:12" x14ac:dyDescent="0.25">
      <c r="A3513" s="40" t="s">
        <v>29</v>
      </c>
      <c r="B3513" s="40" t="s">
        <v>3755</v>
      </c>
      <c r="C3513" s="40" t="s">
        <v>6290</v>
      </c>
      <c r="D3513" s="40" t="s">
        <v>2248</v>
      </c>
      <c r="E3513" s="40" t="s">
        <v>2248</v>
      </c>
      <c r="F3513" s="40">
        <v>1</v>
      </c>
      <c r="G3513" s="40"/>
      <c r="H3513" s="40" t="s">
        <v>97</v>
      </c>
      <c r="I3513" s="40"/>
      <c r="J3513" s="40" t="s">
        <v>97</v>
      </c>
      <c r="K3513" s="40" t="s">
        <v>97</v>
      </c>
      <c r="L3513" s="40" t="s">
        <v>97</v>
      </c>
    </row>
    <row r="3514" spans="1:12" x14ac:dyDescent="0.25">
      <c r="A3514" s="40" t="s">
        <v>29</v>
      </c>
      <c r="B3514" s="40" t="s">
        <v>6291</v>
      </c>
      <c r="C3514" s="40" t="s">
        <v>6292</v>
      </c>
      <c r="D3514" s="40" t="s">
        <v>2233</v>
      </c>
      <c r="E3514" s="40" t="s">
        <v>2233</v>
      </c>
      <c r="F3514" s="40">
        <v>1</v>
      </c>
      <c r="G3514" s="40"/>
      <c r="H3514" s="40" t="s">
        <v>97</v>
      </c>
      <c r="I3514" s="40"/>
      <c r="J3514" s="40" t="s">
        <v>97</v>
      </c>
      <c r="K3514" s="40" t="s">
        <v>97</v>
      </c>
      <c r="L3514" s="40" t="s">
        <v>97</v>
      </c>
    </row>
    <row r="3515" spans="1:12" x14ac:dyDescent="0.25">
      <c r="A3515" s="40" t="s">
        <v>29</v>
      </c>
      <c r="B3515" s="40" t="s">
        <v>3757</v>
      </c>
      <c r="C3515" s="40" t="s">
        <v>6293</v>
      </c>
      <c r="D3515" s="40" t="s">
        <v>2233</v>
      </c>
      <c r="E3515" s="40" t="s">
        <v>2233</v>
      </c>
      <c r="F3515" s="40">
        <v>1</v>
      </c>
      <c r="G3515" s="40"/>
      <c r="H3515" s="40" t="s">
        <v>97</v>
      </c>
      <c r="I3515" s="40"/>
      <c r="J3515" s="40" t="s">
        <v>97</v>
      </c>
      <c r="K3515" s="40" t="s">
        <v>97</v>
      </c>
      <c r="L3515" s="40" t="s">
        <v>97</v>
      </c>
    </row>
    <row r="3516" spans="1:12" x14ac:dyDescent="0.25">
      <c r="A3516" s="40" t="s">
        <v>29</v>
      </c>
      <c r="B3516" s="40" t="s">
        <v>6294</v>
      </c>
      <c r="C3516" s="40" t="s">
        <v>6295</v>
      </c>
      <c r="D3516" s="40" t="s">
        <v>6296</v>
      </c>
      <c r="E3516" s="40" t="s">
        <v>6296</v>
      </c>
      <c r="F3516" s="40">
        <v>1</v>
      </c>
      <c r="G3516" s="40"/>
      <c r="H3516" s="40" t="s">
        <v>97</v>
      </c>
      <c r="I3516" s="40"/>
      <c r="J3516" s="40" t="s">
        <v>97</v>
      </c>
      <c r="K3516" s="40" t="s">
        <v>97</v>
      </c>
      <c r="L3516" s="40" t="s">
        <v>97</v>
      </c>
    </row>
    <row r="3517" spans="1:12" x14ac:dyDescent="0.25">
      <c r="A3517" s="40" t="s">
        <v>29</v>
      </c>
      <c r="B3517" s="40" t="s">
        <v>3759</v>
      </c>
      <c r="C3517" s="40" t="s">
        <v>6297</v>
      </c>
      <c r="D3517" s="40" t="s">
        <v>1639</v>
      </c>
      <c r="E3517" s="40" t="s">
        <v>1639</v>
      </c>
      <c r="F3517" s="40">
        <v>1</v>
      </c>
      <c r="G3517" s="40"/>
      <c r="H3517" s="40" t="s">
        <v>97</v>
      </c>
      <c r="I3517" s="40"/>
      <c r="J3517" s="40" t="s">
        <v>97</v>
      </c>
      <c r="K3517" s="40" t="s">
        <v>97</v>
      </c>
      <c r="L3517" s="40" t="s">
        <v>97</v>
      </c>
    </row>
    <row r="3518" spans="1:12" x14ac:dyDescent="0.25">
      <c r="A3518" s="40" t="s">
        <v>29</v>
      </c>
      <c r="B3518" s="40" t="s">
        <v>6298</v>
      </c>
      <c r="C3518" s="40" t="s">
        <v>6299</v>
      </c>
      <c r="D3518" s="40" t="s">
        <v>6300</v>
      </c>
      <c r="E3518" s="40" t="s">
        <v>6300</v>
      </c>
      <c r="F3518" s="40">
        <v>1</v>
      </c>
      <c r="G3518" s="40"/>
      <c r="H3518" s="40" t="s">
        <v>97</v>
      </c>
      <c r="I3518" s="40"/>
      <c r="J3518" s="40" t="s">
        <v>97</v>
      </c>
      <c r="K3518" s="40" t="s">
        <v>97</v>
      </c>
      <c r="L3518" s="40" t="s">
        <v>97</v>
      </c>
    </row>
    <row r="3519" spans="1:12" x14ac:dyDescent="0.25">
      <c r="A3519" s="40" t="s">
        <v>29</v>
      </c>
      <c r="B3519" s="40" t="s">
        <v>3761</v>
      </c>
      <c r="C3519" s="40" t="s">
        <v>6301</v>
      </c>
      <c r="D3519" s="40" t="s">
        <v>6300</v>
      </c>
      <c r="E3519" s="40" t="s">
        <v>6300</v>
      </c>
      <c r="F3519" s="40">
        <v>1</v>
      </c>
      <c r="G3519" s="40"/>
      <c r="H3519" s="40" t="s">
        <v>97</v>
      </c>
      <c r="I3519" s="40"/>
      <c r="J3519" s="40" t="s">
        <v>97</v>
      </c>
      <c r="K3519" s="40" t="s">
        <v>97</v>
      </c>
      <c r="L3519" s="40" t="s">
        <v>97</v>
      </c>
    </row>
    <row r="3520" spans="1:12" x14ac:dyDescent="0.25">
      <c r="A3520" s="40" t="s">
        <v>29</v>
      </c>
      <c r="B3520" s="40" t="s">
        <v>6302</v>
      </c>
      <c r="C3520" s="40" t="s">
        <v>6303</v>
      </c>
      <c r="D3520" s="40" t="s">
        <v>535</v>
      </c>
      <c r="E3520" s="40" t="s">
        <v>535</v>
      </c>
      <c r="F3520" s="40">
        <v>1</v>
      </c>
      <c r="G3520" s="40"/>
      <c r="H3520" s="40" t="s">
        <v>97</v>
      </c>
      <c r="I3520" s="40"/>
      <c r="J3520" s="40" t="s">
        <v>97</v>
      </c>
      <c r="K3520" s="40" t="s">
        <v>97</v>
      </c>
      <c r="L3520" s="40" t="s">
        <v>97</v>
      </c>
    </row>
    <row r="3521" spans="1:12" x14ac:dyDescent="0.25">
      <c r="A3521" s="40" t="s">
        <v>29</v>
      </c>
      <c r="B3521" s="40" t="s">
        <v>3763</v>
      </c>
      <c r="C3521" s="40" t="s">
        <v>6304</v>
      </c>
      <c r="D3521" s="40" t="s">
        <v>6305</v>
      </c>
      <c r="E3521" s="40" t="s">
        <v>6305</v>
      </c>
      <c r="F3521" s="40">
        <v>1</v>
      </c>
      <c r="G3521" s="40"/>
      <c r="H3521" s="40" t="s">
        <v>97</v>
      </c>
      <c r="I3521" s="40"/>
      <c r="J3521" s="40" t="s">
        <v>97</v>
      </c>
      <c r="K3521" s="40" t="s">
        <v>97</v>
      </c>
      <c r="L3521" s="40" t="s">
        <v>97</v>
      </c>
    </row>
    <row r="3522" spans="1:12" x14ac:dyDescent="0.25">
      <c r="A3522" s="40" t="s">
        <v>29</v>
      </c>
      <c r="B3522" s="40" t="s">
        <v>6306</v>
      </c>
      <c r="C3522" s="40" t="s">
        <v>6307</v>
      </c>
      <c r="D3522" s="40" t="s">
        <v>2233</v>
      </c>
      <c r="E3522" s="40" t="s">
        <v>2233</v>
      </c>
      <c r="F3522" s="40">
        <v>1</v>
      </c>
      <c r="G3522" s="40"/>
      <c r="H3522" s="40" t="s">
        <v>2234</v>
      </c>
      <c r="I3522" s="40"/>
      <c r="J3522" s="40" t="s">
        <v>97</v>
      </c>
      <c r="K3522" s="40" t="s">
        <v>97</v>
      </c>
      <c r="L3522" s="40" t="s">
        <v>97</v>
      </c>
    </row>
    <row r="3523" spans="1:12" x14ac:dyDescent="0.25">
      <c r="A3523" s="40" t="s">
        <v>29</v>
      </c>
      <c r="B3523" s="40" t="s">
        <v>3765</v>
      </c>
      <c r="C3523" s="40" t="s">
        <v>6308</v>
      </c>
      <c r="D3523" s="40" t="s">
        <v>2233</v>
      </c>
      <c r="E3523" s="40" t="s">
        <v>2233</v>
      </c>
      <c r="F3523" s="40">
        <v>1</v>
      </c>
      <c r="G3523" s="40"/>
      <c r="H3523" s="40" t="s">
        <v>2234</v>
      </c>
      <c r="I3523" s="40"/>
      <c r="J3523" s="40" t="s">
        <v>97</v>
      </c>
      <c r="K3523" s="40" t="s">
        <v>97</v>
      </c>
      <c r="L3523" s="40" t="s">
        <v>97</v>
      </c>
    </row>
    <row r="3524" spans="1:12" x14ac:dyDescent="0.25">
      <c r="A3524" s="40" t="s">
        <v>29</v>
      </c>
      <c r="B3524" s="40" t="s">
        <v>6309</v>
      </c>
      <c r="C3524" s="40" t="s">
        <v>6310</v>
      </c>
      <c r="D3524" s="40" t="s">
        <v>2233</v>
      </c>
      <c r="E3524" s="40" t="s">
        <v>2233</v>
      </c>
      <c r="F3524" s="40">
        <v>1</v>
      </c>
      <c r="G3524" s="40"/>
      <c r="H3524" s="40" t="s">
        <v>2234</v>
      </c>
      <c r="I3524" s="40"/>
      <c r="J3524" s="40" t="s">
        <v>97</v>
      </c>
      <c r="K3524" s="40" t="s">
        <v>97</v>
      </c>
      <c r="L3524" s="40" t="s">
        <v>97</v>
      </c>
    </row>
    <row r="3525" spans="1:12" x14ac:dyDescent="0.25">
      <c r="A3525" s="40" t="s">
        <v>29</v>
      </c>
      <c r="B3525" s="40" t="s">
        <v>6311</v>
      </c>
      <c r="C3525" s="40" t="s">
        <v>6312</v>
      </c>
      <c r="D3525" s="40" t="s">
        <v>2233</v>
      </c>
      <c r="E3525" s="40" t="s">
        <v>2233</v>
      </c>
      <c r="F3525" s="40">
        <v>1</v>
      </c>
      <c r="G3525" s="40"/>
      <c r="H3525" s="40" t="s">
        <v>2234</v>
      </c>
      <c r="I3525" s="40"/>
      <c r="J3525" s="40" t="s">
        <v>97</v>
      </c>
      <c r="K3525" s="40" t="s">
        <v>97</v>
      </c>
      <c r="L3525" s="40" t="s">
        <v>97</v>
      </c>
    </row>
    <row r="3526" spans="1:12" x14ac:dyDescent="0.25">
      <c r="A3526" s="40" t="s">
        <v>29</v>
      </c>
      <c r="B3526" s="40" t="s">
        <v>6313</v>
      </c>
      <c r="C3526" s="40" t="s">
        <v>6314</v>
      </c>
      <c r="D3526" s="40" t="s">
        <v>2233</v>
      </c>
      <c r="E3526" s="40" t="s">
        <v>2233</v>
      </c>
      <c r="F3526" s="40">
        <v>1</v>
      </c>
      <c r="G3526" s="40"/>
      <c r="H3526" s="40" t="s">
        <v>2234</v>
      </c>
      <c r="I3526" s="40"/>
      <c r="J3526" s="40" t="s">
        <v>97</v>
      </c>
      <c r="K3526" s="40" t="s">
        <v>97</v>
      </c>
      <c r="L3526" s="40" t="s">
        <v>97</v>
      </c>
    </row>
    <row r="3527" spans="1:12" x14ac:dyDescent="0.25">
      <c r="A3527" s="40" t="s">
        <v>29</v>
      </c>
      <c r="B3527" s="40" t="s">
        <v>6315</v>
      </c>
      <c r="C3527" s="40" t="s">
        <v>6316</v>
      </c>
      <c r="D3527" s="40" t="s">
        <v>2233</v>
      </c>
      <c r="E3527" s="40" t="s">
        <v>2233</v>
      </c>
      <c r="F3527" s="40">
        <v>1</v>
      </c>
      <c r="G3527" s="40"/>
      <c r="H3527" s="40" t="s">
        <v>97</v>
      </c>
      <c r="I3527" s="40"/>
      <c r="J3527" s="40" t="s">
        <v>97</v>
      </c>
      <c r="K3527" s="40" t="s">
        <v>97</v>
      </c>
      <c r="L3527" s="40" t="s">
        <v>97</v>
      </c>
    </row>
    <row r="3528" spans="1:12" x14ac:dyDescent="0.25">
      <c r="A3528" s="40" t="s">
        <v>29</v>
      </c>
      <c r="B3528" s="40" t="s">
        <v>6317</v>
      </c>
      <c r="C3528" s="40" t="s">
        <v>6318</v>
      </c>
      <c r="D3528" s="40" t="s">
        <v>2233</v>
      </c>
      <c r="E3528" s="40" t="s">
        <v>2233</v>
      </c>
      <c r="F3528" s="40">
        <v>1</v>
      </c>
      <c r="G3528" s="40"/>
      <c r="H3528" s="40" t="s">
        <v>2234</v>
      </c>
      <c r="I3528" s="40"/>
      <c r="J3528" s="40" t="s">
        <v>97</v>
      </c>
      <c r="K3528" s="40" t="s">
        <v>97</v>
      </c>
      <c r="L3528" s="40" t="s">
        <v>97</v>
      </c>
    </row>
    <row r="3529" spans="1:12" x14ac:dyDescent="0.25">
      <c r="A3529" s="40" t="s">
        <v>29</v>
      </c>
      <c r="B3529" s="40" t="s">
        <v>6319</v>
      </c>
      <c r="C3529" s="40" t="s">
        <v>6320</v>
      </c>
      <c r="D3529" s="40" t="s">
        <v>2233</v>
      </c>
      <c r="E3529" s="40" t="s">
        <v>2233</v>
      </c>
      <c r="F3529" s="40">
        <v>1</v>
      </c>
      <c r="G3529" s="40"/>
      <c r="H3529" s="40" t="s">
        <v>2234</v>
      </c>
      <c r="I3529" s="40"/>
      <c r="J3529" s="40" t="s">
        <v>97</v>
      </c>
      <c r="K3529" s="40" t="s">
        <v>97</v>
      </c>
      <c r="L3529" s="40" t="s">
        <v>97</v>
      </c>
    </row>
    <row r="3530" spans="1:12" x14ac:dyDescent="0.25">
      <c r="A3530" s="40" t="s">
        <v>29</v>
      </c>
      <c r="B3530" s="40" t="s">
        <v>6321</v>
      </c>
      <c r="C3530" s="40" t="s">
        <v>6322</v>
      </c>
      <c r="D3530" s="40" t="s">
        <v>2233</v>
      </c>
      <c r="E3530" s="40" t="s">
        <v>2233</v>
      </c>
      <c r="F3530" s="40">
        <v>1</v>
      </c>
      <c r="G3530" s="40"/>
      <c r="H3530" s="40" t="s">
        <v>97</v>
      </c>
      <c r="I3530" s="40"/>
      <c r="J3530" s="40" t="s">
        <v>97</v>
      </c>
      <c r="K3530" s="40" t="s">
        <v>97</v>
      </c>
      <c r="L3530" s="40" t="s">
        <v>97</v>
      </c>
    </row>
    <row r="3531" spans="1:12" x14ac:dyDescent="0.25">
      <c r="A3531" s="40" t="s">
        <v>29</v>
      </c>
      <c r="B3531" s="40" t="s">
        <v>6323</v>
      </c>
      <c r="C3531" s="40" t="s">
        <v>6324</v>
      </c>
      <c r="D3531" s="40" t="s">
        <v>2233</v>
      </c>
      <c r="E3531" s="40" t="s">
        <v>2233</v>
      </c>
      <c r="F3531" s="40">
        <v>1</v>
      </c>
      <c r="G3531" s="40"/>
      <c r="H3531" s="40" t="s">
        <v>2234</v>
      </c>
      <c r="I3531" s="40"/>
      <c r="J3531" s="40" t="s">
        <v>97</v>
      </c>
      <c r="K3531" s="40" t="s">
        <v>97</v>
      </c>
      <c r="L3531" s="40" t="s">
        <v>97</v>
      </c>
    </row>
    <row r="3532" spans="1:12" x14ac:dyDescent="0.25">
      <c r="A3532" s="40" t="s">
        <v>29</v>
      </c>
      <c r="B3532" s="40" t="s">
        <v>6325</v>
      </c>
      <c r="C3532" s="40" t="s">
        <v>6326</v>
      </c>
      <c r="D3532" s="40" t="s">
        <v>2281</v>
      </c>
      <c r="E3532" s="40" t="s">
        <v>2281</v>
      </c>
      <c r="F3532" s="40">
        <v>1</v>
      </c>
      <c r="G3532" s="40"/>
      <c r="H3532" s="40" t="s">
        <v>2234</v>
      </c>
      <c r="I3532" s="40"/>
      <c r="J3532" s="40" t="s">
        <v>97</v>
      </c>
      <c r="K3532" s="40" t="s">
        <v>97</v>
      </c>
      <c r="L3532" s="40" t="s">
        <v>97</v>
      </c>
    </row>
    <row r="3533" spans="1:12" x14ac:dyDescent="0.25">
      <c r="A3533" s="40" t="s">
        <v>29</v>
      </c>
      <c r="B3533" s="40" t="s">
        <v>6327</v>
      </c>
      <c r="C3533" s="40" t="s">
        <v>6328</v>
      </c>
      <c r="D3533" s="40" t="s">
        <v>2499</v>
      </c>
      <c r="E3533" s="40" t="s">
        <v>2499</v>
      </c>
      <c r="F3533" s="40">
        <v>1</v>
      </c>
      <c r="G3533" s="40"/>
      <c r="H3533" s="40" t="s">
        <v>2234</v>
      </c>
      <c r="I3533" s="40"/>
      <c r="J3533" s="40" t="s">
        <v>97</v>
      </c>
      <c r="K3533" s="40" t="s">
        <v>97</v>
      </c>
      <c r="L3533" s="40" t="s">
        <v>97</v>
      </c>
    </row>
    <row r="3534" spans="1:12" x14ac:dyDescent="0.25">
      <c r="A3534" s="40" t="s">
        <v>29</v>
      </c>
      <c r="B3534" s="40" t="s">
        <v>6329</v>
      </c>
      <c r="C3534" s="40" t="s">
        <v>6330</v>
      </c>
      <c r="D3534" s="40" t="s">
        <v>2233</v>
      </c>
      <c r="E3534" s="40" t="s">
        <v>2233</v>
      </c>
      <c r="F3534" s="40">
        <v>1</v>
      </c>
      <c r="G3534" s="40"/>
      <c r="H3534" s="40" t="s">
        <v>2234</v>
      </c>
      <c r="I3534" s="40"/>
      <c r="J3534" s="40" t="s">
        <v>97</v>
      </c>
      <c r="K3534" s="40" t="s">
        <v>97</v>
      </c>
      <c r="L3534" s="40" t="s">
        <v>97</v>
      </c>
    </row>
    <row r="3535" spans="1:12" x14ac:dyDescent="0.25">
      <c r="A3535" s="40" t="s">
        <v>29</v>
      </c>
      <c r="B3535" s="40" t="s">
        <v>6331</v>
      </c>
      <c r="C3535" s="40" t="s">
        <v>6332</v>
      </c>
      <c r="D3535" s="40" t="s">
        <v>2233</v>
      </c>
      <c r="E3535" s="40" t="s">
        <v>2233</v>
      </c>
      <c r="F3535" s="40">
        <v>1</v>
      </c>
      <c r="G3535" s="40"/>
      <c r="H3535" s="40" t="s">
        <v>2234</v>
      </c>
      <c r="I3535" s="40"/>
      <c r="J3535" s="40" t="s">
        <v>97</v>
      </c>
      <c r="K3535" s="40" t="s">
        <v>97</v>
      </c>
      <c r="L3535" s="40" t="s">
        <v>97</v>
      </c>
    </row>
    <row r="3536" spans="1:12" x14ac:dyDescent="0.25">
      <c r="A3536" s="40" t="s">
        <v>29</v>
      </c>
      <c r="B3536" s="40" t="s">
        <v>3953</v>
      </c>
      <c r="C3536" s="40" t="s">
        <v>6333</v>
      </c>
      <c r="D3536" s="40" t="s">
        <v>2233</v>
      </c>
      <c r="E3536" s="40" t="s">
        <v>2233</v>
      </c>
      <c r="F3536" s="40">
        <v>1</v>
      </c>
      <c r="G3536" s="40"/>
      <c r="H3536" s="40" t="s">
        <v>2234</v>
      </c>
      <c r="I3536" s="40"/>
      <c r="J3536" s="40" t="s">
        <v>97</v>
      </c>
      <c r="K3536" s="40" t="s">
        <v>97</v>
      </c>
      <c r="L3536" s="40" t="s">
        <v>97</v>
      </c>
    </row>
    <row r="3537" spans="1:12" x14ac:dyDescent="0.25">
      <c r="A3537" s="40" t="s">
        <v>29</v>
      </c>
      <c r="B3537" s="40" t="s">
        <v>3956</v>
      </c>
      <c r="C3537" s="40" t="s">
        <v>6334</v>
      </c>
      <c r="D3537" s="40" t="s">
        <v>2233</v>
      </c>
      <c r="E3537" s="40" t="s">
        <v>2233</v>
      </c>
      <c r="F3537" s="40">
        <v>1</v>
      </c>
      <c r="G3537" s="40"/>
      <c r="H3537" s="40" t="s">
        <v>2234</v>
      </c>
      <c r="I3537" s="40"/>
      <c r="J3537" s="40" t="s">
        <v>97</v>
      </c>
      <c r="K3537" s="40" t="s">
        <v>97</v>
      </c>
      <c r="L3537" s="40" t="s">
        <v>97</v>
      </c>
    </row>
    <row r="3538" spans="1:12" x14ac:dyDescent="0.25">
      <c r="A3538" s="40" t="s">
        <v>29</v>
      </c>
      <c r="B3538" s="40" t="s">
        <v>3958</v>
      </c>
      <c r="C3538" s="40" t="s">
        <v>6335</v>
      </c>
      <c r="D3538" s="40" t="s">
        <v>2233</v>
      </c>
      <c r="E3538" s="40" t="s">
        <v>2233</v>
      </c>
      <c r="F3538" s="40">
        <v>1</v>
      </c>
      <c r="G3538" s="40"/>
      <c r="H3538" s="40" t="s">
        <v>2234</v>
      </c>
      <c r="I3538" s="40"/>
      <c r="J3538" s="40" t="s">
        <v>97</v>
      </c>
      <c r="K3538" s="40" t="s">
        <v>97</v>
      </c>
      <c r="L3538" s="40" t="s">
        <v>97</v>
      </c>
    </row>
    <row r="3539" spans="1:12" x14ac:dyDescent="0.25">
      <c r="A3539" s="40" t="s">
        <v>29</v>
      </c>
      <c r="B3539" s="40" t="s">
        <v>6336</v>
      </c>
      <c r="C3539" s="40" t="s">
        <v>6337</v>
      </c>
      <c r="D3539" s="40" t="s">
        <v>2233</v>
      </c>
      <c r="E3539" s="40" t="s">
        <v>2233</v>
      </c>
      <c r="F3539" s="40">
        <v>1</v>
      </c>
      <c r="G3539" s="40"/>
      <c r="H3539" s="40" t="s">
        <v>2234</v>
      </c>
      <c r="I3539" s="40"/>
      <c r="J3539" s="40" t="s">
        <v>97</v>
      </c>
      <c r="K3539" s="40" t="s">
        <v>97</v>
      </c>
      <c r="L3539" s="40" t="s">
        <v>97</v>
      </c>
    </row>
    <row r="3540" spans="1:12" x14ac:dyDescent="0.25">
      <c r="A3540" s="40" t="s">
        <v>29</v>
      </c>
      <c r="B3540" s="40" t="s">
        <v>3960</v>
      </c>
      <c r="C3540" s="40" t="s">
        <v>6338</v>
      </c>
      <c r="D3540" s="40" t="s">
        <v>2233</v>
      </c>
      <c r="E3540" s="40" t="s">
        <v>2233</v>
      </c>
      <c r="F3540" s="40">
        <v>1</v>
      </c>
      <c r="G3540" s="40"/>
      <c r="H3540" s="40" t="s">
        <v>2234</v>
      </c>
      <c r="I3540" s="40"/>
      <c r="J3540" s="40" t="s">
        <v>97</v>
      </c>
      <c r="K3540" s="40" t="s">
        <v>97</v>
      </c>
      <c r="L3540" s="40" t="s">
        <v>97</v>
      </c>
    </row>
    <row r="3541" spans="1:12" x14ac:dyDescent="0.25">
      <c r="A3541" s="40" t="s">
        <v>29</v>
      </c>
      <c r="B3541" s="40" t="s">
        <v>6339</v>
      </c>
      <c r="C3541" s="40" t="s">
        <v>6340</v>
      </c>
      <c r="D3541" s="40" t="s">
        <v>2233</v>
      </c>
      <c r="E3541" s="40" t="s">
        <v>2233</v>
      </c>
      <c r="F3541" s="40">
        <v>1</v>
      </c>
      <c r="G3541" s="40"/>
      <c r="H3541" s="40" t="s">
        <v>2234</v>
      </c>
      <c r="I3541" s="40"/>
      <c r="J3541" s="40" t="s">
        <v>97</v>
      </c>
      <c r="K3541" s="40" t="s">
        <v>97</v>
      </c>
      <c r="L3541" s="40" t="s">
        <v>97</v>
      </c>
    </row>
    <row r="3542" spans="1:12" x14ac:dyDescent="0.25">
      <c r="A3542" s="40" t="s">
        <v>29</v>
      </c>
      <c r="B3542" s="40" t="s">
        <v>3962</v>
      </c>
      <c r="C3542" s="40" t="s">
        <v>6341</v>
      </c>
      <c r="D3542" s="40" t="s">
        <v>2233</v>
      </c>
      <c r="E3542" s="40" t="s">
        <v>2233</v>
      </c>
      <c r="F3542" s="40">
        <v>1</v>
      </c>
      <c r="G3542" s="40"/>
      <c r="H3542" s="40" t="s">
        <v>2234</v>
      </c>
      <c r="I3542" s="40"/>
      <c r="J3542" s="40" t="s">
        <v>97</v>
      </c>
      <c r="K3542" s="40" t="s">
        <v>97</v>
      </c>
      <c r="L3542" s="40" t="s">
        <v>97</v>
      </c>
    </row>
    <row r="3543" spans="1:12" x14ac:dyDescent="0.25">
      <c r="A3543" s="40" t="s">
        <v>29</v>
      </c>
      <c r="B3543" s="40" t="s">
        <v>6342</v>
      </c>
      <c r="C3543" s="40" t="s">
        <v>6343</v>
      </c>
      <c r="D3543" s="40" t="s">
        <v>2233</v>
      </c>
      <c r="E3543" s="40" t="s">
        <v>2233</v>
      </c>
      <c r="F3543" s="40">
        <v>1</v>
      </c>
      <c r="G3543" s="40"/>
      <c r="H3543" s="40" t="s">
        <v>2234</v>
      </c>
      <c r="I3543" s="40"/>
      <c r="J3543" s="40" t="s">
        <v>97</v>
      </c>
      <c r="K3543" s="40" t="s">
        <v>97</v>
      </c>
      <c r="L3543" s="40" t="s">
        <v>97</v>
      </c>
    </row>
    <row r="3544" spans="1:12" x14ac:dyDescent="0.25">
      <c r="A3544" s="40" t="s">
        <v>29</v>
      </c>
      <c r="B3544" s="40" t="s">
        <v>3964</v>
      </c>
      <c r="C3544" s="40" t="s">
        <v>6344</v>
      </c>
      <c r="D3544" s="40" t="s">
        <v>2233</v>
      </c>
      <c r="E3544" s="40" t="s">
        <v>2233</v>
      </c>
      <c r="F3544" s="40">
        <v>1</v>
      </c>
      <c r="G3544" s="40"/>
      <c r="H3544" s="40" t="s">
        <v>2234</v>
      </c>
      <c r="I3544" s="40"/>
      <c r="J3544" s="40" t="s">
        <v>97</v>
      </c>
      <c r="K3544" s="40" t="s">
        <v>97</v>
      </c>
      <c r="L3544" s="40" t="s">
        <v>97</v>
      </c>
    </row>
    <row r="3545" spans="1:12" x14ac:dyDescent="0.25">
      <c r="A3545" s="40" t="s">
        <v>29</v>
      </c>
      <c r="B3545" s="40" t="s">
        <v>6345</v>
      </c>
      <c r="C3545" s="40" t="s">
        <v>6346</v>
      </c>
      <c r="D3545" s="40" t="s">
        <v>2233</v>
      </c>
      <c r="E3545" s="40" t="s">
        <v>2233</v>
      </c>
      <c r="F3545" s="40">
        <v>1</v>
      </c>
      <c r="G3545" s="40"/>
      <c r="H3545" s="40" t="s">
        <v>2234</v>
      </c>
      <c r="I3545" s="40"/>
      <c r="J3545" s="40" t="s">
        <v>97</v>
      </c>
      <c r="K3545" s="40" t="s">
        <v>97</v>
      </c>
      <c r="L3545" s="40" t="s">
        <v>97</v>
      </c>
    </row>
    <row r="3546" spans="1:12" x14ac:dyDescent="0.25">
      <c r="A3546" s="40" t="s">
        <v>29</v>
      </c>
      <c r="B3546" s="40" t="s">
        <v>6347</v>
      </c>
      <c r="C3546" s="40" t="s">
        <v>6348</v>
      </c>
      <c r="D3546" s="40" t="s">
        <v>2233</v>
      </c>
      <c r="E3546" s="40" t="s">
        <v>2233</v>
      </c>
      <c r="F3546" s="40">
        <v>1</v>
      </c>
      <c r="G3546" s="40"/>
      <c r="H3546" s="40" t="s">
        <v>2234</v>
      </c>
      <c r="I3546" s="40"/>
      <c r="J3546" s="40" t="s">
        <v>97</v>
      </c>
      <c r="K3546" s="40" t="s">
        <v>97</v>
      </c>
      <c r="L3546" s="40" t="s">
        <v>97</v>
      </c>
    </row>
    <row r="3547" spans="1:12" x14ac:dyDescent="0.25">
      <c r="A3547" s="40" t="s">
        <v>29</v>
      </c>
      <c r="B3547" s="40" t="s">
        <v>6349</v>
      </c>
      <c r="C3547" s="40" t="s">
        <v>6350</v>
      </c>
      <c r="D3547" s="40" t="s">
        <v>2233</v>
      </c>
      <c r="E3547" s="40" t="s">
        <v>2233</v>
      </c>
      <c r="F3547" s="40">
        <v>1</v>
      </c>
      <c r="G3547" s="40"/>
      <c r="H3547" s="40" t="s">
        <v>2234</v>
      </c>
      <c r="I3547" s="40"/>
      <c r="J3547" s="40" t="s">
        <v>97</v>
      </c>
      <c r="K3547" s="40" t="s">
        <v>97</v>
      </c>
      <c r="L3547" s="40" t="s">
        <v>97</v>
      </c>
    </row>
    <row r="3548" spans="1:12" x14ac:dyDescent="0.25">
      <c r="A3548" s="40" t="s">
        <v>29</v>
      </c>
      <c r="B3548" s="40" t="s">
        <v>6351</v>
      </c>
      <c r="C3548" s="40" t="s">
        <v>6352</v>
      </c>
      <c r="D3548" s="40" t="s">
        <v>2233</v>
      </c>
      <c r="E3548" s="40" t="s">
        <v>2233</v>
      </c>
      <c r="F3548" s="40">
        <v>1</v>
      </c>
      <c r="G3548" s="40"/>
      <c r="H3548" s="40" t="s">
        <v>2234</v>
      </c>
      <c r="I3548" s="40"/>
      <c r="J3548" s="40" t="s">
        <v>97</v>
      </c>
      <c r="K3548" s="40" t="s">
        <v>97</v>
      </c>
      <c r="L3548" s="40" t="s">
        <v>97</v>
      </c>
    </row>
    <row r="3549" spans="1:12" x14ac:dyDescent="0.25">
      <c r="A3549" s="40" t="s">
        <v>29</v>
      </c>
      <c r="B3549" s="40" t="s">
        <v>6353</v>
      </c>
      <c r="C3549" s="40" t="s">
        <v>6354</v>
      </c>
      <c r="D3549" s="40" t="s">
        <v>2233</v>
      </c>
      <c r="E3549" s="40" t="s">
        <v>2233</v>
      </c>
      <c r="F3549" s="40">
        <v>1</v>
      </c>
      <c r="G3549" s="40"/>
      <c r="H3549" s="40" t="s">
        <v>2234</v>
      </c>
      <c r="I3549" s="40"/>
      <c r="J3549" s="40" t="s">
        <v>97</v>
      </c>
      <c r="K3549" s="40" t="s">
        <v>97</v>
      </c>
      <c r="L3549" s="40" t="s">
        <v>97</v>
      </c>
    </row>
    <row r="3550" spans="1:12" x14ac:dyDescent="0.25">
      <c r="A3550" s="40" t="s">
        <v>29</v>
      </c>
      <c r="B3550" s="40" t="s">
        <v>6355</v>
      </c>
      <c r="C3550" s="40" t="s">
        <v>6356</v>
      </c>
      <c r="D3550" s="40" t="s">
        <v>2233</v>
      </c>
      <c r="E3550" s="40" t="s">
        <v>2233</v>
      </c>
      <c r="F3550" s="40">
        <v>1</v>
      </c>
      <c r="G3550" s="40"/>
      <c r="H3550" s="40" t="s">
        <v>2234</v>
      </c>
      <c r="I3550" s="40"/>
      <c r="J3550" s="40" t="s">
        <v>97</v>
      </c>
      <c r="K3550" s="40" t="s">
        <v>97</v>
      </c>
      <c r="L3550" s="40" t="s">
        <v>97</v>
      </c>
    </row>
    <row r="3551" spans="1:12" x14ac:dyDescent="0.25">
      <c r="A3551" s="40" t="s">
        <v>29</v>
      </c>
      <c r="B3551" s="40" t="s">
        <v>6357</v>
      </c>
      <c r="C3551" s="40" t="s">
        <v>6358</v>
      </c>
      <c r="D3551" s="40" t="s">
        <v>2233</v>
      </c>
      <c r="E3551" s="40" t="s">
        <v>2233</v>
      </c>
      <c r="F3551" s="40">
        <v>1</v>
      </c>
      <c r="G3551" s="40"/>
      <c r="H3551" s="40" t="s">
        <v>2234</v>
      </c>
      <c r="I3551" s="40"/>
      <c r="J3551" s="40" t="s">
        <v>97</v>
      </c>
      <c r="K3551" s="40" t="s">
        <v>97</v>
      </c>
      <c r="L3551" s="40" t="s">
        <v>97</v>
      </c>
    </row>
    <row r="3552" spans="1:12" x14ac:dyDescent="0.25">
      <c r="A3552" s="40" t="s">
        <v>29</v>
      </c>
      <c r="B3552" s="40" t="s">
        <v>6359</v>
      </c>
      <c r="C3552" s="40" t="s">
        <v>6360</v>
      </c>
      <c r="D3552" s="40" t="s">
        <v>2233</v>
      </c>
      <c r="E3552" s="40" t="s">
        <v>2233</v>
      </c>
      <c r="F3552" s="40">
        <v>1</v>
      </c>
      <c r="G3552" s="40"/>
      <c r="H3552" s="40" t="s">
        <v>2234</v>
      </c>
      <c r="I3552" s="40"/>
      <c r="J3552" s="40" t="s">
        <v>97</v>
      </c>
      <c r="K3552" s="40" t="s">
        <v>97</v>
      </c>
      <c r="L3552" s="40" t="s">
        <v>97</v>
      </c>
    </row>
    <row r="3553" spans="1:12" x14ac:dyDescent="0.25">
      <c r="A3553" s="40" t="s">
        <v>29</v>
      </c>
      <c r="B3553" s="40" t="s">
        <v>6361</v>
      </c>
      <c r="C3553" s="40" t="s">
        <v>6362</v>
      </c>
      <c r="D3553" s="40" t="s">
        <v>2233</v>
      </c>
      <c r="E3553" s="40" t="s">
        <v>2233</v>
      </c>
      <c r="F3553" s="40">
        <v>1</v>
      </c>
      <c r="G3553" s="40"/>
      <c r="H3553" s="40" t="s">
        <v>2234</v>
      </c>
      <c r="I3553" s="40"/>
      <c r="J3553" s="40" t="s">
        <v>97</v>
      </c>
      <c r="K3553" s="40" t="s">
        <v>97</v>
      </c>
      <c r="L3553" s="40" t="s">
        <v>97</v>
      </c>
    </row>
    <row r="3554" spans="1:12" x14ac:dyDescent="0.25">
      <c r="A3554" s="40" t="s">
        <v>29</v>
      </c>
      <c r="B3554" s="40" t="s">
        <v>6363</v>
      </c>
      <c r="C3554" s="40" t="s">
        <v>6364</v>
      </c>
      <c r="D3554" s="40" t="s">
        <v>2233</v>
      </c>
      <c r="E3554" s="40" t="s">
        <v>2233</v>
      </c>
      <c r="F3554" s="40">
        <v>1</v>
      </c>
      <c r="G3554" s="40"/>
      <c r="H3554" s="40" t="s">
        <v>2234</v>
      </c>
      <c r="I3554" s="40"/>
      <c r="J3554" s="40" t="s">
        <v>97</v>
      </c>
      <c r="K3554" s="40" t="s">
        <v>97</v>
      </c>
      <c r="L3554" s="40" t="s">
        <v>97</v>
      </c>
    </row>
    <row r="3555" spans="1:12" x14ac:dyDescent="0.25">
      <c r="A3555" s="40" t="s">
        <v>29</v>
      </c>
      <c r="B3555" s="40" t="s">
        <v>6365</v>
      </c>
      <c r="C3555" s="40" t="s">
        <v>6366</v>
      </c>
      <c r="D3555" s="40" t="s">
        <v>2233</v>
      </c>
      <c r="E3555" s="40" t="s">
        <v>2233</v>
      </c>
      <c r="F3555" s="40">
        <v>1</v>
      </c>
      <c r="G3555" s="40"/>
      <c r="H3555" s="40" t="s">
        <v>2234</v>
      </c>
      <c r="I3555" s="40"/>
      <c r="J3555" s="40" t="s">
        <v>97</v>
      </c>
      <c r="K3555" s="40" t="s">
        <v>97</v>
      </c>
      <c r="L3555" s="40" t="s">
        <v>97</v>
      </c>
    </row>
    <row r="3556" spans="1:12" x14ac:dyDescent="0.25">
      <c r="A3556" s="40" t="s">
        <v>29</v>
      </c>
      <c r="B3556" s="40" t="s">
        <v>6367</v>
      </c>
      <c r="C3556" s="40" t="s">
        <v>6368</v>
      </c>
      <c r="D3556" s="40" t="s">
        <v>2233</v>
      </c>
      <c r="E3556" s="40" t="s">
        <v>2233</v>
      </c>
      <c r="F3556" s="40">
        <v>1</v>
      </c>
      <c r="G3556" s="40"/>
      <c r="H3556" s="40" t="s">
        <v>2234</v>
      </c>
      <c r="I3556" s="40"/>
      <c r="J3556" s="40" t="s">
        <v>97</v>
      </c>
      <c r="K3556" s="40" t="s">
        <v>97</v>
      </c>
      <c r="L3556" s="40" t="s">
        <v>97</v>
      </c>
    </row>
    <row r="3557" spans="1:12" x14ac:dyDescent="0.25">
      <c r="A3557" s="40" t="s">
        <v>29</v>
      </c>
      <c r="B3557" s="40" t="s">
        <v>6369</v>
      </c>
      <c r="C3557" s="40" t="s">
        <v>6370</v>
      </c>
      <c r="D3557" s="40" t="s">
        <v>2233</v>
      </c>
      <c r="E3557" s="40" t="s">
        <v>2233</v>
      </c>
      <c r="F3557" s="40">
        <v>1</v>
      </c>
      <c r="G3557" s="40"/>
      <c r="H3557" s="40" t="s">
        <v>2234</v>
      </c>
      <c r="I3557" s="40"/>
      <c r="J3557" s="40" t="s">
        <v>97</v>
      </c>
      <c r="K3557" s="40" t="s">
        <v>97</v>
      </c>
      <c r="L3557" s="40" t="s">
        <v>97</v>
      </c>
    </row>
    <row r="3558" spans="1:12" x14ac:dyDescent="0.25">
      <c r="A3558" s="40" t="s">
        <v>29</v>
      </c>
      <c r="B3558" s="40" t="s">
        <v>6371</v>
      </c>
      <c r="C3558" s="40" t="s">
        <v>6372</v>
      </c>
      <c r="D3558" s="40" t="s">
        <v>2233</v>
      </c>
      <c r="E3558" s="40" t="s">
        <v>2233</v>
      </c>
      <c r="F3558" s="40">
        <v>1</v>
      </c>
      <c r="G3558" s="40"/>
      <c r="H3558" s="40" t="s">
        <v>2234</v>
      </c>
      <c r="I3558" s="40"/>
      <c r="J3558" s="40" t="s">
        <v>97</v>
      </c>
      <c r="K3558" s="40" t="s">
        <v>97</v>
      </c>
      <c r="L3558" s="40" t="s">
        <v>97</v>
      </c>
    </row>
    <row r="3559" spans="1:12" x14ac:dyDescent="0.25">
      <c r="A3559" s="40" t="s">
        <v>29</v>
      </c>
      <c r="B3559" s="40" t="s">
        <v>6373</v>
      </c>
      <c r="C3559" s="40" t="s">
        <v>6374</v>
      </c>
      <c r="D3559" s="40" t="s">
        <v>2233</v>
      </c>
      <c r="E3559" s="40" t="s">
        <v>2233</v>
      </c>
      <c r="F3559" s="40">
        <v>1</v>
      </c>
      <c r="G3559" s="40"/>
      <c r="H3559" s="40" t="s">
        <v>2234</v>
      </c>
      <c r="I3559" s="40"/>
      <c r="J3559" s="40" t="s">
        <v>97</v>
      </c>
      <c r="K3559" s="40" t="s">
        <v>97</v>
      </c>
      <c r="L3559" s="40" t="s">
        <v>97</v>
      </c>
    </row>
    <row r="3560" spans="1:12" x14ac:dyDescent="0.25">
      <c r="A3560" s="40" t="s">
        <v>29</v>
      </c>
      <c r="B3560" s="40" t="s">
        <v>6375</v>
      </c>
      <c r="C3560" s="40" t="s">
        <v>6376</v>
      </c>
      <c r="D3560" s="40" t="s">
        <v>2233</v>
      </c>
      <c r="E3560" s="40" t="s">
        <v>2233</v>
      </c>
      <c r="F3560" s="40">
        <v>1</v>
      </c>
      <c r="G3560" s="40"/>
      <c r="H3560" s="40" t="s">
        <v>2234</v>
      </c>
      <c r="I3560" s="40"/>
      <c r="J3560" s="40" t="s">
        <v>97</v>
      </c>
      <c r="K3560" s="40" t="s">
        <v>97</v>
      </c>
      <c r="L3560" s="40" t="s">
        <v>97</v>
      </c>
    </row>
    <row r="3561" spans="1:12" x14ac:dyDescent="0.25">
      <c r="A3561" s="40" t="s">
        <v>29</v>
      </c>
      <c r="B3561" s="40" t="s">
        <v>6377</v>
      </c>
      <c r="C3561" s="40" t="s">
        <v>6378</v>
      </c>
      <c r="D3561" s="40" t="s">
        <v>2233</v>
      </c>
      <c r="E3561" s="40" t="s">
        <v>2233</v>
      </c>
      <c r="F3561" s="40">
        <v>1</v>
      </c>
      <c r="G3561" s="40"/>
      <c r="H3561" s="40" t="s">
        <v>2234</v>
      </c>
      <c r="I3561" s="40"/>
      <c r="J3561" s="40" t="s">
        <v>97</v>
      </c>
      <c r="K3561" s="40" t="s">
        <v>97</v>
      </c>
      <c r="L3561" s="40" t="s">
        <v>97</v>
      </c>
    </row>
    <row r="3562" spans="1:12" x14ac:dyDescent="0.25">
      <c r="A3562" s="40" t="s">
        <v>29</v>
      </c>
      <c r="B3562" s="40" t="s">
        <v>6379</v>
      </c>
      <c r="C3562" s="40" t="s">
        <v>6380</v>
      </c>
      <c r="D3562" s="40" t="s">
        <v>2233</v>
      </c>
      <c r="E3562" s="40" t="s">
        <v>2233</v>
      </c>
      <c r="F3562" s="40">
        <v>1</v>
      </c>
      <c r="G3562" s="40"/>
      <c r="H3562" s="40" t="s">
        <v>2234</v>
      </c>
      <c r="I3562" s="40"/>
      <c r="J3562" s="40" t="s">
        <v>97</v>
      </c>
      <c r="K3562" s="40" t="s">
        <v>97</v>
      </c>
      <c r="L3562" s="40" t="s">
        <v>97</v>
      </c>
    </row>
    <row r="3563" spans="1:12" x14ac:dyDescent="0.25">
      <c r="A3563" s="40" t="s">
        <v>29</v>
      </c>
      <c r="B3563" s="40" t="s">
        <v>6381</v>
      </c>
      <c r="C3563" s="40" t="s">
        <v>6382</v>
      </c>
      <c r="D3563" s="40" t="s">
        <v>2233</v>
      </c>
      <c r="E3563" s="40" t="s">
        <v>2233</v>
      </c>
      <c r="F3563" s="40">
        <v>1</v>
      </c>
      <c r="G3563" s="40"/>
      <c r="H3563" s="40" t="s">
        <v>2234</v>
      </c>
      <c r="I3563" s="40"/>
      <c r="J3563" s="40" t="s">
        <v>97</v>
      </c>
      <c r="K3563" s="40" t="s">
        <v>97</v>
      </c>
      <c r="L3563" s="40" t="s">
        <v>97</v>
      </c>
    </row>
    <row r="3564" spans="1:12" x14ac:dyDescent="0.25">
      <c r="A3564" s="40" t="s">
        <v>29</v>
      </c>
      <c r="B3564" s="40" t="s">
        <v>6383</v>
      </c>
      <c r="C3564" s="40" t="s">
        <v>6384</v>
      </c>
      <c r="D3564" s="40" t="s">
        <v>2233</v>
      </c>
      <c r="E3564" s="40" t="s">
        <v>2233</v>
      </c>
      <c r="F3564" s="40">
        <v>1</v>
      </c>
      <c r="G3564" s="40"/>
      <c r="H3564" s="40" t="s">
        <v>2234</v>
      </c>
      <c r="I3564" s="40"/>
      <c r="J3564" s="40" t="s">
        <v>97</v>
      </c>
      <c r="K3564" s="40" t="s">
        <v>97</v>
      </c>
      <c r="L3564" s="40" t="s">
        <v>97</v>
      </c>
    </row>
    <row r="3565" spans="1:12" x14ac:dyDescent="0.25">
      <c r="A3565" s="40" t="s">
        <v>29</v>
      </c>
      <c r="B3565" s="40" t="s">
        <v>6385</v>
      </c>
      <c r="C3565" s="40" t="s">
        <v>6386</v>
      </c>
      <c r="D3565" s="40" t="s">
        <v>2233</v>
      </c>
      <c r="E3565" s="40" t="s">
        <v>2233</v>
      </c>
      <c r="F3565" s="40">
        <v>1</v>
      </c>
      <c r="G3565" s="40"/>
      <c r="H3565" s="40" t="s">
        <v>2234</v>
      </c>
      <c r="I3565" s="40"/>
      <c r="J3565" s="40" t="s">
        <v>97</v>
      </c>
      <c r="K3565" s="40" t="s">
        <v>97</v>
      </c>
      <c r="L3565" s="40" t="s">
        <v>97</v>
      </c>
    </row>
    <row r="3566" spans="1:12" x14ac:dyDescent="0.25">
      <c r="A3566" s="40" t="s">
        <v>29</v>
      </c>
      <c r="B3566" s="40" t="s">
        <v>6387</v>
      </c>
      <c r="C3566" s="40" t="s">
        <v>6388</v>
      </c>
      <c r="D3566" s="40" t="s">
        <v>2233</v>
      </c>
      <c r="E3566" s="40" t="s">
        <v>2233</v>
      </c>
      <c r="F3566" s="40">
        <v>1</v>
      </c>
      <c r="G3566" s="40"/>
      <c r="H3566" s="40" t="s">
        <v>2234</v>
      </c>
      <c r="I3566" s="40"/>
      <c r="J3566" s="40" t="s">
        <v>97</v>
      </c>
      <c r="K3566" s="40" t="s">
        <v>97</v>
      </c>
      <c r="L3566" s="40" t="s">
        <v>97</v>
      </c>
    </row>
    <row r="3567" spans="1:12" x14ac:dyDescent="0.25">
      <c r="A3567" s="40" t="s">
        <v>29</v>
      </c>
      <c r="B3567" s="40" t="s">
        <v>6389</v>
      </c>
      <c r="C3567" s="40" t="s">
        <v>6390</v>
      </c>
      <c r="D3567" s="40" t="s">
        <v>2233</v>
      </c>
      <c r="E3567" s="40" t="s">
        <v>2233</v>
      </c>
      <c r="F3567" s="40">
        <v>1</v>
      </c>
      <c r="G3567" s="40"/>
      <c r="H3567" s="40" t="s">
        <v>2234</v>
      </c>
      <c r="I3567" s="40"/>
      <c r="J3567" s="40" t="s">
        <v>97</v>
      </c>
      <c r="K3567" s="40" t="s">
        <v>97</v>
      </c>
      <c r="L3567" s="40" t="s">
        <v>97</v>
      </c>
    </row>
    <row r="3568" spans="1:12" x14ac:dyDescent="0.25">
      <c r="A3568" s="40" t="s">
        <v>29</v>
      </c>
      <c r="B3568" s="40" t="s">
        <v>6391</v>
      </c>
      <c r="C3568" s="40" t="s">
        <v>6392</v>
      </c>
      <c r="D3568" s="40" t="s">
        <v>2233</v>
      </c>
      <c r="E3568" s="40" t="s">
        <v>2233</v>
      </c>
      <c r="F3568" s="40">
        <v>1</v>
      </c>
      <c r="G3568" s="40"/>
      <c r="H3568" s="40" t="s">
        <v>2234</v>
      </c>
      <c r="I3568" s="40"/>
      <c r="J3568" s="40" t="s">
        <v>97</v>
      </c>
      <c r="K3568" s="40" t="s">
        <v>97</v>
      </c>
      <c r="L3568" s="40" t="s">
        <v>97</v>
      </c>
    </row>
    <row r="3569" spans="1:12" x14ac:dyDescent="0.25">
      <c r="A3569" s="40" t="s">
        <v>29</v>
      </c>
      <c r="B3569" s="40" t="s">
        <v>6393</v>
      </c>
      <c r="C3569" s="40" t="s">
        <v>6394</v>
      </c>
      <c r="D3569" s="40" t="s">
        <v>2233</v>
      </c>
      <c r="E3569" s="40" t="s">
        <v>2233</v>
      </c>
      <c r="F3569" s="40">
        <v>1</v>
      </c>
      <c r="G3569" s="40"/>
      <c r="H3569" s="40" t="s">
        <v>2234</v>
      </c>
      <c r="I3569" s="40"/>
      <c r="J3569" s="40" t="s">
        <v>97</v>
      </c>
      <c r="K3569" s="40" t="s">
        <v>97</v>
      </c>
      <c r="L3569" s="40" t="s">
        <v>97</v>
      </c>
    </row>
    <row r="3570" spans="1:12" x14ac:dyDescent="0.25">
      <c r="A3570" s="40" t="s">
        <v>29</v>
      </c>
      <c r="B3570" s="40" t="s">
        <v>6395</v>
      </c>
      <c r="C3570" s="40" t="s">
        <v>6396</v>
      </c>
      <c r="D3570" s="40" t="s">
        <v>6397</v>
      </c>
      <c r="E3570" s="40" t="s">
        <v>6397</v>
      </c>
      <c r="F3570" s="40">
        <v>1</v>
      </c>
      <c r="G3570" s="40"/>
      <c r="H3570" s="40" t="s">
        <v>2234</v>
      </c>
      <c r="I3570" s="40"/>
      <c r="J3570" s="40" t="s">
        <v>97</v>
      </c>
      <c r="K3570" s="40" t="s">
        <v>97</v>
      </c>
      <c r="L3570" s="40" t="s">
        <v>97</v>
      </c>
    </row>
    <row r="3571" spans="1:12" x14ac:dyDescent="0.25">
      <c r="A3571" s="40" t="s">
        <v>29</v>
      </c>
      <c r="B3571" s="40" t="s">
        <v>6398</v>
      </c>
      <c r="C3571" s="40" t="s">
        <v>6399</v>
      </c>
      <c r="D3571" s="40" t="s">
        <v>2233</v>
      </c>
      <c r="E3571" s="40" t="s">
        <v>2233</v>
      </c>
      <c r="F3571" s="40">
        <v>1</v>
      </c>
      <c r="G3571" s="40"/>
      <c r="H3571" s="40" t="s">
        <v>97</v>
      </c>
      <c r="I3571" s="40"/>
      <c r="J3571" s="40" t="s">
        <v>97</v>
      </c>
      <c r="K3571" s="40" t="s">
        <v>97</v>
      </c>
      <c r="L3571" s="40" t="s">
        <v>97</v>
      </c>
    </row>
    <row r="3572" spans="1:12" x14ac:dyDescent="0.25">
      <c r="A3572" s="40" t="s">
        <v>22</v>
      </c>
      <c r="B3572" s="40" t="s">
        <v>2233</v>
      </c>
      <c r="C3572" s="40" t="s">
        <v>6400</v>
      </c>
      <c r="D3572" s="40" t="s">
        <v>2233</v>
      </c>
      <c r="E3572" s="40" t="s">
        <v>2233</v>
      </c>
      <c r="F3572" s="40">
        <v>1</v>
      </c>
      <c r="G3572" s="40"/>
      <c r="H3572" s="40" t="s">
        <v>2234</v>
      </c>
      <c r="I3572" s="40"/>
      <c r="J3572" s="40" t="s">
        <v>97</v>
      </c>
      <c r="K3572" s="40" t="s">
        <v>97</v>
      </c>
      <c r="L3572" s="40" t="s">
        <v>97</v>
      </c>
    </row>
    <row r="3573" spans="1:12" x14ac:dyDescent="0.25">
      <c r="A3573" s="40" t="s">
        <v>22</v>
      </c>
      <c r="B3573" s="40" t="s">
        <v>2298</v>
      </c>
      <c r="C3573" s="40" t="s">
        <v>6401</v>
      </c>
      <c r="D3573" s="40" t="s">
        <v>2233</v>
      </c>
      <c r="E3573" s="40" t="s">
        <v>2233</v>
      </c>
      <c r="F3573" s="40">
        <v>1</v>
      </c>
      <c r="G3573" s="40"/>
      <c r="H3573" s="40" t="s">
        <v>97</v>
      </c>
      <c r="I3573" s="40"/>
      <c r="J3573" s="40" t="s">
        <v>97</v>
      </c>
      <c r="K3573" s="40" t="s">
        <v>97</v>
      </c>
      <c r="L3573" s="40" t="s">
        <v>97</v>
      </c>
    </row>
    <row r="3574" spans="1:12" x14ac:dyDescent="0.25">
      <c r="A3574" s="40" t="s">
        <v>22</v>
      </c>
      <c r="B3574" s="40" t="s">
        <v>483</v>
      </c>
      <c r="C3574" s="40" t="s">
        <v>6402</v>
      </c>
      <c r="D3574" s="40" t="s">
        <v>2289</v>
      </c>
      <c r="E3574" s="40" t="s">
        <v>2289</v>
      </c>
      <c r="F3574" s="40">
        <v>1</v>
      </c>
      <c r="G3574" s="40"/>
      <c r="H3574" s="40" t="s">
        <v>97</v>
      </c>
      <c r="I3574" s="40"/>
      <c r="J3574" s="40" t="s">
        <v>97</v>
      </c>
      <c r="K3574" s="40" t="s">
        <v>97</v>
      </c>
      <c r="L3574" s="40" t="s">
        <v>97</v>
      </c>
    </row>
    <row r="3575" spans="1:12" x14ac:dyDescent="0.25">
      <c r="A3575" s="40" t="s">
        <v>22</v>
      </c>
      <c r="B3575" s="40" t="s">
        <v>487</v>
      </c>
      <c r="C3575" s="40" t="s">
        <v>6403</v>
      </c>
      <c r="D3575" s="40" t="s">
        <v>2289</v>
      </c>
      <c r="E3575" s="40" t="s">
        <v>2289</v>
      </c>
      <c r="F3575" s="40">
        <v>1</v>
      </c>
      <c r="G3575" s="40"/>
      <c r="H3575" s="40" t="s">
        <v>97</v>
      </c>
      <c r="I3575" s="40"/>
      <c r="J3575" s="40" t="s">
        <v>97</v>
      </c>
      <c r="K3575" s="40" t="s">
        <v>97</v>
      </c>
      <c r="L3575" s="40" t="s">
        <v>97</v>
      </c>
    </row>
    <row r="3576" spans="1:12" x14ac:dyDescent="0.25">
      <c r="A3576" s="40" t="s">
        <v>22</v>
      </c>
      <c r="B3576" s="40" t="s">
        <v>494</v>
      </c>
      <c r="C3576" s="40" t="s">
        <v>6404</v>
      </c>
      <c r="D3576" s="40" t="s">
        <v>6405</v>
      </c>
      <c r="E3576" s="40" t="s">
        <v>6405</v>
      </c>
      <c r="F3576" s="40">
        <v>1</v>
      </c>
      <c r="G3576" s="40"/>
      <c r="H3576" s="40" t="s">
        <v>2234</v>
      </c>
      <c r="I3576" s="40"/>
      <c r="J3576" s="40" t="s">
        <v>97</v>
      </c>
      <c r="K3576" s="40" t="s">
        <v>97</v>
      </c>
      <c r="L3576" s="40" t="s">
        <v>97</v>
      </c>
    </row>
    <row r="3577" spans="1:12" x14ac:dyDescent="0.25">
      <c r="A3577" s="40" t="s">
        <v>22</v>
      </c>
      <c r="B3577" s="40" t="s">
        <v>496</v>
      </c>
      <c r="C3577" s="40" t="s">
        <v>6406</v>
      </c>
      <c r="D3577" s="40" t="s">
        <v>6407</v>
      </c>
      <c r="E3577" s="40" t="s">
        <v>6407</v>
      </c>
      <c r="F3577" s="40">
        <v>1</v>
      </c>
      <c r="G3577" s="40"/>
      <c r="H3577" s="40" t="s">
        <v>97</v>
      </c>
      <c r="I3577" s="40"/>
      <c r="J3577" s="40" t="s">
        <v>97</v>
      </c>
      <c r="K3577" s="40" t="s">
        <v>97</v>
      </c>
      <c r="L3577" s="40" t="s">
        <v>97</v>
      </c>
    </row>
    <row r="3578" spans="1:12" x14ac:dyDescent="0.25">
      <c r="A3578" s="40" t="s">
        <v>22</v>
      </c>
      <c r="B3578" s="40" t="s">
        <v>1297</v>
      </c>
      <c r="C3578" s="40" t="s">
        <v>6408</v>
      </c>
      <c r="D3578" s="40" t="s">
        <v>6409</v>
      </c>
      <c r="E3578" s="40" t="s">
        <v>6409</v>
      </c>
      <c r="F3578" s="40">
        <v>1</v>
      </c>
      <c r="G3578" s="40"/>
      <c r="H3578" s="40" t="s">
        <v>2234</v>
      </c>
      <c r="I3578" s="40"/>
      <c r="J3578" s="40" t="s">
        <v>97</v>
      </c>
      <c r="K3578" s="40" t="s">
        <v>97</v>
      </c>
      <c r="L3578" s="40" t="s">
        <v>97</v>
      </c>
    </row>
    <row r="3579" spans="1:12" x14ac:dyDescent="0.25">
      <c r="A3579" s="40" t="s">
        <v>22</v>
      </c>
      <c r="B3579" s="40" t="s">
        <v>1300</v>
      </c>
      <c r="C3579" s="40" t="s">
        <v>6410</v>
      </c>
      <c r="D3579" s="40" t="s">
        <v>2233</v>
      </c>
      <c r="E3579" s="40" t="s">
        <v>2233</v>
      </c>
      <c r="F3579" s="40">
        <v>1</v>
      </c>
      <c r="G3579" s="40"/>
      <c r="H3579" s="40" t="s">
        <v>2234</v>
      </c>
      <c r="I3579" s="40"/>
      <c r="J3579" s="40" t="s">
        <v>97</v>
      </c>
      <c r="K3579" s="40" t="s">
        <v>97</v>
      </c>
      <c r="L3579" s="40" t="s">
        <v>97</v>
      </c>
    </row>
    <row r="3580" spans="1:12" x14ac:dyDescent="0.25">
      <c r="A3580" s="40" t="s">
        <v>22</v>
      </c>
      <c r="B3580" s="40" t="s">
        <v>502</v>
      </c>
      <c r="C3580" s="40" t="s">
        <v>6411</v>
      </c>
      <c r="D3580" s="40" t="s">
        <v>2233</v>
      </c>
      <c r="E3580" s="40" t="s">
        <v>2233</v>
      </c>
      <c r="F3580" s="40">
        <v>1</v>
      </c>
      <c r="G3580" s="40"/>
      <c r="H3580" s="40" t="s">
        <v>2234</v>
      </c>
      <c r="I3580" s="40"/>
      <c r="J3580" s="40" t="s">
        <v>97</v>
      </c>
      <c r="K3580" s="40" t="s">
        <v>97</v>
      </c>
      <c r="L3580" s="40" t="s">
        <v>97</v>
      </c>
    </row>
    <row r="3581" spans="1:12" x14ac:dyDescent="0.25">
      <c r="A3581" s="40" t="s">
        <v>22</v>
      </c>
      <c r="B3581" s="40" t="s">
        <v>506</v>
      </c>
      <c r="C3581" s="40" t="s">
        <v>6412</v>
      </c>
      <c r="D3581" s="40" t="s">
        <v>2281</v>
      </c>
      <c r="E3581" s="40" t="s">
        <v>2233</v>
      </c>
      <c r="F3581" s="40">
        <v>0</v>
      </c>
      <c r="G3581" s="40"/>
      <c r="H3581" s="40" t="s">
        <v>2234</v>
      </c>
      <c r="I3581" s="40"/>
      <c r="J3581" s="40" t="s">
        <v>97</v>
      </c>
      <c r="K3581" s="40" t="s">
        <v>97</v>
      </c>
      <c r="L3581" s="40" t="s">
        <v>97</v>
      </c>
    </row>
    <row r="3582" spans="1:12" x14ac:dyDescent="0.25">
      <c r="A3582" s="40" t="s">
        <v>22</v>
      </c>
      <c r="B3582" s="40" t="s">
        <v>510</v>
      </c>
      <c r="C3582" s="40" t="s">
        <v>6413</v>
      </c>
      <c r="D3582" s="40" t="s">
        <v>2233</v>
      </c>
      <c r="E3582" s="40" t="s">
        <v>2233</v>
      </c>
      <c r="F3582" s="40">
        <v>1</v>
      </c>
      <c r="G3582" s="40"/>
      <c r="H3582" s="40" t="s">
        <v>97</v>
      </c>
      <c r="I3582" s="40"/>
      <c r="J3582" s="40" t="s">
        <v>97</v>
      </c>
      <c r="K3582" s="40" t="s">
        <v>97</v>
      </c>
      <c r="L3582" s="40" t="s">
        <v>97</v>
      </c>
    </row>
    <row r="3583" spans="1:12" x14ac:dyDescent="0.25">
      <c r="A3583" s="40" t="s">
        <v>22</v>
      </c>
      <c r="B3583" s="40" t="s">
        <v>514</v>
      </c>
      <c r="C3583" s="40" t="s">
        <v>6414</v>
      </c>
      <c r="D3583" s="40" t="s">
        <v>6415</v>
      </c>
      <c r="E3583" s="40" t="s">
        <v>6416</v>
      </c>
      <c r="F3583" s="40">
        <v>0</v>
      </c>
      <c r="G3583" s="40"/>
      <c r="H3583" s="40" t="s">
        <v>97</v>
      </c>
      <c r="I3583" s="40"/>
      <c r="J3583" s="40" t="s">
        <v>97</v>
      </c>
      <c r="K3583" s="40" t="s">
        <v>97</v>
      </c>
      <c r="L3583" s="40" t="s">
        <v>97</v>
      </c>
    </row>
    <row r="3584" spans="1:12" x14ac:dyDescent="0.25">
      <c r="A3584" s="40" t="s">
        <v>22</v>
      </c>
      <c r="B3584" s="40" t="s">
        <v>518</v>
      </c>
      <c r="C3584" s="40" t="s">
        <v>6417</v>
      </c>
      <c r="D3584" s="40" t="s">
        <v>2233</v>
      </c>
      <c r="E3584" s="40" t="s">
        <v>2233</v>
      </c>
      <c r="F3584" s="40">
        <v>1</v>
      </c>
      <c r="G3584" s="40"/>
      <c r="H3584" s="40" t="s">
        <v>97</v>
      </c>
      <c r="I3584" s="40"/>
      <c r="J3584" s="40" t="s">
        <v>97</v>
      </c>
      <c r="K3584" s="40" t="s">
        <v>97</v>
      </c>
      <c r="L3584" s="40" t="s">
        <v>97</v>
      </c>
    </row>
    <row r="3585" spans="1:12" x14ac:dyDescent="0.25">
      <c r="A3585" s="40" t="s">
        <v>22</v>
      </c>
      <c r="B3585" s="40" t="s">
        <v>521</v>
      </c>
      <c r="C3585" s="40" t="s">
        <v>6418</v>
      </c>
      <c r="D3585" s="40" t="s">
        <v>2233</v>
      </c>
      <c r="E3585" s="40" t="s">
        <v>2233</v>
      </c>
      <c r="F3585" s="40">
        <v>1</v>
      </c>
      <c r="G3585" s="40"/>
      <c r="H3585" s="40" t="s">
        <v>97</v>
      </c>
      <c r="I3585" s="40"/>
      <c r="J3585" s="40" t="s">
        <v>97</v>
      </c>
      <c r="K3585" s="40" t="s">
        <v>97</v>
      </c>
      <c r="L3585" s="40" t="s">
        <v>97</v>
      </c>
    </row>
    <row r="3586" spans="1:12" x14ac:dyDescent="0.25">
      <c r="A3586" s="40" t="s">
        <v>22</v>
      </c>
      <c r="B3586" s="40" t="s">
        <v>523</v>
      </c>
      <c r="C3586" s="40" t="s">
        <v>6419</v>
      </c>
      <c r="D3586" s="40" t="s">
        <v>2233</v>
      </c>
      <c r="E3586" s="40" t="s">
        <v>2233</v>
      </c>
      <c r="F3586" s="40">
        <v>1</v>
      </c>
      <c r="G3586" s="40"/>
      <c r="H3586" s="40" t="s">
        <v>97</v>
      </c>
      <c r="I3586" s="40"/>
      <c r="J3586" s="40" t="s">
        <v>97</v>
      </c>
      <c r="K3586" s="40" t="s">
        <v>97</v>
      </c>
      <c r="L3586" s="40" t="s">
        <v>97</v>
      </c>
    </row>
    <row r="3587" spans="1:12" x14ac:dyDescent="0.25">
      <c r="A3587" s="40" t="s">
        <v>22</v>
      </c>
      <c r="B3587" s="40" t="s">
        <v>525</v>
      </c>
      <c r="C3587" s="40" t="s">
        <v>6420</v>
      </c>
      <c r="D3587" s="40" t="s">
        <v>2233</v>
      </c>
      <c r="E3587" s="40" t="s">
        <v>2233</v>
      </c>
      <c r="F3587" s="40">
        <v>1</v>
      </c>
      <c r="G3587" s="40"/>
      <c r="H3587" s="40" t="s">
        <v>97</v>
      </c>
      <c r="I3587" s="40"/>
      <c r="J3587" s="40" t="s">
        <v>97</v>
      </c>
      <c r="K3587" s="40" t="s">
        <v>97</v>
      </c>
      <c r="L3587" s="40" t="s">
        <v>97</v>
      </c>
    </row>
    <row r="3588" spans="1:12" x14ac:dyDescent="0.25">
      <c r="A3588" s="40" t="s">
        <v>22</v>
      </c>
      <c r="B3588" s="40" t="s">
        <v>527</v>
      </c>
      <c r="C3588" s="40" t="s">
        <v>6421</v>
      </c>
      <c r="D3588" s="40" t="s">
        <v>2233</v>
      </c>
      <c r="E3588" s="40" t="s">
        <v>2233</v>
      </c>
      <c r="F3588" s="40">
        <v>1</v>
      </c>
      <c r="G3588" s="40"/>
      <c r="H3588" s="40" t="s">
        <v>97</v>
      </c>
      <c r="I3588" s="40"/>
      <c r="J3588" s="40" t="s">
        <v>97</v>
      </c>
      <c r="K3588" s="40" t="s">
        <v>97</v>
      </c>
      <c r="L3588" s="40" t="s">
        <v>97</v>
      </c>
    </row>
    <row r="3589" spans="1:12" x14ac:dyDescent="0.25">
      <c r="A3589" s="40" t="s">
        <v>22</v>
      </c>
      <c r="B3589" s="40" t="s">
        <v>529</v>
      </c>
      <c r="C3589" s="40" t="s">
        <v>6422</v>
      </c>
      <c r="D3589" s="40" t="s">
        <v>2233</v>
      </c>
      <c r="E3589" s="40" t="s">
        <v>2233</v>
      </c>
      <c r="F3589" s="40">
        <v>1</v>
      </c>
      <c r="G3589" s="40"/>
      <c r="H3589" s="40" t="s">
        <v>97</v>
      </c>
      <c r="I3589" s="40"/>
      <c r="J3589" s="40" t="s">
        <v>97</v>
      </c>
      <c r="K3589" s="40" t="s">
        <v>97</v>
      </c>
      <c r="L3589" s="40" t="s">
        <v>97</v>
      </c>
    </row>
    <row r="3590" spans="1:12" x14ac:dyDescent="0.25">
      <c r="A3590" s="40" t="s">
        <v>22</v>
      </c>
      <c r="B3590" s="40" t="s">
        <v>535</v>
      </c>
      <c r="C3590" s="40" t="s">
        <v>6423</v>
      </c>
      <c r="D3590" s="40" t="s">
        <v>2233</v>
      </c>
      <c r="E3590" s="40" t="s">
        <v>2233</v>
      </c>
      <c r="F3590" s="40">
        <v>1</v>
      </c>
      <c r="G3590" s="40"/>
      <c r="H3590" s="40" t="s">
        <v>2234</v>
      </c>
      <c r="I3590" s="40"/>
      <c r="J3590" s="40" t="s">
        <v>97</v>
      </c>
      <c r="K3590" s="40" t="s">
        <v>97</v>
      </c>
      <c r="L3590" s="40" t="s">
        <v>97</v>
      </c>
    </row>
    <row r="3591" spans="1:12" x14ac:dyDescent="0.25">
      <c r="A3591" s="40" t="s">
        <v>22</v>
      </c>
      <c r="B3591" s="40" t="s">
        <v>540</v>
      </c>
      <c r="C3591" s="40" t="s">
        <v>6424</v>
      </c>
      <c r="D3591" s="40" t="s">
        <v>2233</v>
      </c>
      <c r="E3591" s="40" t="s">
        <v>2233</v>
      </c>
      <c r="F3591" s="40">
        <v>1</v>
      </c>
      <c r="G3591" s="40"/>
      <c r="H3591" s="40" t="s">
        <v>97</v>
      </c>
      <c r="I3591" s="40"/>
      <c r="J3591" s="40" t="s">
        <v>97</v>
      </c>
      <c r="K3591" s="40" t="s">
        <v>97</v>
      </c>
      <c r="L3591" s="40" t="s">
        <v>97</v>
      </c>
    </row>
    <row r="3592" spans="1:12" x14ac:dyDescent="0.25">
      <c r="A3592" s="40" t="s">
        <v>22</v>
      </c>
      <c r="B3592" s="40" t="s">
        <v>542</v>
      </c>
      <c r="C3592" s="40" t="s">
        <v>6425</v>
      </c>
      <c r="D3592" s="40" t="s">
        <v>2233</v>
      </c>
      <c r="E3592" s="40" t="s">
        <v>2233</v>
      </c>
      <c r="F3592" s="40">
        <v>1</v>
      </c>
      <c r="G3592" s="40"/>
      <c r="H3592" s="40" t="s">
        <v>2234</v>
      </c>
      <c r="I3592" s="40"/>
      <c r="J3592" s="40" t="s">
        <v>97</v>
      </c>
      <c r="K3592" s="40" t="s">
        <v>97</v>
      </c>
      <c r="L3592" s="40" t="s">
        <v>97</v>
      </c>
    </row>
    <row r="3593" spans="1:12" x14ac:dyDescent="0.25">
      <c r="A3593" s="40" t="s">
        <v>22</v>
      </c>
      <c r="B3593" s="40" t="s">
        <v>544</v>
      </c>
      <c r="C3593" s="40" t="s">
        <v>6426</v>
      </c>
      <c r="D3593" s="40" t="s">
        <v>2233</v>
      </c>
      <c r="E3593" s="40" t="s">
        <v>2233</v>
      </c>
      <c r="F3593" s="40">
        <v>1</v>
      </c>
      <c r="G3593" s="40"/>
      <c r="H3593" s="40" t="s">
        <v>2234</v>
      </c>
      <c r="I3593" s="40"/>
      <c r="J3593" s="40" t="s">
        <v>97</v>
      </c>
      <c r="K3593" s="40" t="s">
        <v>97</v>
      </c>
      <c r="L3593" s="40" t="s">
        <v>97</v>
      </c>
    </row>
    <row r="3594" spans="1:12" x14ac:dyDescent="0.25">
      <c r="A3594" s="40" t="s">
        <v>22</v>
      </c>
      <c r="B3594" s="40" t="s">
        <v>1337</v>
      </c>
      <c r="C3594" s="40" t="s">
        <v>6427</v>
      </c>
      <c r="D3594" s="40" t="s">
        <v>6428</v>
      </c>
      <c r="E3594" s="40" t="s">
        <v>6428</v>
      </c>
      <c r="F3594" s="40">
        <v>1</v>
      </c>
      <c r="G3594" s="40"/>
      <c r="H3594" s="40" t="s">
        <v>2234</v>
      </c>
      <c r="I3594" s="40"/>
      <c r="J3594" s="40" t="s">
        <v>97</v>
      </c>
      <c r="K3594" s="40" t="s">
        <v>97</v>
      </c>
      <c r="L3594" s="40" t="s">
        <v>97</v>
      </c>
    </row>
    <row r="3595" spans="1:12" x14ac:dyDescent="0.25">
      <c r="A3595" s="40" t="s">
        <v>22</v>
      </c>
      <c r="B3595" s="40" t="s">
        <v>3118</v>
      </c>
      <c r="C3595" s="40" t="s">
        <v>6429</v>
      </c>
      <c r="D3595" s="40" t="s">
        <v>2233</v>
      </c>
      <c r="E3595" s="40" t="s">
        <v>2233</v>
      </c>
      <c r="F3595" s="40">
        <v>1</v>
      </c>
      <c r="G3595" s="40"/>
      <c r="H3595" s="40" t="s">
        <v>2234</v>
      </c>
      <c r="I3595" s="40"/>
      <c r="J3595" s="40" t="s">
        <v>97</v>
      </c>
      <c r="K3595" s="40" t="s">
        <v>97</v>
      </c>
      <c r="L3595" s="40" t="s">
        <v>97</v>
      </c>
    </row>
    <row r="3596" spans="1:12" x14ac:dyDescent="0.25">
      <c r="A3596" s="40" t="s">
        <v>22</v>
      </c>
      <c r="B3596" s="40" t="s">
        <v>1238</v>
      </c>
      <c r="C3596" s="40" t="s">
        <v>6430</v>
      </c>
      <c r="D3596" s="40" t="s">
        <v>2233</v>
      </c>
      <c r="E3596" s="40" t="s">
        <v>2233</v>
      </c>
      <c r="F3596" s="40">
        <v>1</v>
      </c>
      <c r="G3596" s="40"/>
      <c r="H3596" s="40" t="s">
        <v>2234</v>
      </c>
      <c r="I3596" s="40"/>
      <c r="J3596" s="40" t="s">
        <v>97</v>
      </c>
      <c r="K3596" s="40" t="s">
        <v>97</v>
      </c>
      <c r="L3596" s="40" t="s">
        <v>97</v>
      </c>
    </row>
    <row r="3597" spans="1:12" x14ac:dyDescent="0.25">
      <c r="A3597" s="40" t="s">
        <v>22</v>
      </c>
      <c r="B3597" s="40" t="s">
        <v>2263</v>
      </c>
      <c r="C3597" s="40" t="s">
        <v>6431</v>
      </c>
      <c r="D3597" s="40" t="s">
        <v>2233</v>
      </c>
      <c r="E3597" s="40" t="s">
        <v>2233</v>
      </c>
      <c r="F3597" s="40">
        <v>1</v>
      </c>
      <c r="G3597" s="40"/>
      <c r="H3597" s="40" t="s">
        <v>2234</v>
      </c>
      <c r="I3597" s="40"/>
      <c r="J3597" s="40" t="s">
        <v>97</v>
      </c>
      <c r="K3597" s="40" t="s">
        <v>97</v>
      </c>
      <c r="L3597" s="40" t="s">
        <v>97</v>
      </c>
    </row>
    <row r="3598" spans="1:12" x14ac:dyDescent="0.25">
      <c r="A3598" s="40" t="s">
        <v>22</v>
      </c>
      <c r="B3598" s="40" t="s">
        <v>3302</v>
      </c>
      <c r="C3598" s="40" t="s">
        <v>6432</v>
      </c>
      <c r="D3598" s="40" t="s">
        <v>2233</v>
      </c>
      <c r="E3598" s="40" t="s">
        <v>2233</v>
      </c>
      <c r="F3598" s="40">
        <v>1</v>
      </c>
      <c r="G3598" s="40"/>
      <c r="H3598" s="40" t="s">
        <v>2234</v>
      </c>
      <c r="I3598" s="40"/>
      <c r="J3598" s="40" t="s">
        <v>97</v>
      </c>
      <c r="K3598" s="40" t="s">
        <v>97</v>
      </c>
      <c r="L3598" s="40" t="s">
        <v>97</v>
      </c>
    </row>
    <row r="3599" spans="1:12" x14ac:dyDescent="0.25">
      <c r="A3599" s="40" t="s">
        <v>22</v>
      </c>
      <c r="B3599" s="40" t="s">
        <v>3306</v>
      </c>
      <c r="C3599" s="40" t="s">
        <v>6433</v>
      </c>
      <c r="D3599" s="40" t="s">
        <v>2233</v>
      </c>
      <c r="E3599" s="40" t="s">
        <v>2233</v>
      </c>
      <c r="F3599" s="40">
        <v>1</v>
      </c>
      <c r="G3599" s="40"/>
      <c r="H3599" s="40" t="s">
        <v>2234</v>
      </c>
      <c r="I3599" s="40"/>
      <c r="J3599" s="40" t="s">
        <v>97</v>
      </c>
      <c r="K3599" s="40" t="s">
        <v>97</v>
      </c>
      <c r="L3599" s="40" t="s">
        <v>97</v>
      </c>
    </row>
    <row r="3600" spans="1:12" x14ac:dyDescent="0.25">
      <c r="A3600" s="40" t="s">
        <v>22</v>
      </c>
      <c r="B3600" s="40" t="s">
        <v>6205</v>
      </c>
      <c r="C3600" s="40" t="s">
        <v>6434</v>
      </c>
      <c r="D3600" s="40" t="s">
        <v>2233</v>
      </c>
      <c r="E3600" s="40" t="s">
        <v>2233</v>
      </c>
      <c r="F3600" s="40">
        <v>1</v>
      </c>
      <c r="G3600" s="40"/>
      <c r="H3600" s="40" t="s">
        <v>2234</v>
      </c>
      <c r="I3600" s="40"/>
      <c r="J3600" s="40" t="s">
        <v>97</v>
      </c>
      <c r="K3600" s="40" t="s">
        <v>97</v>
      </c>
      <c r="L3600" s="40" t="s">
        <v>97</v>
      </c>
    </row>
    <row r="3601" spans="1:12" x14ac:dyDescent="0.25">
      <c r="A3601" s="40" t="s">
        <v>22</v>
      </c>
      <c r="B3601" s="40" t="s">
        <v>3308</v>
      </c>
      <c r="C3601" s="40" t="s">
        <v>6435</v>
      </c>
      <c r="D3601" s="40" t="s">
        <v>2233</v>
      </c>
      <c r="E3601" s="40" t="s">
        <v>2233</v>
      </c>
      <c r="F3601" s="40">
        <v>1</v>
      </c>
      <c r="G3601" s="40"/>
      <c r="H3601" s="40" t="s">
        <v>2234</v>
      </c>
      <c r="I3601" s="40"/>
      <c r="J3601" s="40" t="s">
        <v>97</v>
      </c>
      <c r="K3601" s="40" t="s">
        <v>97</v>
      </c>
      <c r="L3601" s="40" t="s">
        <v>97</v>
      </c>
    </row>
    <row r="3602" spans="1:12" x14ac:dyDescent="0.25">
      <c r="A3602" s="40" t="s">
        <v>22</v>
      </c>
      <c r="B3602" s="40" t="s">
        <v>3310</v>
      </c>
      <c r="C3602" s="40" t="s">
        <v>6436</v>
      </c>
      <c r="D3602" s="40" t="s">
        <v>2233</v>
      </c>
      <c r="E3602" s="40" t="s">
        <v>2233</v>
      </c>
      <c r="F3602" s="40">
        <v>1</v>
      </c>
      <c r="G3602" s="40"/>
      <c r="H3602" s="40" t="s">
        <v>2234</v>
      </c>
      <c r="I3602" s="40"/>
      <c r="J3602" s="40" t="s">
        <v>97</v>
      </c>
      <c r="K3602" s="40" t="s">
        <v>97</v>
      </c>
      <c r="L3602" s="40" t="s">
        <v>97</v>
      </c>
    </row>
    <row r="3603" spans="1:12" x14ac:dyDescent="0.25">
      <c r="A3603" s="40" t="s">
        <v>22</v>
      </c>
      <c r="B3603" s="40" t="s">
        <v>6209</v>
      </c>
      <c r="C3603" s="40" t="s">
        <v>6437</v>
      </c>
      <c r="D3603" s="40" t="s">
        <v>2233</v>
      </c>
      <c r="E3603" s="40" t="s">
        <v>2233</v>
      </c>
      <c r="F3603" s="40">
        <v>1</v>
      </c>
      <c r="G3603" s="40"/>
      <c r="H3603" s="40" t="s">
        <v>2234</v>
      </c>
      <c r="I3603" s="40"/>
      <c r="J3603" s="40" t="s">
        <v>97</v>
      </c>
      <c r="K3603" s="40" t="s">
        <v>97</v>
      </c>
      <c r="L3603" s="40" t="s">
        <v>97</v>
      </c>
    </row>
    <row r="3604" spans="1:12" x14ac:dyDescent="0.25">
      <c r="A3604" s="40" t="s">
        <v>22</v>
      </c>
      <c r="B3604" s="40" t="s">
        <v>6211</v>
      </c>
      <c r="C3604" s="40" t="s">
        <v>6438</v>
      </c>
      <c r="D3604" s="40" t="s">
        <v>2233</v>
      </c>
      <c r="E3604" s="40" t="s">
        <v>2233</v>
      </c>
      <c r="F3604" s="40">
        <v>1</v>
      </c>
      <c r="G3604" s="40"/>
      <c r="H3604" s="40" t="s">
        <v>2234</v>
      </c>
      <c r="I3604" s="40"/>
      <c r="J3604" s="40" t="s">
        <v>97</v>
      </c>
      <c r="K3604" s="40" t="s">
        <v>97</v>
      </c>
      <c r="L3604" s="40" t="s">
        <v>97</v>
      </c>
    </row>
    <row r="3605" spans="1:12" x14ac:dyDescent="0.25">
      <c r="A3605" s="40" t="s">
        <v>22</v>
      </c>
      <c r="B3605" s="40" t="s">
        <v>6213</v>
      </c>
      <c r="C3605" s="40" t="s">
        <v>6439</v>
      </c>
      <c r="D3605" s="40" t="s">
        <v>2233</v>
      </c>
      <c r="E3605" s="40" t="s">
        <v>2233</v>
      </c>
      <c r="F3605" s="40">
        <v>1</v>
      </c>
      <c r="G3605" s="40"/>
      <c r="H3605" s="40" t="s">
        <v>2234</v>
      </c>
      <c r="I3605" s="40"/>
      <c r="J3605" s="40" t="s">
        <v>97</v>
      </c>
      <c r="K3605" s="40" t="s">
        <v>97</v>
      </c>
      <c r="L3605" s="40" t="s">
        <v>97</v>
      </c>
    </row>
    <row r="3606" spans="1:12" x14ac:dyDescent="0.25">
      <c r="A3606" s="40" t="s">
        <v>22</v>
      </c>
      <c r="B3606" s="40" t="s">
        <v>6215</v>
      </c>
      <c r="C3606" s="40" t="s">
        <v>6440</v>
      </c>
      <c r="D3606" s="40" t="s">
        <v>2233</v>
      </c>
      <c r="E3606" s="40" t="s">
        <v>2233</v>
      </c>
      <c r="F3606" s="40">
        <v>1</v>
      </c>
      <c r="G3606" s="40"/>
      <c r="H3606" s="40" t="s">
        <v>2234</v>
      </c>
      <c r="I3606" s="40"/>
      <c r="J3606" s="40" t="s">
        <v>97</v>
      </c>
      <c r="K3606" s="40" t="s">
        <v>97</v>
      </c>
      <c r="L3606" s="40" t="s">
        <v>97</v>
      </c>
    </row>
    <row r="3607" spans="1:12" x14ac:dyDescent="0.25">
      <c r="A3607" s="40" t="s">
        <v>22</v>
      </c>
      <c r="B3607" s="40" t="s">
        <v>3312</v>
      </c>
      <c r="C3607" s="40" t="s">
        <v>6441</v>
      </c>
      <c r="D3607" s="40" t="s">
        <v>2233</v>
      </c>
      <c r="E3607" s="40" t="s">
        <v>2233</v>
      </c>
      <c r="F3607" s="40">
        <v>1</v>
      </c>
      <c r="G3607" s="40"/>
      <c r="H3607" s="40" t="s">
        <v>2234</v>
      </c>
      <c r="I3607" s="40"/>
      <c r="J3607" s="40" t="s">
        <v>97</v>
      </c>
      <c r="K3607" s="40" t="s">
        <v>97</v>
      </c>
      <c r="L3607" s="40" t="s">
        <v>97</v>
      </c>
    </row>
    <row r="3608" spans="1:12" x14ac:dyDescent="0.25">
      <c r="A3608" s="40" t="s">
        <v>22</v>
      </c>
      <c r="B3608" s="40" t="s">
        <v>6218</v>
      </c>
      <c r="C3608" s="40" t="s">
        <v>6442</v>
      </c>
      <c r="D3608" s="40" t="s">
        <v>2233</v>
      </c>
      <c r="E3608" s="40" t="s">
        <v>2233</v>
      </c>
      <c r="F3608" s="40">
        <v>1</v>
      </c>
      <c r="G3608" s="40"/>
      <c r="H3608" s="40" t="s">
        <v>2234</v>
      </c>
      <c r="I3608" s="40"/>
      <c r="J3608" s="40" t="s">
        <v>97</v>
      </c>
      <c r="K3608" s="40" t="s">
        <v>97</v>
      </c>
      <c r="L3608" s="40" t="s">
        <v>97</v>
      </c>
    </row>
    <row r="3609" spans="1:12" x14ac:dyDescent="0.25">
      <c r="A3609" s="40" t="s">
        <v>22</v>
      </c>
      <c r="B3609" s="40" t="s">
        <v>3314</v>
      </c>
      <c r="C3609" s="40" t="s">
        <v>6443</v>
      </c>
      <c r="D3609" s="40" t="s">
        <v>2233</v>
      </c>
      <c r="E3609" s="40" t="s">
        <v>2233</v>
      </c>
      <c r="F3609" s="40">
        <v>1</v>
      </c>
      <c r="G3609" s="40"/>
      <c r="H3609" s="40" t="s">
        <v>2234</v>
      </c>
      <c r="I3609" s="40"/>
      <c r="J3609" s="40" t="s">
        <v>97</v>
      </c>
      <c r="K3609" s="40" t="s">
        <v>97</v>
      </c>
      <c r="L3609" s="40" t="s">
        <v>97</v>
      </c>
    </row>
    <row r="3610" spans="1:12" x14ac:dyDescent="0.25">
      <c r="A3610" s="40" t="s">
        <v>22</v>
      </c>
      <c r="B3610" s="40" t="s">
        <v>6221</v>
      </c>
      <c r="C3610" s="40" t="s">
        <v>6444</v>
      </c>
      <c r="D3610" s="40" t="s">
        <v>2233</v>
      </c>
      <c r="E3610" s="40" t="s">
        <v>2233</v>
      </c>
      <c r="F3610" s="40">
        <v>1</v>
      </c>
      <c r="G3610" s="40"/>
      <c r="H3610" s="40" t="s">
        <v>2234</v>
      </c>
      <c r="I3610" s="40"/>
      <c r="J3610" s="40" t="s">
        <v>97</v>
      </c>
      <c r="K3610" s="40" t="s">
        <v>97</v>
      </c>
      <c r="L3610" s="40" t="s">
        <v>97</v>
      </c>
    </row>
    <row r="3611" spans="1:12" x14ac:dyDescent="0.25">
      <c r="A3611" s="40" t="s">
        <v>22</v>
      </c>
      <c r="B3611" s="40" t="s">
        <v>3316</v>
      </c>
      <c r="C3611" s="40" t="s">
        <v>6445</v>
      </c>
      <c r="D3611" s="40" t="s">
        <v>2233</v>
      </c>
      <c r="E3611" s="40" t="s">
        <v>2233</v>
      </c>
      <c r="F3611" s="40">
        <v>1</v>
      </c>
      <c r="G3611" s="40"/>
      <c r="H3611" s="40" t="s">
        <v>2234</v>
      </c>
      <c r="I3611" s="40"/>
      <c r="J3611" s="40" t="s">
        <v>97</v>
      </c>
      <c r="K3611" s="40" t="s">
        <v>97</v>
      </c>
      <c r="L3611" s="40" t="s">
        <v>97</v>
      </c>
    </row>
    <row r="3612" spans="1:12" x14ac:dyDescent="0.25">
      <c r="A3612" s="40" t="s">
        <v>22</v>
      </c>
      <c r="B3612" s="40" t="s">
        <v>6224</v>
      </c>
      <c r="C3612" s="40" t="s">
        <v>6446</v>
      </c>
      <c r="D3612" s="40" t="s">
        <v>2233</v>
      </c>
      <c r="E3612" s="40" t="s">
        <v>2233</v>
      </c>
      <c r="F3612" s="40">
        <v>1</v>
      </c>
      <c r="G3612" s="40"/>
      <c r="H3612" s="40" t="s">
        <v>2234</v>
      </c>
      <c r="I3612" s="40"/>
      <c r="J3612" s="40" t="s">
        <v>97</v>
      </c>
      <c r="K3612" s="40" t="s">
        <v>97</v>
      </c>
      <c r="L3612" s="40" t="s">
        <v>97</v>
      </c>
    </row>
    <row r="3613" spans="1:12" x14ac:dyDescent="0.25">
      <c r="A3613" s="40" t="s">
        <v>22</v>
      </c>
      <c r="B3613" s="40" t="s">
        <v>3318</v>
      </c>
      <c r="C3613" s="40" t="s">
        <v>6447</v>
      </c>
      <c r="D3613" s="40" t="s">
        <v>2233</v>
      </c>
      <c r="E3613" s="40" t="s">
        <v>2233</v>
      </c>
      <c r="F3613" s="40">
        <v>1</v>
      </c>
      <c r="G3613" s="40"/>
      <c r="H3613" s="40" t="s">
        <v>2234</v>
      </c>
      <c r="I3613" s="40"/>
      <c r="J3613" s="40" t="s">
        <v>97</v>
      </c>
      <c r="K3613" s="40" t="s">
        <v>97</v>
      </c>
      <c r="L3613" s="40" t="s">
        <v>97</v>
      </c>
    </row>
    <row r="3614" spans="1:12" x14ac:dyDescent="0.25">
      <c r="A3614" s="40" t="s">
        <v>22</v>
      </c>
      <c r="B3614" s="40" t="s">
        <v>6227</v>
      </c>
      <c r="C3614" s="40" t="s">
        <v>6448</v>
      </c>
      <c r="D3614" s="40" t="s">
        <v>2233</v>
      </c>
      <c r="E3614" s="40" t="s">
        <v>2233</v>
      </c>
      <c r="F3614" s="40">
        <v>1</v>
      </c>
      <c r="G3614" s="40"/>
      <c r="H3614" s="40" t="s">
        <v>2234</v>
      </c>
      <c r="I3614" s="40"/>
      <c r="J3614" s="40" t="s">
        <v>97</v>
      </c>
      <c r="K3614" s="40" t="s">
        <v>97</v>
      </c>
      <c r="L3614" s="40" t="s">
        <v>97</v>
      </c>
    </row>
    <row r="3615" spans="1:12" x14ac:dyDescent="0.25">
      <c r="A3615" s="40" t="s">
        <v>22</v>
      </c>
      <c r="B3615" s="40" t="s">
        <v>3320</v>
      </c>
      <c r="C3615" s="40" t="s">
        <v>6449</v>
      </c>
      <c r="D3615" s="40" t="s">
        <v>6397</v>
      </c>
      <c r="E3615" s="40" t="s">
        <v>6397</v>
      </c>
      <c r="F3615" s="40">
        <v>1</v>
      </c>
      <c r="G3615" s="40"/>
      <c r="H3615" s="40" t="s">
        <v>2234</v>
      </c>
      <c r="I3615" s="40"/>
      <c r="J3615" s="40" t="s">
        <v>97</v>
      </c>
      <c r="K3615" s="40" t="s">
        <v>97</v>
      </c>
      <c r="L3615" s="40" t="s">
        <v>97</v>
      </c>
    </row>
    <row r="3616" spans="1:12" x14ac:dyDescent="0.25">
      <c r="A3616" s="40" t="s">
        <v>22</v>
      </c>
      <c r="B3616" s="40" t="s">
        <v>6450</v>
      </c>
      <c r="C3616" s="40" t="s">
        <v>6451</v>
      </c>
      <c r="D3616" s="40" t="s">
        <v>2233</v>
      </c>
      <c r="E3616" s="40" t="s">
        <v>2233</v>
      </c>
      <c r="F3616" s="40">
        <v>1</v>
      </c>
      <c r="G3616" s="40"/>
      <c r="H3616" s="40" t="s">
        <v>97</v>
      </c>
      <c r="I3616" s="40"/>
      <c r="J3616" s="40" t="s">
        <v>97</v>
      </c>
      <c r="K3616" s="40" t="s">
        <v>97</v>
      </c>
      <c r="L3616" s="40" t="s">
        <v>97</v>
      </c>
    </row>
    <row r="3617" spans="1:12" x14ac:dyDescent="0.25">
      <c r="A3617" s="40" t="s">
        <v>21</v>
      </c>
      <c r="B3617" s="40" t="s">
        <v>2233</v>
      </c>
      <c r="C3617" s="40" t="s">
        <v>6452</v>
      </c>
      <c r="D3617" s="40" t="s">
        <v>2281</v>
      </c>
      <c r="E3617" s="40" t="s">
        <v>2371</v>
      </c>
      <c r="F3617" s="40">
        <v>0</v>
      </c>
      <c r="G3617" s="40"/>
      <c r="H3617" s="40" t="s">
        <v>2234</v>
      </c>
      <c r="I3617" s="40"/>
      <c r="J3617" s="40" t="s">
        <v>97</v>
      </c>
      <c r="K3617" s="40" t="s">
        <v>97</v>
      </c>
      <c r="L3617" s="40" t="s">
        <v>97</v>
      </c>
    </row>
    <row r="3618" spans="1:12" x14ac:dyDescent="0.25">
      <c r="A3618" s="40" t="s">
        <v>21</v>
      </c>
      <c r="B3618" s="40" t="s">
        <v>2298</v>
      </c>
      <c r="C3618" s="40" t="s">
        <v>6453</v>
      </c>
      <c r="D3618" s="40" t="s">
        <v>2233</v>
      </c>
      <c r="E3618" s="40" t="s">
        <v>2233</v>
      </c>
      <c r="F3618" s="40">
        <v>1</v>
      </c>
      <c r="G3618" s="40"/>
      <c r="H3618" s="40" t="s">
        <v>97</v>
      </c>
      <c r="I3618" s="40"/>
      <c r="J3618" s="40" t="s">
        <v>97</v>
      </c>
      <c r="K3618" s="40" t="s">
        <v>97</v>
      </c>
      <c r="L3618" s="40" t="s">
        <v>97</v>
      </c>
    </row>
    <row r="3619" spans="1:12" x14ac:dyDescent="0.25">
      <c r="A3619" s="40" t="s">
        <v>21</v>
      </c>
      <c r="B3619" s="40" t="s">
        <v>2300</v>
      </c>
      <c r="C3619" s="40" t="s">
        <v>6454</v>
      </c>
      <c r="D3619" s="40" t="s">
        <v>2233</v>
      </c>
      <c r="E3619" s="40" t="s">
        <v>2233</v>
      </c>
      <c r="F3619" s="40">
        <v>1</v>
      </c>
      <c r="G3619" s="40"/>
      <c r="H3619" s="40" t="s">
        <v>97</v>
      </c>
      <c r="I3619" s="40"/>
      <c r="J3619" s="40" t="s">
        <v>97</v>
      </c>
      <c r="K3619" s="40" t="s">
        <v>97</v>
      </c>
      <c r="L3619" s="40" t="s">
        <v>97</v>
      </c>
    </row>
    <row r="3620" spans="1:12" x14ac:dyDescent="0.25">
      <c r="A3620" s="40" t="s">
        <v>21</v>
      </c>
      <c r="B3620" s="40" t="s">
        <v>479</v>
      </c>
      <c r="C3620" s="40" t="s">
        <v>6455</v>
      </c>
      <c r="D3620" s="40" t="s">
        <v>2233</v>
      </c>
      <c r="E3620" s="40" t="s">
        <v>2233</v>
      </c>
      <c r="F3620" s="40">
        <v>1</v>
      </c>
      <c r="G3620" s="40"/>
      <c r="H3620" s="40" t="s">
        <v>97</v>
      </c>
      <c r="I3620" s="40"/>
      <c r="J3620" s="40" t="s">
        <v>97</v>
      </c>
      <c r="K3620" s="40" t="s">
        <v>97</v>
      </c>
      <c r="L3620" s="40" t="s">
        <v>97</v>
      </c>
    </row>
    <row r="3621" spans="1:12" x14ac:dyDescent="0.25">
      <c r="A3621" s="40" t="s">
        <v>21</v>
      </c>
      <c r="B3621" s="40" t="s">
        <v>483</v>
      </c>
      <c r="C3621" s="40" t="s">
        <v>6456</v>
      </c>
      <c r="D3621" s="40" t="s">
        <v>2233</v>
      </c>
      <c r="E3621" s="40" t="s">
        <v>2233</v>
      </c>
      <c r="F3621" s="40">
        <v>1</v>
      </c>
      <c r="G3621" s="40"/>
      <c r="H3621" s="40" t="s">
        <v>97</v>
      </c>
      <c r="I3621" s="40"/>
      <c r="J3621" s="40" t="s">
        <v>97</v>
      </c>
      <c r="K3621" s="40" t="s">
        <v>97</v>
      </c>
      <c r="L3621" s="40" t="s">
        <v>97</v>
      </c>
    </row>
    <row r="3622" spans="1:12" x14ac:dyDescent="0.25">
      <c r="A3622" s="40" t="s">
        <v>21</v>
      </c>
      <c r="B3622" s="40" t="s">
        <v>487</v>
      </c>
      <c r="C3622" s="40" t="s">
        <v>6457</v>
      </c>
      <c r="D3622" s="40" t="s">
        <v>6458</v>
      </c>
      <c r="E3622" s="40" t="s">
        <v>6458</v>
      </c>
      <c r="F3622" s="40">
        <v>1</v>
      </c>
      <c r="G3622" s="40"/>
      <c r="H3622" s="40" t="s">
        <v>97</v>
      </c>
      <c r="I3622" s="40"/>
      <c r="J3622" s="40" t="s">
        <v>97</v>
      </c>
      <c r="K3622" s="40" t="s">
        <v>97</v>
      </c>
      <c r="L3622" s="40" t="s">
        <v>97</v>
      </c>
    </row>
    <row r="3623" spans="1:12" x14ac:dyDescent="0.25">
      <c r="A3623" s="40" t="s">
        <v>21</v>
      </c>
      <c r="B3623" s="40" t="s">
        <v>491</v>
      </c>
      <c r="C3623" s="40" t="s">
        <v>6459</v>
      </c>
      <c r="D3623" s="40" t="s">
        <v>2233</v>
      </c>
      <c r="E3623" s="40" t="s">
        <v>2794</v>
      </c>
      <c r="F3623" s="40">
        <v>0</v>
      </c>
      <c r="G3623" s="40"/>
      <c r="H3623" s="40" t="s">
        <v>97</v>
      </c>
      <c r="I3623" s="40"/>
      <c r="J3623" s="40" t="s">
        <v>97</v>
      </c>
      <c r="K3623" s="40" t="s">
        <v>97</v>
      </c>
      <c r="L3623" s="40" t="s">
        <v>97</v>
      </c>
    </row>
    <row r="3624" spans="1:12" x14ac:dyDescent="0.25">
      <c r="A3624" s="40" t="s">
        <v>21</v>
      </c>
      <c r="B3624" s="40" t="s">
        <v>494</v>
      </c>
      <c r="C3624" s="40" t="s">
        <v>6460</v>
      </c>
      <c r="D3624" s="40" t="s">
        <v>2281</v>
      </c>
      <c r="E3624" s="40" t="s">
        <v>2281</v>
      </c>
      <c r="F3624" s="40">
        <v>1</v>
      </c>
      <c r="G3624" s="40"/>
      <c r="H3624" s="40" t="s">
        <v>97</v>
      </c>
      <c r="I3624" s="40"/>
      <c r="J3624" s="40" t="s">
        <v>97</v>
      </c>
      <c r="K3624" s="40" t="s">
        <v>97</v>
      </c>
      <c r="L3624" s="40" t="s">
        <v>97</v>
      </c>
    </row>
    <row r="3625" spans="1:12" x14ac:dyDescent="0.25">
      <c r="A3625" s="40" t="s">
        <v>21</v>
      </c>
      <c r="B3625" s="40" t="s">
        <v>496</v>
      </c>
      <c r="C3625" s="40" t="s">
        <v>6461</v>
      </c>
      <c r="D3625" s="40" t="s">
        <v>2233</v>
      </c>
      <c r="E3625" s="40" t="s">
        <v>2233</v>
      </c>
      <c r="F3625" s="40">
        <v>1</v>
      </c>
      <c r="G3625" s="40"/>
      <c r="H3625" s="40" t="s">
        <v>2234</v>
      </c>
      <c r="I3625" s="40"/>
      <c r="J3625" s="40" t="s">
        <v>97</v>
      </c>
      <c r="K3625" s="40" t="s">
        <v>97</v>
      </c>
      <c r="L3625" s="40" t="s">
        <v>97</v>
      </c>
    </row>
    <row r="3626" spans="1:12" x14ac:dyDescent="0.25">
      <c r="A3626" s="40" t="s">
        <v>21</v>
      </c>
      <c r="B3626" s="40" t="s">
        <v>1297</v>
      </c>
      <c r="C3626" s="40" t="s">
        <v>6462</v>
      </c>
      <c r="D3626" s="40" t="s">
        <v>2233</v>
      </c>
      <c r="E3626" s="40" t="s">
        <v>2233</v>
      </c>
      <c r="F3626" s="40">
        <v>1</v>
      </c>
      <c r="G3626" s="40"/>
      <c r="H3626" s="40" t="s">
        <v>97</v>
      </c>
      <c r="I3626" s="40"/>
      <c r="J3626" s="40" t="s">
        <v>97</v>
      </c>
      <c r="K3626" s="40" t="s">
        <v>97</v>
      </c>
      <c r="L3626" s="40" t="s">
        <v>97</v>
      </c>
    </row>
    <row r="3627" spans="1:12" x14ac:dyDescent="0.25">
      <c r="A3627" s="40" t="s">
        <v>21</v>
      </c>
      <c r="B3627" s="40" t="s">
        <v>1300</v>
      </c>
      <c r="C3627" s="40" t="s">
        <v>6463</v>
      </c>
      <c r="D3627" s="40" t="s">
        <v>2233</v>
      </c>
      <c r="E3627" s="40" t="s">
        <v>2233</v>
      </c>
      <c r="F3627" s="40">
        <v>1</v>
      </c>
      <c r="G3627" s="40"/>
      <c r="H3627" s="40" t="s">
        <v>2234</v>
      </c>
      <c r="I3627" s="40"/>
      <c r="J3627" s="40" t="s">
        <v>97</v>
      </c>
      <c r="K3627" s="40" t="s">
        <v>97</v>
      </c>
      <c r="L3627" s="40" t="s">
        <v>97</v>
      </c>
    </row>
    <row r="3628" spans="1:12" x14ac:dyDescent="0.25">
      <c r="A3628" s="40" t="s">
        <v>21</v>
      </c>
      <c r="B3628" s="40" t="s">
        <v>1302</v>
      </c>
      <c r="C3628" s="40" t="s">
        <v>6464</v>
      </c>
      <c r="D3628" s="40" t="s">
        <v>2233</v>
      </c>
      <c r="E3628" s="40" t="s">
        <v>2233</v>
      </c>
      <c r="F3628" s="40">
        <v>1</v>
      </c>
      <c r="G3628" s="40"/>
      <c r="H3628" s="40" t="s">
        <v>2234</v>
      </c>
      <c r="I3628" s="40"/>
      <c r="J3628" s="40" t="s">
        <v>97</v>
      </c>
      <c r="K3628" s="40" t="s">
        <v>97</v>
      </c>
      <c r="L3628" s="40" t="s">
        <v>97</v>
      </c>
    </row>
    <row r="3629" spans="1:12" x14ac:dyDescent="0.25">
      <c r="A3629" s="40" t="s">
        <v>21</v>
      </c>
      <c r="B3629" s="40" t="s">
        <v>2263</v>
      </c>
      <c r="C3629" s="40" t="s">
        <v>6465</v>
      </c>
      <c r="D3629" s="40" t="s">
        <v>2233</v>
      </c>
      <c r="E3629" s="40" t="s">
        <v>2233</v>
      </c>
      <c r="F3629" s="40">
        <v>1</v>
      </c>
      <c r="G3629" s="40"/>
      <c r="H3629" s="40" t="s">
        <v>2234</v>
      </c>
      <c r="I3629" s="40"/>
      <c r="J3629" s="40" t="s">
        <v>97</v>
      </c>
      <c r="K3629" s="40" t="s">
        <v>97</v>
      </c>
      <c r="L3629" s="40" t="s">
        <v>97</v>
      </c>
    </row>
    <row r="3630" spans="1:12" x14ac:dyDescent="0.25">
      <c r="A3630" s="40" t="s">
        <v>21</v>
      </c>
      <c r="B3630" s="40" t="s">
        <v>3302</v>
      </c>
      <c r="C3630" s="40" t="s">
        <v>6466</v>
      </c>
      <c r="D3630" s="40" t="s">
        <v>2233</v>
      </c>
      <c r="E3630" s="40" t="s">
        <v>2233</v>
      </c>
      <c r="F3630" s="40">
        <v>1</v>
      </c>
      <c r="G3630" s="40"/>
      <c r="H3630" s="40" t="s">
        <v>2234</v>
      </c>
      <c r="I3630" s="40"/>
      <c r="J3630" s="40" t="s">
        <v>97</v>
      </c>
      <c r="K3630" s="40" t="s">
        <v>97</v>
      </c>
      <c r="L3630" s="40" t="s">
        <v>97</v>
      </c>
    </row>
    <row r="3631" spans="1:12" x14ac:dyDescent="0.25">
      <c r="A3631" s="40" t="s">
        <v>21</v>
      </c>
      <c r="B3631" s="40" t="s">
        <v>3306</v>
      </c>
      <c r="C3631" s="40" t="s">
        <v>6467</v>
      </c>
      <c r="D3631" s="40" t="s">
        <v>2233</v>
      </c>
      <c r="E3631" s="40" t="s">
        <v>2233</v>
      </c>
      <c r="F3631" s="40">
        <v>1</v>
      </c>
      <c r="G3631" s="40"/>
      <c r="H3631" s="40" t="s">
        <v>2234</v>
      </c>
      <c r="I3631" s="40"/>
      <c r="J3631" s="40" t="s">
        <v>97</v>
      </c>
      <c r="K3631" s="40" t="s">
        <v>97</v>
      </c>
      <c r="L3631" s="40" t="s">
        <v>97</v>
      </c>
    </row>
    <row r="3632" spans="1:12" x14ac:dyDescent="0.25">
      <c r="A3632" s="40" t="s">
        <v>21</v>
      </c>
      <c r="B3632" s="40" t="s">
        <v>6205</v>
      </c>
      <c r="C3632" s="40" t="s">
        <v>6468</v>
      </c>
      <c r="D3632" s="40" t="s">
        <v>2233</v>
      </c>
      <c r="E3632" s="40" t="s">
        <v>2233</v>
      </c>
      <c r="F3632" s="40">
        <v>1</v>
      </c>
      <c r="G3632" s="40"/>
      <c r="H3632" s="40" t="s">
        <v>2234</v>
      </c>
      <c r="I3632" s="40"/>
      <c r="J3632" s="40" t="s">
        <v>97</v>
      </c>
      <c r="K3632" s="40" t="s">
        <v>97</v>
      </c>
      <c r="L3632" s="40" t="s">
        <v>97</v>
      </c>
    </row>
    <row r="3633" spans="1:12" x14ac:dyDescent="0.25">
      <c r="A3633" s="40" t="s">
        <v>21</v>
      </c>
      <c r="B3633" s="40" t="s">
        <v>3308</v>
      </c>
      <c r="C3633" s="40" t="s">
        <v>6469</v>
      </c>
      <c r="D3633" s="40" t="s">
        <v>2233</v>
      </c>
      <c r="E3633" s="40" t="s">
        <v>2233</v>
      </c>
      <c r="F3633" s="40">
        <v>1</v>
      </c>
      <c r="G3633" s="40"/>
      <c r="H3633" s="40" t="s">
        <v>2234</v>
      </c>
      <c r="I3633" s="40"/>
      <c r="J3633" s="40" t="s">
        <v>97</v>
      </c>
      <c r="K3633" s="40" t="s">
        <v>97</v>
      </c>
      <c r="L3633" s="40" t="s">
        <v>97</v>
      </c>
    </row>
    <row r="3634" spans="1:12" x14ac:dyDescent="0.25">
      <c r="A3634" s="40" t="s">
        <v>21</v>
      </c>
      <c r="B3634" s="40" t="s">
        <v>3310</v>
      </c>
      <c r="C3634" s="40" t="s">
        <v>6470</v>
      </c>
      <c r="D3634" s="40" t="s">
        <v>2233</v>
      </c>
      <c r="E3634" s="40" t="s">
        <v>2233</v>
      </c>
      <c r="F3634" s="40">
        <v>1</v>
      </c>
      <c r="G3634" s="40"/>
      <c r="H3634" s="40" t="s">
        <v>2234</v>
      </c>
      <c r="I3634" s="40"/>
      <c r="J3634" s="40" t="s">
        <v>97</v>
      </c>
      <c r="K3634" s="40" t="s">
        <v>97</v>
      </c>
      <c r="L3634" s="40" t="s">
        <v>97</v>
      </c>
    </row>
    <row r="3635" spans="1:12" x14ac:dyDescent="0.25">
      <c r="A3635" s="40" t="s">
        <v>21</v>
      </c>
      <c r="B3635" s="40" t="s">
        <v>6209</v>
      </c>
      <c r="C3635" s="40" t="s">
        <v>6471</v>
      </c>
      <c r="D3635" s="40" t="s">
        <v>2233</v>
      </c>
      <c r="E3635" s="40" t="s">
        <v>2233</v>
      </c>
      <c r="F3635" s="40">
        <v>1</v>
      </c>
      <c r="G3635" s="40"/>
      <c r="H3635" s="40" t="s">
        <v>2234</v>
      </c>
      <c r="I3635" s="40"/>
      <c r="J3635" s="40" t="s">
        <v>97</v>
      </c>
      <c r="K3635" s="40" t="s">
        <v>97</v>
      </c>
      <c r="L3635" s="40" t="s">
        <v>97</v>
      </c>
    </row>
    <row r="3636" spans="1:12" x14ac:dyDescent="0.25">
      <c r="A3636" s="40" t="s">
        <v>21</v>
      </c>
      <c r="B3636" s="40" t="s">
        <v>6211</v>
      </c>
      <c r="C3636" s="40" t="s">
        <v>6472</v>
      </c>
      <c r="D3636" s="40" t="s">
        <v>2233</v>
      </c>
      <c r="E3636" s="40" t="s">
        <v>2233</v>
      </c>
      <c r="F3636" s="40">
        <v>1</v>
      </c>
      <c r="G3636" s="40"/>
      <c r="H3636" s="40" t="s">
        <v>2234</v>
      </c>
      <c r="I3636" s="40"/>
      <c r="J3636" s="40" t="s">
        <v>97</v>
      </c>
      <c r="K3636" s="40" t="s">
        <v>97</v>
      </c>
      <c r="L3636" s="40" t="s">
        <v>97</v>
      </c>
    </row>
    <row r="3637" spans="1:12" x14ac:dyDescent="0.25">
      <c r="A3637" s="40" t="s">
        <v>21</v>
      </c>
      <c r="B3637" s="40" t="s">
        <v>6213</v>
      </c>
      <c r="C3637" s="40" t="s">
        <v>6473</v>
      </c>
      <c r="D3637" s="40" t="s">
        <v>2233</v>
      </c>
      <c r="E3637" s="40" t="s">
        <v>2233</v>
      </c>
      <c r="F3637" s="40">
        <v>1</v>
      </c>
      <c r="G3637" s="40"/>
      <c r="H3637" s="40" t="s">
        <v>2234</v>
      </c>
      <c r="I3637" s="40"/>
      <c r="J3637" s="40" t="s">
        <v>97</v>
      </c>
      <c r="K3637" s="40" t="s">
        <v>97</v>
      </c>
      <c r="L3637" s="40" t="s">
        <v>97</v>
      </c>
    </row>
    <row r="3638" spans="1:12" x14ac:dyDescent="0.25">
      <c r="A3638" s="40" t="s">
        <v>21</v>
      </c>
      <c r="B3638" s="40" t="s">
        <v>6215</v>
      </c>
      <c r="C3638" s="40" t="s">
        <v>6474</v>
      </c>
      <c r="D3638" s="40" t="s">
        <v>2233</v>
      </c>
      <c r="E3638" s="40" t="s">
        <v>2233</v>
      </c>
      <c r="F3638" s="40">
        <v>1</v>
      </c>
      <c r="G3638" s="40"/>
      <c r="H3638" s="40" t="s">
        <v>2234</v>
      </c>
      <c r="I3638" s="40"/>
      <c r="J3638" s="40" t="s">
        <v>97</v>
      </c>
      <c r="K3638" s="40" t="s">
        <v>97</v>
      </c>
      <c r="L3638" s="40" t="s">
        <v>97</v>
      </c>
    </row>
    <row r="3639" spans="1:12" x14ac:dyDescent="0.25">
      <c r="A3639" s="40" t="s">
        <v>21</v>
      </c>
      <c r="B3639" s="40" t="s">
        <v>3312</v>
      </c>
      <c r="C3639" s="40" t="s">
        <v>6475</v>
      </c>
      <c r="D3639" s="40" t="s">
        <v>2233</v>
      </c>
      <c r="E3639" s="40" t="s">
        <v>2233</v>
      </c>
      <c r="F3639" s="40">
        <v>1</v>
      </c>
      <c r="G3639" s="40"/>
      <c r="H3639" s="40" t="s">
        <v>2234</v>
      </c>
      <c r="I3639" s="40"/>
      <c r="J3639" s="40" t="s">
        <v>97</v>
      </c>
      <c r="K3639" s="40" t="s">
        <v>97</v>
      </c>
      <c r="L3639" s="40" t="s">
        <v>97</v>
      </c>
    </row>
    <row r="3640" spans="1:12" x14ac:dyDescent="0.25">
      <c r="A3640" s="40" t="s">
        <v>21</v>
      </c>
      <c r="B3640" s="40" t="s">
        <v>6218</v>
      </c>
      <c r="C3640" s="40" t="s">
        <v>6476</v>
      </c>
      <c r="D3640" s="40" t="s">
        <v>2233</v>
      </c>
      <c r="E3640" s="40" t="s">
        <v>2233</v>
      </c>
      <c r="F3640" s="40">
        <v>1</v>
      </c>
      <c r="G3640" s="40"/>
      <c r="H3640" s="40" t="s">
        <v>2234</v>
      </c>
      <c r="I3640" s="40"/>
      <c r="J3640" s="40" t="s">
        <v>97</v>
      </c>
      <c r="K3640" s="40" t="s">
        <v>97</v>
      </c>
      <c r="L3640" s="40" t="s">
        <v>97</v>
      </c>
    </row>
    <row r="3641" spans="1:12" x14ac:dyDescent="0.25">
      <c r="A3641" s="40" t="s">
        <v>21</v>
      </c>
      <c r="B3641" s="40" t="s">
        <v>3314</v>
      </c>
      <c r="C3641" s="40" t="s">
        <v>6477</v>
      </c>
      <c r="D3641" s="40" t="s">
        <v>2233</v>
      </c>
      <c r="E3641" s="40" t="s">
        <v>2233</v>
      </c>
      <c r="F3641" s="40">
        <v>1</v>
      </c>
      <c r="G3641" s="40"/>
      <c r="H3641" s="40" t="s">
        <v>2234</v>
      </c>
      <c r="I3641" s="40"/>
      <c r="J3641" s="40" t="s">
        <v>97</v>
      </c>
      <c r="K3641" s="40" t="s">
        <v>97</v>
      </c>
      <c r="L3641" s="40" t="s">
        <v>97</v>
      </c>
    </row>
    <row r="3642" spans="1:12" x14ac:dyDescent="0.25">
      <c r="A3642" s="40" t="s">
        <v>21</v>
      </c>
      <c r="B3642" s="40" t="s">
        <v>6221</v>
      </c>
      <c r="C3642" s="40" t="s">
        <v>6478</v>
      </c>
      <c r="D3642" s="40" t="s">
        <v>2233</v>
      </c>
      <c r="E3642" s="40" t="s">
        <v>2233</v>
      </c>
      <c r="F3642" s="40">
        <v>1</v>
      </c>
      <c r="G3642" s="40"/>
      <c r="H3642" s="40" t="s">
        <v>2234</v>
      </c>
      <c r="I3642" s="40"/>
      <c r="J3642" s="40" t="s">
        <v>97</v>
      </c>
      <c r="K3642" s="40" t="s">
        <v>97</v>
      </c>
      <c r="L3642" s="40" t="s">
        <v>97</v>
      </c>
    </row>
    <row r="3643" spans="1:12" x14ac:dyDescent="0.25">
      <c r="A3643" s="40" t="s">
        <v>21</v>
      </c>
      <c r="B3643" s="40" t="s">
        <v>3316</v>
      </c>
      <c r="C3643" s="40" t="s">
        <v>6479</v>
      </c>
      <c r="D3643" s="40" t="s">
        <v>2233</v>
      </c>
      <c r="E3643" s="40" t="s">
        <v>2233</v>
      </c>
      <c r="F3643" s="40">
        <v>1</v>
      </c>
      <c r="G3643" s="40"/>
      <c r="H3643" s="40" t="s">
        <v>2234</v>
      </c>
      <c r="I3643" s="40"/>
      <c r="J3643" s="40" t="s">
        <v>97</v>
      </c>
      <c r="K3643" s="40" t="s">
        <v>97</v>
      </c>
      <c r="L3643" s="40" t="s">
        <v>97</v>
      </c>
    </row>
    <row r="3644" spans="1:12" x14ac:dyDescent="0.25">
      <c r="A3644" s="40" t="s">
        <v>21</v>
      </c>
      <c r="B3644" s="40" t="s">
        <v>6224</v>
      </c>
      <c r="C3644" s="40" t="s">
        <v>6480</v>
      </c>
      <c r="D3644" s="40" t="s">
        <v>2233</v>
      </c>
      <c r="E3644" s="40" t="s">
        <v>2233</v>
      </c>
      <c r="F3644" s="40">
        <v>1</v>
      </c>
      <c r="G3644" s="40"/>
      <c r="H3644" s="40" t="s">
        <v>2234</v>
      </c>
      <c r="I3644" s="40"/>
      <c r="J3644" s="40" t="s">
        <v>97</v>
      </c>
      <c r="K3644" s="40" t="s">
        <v>97</v>
      </c>
      <c r="L3644" s="40" t="s">
        <v>97</v>
      </c>
    </row>
    <row r="3645" spans="1:12" x14ac:dyDescent="0.25">
      <c r="A3645" s="40" t="s">
        <v>21</v>
      </c>
      <c r="B3645" s="40" t="s">
        <v>3318</v>
      </c>
      <c r="C3645" s="40" t="s">
        <v>6481</v>
      </c>
      <c r="D3645" s="40" t="s">
        <v>2233</v>
      </c>
      <c r="E3645" s="40" t="s">
        <v>2233</v>
      </c>
      <c r="F3645" s="40">
        <v>1</v>
      </c>
      <c r="G3645" s="40"/>
      <c r="H3645" s="40" t="s">
        <v>2234</v>
      </c>
      <c r="I3645" s="40"/>
      <c r="J3645" s="40" t="s">
        <v>97</v>
      </c>
      <c r="K3645" s="40" t="s">
        <v>97</v>
      </c>
      <c r="L3645" s="40" t="s">
        <v>97</v>
      </c>
    </row>
    <row r="3646" spans="1:12" x14ac:dyDescent="0.25">
      <c r="A3646" s="40" t="s">
        <v>21</v>
      </c>
      <c r="B3646" s="40" t="s">
        <v>6227</v>
      </c>
      <c r="C3646" s="40" t="s">
        <v>6482</v>
      </c>
      <c r="D3646" s="40" t="s">
        <v>2233</v>
      </c>
      <c r="E3646" s="40" t="s">
        <v>2233</v>
      </c>
      <c r="F3646" s="40">
        <v>1</v>
      </c>
      <c r="G3646" s="40"/>
      <c r="H3646" s="40" t="s">
        <v>2234</v>
      </c>
      <c r="I3646" s="40"/>
      <c r="J3646" s="40" t="s">
        <v>97</v>
      </c>
      <c r="K3646" s="40" t="s">
        <v>97</v>
      </c>
      <c r="L3646" s="40" t="s">
        <v>97</v>
      </c>
    </row>
    <row r="3647" spans="1:12" x14ac:dyDescent="0.25">
      <c r="A3647" s="40" t="s">
        <v>21</v>
      </c>
      <c r="B3647" s="40" t="s">
        <v>3320</v>
      </c>
      <c r="C3647" s="40" t="s">
        <v>6483</v>
      </c>
      <c r="D3647" s="40" t="s">
        <v>6397</v>
      </c>
      <c r="E3647" s="40" t="s">
        <v>6397</v>
      </c>
      <c r="F3647" s="40">
        <v>1</v>
      </c>
      <c r="G3647" s="40"/>
      <c r="H3647" s="40" t="s">
        <v>2234</v>
      </c>
      <c r="I3647" s="40"/>
      <c r="J3647" s="40" t="s">
        <v>97</v>
      </c>
      <c r="K3647" s="40" t="s">
        <v>97</v>
      </c>
      <c r="L3647" s="40" t="s">
        <v>97</v>
      </c>
    </row>
    <row r="3648" spans="1:12" x14ac:dyDescent="0.25">
      <c r="A3648" s="40" t="s">
        <v>21</v>
      </c>
      <c r="B3648" s="40" t="s">
        <v>6450</v>
      </c>
      <c r="C3648" s="40" t="s">
        <v>6484</v>
      </c>
      <c r="D3648" s="40" t="s">
        <v>2233</v>
      </c>
      <c r="E3648" s="40" t="s">
        <v>2233</v>
      </c>
      <c r="F3648" s="40">
        <v>1</v>
      </c>
      <c r="G3648" s="40"/>
      <c r="H3648" s="40" t="s">
        <v>97</v>
      </c>
      <c r="I3648" s="40"/>
      <c r="J3648" s="40" t="s">
        <v>97</v>
      </c>
      <c r="K3648" s="40" t="s">
        <v>97</v>
      </c>
      <c r="L3648" s="40" t="s">
        <v>97</v>
      </c>
    </row>
    <row r="3649" spans="1:12" x14ac:dyDescent="0.25">
      <c r="A3649" s="40" t="s">
        <v>30</v>
      </c>
      <c r="B3649" s="40" t="s">
        <v>2233</v>
      </c>
      <c r="C3649" s="40" t="s">
        <v>6485</v>
      </c>
      <c r="D3649" s="40" t="s">
        <v>2233</v>
      </c>
      <c r="E3649" s="40" t="s">
        <v>2233</v>
      </c>
      <c r="F3649" s="40">
        <v>1</v>
      </c>
      <c r="G3649" s="40"/>
      <c r="H3649" s="40" t="s">
        <v>2234</v>
      </c>
      <c r="I3649" s="40"/>
      <c r="J3649" s="40" t="s">
        <v>97</v>
      </c>
      <c r="K3649" s="40" t="s">
        <v>97</v>
      </c>
      <c r="L3649" s="40" t="s">
        <v>97</v>
      </c>
    </row>
    <row r="3650" spans="1:12" x14ac:dyDescent="0.25">
      <c r="A3650" s="40" t="s">
        <v>30</v>
      </c>
      <c r="B3650" s="40" t="s">
        <v>2298</v>
      </c>
      <c r="C3650" s="40" t="s">
        <v>6486</v>
      </c>
      <c r="D3650" s="40" t="s">
        <v>2233</v>
      </c>
      <c r="E3650" s="40" t="s">
        <v>2233</v>
      </c>
      <c r="F3650" s="40">
        <v>1</v>
      </c>
      <c r="G3650" s="40"/>
      <c r="H3650" s="40" t="s">
        <v>2234</v>
      </c>
      <c r="I3650" s="40"/>
      <c r="J3650" s="40" t="s">
        <v>97</v>
      </c>
      <c r="K3650" s="40" t="s">
        <v>97</v>
      </c>
      <c r="L3650" s="40" t="s">
        <v>97</v>
      </c>
    </row>
    <row r="3651" spans="1:12" x14ac:dyDescent="0.25">
      <c r="A3651" s="40" t="s">
        <v>30</v>
      </c>
      <c r="B3651" s="40" t="s">
        <v>2300</v>
      </c>
      <c r="C3651" s="40" t="s">
        <v>6487</v>
      </c>
      <c r="D3651" s="40" t="s">
        <v>2233</v>
      </c>
      <c r="E3651" s="40" t="s">
        <v>2233</v>
      </c>
      <c r="F3651" s="40">
        <v>1</v>
      </c>
      <c r="G3651" s="40"/>
      <c r="H3651" s="40" t="s">
        <v>2234</v>
      </c>
      <c r="I3651" s="40"/>
      <c r="J3651" s="40" t="s">
        <v>97</v>
      </c>
      <c r="K3651" s="40" t="s">
        <v>97</v>
      </c>
      <c r="L3651" s="40" t="s">
        <v>97</v>
      </c>
    </row>
    <row r="3652" spans="1:12" x14ac:dyDescent="0.25">
      <c r="A3652" s="40" t="s">
        <v>30</v>
      </c>
      <c r="B3652" s="40" t="s">
        <v>483</v>
      </c>
      <c r="C3652" s="40" t="s">
        <v>6488</v>
      </c>
      <c r="D3652" s="40" t="s">
        <v>2233</v>
      </c>
      <c r="E3652" s="40" t="s">
        <v>2233</v>
      </c>
      <c r="F3652" s="40">
        <v>1</v>
      </c>
      <c r="G3652" s="40"/>
      <c r="H3652" s="40" t="s">
        <v>2234</v>
      </c>
      <c r="I3652" s="40"/>
      <c r="J3652" s="40" t="s">
        <v>97</v>
      </c>
      <c r="K3652" s="40" t="s">
        <v>97</v>
      </c>
      <c r="L3652" s="40" t="s">
        <v>97</v>
      </c>
    </row>
    <row r="3653" spans="1:12" x14ac:dyDescent="0.25">
      <c r="A3653" s="40" t="s">
        <v>30</v>
      </c>
      <c r="B3653" s="40" t="s">
        <v>487</v>
      </c>
      <c r="C3653" s="40" t="s">
        <v>6489</v>
      </c>
      <c r="D3653" s="40" t="s">
        <v>2233</v>
      </c>
      <c r="E3653" s="40" t="s">
        <v>2233</v>
      </c>
      <c r="F3653" s="40">
        <v>1</v>
      </c>
      <c r="G3653" s="40"/>
      <c r="H3653" s="40" t="s">
        <v>2234</v>
      </c>
      <c r="I3653" s="40"/>
      <c r="J3653" s="40" t="s">
        <v>97</v>
      </c>
      <c r="K3653" s="40" t="s">
        <v>97</v>
      </c>
      <c r="L3653" s="40" t="s">
        <v>97</v>
      </c>
    </row>
    <row r="3654" spans="1:12" x14ac:dyDescent="0.25">
      <c r="A3654" s="40" t="s">
        <v>30</v>
      </c>
      <c r="B3654" s="40" t="s">
        <v>491</v>
      </c>
      <c r="C3654" s="40" t="s">
        <v>6490</v>
      </c>
      <c r="D3654" s="40" t="s">
        <v>2233</v>
      </c>
      <c r="E3654" s="40" t="s">
        <v>2233</v>
      </c>
      <c r="F3654" s="40">
        <v>1</v>
      </c>
      <c r="G3654" s="40"/>
      <c r="H3654" s="40" t="s">
        <v>2234</v>
      </c>
      <c r="I3654" s="40"/>
      <c r="J3654" s="40" t="s">
        <v>97</v>
      </c>
      <c r="K3654" s="40" t="s">
        <v>97</v>
      </c>
      <c r="L3654" s="40" t="s">
        <v>97</v>
      </c>
    </row>
    <row r="3655" spans="1:12" x14ac:dyDescent="0.25">
      <c r="A3655" s="40" t="s">
        <v>30</v>
      </c>
      <c r="B3655" s="40" t="s">
        <v>494</v>
      </c>
      <c r="C3655" s="40" t="s">
        <v>6491</v>
      </c>
      <c r="D3655" s="40" t="s">
        <v>2233</v>
      </c>
      <c r="E3655" s="40" t="s">
        <v>2233</v>
      </c>
      <c r="F3655" s="40">
        <v>1</v>
      </c>
      <c r="G3655" s="40"/>
      <c r="H3655" s="40" t="s">
        <v>2234</v>
      </c>
      <c r="I3655" s="40"/>
      <c r="J3655" s="40" t="s">
        <v>97</v>
      </c>
      <c r="K3655" s="40" t="s">
        <v>97</v>
      </c>
      <c r="L3655" s="40" t="s">
        <v>97</v>
      </c>
    </row>
    <row r="3656" spans="1:12" x14ac:dyDescent="0.25">
      <c r="A3656" s="40" t="s">
        <v>30</v>
      </c>
      <c r="B3656" s="40" t="s">
        <v>1304</v>
      </c>
      <c r="C3656" s="40" t="s">
        <v>6492</v>
      </c>
      <c r="D3656" s="40" t="s">
        <v>2233</v>
      </c>
      <c r="E3656" s="40" t="s">
        <v>2233</v>
      </c>
      <c r="F3656" s="40">
        <v>1</v>
      </c>
      <c r="G3656" s="40"/>
      <c r="H3656" s="40" t="s">
        <v>2234</v>
      </c>
      <c r="I3656" s="40"/>
      <c r="J3656" s="40" t="s">
        <v>97</v>
      </c>
      <c r="K3656" s="40" t="s">
        <v>97</v>
      </c>
      <c r="L3656" s="40" t="s">
        <v>97</v>
      </c>
    </row>
    <row r="3657" spans="1:12" x14ac:dyDescent="0.25">
      <c r="A3657" s="40" t="s">
        <v>30</v>
      </c>
      <c r="B3657" s="40" t="s">
        <v>1307</v>
      </c>
      <c r="C3657" s="40" t="s">
        <v>6493</v>
      </c>
      <c r="D3657" s="40" t="s">
        <v>2233</v>
      </c>
      <c r="E3657" s="40" t="s">
        <v>2233</v>
      </c>
      <c r="F3657" s="40">
        <v>1</v>
      </c>
      <c r="G3657" s="40"/>
      <c r="H3657" s="40" t="s">
        <v>2234</v>
      </c>
      <c r="I3657" s="40"/>
      <c r="J3657" s="40" t="s">
        <v>97</v>
      </c>
      <c r="K3657" s="40" t="s">
        <v>97</v>
      </c>
      <c r="L3657" s="40" t="s">
        <v>97</v>
      </c>
    </row>
    <row r="3658" spans="1:12" x14ac:dyDescent="0.25">
      <c r="A3658" s="40" t="s">
        <v>30</v>
      </c>
      <c r="B3658" s="40" t="s">
        <v>1309</v>
      </c>
      <c r="C3658" s="40" t="s">
        <v>6494</v>
      </c>
      <c r="D3658" s="40" t="s">
        <v>2233</v>
      </c>
      <c r="E3658" s="40" t="s">
        <v>2233</v>
      </c>
      <c r="F3658" s="40">
        <v>1</v>
      </c>
      <c r="G3658" s="40"/>
      <c r="H3658" s="40" t="s">
        <v>2234</v>
      </c>
      <c r="I3658" s="40"/>
      <c r="J3658" s="40" t="s">
        <v>97</v>
      </c>
      <c r="K3658" s="40" t="s">
        <v>97</v>
      </c>
      <c r="L3658" s="40" t="s">
        <v>97</v>
      </c>
    </row>
    <row r="3659" spans="1:12" x14ac:dyDescent="0.25">
      <c r="A3659" s="40" t="s">
        <v>30</v>
      </c>
      <c r="B3659" s="40" t="s">
        <v>2311</v>
      </c>
      <c r="C3659" s="40" t="s">
        <v>6495</v>
      </c>
      <c r="D3659" s="40" t="s">
        <v>2233</v>
      </c>
      <c r="E3659" s="40" t="s">
        <v>2233</v>
      </c>
      <c r="F3659" s="40">
        <v>1</v>
      </c>
      <c r="G3659" s="40"/>
      <c r="H3659" s="40" t="s">
        <v>2234</v>
      </c>
      <c r="I3659" s="40"/>
      <c r="J3659" s="40" t="s">
        <v>97</v>
      </c>
      <c r="K3659" s="40" t="s">
        <v>97</v>
      </c>
      <c r="L3659" s="40" t="s">
        <v>97</v>
      </c>
    </row>
    <row r="3660" spans="1:12" x14ac:dyDescent="0.25">
      <c r="A3660" s="40" t="s">
        <v>30</v>
      </c>
      <c r="B3660" s="40" t="s">
        <v>502</v>
      </c>
      <c r="C3660" s="40" t="s">
        <v>6496</v>
      </c>
      <c r="D3660" s="40" t="s">
        <v>2233</v>
      </c>
      <c r="E3660" s="40" t="s">
        <v>2233</v>
      </c>
      <c r="F3660" s="40">
        <v>1</v>
      </c>
      <c r="G3660" s="40"/>
      <c r="H3660" s="40" t="s">
        <v>2234</v>
      </c>
      <c r="I3660" s="40"/>
      <c r="J3660" s="40" t="s">
        <v>97</v>
      </c>
      <c r="K3660" s="40" t="s">
        <v>97</v>
      </c>
      <c r="L3660" s="40" t="s">
        <v>97</v>
      </c>
    </row>
    <row r="3661" spans="1:12" x14ac:dyDescent="0.25">
      <c r="A3661" s="40" t="s">
        <v>30</v>
      </c>
      <c r="B3661" s="40" t="s">
        <v>506</v>
      </c>
      <c r="C3661" s="40" t="s">
        <v>6497</v>
      </c>
      <c r="D3661" s="40" t="s">
        <v>2233</v>
      </c>
      <c r="E3661" s="40" t="s">
        <v>2233</v>
      </c>
      <c r="F3661" s="40">
        <v>1</v>
      </c>
      <c r="G3661" s="40"/>
      <c r="H3661" s="40" t="s">
        <v>2234</v>
      </c>
      <c r="I3661" s="40"/>
      <c r="J3661" s="40" t="s">
        <v>97</v>
      </c>
      <c r="K3661" s="40" t="s">
        <v>97</v>
      </c>
      <c r="L3661" s="40" t="s">
        <v>97</v>
      </c>
    </row>
    <row r="3662" spans="1:12" x14ac:dyDescent="0.25">
      <c r="A3662" s="40" t="s">
        <v>30</v>
      </c>
      <c r="B3662" s="40" t="s">
        <v>518</v>
      </c>
      <c r="C3662" s="40" t="s">
        <v>6498</v>
      </c>
      <c r="D3662" s="40" t="s">
        <v>483</v>
      </c>
      <c r="E3662" s="40" t="s">
        <v>483</v>
      </c>
      <c r="F3662" s="40">
        <v>1</v>
      </c>
      <c r="G3662" s="40"/>
      <c r="H3662" s="40" t="s">
        <v>97</v>
      </c>
      <c r="I3662" s="40"/>
      <c r="J3662" s="40" t="s">
        <v>97</v>
      </c>
      <c r="K3662" s="40" t="s">
        <v>97</v>
      </c>
      <c r="L3662" s="40" t="s">
        <v>97</v>
      </c>
    </row>
    <row r="3663" spans="1:12" x14ac:dyDescent="0.25">
      <c r="A3663" s="40" t="s">
        <v>30</v>
      </c>
      <c r="B3663" s="40" t="s">
        <v>521</v>
      </c>
      <c r="C3663" s="40" t="s">
        <v>6499</v>
      </c>
      <c r="D3663" s="40" t="s">
        <v>2233</v>
      </c>
      <c r="E3663" s="40" t="s">
        <v>2233</v>
      </c>
      <c r="F3663" s="40">
        <v>1</v>
      </c>
      <c r="G3663" s="40"/>
      <c r="H3663" s="40" t="s">
        <v>97</v>
      </c>
      <c r="I3663" s="40"/>
      <c r="J3663" s="40" t="s">
        <v>97</v>
      </c>
      <c r="K3663" s="40" t="s">
        <v>97</v>
      </c>
      <c r="L3663" s="40" t="s">
        <v>97</v>
      </c>
    </row>
    <row r="3664" spans="1:12" x14ac:dyDescent="0.25">
      <c r="A3664" s="40" t="s">
        <v>30</v>
      </c>
      <c r="B3664" s="40" t="s">
        <v>527</v>
      </c>
      <c r="C3664" s="40" t="s">
        <v>6500</v>
      </c>
      <c r="D3664" s="40" t="s">
        <v>2233</v>
      </c>
      <c r="E3664" s="40" t="s">
        <v>2233</v>
      </c>
      <c r="F3664" s="40">
        <v>1</v>
      </c>
      <c r="G3664" s="40"/>
      <c r="H3664" s="40" t="s">
        <v>97</v>
      </c>
      <c r="I3664" s="40"/>
      <c r="J3664" s="40" t="s">
        <v>97</v>
      </c>
      <c r="K3664" s="40" t="s">
        <v>97</v>
      </c>
      <c r="L3664" s="40" t="s">
        <v>97</v>
      </c>
    </row>
    <row r="3665" spans="1:12" x14ac:dyDescent="0.25">
      <c r="A3665" s="40" t="s">
        <v>30</v>
      </c>
      <c r="B3665" s="40" t="s">
        <v>529</v>
      </c>
      <c r="C3665" s="40" t="s">
        <v>6501</v>
      </c>
      <c r="D3665" s="40" t="s">
        <v>2233</v>
      </c>
      <c r="E3665" s="40" t="s">
        <v>2233</v>
      </c>
      <c r="F3665" s="40">
        <v>1</v>
      </c>
      <c r="G3665" s="40"/>
      <c r="H3665" s="40" t="s">
        <v>97</v>
      </c>
      <c r="I3665" s="40"/>
      <c r="J3665" s="40" t="s">
        <v>97</v>
      </c>
      <c r="K3665" s="40" t="s">
        <v>97</v>
      </c>
      <c r="L3665" s="40" t="s">
        <v>97</v>
      </c>
    </row>
    <row r="3666" spans="1:12" x14ac:dyDescent="0.25">
      <c r="A3666" s="40" t="s">
        <v>30</v>
      </c>
      <c r="B3666" s="40" t="s">
        <v>531</v>
      </c>
      <c r="C3666" s="40" t="s">
        <v>6502</v>
      </c>
      <c r="D3666" s="40" t="s">
        <v>2233</v>
      </c>
      <c r="E3666" s="40" t="s">
        <v>2233</v>
      </c>
      <c r="F3666" s="40">
        <v>1</v>
      </c>
      <c r="G3666" s="40"/>
      <c r="H3666" s="40" t="s">
        <v>97</v>
      </c>
      <c r="I3666" s="40"/>
      <c r="J3666" s="40" t="s">
        <v>97</v>
      </c>
      <c r="K3666" s="40" t="s">
        <v>97</v>
      </c>
      <c r="L3666" s="40" t="s">
        <v>97</v>
      </c>
    </row>
    <row r="3667" spans="1:12" x14ac:dyDescent="0.25">
      <c r="A3667" s="40" t="s">
        <v>30</v>
      </c>
      <c r="B3667" s="40" t="s">
        <v>533</v>
      </c>
      <c r="C3667" s="40" t="s">
        <v>6503</v>
      </c>
      <c r="D3667" s="40" t="s">
        <v>2233</v>
      </c>
      <c r="E3667" s="40" t="s">
        <v>2233</v>
      </c>
      <c r="F3667" s="40">
        <v>1</v>
      </c>
      <c r="G3667" s="40"/>
      <c r="H3667" s="40" t="s">
        <v>97</v>
      </c>
      <c r="I3667" s="40"/>
      <c r="J3667" s="40" t="s">
        <v>97</v>
      </c>
      <c r="K3667" s="40" t="s">
        <v>97</v>
      </c>
      <c r="L3667" s="40" t="s">
        <v>97</v>
      </c>
    </row>
    <row r="3668" spans="1:12" x14ac:dyDescent="0.25">
      <c r="A3668" s="40" t="s">
        <v>28</v>
      </c>
      <c r="B3668" s="40" t="s">
        <v>2233</v>
      </c>
      <c r="C3668" s="40" t="s">
        <v>6504</v>
      </c>
      <c r="D3668" s="40" t="s">
        <v>6505</v>
      </c>
      <c r="E3668" s="40" t="s">
        <v>502</v>
      </c>
      <c r="F3668" s="40">
        <v>0</v>
      </c>
      <c r="G3668" s="40"/>
      <c r="H3668" s="40" t="s">
        <v>2234</v>
      </c>
      <c r="I3668" s="40"/>
      <c r="J3668" s="40" t="s">
        <v>97</v>
      </c>
      <c r="K3668" s="40" t="s">
        <v>97</v>
      </c>
      <c r="L3668" s="40" t="s">
        <v>97</v>
      </c>
    </row>
    <row r="3669" spans="1:12" x14ac:dyDescent="0.25">
      <c r="A3669" s="40" t="s">
        <v>28</v>
      </c>
      <c r="B3669" s="40" t="s">
        <v>496</v>
      </c>
      <c r="C3669" s="40" t="s">
        <v>6506</v>
      </c>
      <c r="D3669" s="40" t="s">
        <v>2233</v>
      </c>
      <c r="E3669" s="40" t="s">
        <v>2233</v>
      </c>
      <c r="F3669" s="40">
        <v>1</v>
      </c>
      <c r="G3669" s="40"/>
      <c r="H3669" s="40" t="s">
        <v>97</v>
      </c>
      <c r="I3669" s="40"/>
      <c r="J3669" s="40" t="s">
        <v>97</v>
      </c>
      <c r="K3669" s="40" t="s">
        <v>97</v>
      </c>
      <c r="L3669" s="40" t="s">
        <v>97</v>
      </c>
    </row>
    <row r="3670" spans="1:12" x14ac:dyDescent="0.25">
      <c r="A3670" s="40" t="s">
        <v>28</v>
      </c>
      <c r="B3670" s="40" t="s">
        <v>1297</v>
      </c>
      <c r="C3670" s="40" t="s">
        <v>6507</v>
      </c>
      <c r="D3670" s="40" t="s">
        <v>2233</v>
      </c>
      <c r="E3670" s="40" t="s">
        <v>2233</v>
      </c>
      <c r="F3670" s="40">
        <v>1</v>
      </c>
      <c r="G3670" s="40"/>
      <c r="H3670" s="40" t="s">
        <v>97</v>
      </c>
      <c r="I3670" s="40"/>
      <c r="J3670" s="40" t="s">
        <v>97</v>
      </c>
      <c r="K3670" s="40" t="s">
        <v>97</v>
      </c>
      <c r="L3670" s="40" t="s">
        <v>97</v>
      </c>
    </row>
    <row r="3671" spans="1:12" x14ac:dyDescent="0.25">
      <c r="A3671" s="40" t="s">
        <v>28</v>
      </c>
      <c r="B3671" s="40" t="s">
        <v>1300</v>
      </c>
      <c r="C3671" s="40" t="s">
        <v>6508</v>
      </c>
      <c r="D3671" s="40" t="s">
        <v>2233</v>
      </c>
      <c r="E3671" s="40" t="s">
        <v>2233</v>
      </c>
      <c r="F3671" s="40">
        <v>1</v>
      </c>
      <c r="G3671" s="40"/>
      <c r="H3671" s="40" t="s">
        <v>97</v>
      </c>
      <c r="I3671" s="40"/>
      <c r="J3671" s="40" t="s">
        <v>97</v>
      </c>
      <c r="K3671" s="40" t="s">
        <v>97</v>
      </c>
      <c r="L3671" s="40" t="s">
        <v>97</v>
      </c>
    </row>
    <row r="3672" spans="1:12" x14ac:dyDescent="0.25">
      <c r="A3672" s="40" t="s">
        <v>28</v>
      </c>
      <c r="B3672" s="40" t="s">
        <v>1302</v>
      </c>
      <c r="C3672" s="40" t="s">
        <v>6509</v>
      </c>
      <c r="D3672" s="40" t="s">
        <v>2233</v>
      </c>
      <c r="E3672" s="40" t="s">
        <v>2233</v>
      </c>
      <c r="F3672" s="40">
        <v>1</v>
      </c>
      <c r="G3672" s="40"/>
      <c r="H3672" s="40" t="s">
        <v>97</v>
      </c>
      <c r="I3672" s="40"/>
      <c r="J3672" s="40" t="s">
        <v>97</v>
      </c>
      <c r="K3672" s="40" t="s">
        <v>97</v>
      </c>
      <c r="L3672" s="40" t="s">
        <v>97</v>
      </c>
    </row>
    <row r="3673" spans="1:12" x14ac:dyDescent="0.25">
      <c r="A3673" s="40" t="s">
        <v>28</v>
      </c>
      <c r="B3673" s="40" t="s">
        <v>1304</v>
      </c>
      <c r="C3673" s="40" t="s">
        <v>6510</v>
      </c>
      <c r="D3673" s="40" t="s">
        <v>2233</v>
      </c>
      <c r="E3673" s="40" t="s">
        <v>2233</v>
      </c>
      <c r="F3673" s="40">
        <v>1</v>
      </c>
      <c r="G3673" s="40"/>
      <c r="H3673" s="40" t="s">
        <v>97</v>
      </c>
      <c r="I3673" s="40"/>
      <c r="J3673" s="40" t="s">
        <v>97</v>
      </c>
      <c r="K3673" s="40" t="s">
        <v>97</v>
      </c>
      <c r="L3673" s="40" t="s">
        <v>97</v>
      </c>
    </row>
    <row r="3674" spans="1:12" x14ac:dyDescent="0.25">
      <c r="A3674" s="40" t="s">
        <v>28</v>
      </c>
      <c r="B3674" s="40" t="s">
        <v>1307</v>
      </c>
      <c r="C3674" s="40" t="s">
        <v>6511</v>
      </c>
      <c r="D3674" s="40" t="s">
        <v>2233</v>
      </c>
      <c r="E3674" s="40" t="s">
        <v>2233</v>
      </c>
      <c r="F3674" s="40">
        <v>1</v>
      </c>
      <c r="G3674" s="40"/>
      <c r="H3674" s="40" t="s">
        <v>97</v>
      </c>
      <c r="I3674" s="40"/>
      <c r="J3674" s="40" t="s">
        <v>97</v>
      </c>
      <c r="K3674" s="40" t="s">
        <v>97</v>
      </c>
      <c r="L3674" s="40" t="s">
        <v>97</v>
      </c>
    </row>
    <row r="3675" spans="1:12" x14ac:dyDescent="0.25">
      <c r="A3675" s="40" t="s">
        <v>28</v>
      </c>
      <c r="B3675" s="40" t="s">
        <v>1309</v>
      </c>
      <c r="C3675" s="40" t="s">
        <v>6512</v>
      </c>
      <c r="D3675" s="40" t="s">
        <v>2233</v>
      </c>
      <c r="E3675" s="40" t="s">
        <v>2233</v>
      </c>
      <c r="F3675" s="40">
        <v>1</v>
      </c>
      <c r="G3675" s="40"/>
      <c r="H3675" s="40" t="s">
        <v>97</v>
      </c>
      <c r="I3675" s="40"/>
      <c r="J3675" s="40" t="s">
        <v>97</v>
      </c>
      <c r="K3675" s="40" t="s">
        <v>97</v>
      </c>
      <c r="L3675" s="40" t="s">
        <v>97</v>
      </c>
    </row>
    <row r="3676" spans="1:12" x14ac:dyDescent="0.25">
      <c r="A3676" s="40" t="s">
        <v>28</v>
      </c>
      <c r="B3676" s="40" t="s">
        <v>2311</v>
      </c>
      <c r="C3676" s="40" t="s">
        <v>6513</v>
      </c>
      <c r="D3676" s="40" t="s">
        <v>2233</v>
      </c>
      <c r="E3676" s="40" t="s">
        <v>2233</v>
      </c>
      <c r="F3676" s="40">
        <v>1</v>
      </c>
      <c r="G3676" s="40"/>
      <c r="H3676" s="40" t="s">
        <v>97</v>
      </c>
      <c r="I3676" s="40"/>
      <c r="J3676" s="40" t="s">
        <v>97</v>
      </c>
      <c r="K3676" s="40" t="s">
        <v>97</v>
      </c>
      <c r="L3676" s="40" t="s">
        <v>97</v>
      </c>
    </row>
    <row r="3677" spans="1:12" x14ac:dyDescent="0.25">
      <c r="A3677" s="40" t="s">
        <v>28</v>
      </c>
      <c r="B3677" s="40" t="s">
        <v>518</v>
      </c>
      <c r="C3677" s="40" t="s">
        <v>6514</v>
      </c>
      <c r="D3677" s="40" t="s">
        <v>2233</v>
      </c>
      <c r="E3677" s="40" t="s">
        <v>2233</v>
      </c>
      <c r="F3677" s="40">
        <v>1</v>
      </c>
      <c r="G3677" s="40"/>
      <c r="H3677" s="40" t="s">
        <v>97</v>
      </c>
      <c r="I3677" s="40"/>
      <c r="J3677" s="40" t="s">
        <v>97</v>
      </c>
      <c r="K3677" s="40" t="s">
        <v>97</v>
      </c>
      <c r="L3677" s="40" t="s">
        <v>97</v>
      </c>
    </row>
    <row r="3678" spans="1:12" x14ac:dyDescent="0.25">
      <c r="A3678" s="40" t="s">
        <v>28</v>
      </c>
      <c r="B3678" s="40" t="s">
        <v>521</v>
      </c>
      <c r="C3678" s="40" t="s">
        <v>6515</v>
      </c>
      <c r="D3678" s="40" t="s">
        <v>2233</v>
      </c>
      <c r="E3678" s="40" t="s">
        <v>2233</v>
      </c>
      <c r="F3678" s="40">
        <v>1</v>
      </c>
      <c r="G3678" s="40"/>
      <c r="H3678" s="40" t="s">
        <v>97</v>
      </c>
      <c r="I3678" s="40"/>
      <c r="J3678" s="40" t="s">
        <v>97</v>
      </c>
      <c r="K3678" s="40" t="s">
        <v>97</v>
      </c>
      <c r="L3678" s="40" t="s">
        <v>97</v>
      </c>
    </row>
    <row r="3679" spans="1:12" x14ac:dyDescent="0.25">
      <c r="A3679" s="40" t="s">
        <v>28</v>
      </c>
      <c r="B3679" s="40" t="s">
        <v>523</v>
      </c>
      <c r="C3679" s="40" t="s">
        <v>6516</v>
      </c>
      <c r="D3679" s="40" t="s">
        <v>2233</v>
      </c>
      <c r="E3679" s="40" t="s">
        <v>2233</v>
      </c>
      <c r="F3679" s="40">
        <v>1</v>
      </c>
      <c r="G3679" s="40"/>
      <c r="H3679" s="40" t="s">
        <v>97</v>
      </c>
      <c r="I3679" s="40"/>
      <c r="J3679" s="40" t="s">
        <v>97</v>
      </c>
      <c r="K3679" s="40" t="s">
        <v>97</v>
      </c>
      <c r="L3679" s="40" t="s">
        <v>97</v>
      </c>
    </row>
    <row r="3680" spans="1:12" x14ac:dyDescent="0.25">
      <c r="A3680" s="40" t="s">
        <v>28</v>
      </c>
      <c r="B3680" s="40" t="s">
        <v>525</v>
      </c>
      <c r="C3680" s="40" t="s">
        <v>6517</v>
      </c>
      <c r="D3680" s="40" t="s">
        <v>2233</v>
      </c>
      <c r="E3680" s="40" t="s">
        <v>2233</v>
      </c>
      <c r="F3680" s="40">
        <v>1</v>
      </c>
      <c r="G3680" s="40"/>
      <c r="H3680" s="40" t="s">
        <v>97</v>
      </c>
      <c r="I3680" s="40"/>
      <c r="J3680" s="40" t="s">
        <v>97</v>
      </c>
      <c r="K3680" s="40" t="s">
        <v>97</v>
      </c>
      <c r="L3680" s="40" t="s">
        <v>97</v>
      </c>
    </row>
    <row r="3681" spans="1:12" x14ac:dyDescent="0.25">
      <c r="A3681" s="40" t="s">
        <v>28</v>
      </c>
      <c r="B3681" s="40" t="s">
        <v>527</v>
      </c>
      <c r="C3681" s="40" t="s">
        <v>6518</v>
      </c>
      <c r="D3681" s="40" t="s">
        <v>2233</v>
      </c>
      <c r="E3681" s="40" t="s">
        <v>2233</v>
      </c>
      <c r="F3681" s="40">
        <v>1</v>
      </c>
      <c r="G3681" s="40"/>
      <c r="H3681" s="40" t="s">
        <v>97</v>
      </c>
      <c r="I3681" s="40"/>
      <c r="J3681" s="40" t="s">
        <v>97</v>
      </c>
      <c r="K3681" s="40" t="s">
        <v>97</v>
      </c>
      <c r="L3681" s="40" t="s">
        <v>97</v>
      </c>
    </row>
    <row r="3682" spans="1:12" x14ac:dyDescent="0.25">
      <c r="A3682" s="40" t="s">
        <v>28</v>
      </c>
      <c r="B3682" s="40" t="s">
        <v>529</v>
      </c>
      <c r="C3682" s="40" t="s">
        <v>6519</v>
      </c>
      <c r="D3682" s="40" t="s">
        <v>2233</v>
      </c>
      <c r="E3682" s="40" t="s">
        <v>2233</v>
      </c>
      <c r="F3682" s="40">
        <v>1</v>
      </c>
      <c r="G3682" s="40"/>
      <c r="H3682" s="40" t="s">
        <v>97</v>
      </c>
      <c r="I3682" s="40"/>
      <c r="J3682" s="40" t="s">
        <v>97</v>
      </c>
      <c r="K3682" s="40" t="s">
        <v>97</v>
      </c>
      <c r="L3682" s="40" t="s">
        <v>97</v>
      </c>
    </row>
    <row r="3683" spans="1:12" x14ac:dyDescent="0.25">
      <c r="A3683" s="40" t="s">
        <v>28</v>
      </c>
      <c r="B3683" s="40" t="s">
        <v>531</v>
      </c>
      <c r="C3683" s="40" t="s">
        <v>6520</v>
      </c>
      <c r="D3683" s="40" t="s">
        <v>2233</v>
      </c>
      <c r="E3683" s="40" t="s">
        <v>2233</v>
      </c>
      <c r="F3683" s="40">
        <v>1</v>
      </c>
      <c r="G3683" s="40"/>
      <c r="H3683" s="40" t="s">
        <v>97</v>
      </c>
      <c r="I3683" s="40"/>
      <c r="J3683" s="40" t="s">
        <v>97</v>
      </c>
      <c r="K3683" s="40" t="s">
        <v>97</v>
      </c>
      <c r="L3683" s="40" t="s">
        <v>97</v>
      </c>
    </row>
    <row r="3684" spans="1:12" x14ac:dyDescent="0.25">
      <c r="A3684" s="40" t="s">
        <v>28</v>
      </c>
      <c r="B3684" s="40" t="s">
        <v>533</v>
      </c>
      <c r="C3684" s="40" t="s">
        <v>6521</v>
      </c>
      <c r="D3684" s="40" t="s">
        <v>2233</v>
      </c>
      <c r="E3684" s="40" t="s">
        <v>2233</v>
      </c>
      <c r="F3684" s="40">
        <v>1</v>
      </c>
      <c r="G3684" s="40"/>
      <c r="H3684" s="40" t="s">
        <v>97</v>
      </c>
      <c r="I3684" s="40"/>
      <c r="J3684" s="40" t="s">
        <v>97</v>
      </c>
      <c r="K3684" s="40" t="s">
        <v>97</v>
      </c>
      <c r="L3684" s="40" t="s">
        <v>97</v>
      </c>
    </row>
    <row r="3685" spans="1:12" x14ac:dyDescent="0.25">
      <c r="A3685" s="40" t="s">
        <v>28</v>
      </c>
      <c r="B3685" s="40" t="s">
        <v>535</v>
      </c>
      <c r="C3685" s="40" t="s">
        <v>6522</v>
      </c>
      <c r="D3685" s="40" t="s">
        <v>2233</v>
      </c>
      <c r="E3685" s="40" t="s">
        <v>2233</v>
      </c>
      <c r="F3685" s="40">
        <v>1</v>
      </c>
      <c r="G3685" s="40"/>
      <c r="H3685" s="40" t="s">
        <v>97</v>
      </c>
      <c r="I3685" s="40"/>
      <c r="J3685" s="40" t="s">
        <v>97</v>
      </c>
      <c r="K3685" s="40" t="s">
        <v>97</v>
      </c>
      <c r="L3685" s="40" t="s">
        <v>97</v>
      </c>
    </row>
    <row r="3686" spans="1:12" x14ac:dyDescent="0.25">
      <c r="A3686" s="40" t="s">
        <v>28</v>
      </c>
      <c r="B3686" s="40" t="s">
        <v>537</v>
      </c>
      <c r="C3686" s="40" t="s">
        <v>6523</v>
      </c>
      <c r="D3686" s="40" t="s">
        <v>2233</v>
      </c>
      <c r="E3686" s="40" t="s">
        <v>2233</v>
      </c>
      <c r="F3686" s="40">
        <v>1</v>
      </c>
      <c r="G3686" s="40"/>
      <c r="H3686" s="40" t="s">
        <v>97</v>
      </c>
      <c r="I3686" s="40"/>
      <c r="J3686" s="40" t="s">
        <v>97</v>
      </c>
      <c r="K3686" s="40" t="s">
        <v>97</v>
      </c>
      <c r="L3686" s="40" t="s">
        <v>97</v>
      </c>
    </row>
    <row r="3687" spans="1:12" x14ac:dyDescent="0.25">
      <c r="A3687" s="40" t="s">
        <v>28</v>
      </c>
      <c r="B3687" s="40" t="s">
        <v>540</v>
      </c>
      <c r="C3687" s="40" t="s">
        <v>6524</v>
      </c>
      <c r="D3687" s="40" t="s">
        <v>2233</v>
      </c>
      <c r="E3687" s="40" t="s">
        <v>2233</v>
      </c>
      <c r="F3687" s="40">
        <v>1</v>
      </c>
      <c r="G3687" s="40"/>
      <c r="H3687" s="40" t="s">
        <v>97</v>
      </c>
      <c r="I3687" s="40"/>
      <c r="J3687" s="40" t="s">
        <v>97</v>
      </c>
      <c r="K3687" s="40" t="s">
        <v>97</v>
      </c>
      <c r="L3687" s="40" t="s">
        <v>97</v>
      </c>
    </row>
    <row r="3688" spans="1:12" x14ac:dyDescent="0.25">
      <c r="A3688" s="40" t="s">
        <v>28</v>
      </c>
      <c r="B3688" s="40" t="s">
        <v>542</v>
      </c>
      <c r="C3688" s="40" t="s">
        <v>6525</v>
      </c>
      <c r="D3688" s="40" t="s">
        <v>2233</v>
      </c>
      <c r="E3688" s="40" t="s">
        <v>2233</v>
      </c>
      <c r="F3688" s="40">
        <v>1</v>
      </c>
      <c r="G3688" s="40"/>
      <c r="H3688" s="40" t="s">
        <v>97</v>
      </c>
      <c r="I3688" s="40"/>
      <c r="J3688" s="40" t="s">
        <v>97</v>
      </c>
      <c r="K3688" s="40" t="s">
        <v>97</v>
      </c>
      <c r="L3688" s="40" t="s">
        <v>97</v>
      </c>
    </row>
    <row r="3689" spans="1:12" x14ac:dyDescent="0.25">
      <c r="A3689" s="40" t="s">
        <v>28</v>
      </c>
      <c r="B3689" s="40" t="s">
        <v>544</v>
      </c>
      <c r="C3689" s="40" t="s">
        <v>6526</v>
      </c>
      <c r="D3689" s="40" t="s">
        <v>2233</v>
      </c>
      <c r="E3689" s="40" t="s">
        <v>2233</v>
      </c>
      <c r="F3689" s="40">
        <v>1</v>
      </c>
      <c r="G3689" s="40"/>
      <c r="H3689" s="40" t="s">
        <v>97</v>
      </c>
      <c r="I3689" s="40"/>
      <c r="J3689" s="40" t="s">
        <v>97</v>
      </c>
      <c r="K3689" s="40" t="s">
        <v>97</v>
      </c>
      <c r="L3689" s="40" t="s">
        <v>97</v>
      </c>
    </row>
    <row r="3690" spans="1:12" x14ac:dyDescent="0.25">
      <c r="A3690" s="40" t="s">
        <v>28</v>
      </c>
      <c r="B3690" s="40" t="s">
        <v>1337</v>
      </c>
      <c r="C3690" s="40" t="s">
        <v>6527</v>
      </c>
      <c r="D3690" s="40" t="s">
        <v>2233</v>
      </c>
      <c r="E3690" s="40" t="s">
        <v>2233</v>
      </c>
      <c r="F3690" s="40">
        <v>1</v>
      </c>
      <c r="G3690" s="40"/>
      <c r="H3690" s="40" t="s">
        <v>97</v>
      </c>
      <c r="I3690" s="40"/>
      <c r="J3690" s="40" t="s">
        <v>97</v>
      </c>
      <c r="K3690" s="40" t="s">
        <v>97</v>
      </c>
      <c r="L3690" s="40" t="s">
        <v>97</v>
      </c>
    </row>
    <row r="3691" spans="1:12" x14ac:dyDescent="0.25">
      <c r="A3691" s="40" t="s">
        <v>28</v>
      </c>
      <c r="B3691" s="40" t="s">
        <v>548</v>
      </c>
      <c r="C3691" s="40" t="s">
        <v>6528</v>
      </c>
      <c r="D3691" s="40" t="s">
        <v>2233</v>
      </c>
      <c r="E3691" s="40" t="s">
        <v>2233</v>
      </c>
      <c r="F3691" s="40">
        <v>1</v>
      </c>
      <c r="G3691" s="40"/>
      <c r="H3691" s="40" t="s">
        <v>97</v>
      </c>
      <c r="I3691" s="40"/>
      <c r="J3691" s="40" t="s">
        <v>97</v>
      </c>
      <c r="K3691" s="40" t="s">
        <v>97</v>
      </c>
      <c r="L3691" s="40" t="s">
        <v>97</v>
      </c>
    </row>
    <row r="3692" spans="1:12" x14ac:dyDescent="0.25">
      <c r="A3692" s="40" t="s">
        <v>28</v>
      </c>
      <c r="B3692" s="40" t="s">
        <v>3177</v>
      </c>
      <c r="C3692" s="40" t="s">
        <v>6529</v>
      </c>
      <c r="D3692" s="40" t="s">
        <v>2233</v>
      </c>
      <c r="E3692" s="40" t="s">
        <v>2233</v>
      </c>
      <c r="F3692" s="40">
        <v>1</v>
      </c>
      <c r="G3692" s="40"/>
      <c r="H3692" s="40" t="s">
        <v>97</v>
      </c>
      <c r="I3692" s="40"/>
      <c r="J3692" s="40" t="s">
        <v>97</v>
      </c>
      <c r="K3692" s="40" t="s">
        <v>97</v>
      </c>
      <c r="L3692" s="40" t="s">
        <v>97</v>
      </c>
    </row>
    <row r="3693" spans="1:12" x14ac:dyDescent="0.25">
      <c r="A3693" s="40" t="s">
        <v>28</v>
      </c>
      <c r="B3693" s="40" t="s">
        <v>1339</v>
      </c>
      <c r="C3693" s="40" t="s">
        <v>6530</v>
      </c>
      <c r="D3693" s="40" t="s">
        <v>2233</v>
      </c>
      <c r="E3693" s="40" t="s">
        <v>2233</v>
      </c>
      <c r="F3693" s="40">
        <v>1</v>
      </c>
      <c r="G3693" s="40"/>
      <c r="H3693" s="40" t="s">
        <v>97</v>
      </c>
      <c r="I3693" s="40"/>
      <c r="J3693" s="40" t="s">
        <v>97</v>
      </c>
      <c r="K3693" s="40" t="s">
        <v>97</v>
      </c>
      <c r="L3693" s="40" t="s">
        <v>97</v>
      </c>
    </row>
    <row r="3694" spans="1:12" x14ac:dyDescent="0.25">
      <c r="A3694" s="40" t="s">
        <v>28</v>
      </c>
      <c r="B3694" s="40" t="s">
        <v>1341</v>
      </c>
      <c r="C3694" s="40" t="s">
        <v>6531</v>
      </c>
      <c r="D3694" s="40" t="s">
        <v>2233</v>
      </c>
      <c r="E3694" s="40" t="s">
        <v>2233</v>
      </c>
      <c r="F3694" s="40">
        <v>1</v>
      </c>
      <c r="G3694" s="40"/>
      <c r="H3694" s="40" t="s">
        <v>97</v>
      </c>
      <c r="I3694" s="40"/>
      <c r="J3694" s="40" t="s">
        <v>97</v>
      </c>
      <c r="K3694" s="40" t="s">
        <v>97</v>
      </c>
      <c r="L3694" s="40" t="s">
        <v>97</v>
      </c>
    </row>
    <row r="3695" spans="1:12" x14ac:dyDescent="0.25">
      <c r="A3695" s="40" t="s">
        <v>28</v>
      </c>
      <c r="B3695" s="40" t="s">
        <v>1343</v>
      </c>
      <c r="C3695" s="40" t="s">
        <v>6532</v>
      </c>
      <c r="D3695" s="40" t="s">
        <v>2233</v>
      </c>
      <c r="E3695" s="40" t="s">
        <v>2233</v>
      </c>
      <c r="F3695" s="40">
        <v>1</v>
      </c>
      <c r="G3695" s="40"/>
      <c r="H3695" s="40" t="s">
        <v>97</v>
      </c>
      <c r="I3695" s="40"/>
      <c r="J3695" s="40" t="s">
        <v>97</v>
      </c>
      <c r="K3695" s="40" t="s">
        <v>97</v>
      </c>
      <c r="L3695" s="40" t="s">
        <v>97</v>
      </c>
    </row>
    <row r="3696" spans="1:12" x14ac:dyDescent="0.25">
      <c r="A3696" s="40" t="s">
        <v>28</v>
      </c>
      <c r="B3696" s="40" t="s">
        <v>6134</v>
      </c>
      <c r="C3696" s="40" t="s">
        <v>6533</v>
      </c>
      <c r="D3696" s="40" t="s">
        <v>2233</v>
      </c>
      <c r="E3696" s="40" t="s">
        <v>2233</v>
      </c>
      <c r="F3696" s="40">
        <v>1</v>
      </c>
      <c r="G3696" s="40"/>
      <c r="H3696" s="40" t="s">
        <v>97</v>
      </c>
      <c r="I3696" s="40"/>
      <c r="J3696" s="40" t="s">
        <v>97</v>
      </c>
      <c r="K3696" s="40" t="s">
        <v>97</v>
      </c>
      <c r="L3696" s="40" t="s">
        <v>97</v>
      </c>
    </row>
    <row r="3697" spans="1:12" x14ac:dyDescent="0.25">
      <c r="A3697" s="40" t="s">
        <v>28</v>
      </c>
      <c r="B3697" s="40" t="s">
        <v>550</v>
      </c>
      <c r="C3697" s="40" t="s">
        <v>6534</v>
      </c>
      <c r="D3697" s="40" t="s">
        <v>2233</v>
      </c>
      <c r="E3697" s="40" t="s">
        <v>2233</v>
      </c>
      <c r="F3697" s="40">
        <v>1</v>
      </c>
      <c r="G3697" s="40"/>
      <c r="H3697" s="40" t="s">
        <v>97</v>
      </c>
      <c r="I3697" s="40"/>
      <c r="J3697" s="40" t="s">
        <v>97</v>
      </c>
      <c r="K3697" s="40" t="s">
        <v>97</v>
      </c>
      <c r="L3697" s="40" t="s">
        <v>97</v>
      </c>
    </row>
    <row r="3698" spans="1:12" x14ac:dyDescent="0.25">
      <c r="A3698" s="40" t="s">
        <v>28</v>
      </c>
      <c r="B3698" s="40" t="s">
        <v>553</v>
      </c>
      <c r="C3698" s="40" t="s">
        <v>6535</v>
      </c>
      <c r="D3698" s="40" t="s">
        <v>2233</v>
      </c>
      <c r="E3698" s="40" t="s">
        <v>2233</v>
      </c>
      <c r="F3698" s="40">
        <v>1</v>
      </c>
      <c r="G3698" s="40"/>
      <c r="H3698" s="40" t="s">
        <v>97</v>
      </c>
      <c r="I3698" s="40"/>
      <c r="J3698" s="40" t="s">
        <v>97</v>
      </c>
      <c r="K3698" s="40" t="s">
        <v>97</v>
      </c>
      <c r="L3698" s="40" t="s">
        <v>97</v>
      </c>
    </row>
    <row r="3699" spans="1:12" x14ac:dyDescent="0.25">
      <c r="A3699" s="40" t="s">
        <v>28</v>
      </c>
      <c r="B3699" s="40" t="s">
        <v>555</v>
      </c>
      <c r="C3699" s="40" t="s">
        <v>6536</v>
      </c>
      <c r="D3699" s="40" t="s">
        <v>2233</v>
      </c>
      <c r="E3699" s="40" t="s">
        <v>2233</v>
      </c>
      <c r="F3699" s="40">
        <v>1</v>
      </c>
      <c r="G3699" s="40"/>
      <c r="H3699" s="40" t="s">
        <v>97</v>
      </c>
      <c r="I3699" s="40"/>
      <c r="J3699" s="40" t="s">
        <v>97</v>
      </c>
      <c r="K3699" s="40" t="s">
        <v>97</v>
      </c>
      <c r="L3699" s="40" t="s">
        <v>97</v>
      </c>
    </row>
    <row r="3700" spans="1:12" x14ac:dyDescent="0.25">
      <c r="A3700" s="40" t="s">
        <v>28</v>
      </c>
      <c r="B3700" s="40" t="s">
        <v>558</v>
      </c>
      <c r="C3700" s="40" t="s">
        <v>6537</v>
      </c>
      <c r="D3700" s="40" t="s">
        <v>2233</v>
      </c>
      <c r="E3700" s="40" t="s">
        <v>2233</v>
      </c>
      <c r="F3700" s="40">
        <v>1</v>
      </c>
      <c r="G3700" s="40"/>
      <c r="H3700" s="40" t="s">
        <v>97</v>
      </c>
      <c r="I3700" s="40"/>
      <c r="J3700" s="40" t="s">
        <v>97</v>
      </c>
      <c r="K3700" s="40" t="s">
        <v>97</v>
      </c>
      <c r="L3700" s="40" t="s">
        <v>97</v>
      </c>
    </row>
    <row r="3701" spans="1:12" x14ac:dyDescent="0.25">
      <c r="A3701" s="40" t="s">
        <v>28</v>
      </c>
      <c r="B3701" s="40" t="s">
        <v>561</v>
      </c>
      <c r="C3701" s="40" t="s">
        <v>6538</v>
      </c>
      <c r="D3701" s="40" t="s">
        <v>2233</v>
      </c>
      <c r="E3701" s="40" t="s">
        <v>2233</v>
      </c>
      <c r="F3701" s="40">
        <v>1</v>
      </c>
      <c r="G3701" s="40"/>
      <c r="H3701" s="40" t="s">
        <v>97</v>
      </c>
      <c r="I3701" s="40"/>
      <c r="J3701" s="40" t="s">
        <v>97</v>
      </c>
      <c r="K3701" s="40" t="s">
        <v>97</v>
      </c>
      <c r="L3701" s="40" t="s">
        <v>97</v>
      </c>
    </row>
    <row r="3702" spans="1:12" x14ac:dyDescent="0.25">
      <c r="A3702" s="40" t="s">
        <v>28</v>
      </c>
      <c r="B3702" s="40" t="s">
        <v>2416</v>
      </c>
      <c r="C3702" s="40" t="s">
        <v>6539</v>
      </c>
      <c r="D3702" s="40" t="s">
        <v>2233</v>
      </c>
      <c r="E3702" s="40" t="s">
        <v>2233</v>
      </c>
      <c r="F3702" s="40">
        <v>1</v>
      </c>
      <c r="G3702" s="40"/>
      <c r="H3702" s="40" t="s">
        <v>97</v>
      </c>
      <c r="I3702" s="40"/>
      <c r="J3702" s="40" t="s">
        <v>97</v>
      </c>
      <c r="K3702" s="40" t="s">
        <v>97</v>
      </c>
      <c r="L3702" s="40" t="s">
        <v>97</v>
      </c>
    </row>
    <row r="3703" spans="1:12" x14ac:dyDescent="0.25">
      <c r="A3703" s="40" t="s">
        <v>28</v>
      </c>
      <c r="B3703" s="40" t="s">
        <v>1345</v>
      </c>
      <c r="C3703" s="40" t="s">
        <v>6540</v>
      </c>
      <c r="D3703" s="40" t="s">
        <v>2233</v>
      </c>
      <c r="E3703" s="40" t="s">
        <v>2233</v>
      </c>
      <c r="F3703" s="40">
        <v>1</v>
      </c>
      <c r="G3703" s="40"/>
      <c r="H3703" s="40" t="s">
        <v>97</v>
      </c>
      <c r="I3703" s="40"/>
      <c r="J3703" s="40" t="s">
        <v>97</v>
      </c>
      <c r="K3703" s="40" t="s">
        <v>97</v>
      </c>
      <c r="L3703" s="40" t="s">
        <v>97</v>
      </c>
    </row>
    <row r="3704" spans="1:12" x14ac:dyDescent="0.25">
      <c r="A3704" s="40" t="s">
        <v>28</v>
      </c>
      <c r="B3704" s="40" t="s">
        <v>1347</v>
      </c>
      <c r="C3704" s="40" t="s">
        <v>6541</v>
      </c>
      <c r="D3704" s="40" t="s">
        <v>2233</v>
      </c>
      <c r="E3704" s="40" t="s">
        <v>2233</v>
      </c>
      <c r="F3704" s="40">
        <v>1</v>
      </c>
      <c r="G3704" s="40"/>
      <c r="H3704" s="40" t="s">
        <v>97</v>
      </c>
      <c r="I3704" s="40"/>
      <c r="J3704" s="40" t="s">
        <v>97</v>
      </c>
      <c r="K3704" s="40" t="s">
        <v>97</v>
      </c>
      <c r="L3704" s="40" t="s">
        <v>97</v>
      </c>
    </row>
    <row r="3705" spans="1:12" x14ac:dyDescent="0.25">
      <c r="A3705" s="40" t="s">
        <v>28</v>
      </c>
      <c r="B3705" s="40" t="s">
        <v>1349</v>
      </c>
      <c r="C3705" s="40" t="s">
        <v>6542</v>
      </c>
      <c r="D3705" s="40" t="s">
        <v>2233</v>
      </c>
      <c r="E3705" s="40" t="s">
        <v>2233</v>
      </c>
      <c r="F3705" s="40">
        <v>1</v>
      </c>
      <c r="G3705" s="40"/>
      <c r="H3705" s="40" t="s">
        <v>97</v>
      </c>
      <c r="I3705" s="40"/>
      <c r="J3705" s="40" t="s">
        <v>97</v>
      </c>
      <c r="K3705" s="40" t="s">
        <v>97</v>
      </c>
      <c r="L3705" s="40" t="s">
        <v>97</v>
      </c>
    </row>
    <row r="3706" spans="1:12" x14ac:dyDescent="0.25">
      <c r="A3706" s="40" t="s">
        <v>28</v>
      </c>
      <c r="B3706" s="40" t="s">
        <v>2252</v>
      </c>
      <c r="C3706" s="40" t="s">
        <v>6543</v>
      </c>
      <c r="D3706" s="40" t="s">
        <v>2233</v>
      </c>
      <c r="E3706" s="40" t="s">
        <v>2233</v>
      </c>
      <c r="F3706" s="40">
        <v>1</v>
      </c>
      <c r="G3706" s="40"/>
      <c r="H3706" s="40" t="s">
        <v>97</v>
      </c>
      <c r="I3706" s="40"/>
      <c r="J3706" s="40" t="s">
        <v>97</v>
      </c>
      <c r="K3706" s="40" t="s">
        <v>97</v>
      </c>
      <c r="L3706" s="40" t="s">
        <v>97</v>
      </c>
    </row>
    <row r="3707" spans="1:12" x14ac:dyDescent="0.25">
      <c r="A3707" s="40" t="s">
        <v>28</v>
      </c>
      <c r="B3707" s="40" t="s">
        <v>2254</v>
      </c>
      <c r="C3707" s="40" t="s">
        <v>6544</v>
      </c>
      <c r="D3707" s="40" t="s">
        <v>2233</v>
      </c>
      <c r="E3707" s="40" t="s">
        <v>2233</v>
      </c>
      <c r="F3707" s="40">
        <v>1</v>
      </c>
      <c r="G3707" s="40"/>
      <c r="H3707" s="40" t="s">
        <v>97</v>
      </c>
      <c r="I3707" s="40"/>
      <c r="J3707" s="40" t="s">
        <v>97</v>
      </c>
      <c r="K3707" s="40" t="s">
        <v>97</v>
      </c>
      <c r="L3707" s="40" t="s">
        <v>97</v>
      </c>
    </row>
    <row r="3708" spans="1:12" x14ac:dyDescent="0.25">
      <c r="A3708" s="40" t="s">
        <v>28</v>
      </c>
      <c r="B3708" s="40" t="s">
        <v>2256</v>
      </c>
      <c r="C3708" s="40" t="s">
        <v>6545</v>
      </c>
      <c r="D3708" s="40" t="s">
        <v>2233</v>
      </c>
      <c r="E3708" s="40" t="s">
        <v>2233</v>
      </c>
      <c r="F3708" s="40">
        <v>1</v>
      </c>
      <c r="G3708" s="40"/>
      <c r="H3708" s="40" t="s">
        <v>97</v>
      </c>
      <c r="I3708" s="40"/>
      <c r="J3708" s="40" t="s">
        <v>97</v>
      </c>
      <c r="K3708" s="40" t="s">
        <v>97</v>
      </c>
      <c r="L3708" s="40" t="s">
        <v>97</v>
      </c>
    </row>
    <row r="3709" spans="1:12" x14ac:dyDescent="0.25">
      <c r="A3709" s="40" t="s">
        <v>28</v>
      </c>
      <c r="B3709" s="40" t="s">
        <v>577</v>
      </c>
      <c r="C3709" s="40" t="s">
        <v>6546</v>
      </c>
      <c r="D3709" s="40" t="s">
        <v>2233</v>
      </c>
      <c r="E3709" s="40" t="s">
        <v>2233</v>
      </c>
      <c r="F3709" s="40">
        <v>1</v>
      </c>
      <c r="G3709" s="40"/>
      <c r="H3709" s="40" t="s">
        <v>97</v>
      </c>
      <c r="I3709" s="40"/>
      <c r="J3709" s="40" t="s">
        <v>97</v>
      </c>
      <c r="K3709" s="40" t="s">
        <v>97</v>
      </c>
      <c r="L3709" s="40" t="s">
        <v>97</v>
      </c>
    </row>
    <row r="3710" spans="1:12" x14ac:dyDescent="0.25">
      <c r="A3710" s="40" t="s">
        <v>28</v>
      </c>
      <c r="B3710" s="40" t="s">
        <v>580</v>
      </c>
      <c r="C3710" s="40" t="s">
        <v>6547</v>
      </c>
      <c r="D3710" s="40" t="s">
        <v>2233</v>
      </c>
      <c r="E3710" s="40" t="s">
        <v>2233</v>
      </c>
      <c r="F3710" s="40">
        <v>1</v>
      </c>
      <c r="G3710" s="40"/>
      <c r="H3710" s="40" t="s">
        <v>97</v>
      </c>
      <c r="I3710" s="40"/>
      <c r="J3710" s="40" t="s">
        <v>97</v>
      </c>
      <c r="K3710" s="40" t="s">
        <v>97</v>
      </c>
      <c r="L3710" s="40" t="s">
        <v>97</v>
      </c>
    </row>
    <row r="3711" spans="1:12" x14ac:dyDescent="0.25">
      <c r="A3711" s="40" t="s">
        <v>28</v>
      </c>
      <c r="B3711" s="40" t="s">
        <v>582</v>
      </c>
      <c r="C3711" s="40" t="s">
        <v>6548</v>
      </c>
      <c r="D3711" s="40" t="s">
        <v>2233</v>
      </c>
      <c r="E3711" s="40" t="s">
        <v>2233</v>
      </c>
      <c r="F3711" s="40">
        <v>1</v>
      </c>
      <c r="G3711" s="40"/>
      <c r="H3711" s="40" t="s">
        <v>97</v>
      </c>
      <c r="I3711" s="40"/>
      <c r="J3711" s="40" t="s">
        <v>97</v>
      </c>
      <c r="K3711" s="40" t="s">
        <v>97</v>
      </c>
      <c r="L3711" s="40" t="s">
        <v>97</v>
      </c>
    </row>
    <row r="3712" spans="1:12" x14ac:dyDescent="0.25">
      <c r="A3712" s="40" t="s">
        <v>28</v>
      </c>
      <c r="B3712" s="40" t="s">
        <v>586</v>
      </c>
      <c r="C3712" s="40" t="s">
        <v>6549</v>
      </c>
      <c r="D3712" s="40" t="s">
        <v>2233</v>
      </c>
      <c r="E3712" s="40" t="s">
        <v>2233</v>
      </c>
      <c r="F3712" s="40">
        <v>1</v>
      </c>
      <c r="G3712" s="40"/>
      <c r="H3712" s="40" t="s">
        <v>97</v>
      </c>
      <c r="I3712" s="40"/>
      <c r="J3712" s="40" t="s">
        <v>97</v>
      </c>
      <c r="K3712" s="40" t="s">
        <v>97</v>
      </c>
      <c r="L3712" s="40" t="s">
        <v>97</v>
      </c>
    </row>
    <row r="3713" spans="1:12" x14ac:dyDescent="0.25">
      <c r="A3713" s="40" t="s">
        <v>28</v>
      </c>
      <c r="B3713" s="40" t="s">
        <v>588</v>
      </c>
      <c r="C3713" s="40" t="s">
        <v>6550</v>
      </c>
      <c r="D3713" s="40" t="s">
        <v>2233</v>
      </c>
      <c r="E3713" s="40" t="s">
        <v>2233</v>
      </c>
      <c r="F3713" s="40">
        <v>1</v>
      </c>
      <c r="G3713" s="40"/>
      <c r="H3713" s="40" t="s">
        <v>97</v>
      </c>
      <c r="I3713" s="40"/>
      <c r="J3713" s="40" t="s">
        <v>97</v>
      </c>
      <c r="K3713" s="40" t="s">
        <v>97</v>
      </c>
      <c r="L3713" s="40" t="s">
        <v>97</v>
      </c>
    </row>
    <row r="3714" spans="1:12" x14ac:dyDescent="0.25">
      <c r="A3714" s="40" t="s">
        <v>28</v>
      </c>
      <c r="B3714" s="40" t="s">
        <v>1353</v>
      </c>
      <c r="C3714" s="40" t="s">
        <v>6551</v>
      </c>
      <c r="D3714" s="40" t="s">
        <v>2233</v>
      </c>
      <c r="E3714" s="40" t="s">
        <v>2233</v>
      </c>
      <c r="F3714" s="40">
        <v>1</v>
      </c>
      <c r="G3714" s="40"/>
      <c r="H3714" s="40" t="s">
        <v>97</v>
      </c>
      <c r="I3714" s="40"/>
      <c r="J3714" s="40" t="s">
        <v>97</v>
      </c>
      <c r="K3714" s="40" t="s">
        <v>97</v>
      </c>
      <c r="L3714" s="40" t="s">
        <v>97</v>
      </c>
    </row>
    <row r="3715" spans="1:12" x14ac:dyDescent="0.25">
      <c r="A3715" s="40" t="s">
        <v>28</v>
      </c>
      <c r="B3715" s="40" t="s">
        <v>2331</v>
      </c>
      <c r="C3715" s="40" t="s">
        <v>6552</v>
      </c>
      <c r="D3715" s="40" t="s">
        <v>2233</v>
      </c>
      <c r="E3715" s="40" t="s">
        <v>2233</v>
      </c>
      <c r="F3715" s="40">
        <v>1</v>
      </c>
      <c r="G3715" s="40"/>
      <c r="H3715" s="40" t="s">
        <v>97</v>
      </c>
      <c r="I3715" s="40"/>
      <c r="J3715" s="40" t="s">
        <v>97</v>
      </c>
      <c r="K3715" s="40" t="s">
        <v>97</v>
      </c>
      <c r="L3715" s="40" t="s">
        <v>97</v>
      </c>
    </row>
    <row r="3716" spans="1:12" x14ac:dyDescent="0.25">
      <c r="A3716" s="40" t="s">
        <v>28</v>
      </c>
      <c r="B3716" s="40" t="s">
        <v>590</v>
      </c>
      <c r="C3716" s="40" t="s">
        <v>6553</v>
      </c>
      <c r="D3716" s="40" t="s">
        <v>2233</v>
      </c>
      <c r="E3716" s="40" t="s">
        <v>2233</v>
      </c>
      <c r="F3716" s="40">
        <v>1</v>
      </c>
      <c r="G3716" s="40"/>
      <c r="H3716" s="40" t="s">
        <v>97</v>
      </c>
      <c r="I3716" s="40"/>
      <c r="J3716" s="40" t="s">
        <v>97</v>
      </c>
      <c r="K3716" s="40" t="s">
        <v>97</v>
      </c>
      <c r="L3716" s="40" t="s">
        <v>97</v>
      </c>
    </row>
    <row r="3717" spans="1:12" x14ac:dyDescent="0.25">
      <c r="A3717" s="40" t="s">
        <v>28</v>
      </c>
      <c r="B3717" s="40" t="s">
        <v>593</v>
      </c>
      <c r="C3717" s="40" t="s">
        <v>6554</v>
      </c>
      <c r="D3717" s="40" t="s">
        <v>2233</v>
      </c>
      <c r="E3717" s="40" t="s">
        <v>2233</v>
      </c>
      <c r="F3717" s="40">
        <v>1</v>
      </c>
      <c r="G3717" s="40"/>
      <c r="H3717" s="40" t="s">
        <v>97</v>
      </c>
      <c r="I3717" s="40"/>
      <c r="J3717" s="40" t="s">
        <v>97</v>
      </c>
      <c r="K3717" s="40" t="s">
        <v>97</v>
      </c>
      <c r="L3717" s="40" t="s">
        <v>97</v>
      </c>
    </row>
    <row r="3718" spans="1:12" x14ac:dyDescent="0.25">
      <c r="A3718" s="40" t="s">
        <v>28</v>
      </c>
      <c r="B3718" s="40" t="s">
        <v>595</v>
      </c>
      <c r="C3718" s="40" t="s">
        <v>6555</v>
      </c>
      <c r="D3718" s="40" t="s">
        <v>2233</v>
      </c>
      <c r="E3718" s="40" t="s">
        <v>2233</v>
      </c>
      <c r="F3718" s="40">
        <v>1</v>
      </c>
      <c r="G3718" s="40"/>
      <c r="H3718" s="40" t="s">
        <v>97</v>
      </c>
      <c r="I3718" s="40"/>
      <c r="J3718" s="40" t="s">
        <v>97</v>
      </c>
      <c r="K3718" s="40" t="s">
        <v>97</v>
      </c>
      <c r="L3718" s="40" t="s">
        <v>97</v>
      </c>
    </row>
    <row r="3719" spans="1:12" x14ac:dyDescent="0.25">
      <c r="A3719" s="40" t="s">
        <v>28</v>
      </c>
      <c r="B3719" s="40" t="s">
        <v>598</v>
      </c>
      <c r="C3719" s="40" t="s">
        <v>6556</v>
      </c>
      <c r="D3719" s="40" t="s">
        <v>2233</v>
      </c>
      <c r="E3719" s="40" t="s">
        <v>2233</v>
      </c>
      <c r="F3719" s="40">
        <v>1</v>
      </c>
      <c r="G3719" s="40"/>
      <c r="H3719" s="40" t="s">
        <v>97</v>
      </c>
      <c r="I3719" s="40"/>
      <c r="J3719" s="40" t="s">
        <v>97</v>
      </c>
      <c r="K3719" s="40" t="s">
        <v>97</v>
      </c>
      <c r="L3719" s="40" t="s">
        <v>97</v>
      </c>
    </row>
    <row r="3720" spans="1:12" x14ac:dyDescent="0.25">
      <c r="A3720" s="40" t="s">
        <v>28</v>
      </c>
      <c r="B3720" s="40" t="s">
        <v>2266</v>
      </c>
      <c r="C3720" s="40" t="s">
        <v>6557</v>
      </c>
      <c r="D3720" s="40" t="s">
        <v>2233</v>
      </c>
      <c r="E3720" s="40" t="s">
        <v>2233</v>
      </c>
      <c r="F3720" s="40">
        <v>1</v>
      </c>
      <c r="G3720" s="40"/>
      <c r="H3720" s="40" t="s">
        <v>97</v>
      </c>
      <c r="I3720" s="40"/>
      <c r="J3720" s="40" t="s">
        <v>97</v>
      </c>
      <c r="K3720" s="40" t="s">
        <v>97</v>
      </c>
      <c r="L3720" s="40" t="s">
        <v>97</v>
      </c>
    </row>
    <row r="3721" spans="1:12" x14ac:dyDescent="0.25">
      <c r="A3721" s="40" t="s">
        <v>28</v>
      </c>
      <c r="B3721" s="40" t="s">
        <v>601</v>
      </c>
      <c r="C3721" s="40" t="s">
        <v>6558</v>
      </c>
      <c r="D3721" s="40" t="s">
        <v>2233</v>
      </c>
      <c r="E3721" s="40" t="s">
        <v>2233</v>
      </c>
      <c r="F3721" s="40">
        <v>1</v>
      </c>
      <c r="G3721" s="40"/>
      <c r="H3721" s="40" t="s">
        <v>97</v>
      </c>
      <c r="I3721" s="40"/>
      <c r="J3721" s="40" t="s">
        <v>97</v>
      </c>
      <c r="K3721" s="40" t="s">
        <v>97</v>
      </c>
      <c r="L3721" s="40" t="s">
        <v>97</v>
      </c>
    </row>
    <row r="3722" spans="1:12" x14ac:dyDescent="0.25">
      <c r="A3722" s="40" t="s">
        <v>28</v>
      </c>
      <c r="B3722" s="40" t="s">
        <v>603</v>
      </c>
      <c r="C3722" s="40" t="s">
        <v>6559</v>
      </c>
      <c r="D3722" s="40" t="s">
        <v>2233</v>
      </c>
      <c r="E3722" s="40" t="s">
        <v>2233</v>
      </c>
      <c r="F3722" s="40">
        <v>1</v>
      </c>
      <c r="G3722" s="40"/>
      <c r="H3722" s="40" t="s">
        <v>97</v>
      </c>
      <c r="I3722" s="40"/>
      <c r="J3722" s="40" t="s">
        <v>97</v>
      </c>
      <c r="K3722" s="40" t="s">
        <v>97</v>
      </c>
      <c r="L3722" s="40" t="s">
        <v>97</v>
      </c>
    </row>
    <row r="3723" spans="1:12" x14ac:dyDescent="0.25">
      <c r="A3723" s="40" t="s">
        <v>28</v>
      </c>
      <c r="B3723" s="40" t="s">
        <v>606</v>
      </c>
      <c r="C3723" s="40" t="s">
        <v>6560</v>
      </c>
      <c r="D3723" s="40" t="s">
        <v>2233</v>
      </c>
      <c r="E3723" s="40" t="s">
        <v>2233</v>
      </c>
      <c r="F3723" s="40">
        <v>1</v>
      </c>
      <c r="G3723" s="40"/>
      <c r="H3723" s="40" t="s">
        <v>97</v>
      </c>
      <c r="I3723" s="40"/>
      <c r="J3723" s="40" t="s">
        <v>97</v>
      </c>
      <c r="K3723" s="40" t="s">
        <v>97</v>
      </c>
      <c r="L3723" s="40" t="s">
        <v>97</v>
      </c>
    </row>
    <row r="3724" spans="1:12" x14ac:dyDescent="0.25">
      <c r="A3724" s="40" t="s">
        <v>28</v>
      </c>
      <c r="B3724" s="40" t="s">
        <v>2521</v>
      </c>
      <c r="C3724" s="40" t="s">
        <v>6561</v>
      </c>
      <c r="D3724" s="40" t="s">
        <v>2233</v>
      </c>
      <c r="E3724" s="40" t="s">
        <v>2233</v>
      </c>
      <c r="F3724" s="40">
        <v>1</v>
      </c>
      <c r="G3724" s="40"/>
      <c r="H3724" s="40" t="s">
        <v>97</v>
      </c>
      <c r="I3724" s="40"/>
      <c r="J3724" s="40" t="s">
        <v>97</v>
      </c>
      <c r="K3724" s="40" t="s">
        <v>97</v>
      </c>
      <c r="L3724" s="40" t="s">
        <v>97</v>
      </c>
    </row>
    <row r="3725" spans="1:12" x14ac:dyDescent="0.25">
      <c r="A3725" s="40" t="s">
        <v>28</v>
      </c>
      <c r="B3725" s="40" t="s">
        <v>2268</v>
      </c>
      <c r="C3725" s="40" t="s">
        <v>6562</v>
      </c>
      <c r="D3725" s="40" t="s">
        <v>2233</v>
      </c>
      <c r="E3725" s="40" t="s">
        <v>2233</v>
      </c>
      <c r="F3725" s="40">
        <v>1</v>
      </c>
      <c r="G3725" s="40"/>
      <c r="H3725" s="40" t="s">
        <v>97</v>
      </c>
      <c r="I3725" s="40"/>
      <c r="J3725" s="40" t="s">
        <v>97</v>
      </c>
      <c r="K3725" s="40" t="s">
        <v>97</v>
      </c>
      <c r="L3725" s="40" t="s">
        <v>97</v>
      </c>
    </row>
    <row r="3726" spans="1:12" x14ac:dyDescent="0.25">
      <c r="A3726" s="40" t="s">
        <v>28</v>
      </c>
      <c r="B3726" s="40" t="s">
        <v>2270</v>
      </c>
      <c r="C3726" s="40" t="s">
        <v>6563</v>
      </c>
      <c r="D3726" s="40" t="s">
        <v>2233</v>
      </c>
      <c r="E3726" s="40" t="s">
        <v>2233</v>
      </c>
      <c r="F3726" s="40">
        <v>1</v>
      </c>
      <c r="G3726" s="40"/>
      <c r="H3726" s="40" t="s">
        <v>97</v>
      </c>
      <c r="I3726" s="40"/>
      <c r="J3726" s="40" t="s">
        <v>97</v>
      </c>
      <c r="K3726" s="40" t="s">
        <v>97</v>
      </c>
      <c r="L3726" s="40" t="s">
        <v>97</v>
      </c>
    </row>
    <row r="3727" spans="1:12" x14ac:dyDescent="0.25">
      <c r="A3727" s="40" t="s">
        <v>28</v>
      </c>
      <c r="B3727" s="40" t="s">
        <v>2274</v>
      </c>
      <c r="C3727" s="40" t="s">
        <v>6564</v>
      </c>
      <c r="D3727" s="40" t="s">
        <v>2233</v>
      </c>
      <c r="E3727" s="40" t="s">
        <v>2233</v>
      </c>
      <c r="F3727" s="40">
        <v>1</v>
      </c>
      <c r="G3727" s="40"/>
      <c r="H3727" s="40" t="s">
        <v>97</v>
      </c>
      <c r="I3727" s="40"/>
      <c r="J3727" s="40" t="s">
        <v>97</v>
      </c>
      <c r="K3727" s="40" t="s">
        <v>97</v>
      </c>
      <c r="L3727" s="40" t="s">
        <v>97</v>
      </c>
    </row>
    <row r="3728" spans="1:12" x14ac:dyDescent="0.25">
      <c r="A3728" s="40" t="s">
        <v>28</v>
      </c>
      <c r="B3728" s="40" t="s">
        <v>2277</v>
      </c>
      <c r="C3728" s="40" t="s">
        <v>6565</v>
      </c>
      <c r="D3728" s="40" t="s">
        <v>2233</v>
      </c>
      <c r="E3728" s="40" t="s">
        <v>2233</v>
      </c>
      <c r="F3728" s="40">
        <v>1</v>
      </c>
      <c r="G3728" s="40"/>
      <c r="H3728" s="40" t="s">
        <v>97</v>
      </c>
      <c r="I3728" s="40"/>
      <c r="J3728" s="40" t="s">
        <v>97</v>
      </c>
      <c r="K3728" s="40" t="s">
        <v>97</v>
      </c>
      <c r="L3728" s="40" t="s">
        <v>97</v>
      </c>
    </row>
    <row r="3729" spans="1:12" x14ac:dyDescent="0.25">
      <c r="A3729" s="40" t="s">
        <v>28</v>
      </c>
      <c r="B3729" s="40" t="s">
        <v>2434</v>
      </c>
      <c r="C3729" s="40" t="s">
        <v>6566</v>
      </c>
      <c r="D3729" s="40" t="s">
        <v>2233</v>
      </c>
      <c r="E3729" s="40" t="s">
        <v>2233</v>
      </c>
      <c r="F3729" s="40">
        <v>1</v>
      </c>
      <c r="G3729" s="40"/>
      <c r="H3729" s="40" t="s">
        <v>97</v>
      </c>
      <c r="I3729" s="40"/>
      <c r="J3729" s="40" t="s">
        <v>97</v>
      </c>
      <c r="K3729" s="40" t="s">
        <v>97</v>
      </c>
      <c r="L3729" s="40" t="s">
        <v>97</v>
      </c>
    </row>
    <row r="3730" spans="1:12" x14ac:dyDescent="0.25">
      <c r="A3730" s="40" t="s">
        <v>28</v>
      </c>
      <c r="B3730" s="40" t="s">
        <v>2436</v>
      </c>
      <c r="C3730" s="40" t="s">
        <v>6567</v>
      </c>
      <c r="D3730" s="40" t="s">
        <v>2233</v>
      </c>
      <c r="E3730" s="40" t="s">
        <v>2233</v>
      </c>
      <c r="F3730" s="40">
        <v>1</v>
      </c>
      <c r="G3730" s="40"/>
      <c r="H3730" s="40" t="s">
        <v>97</v>
      </c>
      <c r="I3730" s="40"/>
      <c r="J3730" s="40" t="s">
        <v>97</v>
      </c>
      <c r="K3730" s="40" t="s">
        <v>97</v>
      </c>
      <c r="L3730" s="40" t="s">
        <v>97</v>
      </c>
    </row>
    <row r="3731" spans="1:12" x14ac:dyDescent="0.25">
      <c r="A3731" s="40" t="s">
        <v>28</v>
      </c>
      <c r="B3731" s="40" t="s">
        <v>610</v>
      </c>
      <c r="C3731" s="40" t="s">
        <v>6568</v>
      </c>
      <c r="D3731" s="40" t="s">
        <v>2233</v>
      </c>
      <c r="E3731" s="40" t="s">
        <v>2233</v>
      </c>
      <c r="F3731" s="40">
        <v>1</v>
      </c>
      <c r="G3731" s="40"/>
      <c r="H3731" s="40" t="s">
        <v>97</v>
      </c>
      <c r="I3731" s="40"/>
      <c r="J3731" s="40" t="s">
        <v>97</v>
      </c>
      <c r="K3731" s="40" t="s">
        <v>97</v>
      </c>
      <c r="L3731" s="40" t="s">
        <v>97</v>
      </c>
    </row>
    <row r="3732" spans="1:12" x14ac:dyDescent="0.25">
      <c r="A3732" s="40" t="s">
        <v>28</v>
      </c>
      <c r="B3732" s="40" t="s">
        <v>612</v>
      </c>
      <c r="C3732" s="40" t="s">
        <v>6569</v>
      </c>
      <c r="D3732" s="40" t="s">
        <v>2233</v>
      </c>
      <c r="E3732" s="40" t="s">
        <v>2233</v>
      </c>
      <c r="F3732" s="40">
        <v>1</v>
      </c>
      <c r="G3732" s="40"/>
      <c r="H3732" s="40" t="s">
        <v>97</v>
      </c>
      <c r="I3732" s="40"/>
      <c r="J3732" s="40" t="s">
        <v>97</v>
      </c>
      <c r="K3732" s="40" t="s">
        <v>97</v>
      </c>
      <c r="L3732" s="40" t="s">
        <v>97</v>
      </c>
    </row>
    <row r="3733" spans="1:12" x14ac:dyDescent="0.25">
      <c r="A3733" s="40" t="s">
        <v>28</v>
      </c>
      <c r="B3733" s="40" t="s">
        <v>614</v>
      </c>
      <c r="C3733" s="40" t="s">
        <v>6570</v>
      </c>
      <c r="D3733" s="40" t="s">
        <v>2233</v>
      </c>
      <c r="E3733" s="40" t="s">
        <v>2233</v>
      </c>
      <c r="F3733" s="40">
        <v>1</v>
      </c>
      <c r="G3733" s="40"/>
      <c r="H3733" s="40" t="s">
        <v>97</v>
      </c>
      <c r="I3733" s="40"/>
      <c r="J3733" s="40" t="s">
        <v>97</v>
      </c>
      <c r="K3733" s="40" t="s">
        <v>97</v>
      </c>
      <c r="L3733" s="40" t="s">
        <v>97</v>
      </c>
    </row>
    <row r="3734" spans="1:12" x14ac:dyDescent="0.25">
      <c r="A3734" s="40" t="s">
        <v>28</v>
      </c>
      <c r="B3734" s="40" t="s">
        <v>2440</v>
      </c>
      <c r="C3734" s="40" t="s">
        <v>6571</v>
      </c>
      <c r="D3734" s="40" t="s">
        <v>2233</v>
      </c>
      <c r="E3734" s="40" t="s">
        <v>2233</v>
      </c>
      <c r="F3734" s="40">
        <v>1</v>
      </c>
      <c r="G3734" s="40"/>
      <c r="H3734" s="40" t="s">
        <v>97</v>
      </c>
      <c r="I3734" s="40"/>
      <c r="J3734" s="40" t="s">
        <v>97</v>
      </c>
      <c r="K3734" s="40" t="s">
        <v>97</v>
      </c>
      <c r="L3734" s="40" t="s">
        <v>97</v>
      </c>
    </row>
    <row r="3735" spans="1:12" x14ac:dyDescent="0.25">
      <c r="A3735" s="40" t="s">
        <v>28</v>
      </c>
      <c r="B3735" s="40" t="s">
        <v>1359</v>
      </c>
      <c r="C3735" s="40" t="s">
        <v>6572</v>
      </c>
      <c r="D3735" s="40" t="s">
        <v>2233</v>
      </c>
      <c r="E3735" s="40" t="s">
        <v>2233</v>
      </c>
      <c r="F3735" s="40">
        <v>1</v>
      </c>
      <c r="G3735" s="40"/>
      <c r="H3735" s="40" t="s">
        <v>97</v>
      </c>
      <c r="I3735" s="40"/>
      <c r="J3735" s="40" t="s">
        <v>97</v>
      </c>
      <c r="K3735" s="40" t="s">
        <v>97</v>
      </c>
      <c r="L3735" s="40" t="s">
        <v>97</v>
      </c>
    </row>
    <row r="3736" spans="1:12" x14ac:dyDescent="0.25">
      <c r="A3736" s="40" t="s">
        <v>28</v>
      </c>
      <c r="B3736" s="40" t="s">
        <v>616</v>
      </c>
      <c r="C3736" s="40" t="s">
        <v>6573</v>
      </c>
      <c r="D3736" s="40" t="s">
        <v>2233</v>
      </c>
      <c r="E3736" s="40" t="s">
        <v>2233</v>
      </c>
      <c r="F3736" s="40">
        <v>1</v>
      </c>
      <c r="G3736" s="40"/>
      <c r="H3736" s="40" t="s">
        <v>97</v>
      </c>
      <c r="I3736" s="40"/>
      <c r="J3736" s="40" t="s">
        <v>97</v>
      </c>
      <c r="K3736" s="40" t="s">
        <v>97</v>
      </c>
      <c r="L3736" s="40" t="s">
        <v>97</v>
      </c>
    </row>
    <row r="3737" spans="1:12" x14ac:dyDescent="0.25">
      <c r="A3737" s="40" t="s">
        <v>28</v>
      </c>
      <c r="B3737" s="40" t="s">
        <v>620</v>
      </c>
      <c r="C3737" s="40" t="s">
        <v>6574</v>
      </c>
      <c r="D3737" s="40" t="s">
        <v>2233</v>
      </c>
      <c r="E3737" s="40" t="s">
        <v>2233</v>
      </c>
      <c r="F3737" s="40">
        <v>1</v>
      </c>
      <c r="G3737" s="40"/>
      <c r="H3737" s="40" t="s">
        <v>97</v>
      </c>
      <c r="I3737" s="40"/>
      <c r="J3737" s="40" t="s">
        <v>97</v>
      </c>
      <c r="K3737" s="40" t="s">
        <v>97</v>
      </c>
      <c r="L3737" s="40" t="s">
        <v>97</v>
      </c>
    </row>
    <row r="3738" spans="1:12" x14ac:dyDescent="0.25">
      <c r="A3738" s="40" t="s">
        <v>28</v>
      </c>
      <c r="B3738" s="40" t="s">
        <v>623</v>
      </c>
      <c r="C3738" s="40" t="s">
        <v>6575</v>
      </c>
      <c r="D3738" s="40" t="s">
        <v>2233</v>
      </c>
      <c r="E3738" s="40" t="s">
        <v>2233</v>
      </c>
      <c r="F3738" s="40">
        <v>1</v>
      </c>
      <c r="G3738" s="40"/>
      <c r="H3738" s="40" t="s">
        <v>97</v>
      </c>
      <c r="I3738" s="40"/>
      <c r="J3738" s="40" t="s">
        <v>97</v>
      </c>
      <c r="K3738" s="40" t="s">
        <v>97</v>
      </c>
      <c r="L3738" s="40" t="s">
        <v>97</v>
      </c>
    </row>
    <row r="3739" spans="1:12" x14ac:dyDescent="0.25">
      <c r="A3739" s="40" t="s">
        <v>28</v>
      </c>
      <c r="B3739" s="40" t="s">
        <v>625</v>
      </c>
      <c r="C3739" s="40" t="s">
        <v>6576</v>
      </c>
      <c r="D3739" s="40" t="s">
        <v>2233</v>
      </c>
      <c r="E3739" s="40" t="s">
        <v>2233</v>
      </c>
      <c r="F3739" s="40">
        <v>1</v>
      </c>
      <c r="G3739" s="40"/>
      <c r="H3739" s="40" t="s">
        <v>97</v>
      </c>
      <c r="I3739" s="40"/>
      <c r="J3739" s="40" t="s">
        <v>97</v>
      </c>
      <c r="K3739" s="40" t="s">
        <v>97</v>
      </c>
      <c r="L3739" s="40" t="s">
        <v>97</v>
      </c>
    </row>
    <row r="3740" spans="1:12" x14ac:dyDescent="0.25">
      <c r="A3740" s="40" t="s">
        <v>28</v>
      </c>
      <c r="B3740" s="40" t="s">
        <v>630</v>
      </c>
      <c r="C3740" s="40" t="s">
        <v>6577</v>
      </c>
      <c r="D3740" s="40" t="s">
        <v>2233</v>
      </c>
      <c r="E3740" s="40" t="s">
        <v>2233</v>
      </c>
      <c r="F3740" s="40">
        <v>1</v>
      </c>
      <c r="G3740" s="40"/>
      <c r="H3740" s="40" t="s">
        <v>97</v>
      </c>
      <c r="I3740" s="40"/>
      <c r="J3740" s="40" t="s">
        <v>97</v>
      </c>
      <c r="K3740" s="40" t="s">
        <v>97</v>
      </c>
      <c r="L3740" s="40" t="s">
        <v>97</v>
      </c>
    </row>
    <row r="3741" spans="1:12" x14ac:dyDescent="0.25">
      <c r="A3741" s="40" t="s">
        <v>28</v>
      </c>
      <c r="B3741" s="40" t="s">
        <v>632</v>
      </c>
      <c r="C3741" s="40" t="s">
        <v>6578</v>
      </c>
      <c r="D3741" s="40" t="s">
        <v>2233</v>
      </c>
      <c r="E3741" s="40" t="s">
        <v>2233</v>
      </c>
      <c r="F3741" s="40">
        <v>1</v>
      </c>
      <c r="G3741" s="40"/>
      <c r="H3741" s="40" t="s">
        <v>97</v>
      </c>
      <c r="I3741" s="40"/>
      <c r="J3741" s="40" t="s">
        <v>97</v>
      </c>
      <c r="K3741" s="40" t="s">
        <v>97</v>
      </c>
      <c r="L3741" s="40" t="s">
        <v>97</v>
      </c>
    </row>
    <row r="3742" spans="1:12" x14ac:dyDescent="0.25">
      <c r="A3742" s="40" t="s">
        <v>28</v>
      </c>
      <c r="B3742" s="40" t="s">
        <v>634</v>
      </c>
      <c r="C3742" s="40" t="s">
        <v>6579</v>
      </c>
      <c r="D3742" s="40" t="s">
        <v>2233</v>
      </c>
      <c r="E3742" s="40" t="s">
        <v>2233</v>
      </c>
      <c r="F3742" s="40">
        <v>1</v>
      </c>
      <c r="G3742" s="40"/>
      <c r="H3742" s="40" t="s">
        <v>97</v>
      </c>
      <c r="I3742" s="40"/>
      <c r="J3742" s="40" t="s">
        <v>97</v>
      </c>
      <c r="K3742" s="40" t="s">
        <v>97</v>
      </c>
      <c r="L3742" s="40" t="s">
        <v>97</v>
      </c>
    </row>
    <row r="3743" spans="1:12" x14ac:dyDescent="0.25">
      <c r="A3743" s="40" t="s">
        <v>28</v>
      </c>
      <c r="B3743" s="40" t="s">
        <v>636</v>
      </c>
      <c r="C3743" s="40" t="s">
        <v>6580</v>
      </c>
      <c r="D3743" s="40" t="s">
        <v>2233</v>
      </c>
      <c r="E3743" s="40" t="s">
        <v>2233</v>
      </c>
      <c r="F3743" s="40">
        <v>1</v>
      </c>
      <c r="G3743" s="40"/>
      <c r="H3743" s="40" t="s">
        <v>97</v>
      </c>
      <c r="I3743" s="40"/>
      <c r="J3743" s="40" t="s">
        <v>97</v>
      </c>
      <c r="K3743" s="40" t="s">
        <v>97</v>
      </c>
      <c r="L3743" s="40" t="s">
        <v>97</v>
      </c>
    </row>
    <row r="3744" spans="1:12" x14ac:dyDescent="0.25">
      <c r="A3744" s="40" t="s">
        <v>28</v>
      </c>
      <c r="B3744" s="40" t="s">
        <v>638</v>
      </c>
      <c r="C3744" s="40" t="s">
        <v>6581</v>
      </c>
      <c r="D3744" s="40" t="s">
        <v>2233</v>
      </c>
      <c r="E3744" s="40" t="s">
        <v>2233</v>
      </c>
      <c r="F3744" s="40">
        <v>1</v>
      </c>
      <c r="G3744" s="40"/>
      <c r="H3744" s="40" t="s">
        <v>97</v>
      </c>
      <c r="I3744" s="40"/>
      <c r="J3744" s="40" t="s">
        <v>97</v>
      </c>
      <c r="K3744" s="40" t="s">
        <v>97</v>
      </c>
      <c r="L3744" s="40" t="s">
        <v>97</v>
      </c>
    </row>
    <row r="3745" spans="1:12" x14ac:dyDescent="0.25">
      <c r="A3745" s="40" t="s">
        <v>28</v>
      </c>
      <c r="B3745" s="40" t="s">
        <v>640</v>
      </c>
      <c r="C3745" s="40" t="s">
        <v>6582</v>
      </c>
      <c r="D3745" s="40" t="s">
        <v>2233</v>
      </c>
      <c r="E3745" s="40" t="s">
        <v>2233</v>
      </c>
      <c r="F3745" s="40">
        <v>1</v>
      </c>
      <c r="G3745" s="40"/>
      <c r="H3745" s="40" t="s">
        <v>97</v>
      </c>
      <c r="I3745" s="40"/>
      <c r="J3745" s="40" t="s">
        <v>97</v>
      </c>
      <c r="K3745" s="40" t="s">
        <v>97</v>
      </c>
      <c r="L3745" s="40" t="s">
        <v>97</v>
      </c>
    </row>
    <row r="3746" spans="1:12" x14ac:dyDescent="0.25">
      <c r="A3746" s="40" t="s">
        <v>28</v>
      </c>
      <c r="B3746" s="40" t="s">
        <v>642</v>
      </c>
      <c r="C3746" s="40" t="s">
        <v>6583</v>
      </c>
      <c r="D3746" s="40" t="s">
        <v>2233</v>
      </c>
      <c r="E3746" s="40" t="s">
        <v>2233</v>
      </c>
      <c r="F3746" s="40">
        <v>1</v>
      </c>
      <c r="G3746" s="40"/>
      <c r="H3746" s="40" t="s">
        <v>97</v>
      </c>
      <c r="I3746" s="40"/>
      <c r="J3746" s="40" t="s">
        <v>97</v>
      </c>
      <c r="K3746" s="40" t="s">
        <v>97</v>
      </c>
      <c r="L3746" s="40" t="s">
        <v>97</v>
      </c>
    </row>
    <row r="3747" spans="1:12" x14ac:dyDescent="0.25">
      <c r="A3747" s="40" t="s">
        <v>28</v>
      </c>
      <c r="B3747" s="40" t="s">
        <v>644</v>
      </c>
      <c r="C3747" s="40" t="s">
        <v>6584</v>
      </c>
      <c r="D3747" s="40" t="s">
        <v>2233</v>
      </c>
      <c r="E3747" s="40" t="s">
        <v>2233</v>
      </c>
      <c r="F3747" s="40">
        <v>1</v>
      </c>
      <c r="G3747" s="40"/>
      <c r="H3747" s="40" t="s">
        <v>97</v>
      </c>
      <c r="I3747" s="40"/>
      <c r="J3747" s="40" t="s">
        <v>97</v>
      </c>
      <c r="K3747" s="40" t="s">
        <v>97</v>
      </c>
      <c r="L3747" s="40" t="s">
        <v>97</v>
      </c>
    </row>
    <row r="3748" spans="1:12" x14ac:dyDescent="0.25">
      <c r="A3748" s="40" t="s">
        <v>28</v>
      </c>
      <c r="B3748" s="40" t="s">
        <v>646</v>
      </c>
      <c r="C3748" s="40" t="s">
        <v>6585</v>
      </c>
      <c r="D3748" s="40" t="s">
        <v>2233</v>
      </c>
      <c r="E3748" s="40" t="s">
        <v>2233</v>
      </c>
      <c r="F3748" s="40">
        <v>1</v>
      </c>
      <c r="G3748" s="40"/>
      <c r="H3748" s="40" t="s">
        <v>97</v>
      </c>
      <c r="I3748" s="40"/>
      <c r="J3748" s="40" t="s">
        <v>97</v>
      </c>
      <c r="K3748" s="40" t="s">
        <v>97</v>
      </c>
      <c r="L3748" s="40" t="s">
        <v>97</v>
      </c>
    </row>
    <row r="3749" spans="1:12" x14ac:dyDescent="0.25">
      <c r="A3749" s="40" t="s">
        <v>28</v>
      </c>
      <c r="B3749" s="40" t="s">
        <v>676</v>
      </c>
      <c r="C3749" s="40" t="s">
        <v>6586</v>
      </c>
      <c r="D3749" s="40" t="s">
        <v>2233</v>
      </c>
      <c r="E3749" s="40" t="s">
        <v>2233</v>
      </c>
      <c r="F3749" s="40">
        <v>1</v>
      </c>
      <c r="G3749" s="40"/>
      <c r="H3749" s="40" t="s">
        <v>97</v>
      </c>
      <c r="I3749" s="40"/>
      <c r="J3749" s="40" t="s">
        <v>97</v>
      </c>
      <c r="K3749" s="40" t="s">
        <v>97</v>
      </c>
      <c r="L3749" s="40" t="s">
        <v>97</v>
      </c>
    </row>
    <row r="3750" spans="1:12" x14ac:dyDescent="0.25">
      <c r="A3750" s="40" t="s">
        <v>28</v>
      </c>
      <c r="B3750" s="40" t="s">
        <v>681</v>
      </c>
      <c r="C3750" s="40" t="s">
        <v>6587</v>
      </c>
      <c r="D3750" s="40" t="s">
        <v>2233</v>
      </c>
      <c r="E3750" s="40" t="s">
        <v>2233</v>
      </c>
      <c r="F3750" s="40">
        <v>1</v>
      </c>
      <c r="G3750" s="40"/>
      <c r="H3750" s="40" t="s">
        <v>2234</v>
      </c>
      <c r="I3750" s="40"/>
      <c r="J3750" s="40" t="s">
        <v>97</v>
      </c>
      <c r="K3750" s="40" t="s">
        <v>97</v>
      </c>
      <c r="L3750" s="40" t="s">
        <v>97</v>
      </c>
    </row>
    <row r="3751" spans="1:12" x14ac:dyDescent="0.25">
      <c r="A3751" s="40" t="s">
        <v>28</v>
      </c>
      <c r="B3751" s="40" t="s">
        <v>684</v>
      </c>
      <c r="C3751" s="40" t="s">
        <v>6588</v>
      </c>
      <c r="D3751" s="40" t="s">
        <v>2281</v>
      </c>
      <c r="E3751" s="40" t="s">
        <v>2281</v>
      </c>
      <c r="F3751" s="40">
        <v>1</v>
      </c>
      <c r="G3751" s="40"/>
      <c r="H3751" s="40" t="s">
        <v>2234</v>
      </c>
      <c r="I3751" s="40"/>
      <c r="J3751" s="40" t="s">
        <v>97</v>
      </c>
      <c r="K3751" s="40" t="s">
        <v>97</v>
      </c>
      <c r="L3751" s="40" t="s">
        <v>97</v>
      </c>
    </row>
    <row r="3752" spans="1:12" x14ac:dyDescent="0.25">
      <c r="A3752" s="40" t="s">
        <v>28</v>
      </c>
      <c r="B3752" s="40" t="s">
        <v>2538</v>
      </c>
      <c r="C3752" s="40" t="s">
        <v>6589</v>
      </c>
      <c r="D3752" s="40" t="s">
        <v>2233</v>
      </c>
      <c r="E3752" s="40" t="s">
        <v>2233</v>
      </c>
      <c r="F3752" s="40">
        <v>1</v>
      </c>
      <c r="G3752" s="40"/>
      <c r="H3752" s="40" t="s">
        <v>97</v>
      </c>
      <c r="I3752" s="40"/>
      <c r="J3752" s="40" t="s">
        <v>97</v>
      </c>
      <c r="K3752" s="40" t="s">
        <v>97</v>
      </c>
      <c r="L3752" s="40" t="s">
        <v>97</v>
      </c>
    </row>
    <row r="3753" spans="1:12" x14ac:dyDescent="0.25">
      <c r="A3753" s="40" t="s">
        <v>25</v>
      </c>
      <c r="B3753" s="40" t="s">
        <v>2233</v>
      </c>
      <c r="C3753" s="40" t="s">
        <v>6590</v>
      </c>
      <c r="D3753" s="40" t="s">
        <v>2281</v>
      </c>
      <c r="E3753" s="40" t="s">
        <v>2281</v>
      </c>
      <c r="F3753" s="40">
        <v>1</v>
      </c>
      <c r="G3753" s="40"/>
      <c r="H3753" s="40" t="s">
        <v>97</v>
      </c>
      <c r="I3753" s="40"/>
      <c r="J3753" s="40" t="s">
        <v>97</v>
      </c>
      <c r="K3753" s="40" t="s">
        <v>97</v>
      </c>
      <c r="L3753" s="40" t="s">
        <v>97</v>
      </c>
    </row>
    <row r="3754" spans="1:12" x14ac:dyDescent="0.25">
      <c r="A3754" s="40" t="s">
        <v>25</v>
      </c>
      <c r="B3754" s="40" t="s">
        <v>2298</v>
      </c>
      <c r="C3754" s="40" t="s">
        <v>6591</v>
      </c>
      <c r="D3754" s="40" t="s">
        <v>2233</v>
      </c>
      <c r="E3754" s="40" t="s">
        <v>2233</v>
      </c>
      <c r="F3754" s="40">
        <v>1</v>
      </c>
      <c r="G3754" s="40"/>
      <c r="H3754" s="40" t="s">
        <v>2234</v>
      </c>
      <c r="I3754" s="40"/>
      <c r="J3754" s="40" t="s">
        <v>97</v>
      </c>
      <c r="K3754" s="40" t="s">
        <v>97</v>
      </c>
      <c r="L3754" s="40" t="s">
        <v>97</v>
      </c>
    </row>
    <row r="3755" spans="1:12" x14ac:dyDescent="0.25">
      <c r="A3755" s="40" t="s">
        <v>25</v>
      </c>
      <c r="B3755" s="40" t="s">
        <v>483</v>
      </c>
      <c r="C3755" s="40" t="s">
        <v>6592</v>
      </c>
      <c r="D3755" s="40" t="s">
        <v>6593</v>
      </c>
      <c r="E3755" s="40" t="s">
        <v>6594</v>
      </c>
      <c r="F3755" s="40">
        <v>0</v>
      </c>
      <c r="G3755" s="40"/>
      <c r="H3755" s="40" t="s">
        <v>97</v>
      </c>
      <c r="I3755" s="40"/>
      <c r="J3755" s="40" t="s">
        <v>97</v>
      </c>
      <c r="K3755" s="40" t="s">
        <v>97</v>
      </c>
      <c r="L3755" s="40" t="s">
        <v>97</v>
      </c>
    </row>
    <row r="3756" spans="1:12" x14ac:dyDescent="0.25">
      <c r="A3756" s="40" t="s">
        <v>25</v>
      </c>
      <c r="B3756" s="40" t="s">
        <v>487</v>
      </c>
      <c r="C3756" s="40" t="s">
        <v>6595</v>
      </c>
      <c r="D3756" s="40" t="s">
        <v>3101</v>
      </c>
      <c r="E3756" s="40" t="s">
        <v>2499</v>
      </c>
      <c r="F3756" s="40">
        <v>0</v>
      </c>
      <c r="G3756" s="40"/>
      <c r="H3756" s="40" t="s">
        <v>97</v>
      </c>
      <c r="I3756" s="40"/>
      <c r="J3756" s="40" t="s">
        <v>97</v>
      </c>
      <c r="K3756" s="40" t="s">
        <v>97</v>
      </c>
      <c r="L3756" s="40" t="s">
        <v>97</v>
      </c>
    </row>
    <row r="3757" spans="1:12" x14ac:dyDescent="0.25">
      <c r="A3757" s="40" t="s">
        <v>25</v>
      </c>
      <c r="B3757" s="40" t="s">
        <v>491</v>
      </c>
      <c r="C3757" s="40" t="s">
        <v>6596</v>
      </c>
      <c r="D3757" s="40" t="s">
        <v>6597</v>
      </c>
      <c r="E3757" s="40" t="s">
        <v>6598</v>
      </c>
      <c r="F3757" s="40">
        <v>0</v>
      </c>
      <c r="G3757" s="40"/>
      <c r="H3757" s="40" t="s">
        <v>97</v>
      </c>
      <c r="I3757" s="40"/>
      <c r="J3757" s="40" t="s">
        <v>97</v>
      </c>
      <c r="K3757" s="40" t="s">
        <v>97</v>
      </c>
      <c r="L3757" s="40" t="s">
        <v>97</v>
      </c>
    </row>
    <row r="3758" spans="1:12" x14ac:dyDescent="0.25">
      <c r="A3758" s="40" t="s">
        <v>25</v>
      </c>
      <c r="B3758" s="40" t="s">
        <v>494</v>
      </c>
      <c r="C3758" s="40" t="s">
        <v>6599</v>
      </c>
      <c r="D3758" s="40" t="s">
        <v>2233</v>
      </c>
      <c r="E3758" s="40" t="s">
        <v>2233</v>
      </c>
      <c r="F3758" s="40">
        <v>1</v>
      </c>
      <c r="G3758" s="40"/>
      <c r="H3758" s="40" t="s">
        <v>2234</v>
      </c>
      <c r="I3758" s="40"/>
      <c r="J3758" s="40" t="s">
        <v>97</v>
      </c>
      <c r="K3758" s="40" t="s">
        <v>97</v>
      </c>
      <c r="L3758" s="40" t="s">
        <v>97</v>
      </c>
    </row>
    <row r="3759" spans="1:12" x14ac:dyDescent="0.25">
      <c r="A3759" s="40" t="s">
        <v>25</v>
      </c>
      <c r="B3759" s="40" t="s">
        <v>496</v>
      </c>
      <c r="C3759" s="40" t="s">
        <v>6600</v>
      </c>
      <c r="D3759" s="40" t="s">
        <v>2233</v>
      </c>
      <c r="E3759" s="40" t="s">
        <v>2233</v>
      </c>
      <c r="F3759" s="40">
        <v>1</v>
      </c>
      <c r="G3759" s="40"/>
      <c r="H3759" s="40" t="s">
        <v>2234</v>
      </c>
      <c r="I3759" s="40"/>
      <c r="J3759" s="40" t="s">
        <v>97</v>
      </c>
      <c r="K3759" s="40" t="s">
        <v>97</v>
      </c>
      <c r="L3759" s="40" t="s">
        <v>97</v>
      </c>
    </row>
    <row r="3760" spans="1:12" x14ac:dyDescent="0.25">
      <c r="A3760" s="40" t="s">
        <v>25</v>
      </c>
      <c r="B3760" s="40" t="s">
        <v>1297</v>
      </c>
      <c r="C3760" s="40" t="s">
        <v>6601</v>
      </c>
      <c r="D3760" s="40" t="s">
        <v>6602</v>
      </c>
      <c r="E3760" s="40" t="s">
        <v>6603</v>
      </c>
      <c r="F3760" s="40">
        <v>0</v>
      </c>
      <c r="G3760" s="40"/>
      <c r="H3760" s="40" t="s">
        <v>2234</v>
      </c>
      <c r="I3760" s="40"/>
      <c r="J3760" s="40" t="s">
        <v>97</v>
      </c>
      <c r="K3760" s="40" t="s">
        <v>97</v>
      </c>
      <c r="L3760" s="40" t="s">
        <v>97</v>
      </c>
    </row>
    <row r="3761" spans="1:12" x14ac:dyDescent="0.25">
      <c r="A3761" s="40" t="s">
        <v>25</v>
      </c>
      <c r="B3761" s="40" t="s">
        <v>1300</v>
      </c>
      <c r="C3761" s="40" t="s">
        <v>6604</v>
      </c>
      <c r="D3761" s="40" t="s">
        <v>2233</v>
      </c>
      <c r="E3761" s="40" t="s">
        <v>2233</v>
      </c>
      <c r="F3761" s="40">
        <v>1</v>
      </c>
      <c r="G3761" s="40"/>
      <c r="H3761" s="40" t="s">
        <v>2234</v>
      </c>
      <c r="I3761" s="40"/>
      <c r="J3761" s="40" t="s">
        <v>97</v>
      </c>
      <c r="K3761" s="40" t="s">
        <v>97</v>
      </c>
      <c r="L3761" s="40" t="s">
        <v>97</v>
      </c>
    </row>
    <row r="3762" spans="1:12" x14ac:dyDescent="0.25">
      <c r="A3762" s="40" t="s">
        <v>25</v>
      </c>
      <c r="B3762" s="40" t="s">
        <v>1304</v>
      </c>
      <c r="C3762" s="40" t="s">
        <v>6605</v>
      </c>
      <c r="D3762" s="40" t="s">
        <v>6606</v>
      </c>
      <c r="E3762" s="40" t="s">
        <v>6606</v>
      </c>
      <c r="F3762" s="40">
        <v>1</v>
      </c>
      <c r="G3762" s="40"/>
      <c r="H3762" s="40" t="s">
        <v>97</v>
      </c>
      <c r="I3762" s="40"/>
      <c r="J3762" s="40" t="s">
        <v>97</v>
      </c>
      <c r="K3762" s="40" t="s">
        <v>97</v>
      </c>
      <c r="L3762" s="40" t="s">
        <v>97</v>
      </c>
    </row>
    <row r="3763" spans="1:12" x14ac:dyDescent="0.25">
      <c r="A3763" s="40" t="s">
        <v>25</v>
      </c>
      <c r="B3763" s="40" t="s">
        <v>1307</v>
      </c>
      <c r="C3763" s="40" t="s">
        <v>6607</v>
      </c>
      <c r="D3763" s="40" t="s">
        <v>6606</v>
      </c>
      <c r="E3763" s="40" t="s">
        <v>6606</v>
      </c>
      <c r="F3763" s="40">
        <v>1</v>
      </c>
      <c r="G3763" s="40"/>
      <c r="H3763" s="40" t="s">
        <v>97</v>
      </c>
      <c r="I3763" s="40"/>
      <c r="J3763" s="40" t="s">
        <v>97</v>
      </c>
      <c r="K3763" s="40" t="s">
        <v>97</v>
      </c>
      <c r="L3763" s="40" t="s">
        <v>97</v>
      </c>
    </row>
    <row r="3764" spans="1:12" x14ac:dyDescent="0.25">
      <c r="A3764" s="40" t="s">
        <v>25</v>
      </c>
      <c r="B3764" s="40" t="s">
        <v>1309</v>
      </c>
      <c r="C3764" s="40" t="s">
        <v>6608</v>
      </c>
      <c r="D3764" s="40" t="s">
        <v>6609</v>
      </c>
      <c r="E3764" s="40" t="s">
        <v>6609</v>
      </c>
      <c r="F3764" s="40">
        <v>1</v>
      </c>
      <c r="G3764" s="40"/>
      <c r="H3764" s="40" t="s">
        <v>97</v>
      </c>
      <c r="I3764" s="40"/>
      <c r="J3764" s="40" t="s">
        <v>97</v>
      </c>
      <c r="K3764" s="40" t="s">
        <v>97</v>
      </c>
      <c r="L3764" s="40" t="s">
        <v>97</v>
      </c>
    </row>
    <row r="3765" spans="1:12" x14ac:dyDescent="0.25">
      <c r="A3765" s="40" t="s">
        <v>25</v>
      </c>
      <c r="B3765" s="40" t="s">
        <v>498</v>
      </c>
      <c r="C3765" s="40" t="s">
        <v>6610</v>
      </c>
      <c r="D3765" s="40" t="s">
        <v>2233</v>
      </c>
      <c r="E3765" s="40" t="s">
        <v>2233</v>
      </c>
      <c r="F3765" s="40">
        <v>1</v>
      </c>
      <c r="G3765" s="40"/>
      <c r="H3765" s="40" t="s">
        <v>97</v>
      </c>
      <c r="I3765" s="40"/>
      <c r="J3765" s="40" t="s">
        <v>97</v>
      </c>
      <c r="K3765" s="40" t="s">
        <v>97</v>
      </c>
      <c r="L3765" s="40" t="s">
        <v>97</v>
      </c>
    </row>
    <row r="3766" spans="1:12" x14ac:dyDescent="0.25">
      <c r="A3766" s="40" t="s">
        <v>25</v>
      </c>
      <c r="B3766" s="40" t="s">
        <v>500</v>
      </c>
      <c r="C3766" s="40" t="s">
        <v>6611</v>
      </c>
      <c r="D3766" s="40" t="s">
        <v>2233</v>
      </c>
      <c r="E3766" s="40" t="s">
        <v>2233</v>
      </c>
      <c r="F3766" s="40">
        <v>1</v>
      </c>
      <c r="G3766" s="40"/>
      <c r="H3766" s="40" t="s">
        <v>97</v>
      </c>
      <c r="I3766" s="40"/>
      <c r="J3766" s="40" t="s">
        <v>97</v>
      </c>
      <c r="K3766" s="40" t="s">
        <v>97</v>
      </c>
      <c r="L3766" s="40" t="s">
        <v>97</v>
      </c>
    </row>
    <row r="3767" spans="1:12" x14ac:dyDescent="0.25">
      <c r="A3767" s="40" t="s">
        <v>25</v>
      </c>
      <c r="B3767" s="40" t="s">
        <v>2239</v>
      </c>
      <c r="C3767" s="40" t="s">
        <v>6612</v>
      </c>
      <c r="D3767" s="40" t="s">
        <v>2233</v>
      </c>
      <c r="E3767" s="40" t="s">
        <v>2233</v>
      </c>
      <c r="F3767" s="40">
        <v>1</v>
      </c>
      <c r="G3767" s="40"/>
      <c r="H3767" s="40" t="s">
        <v>97</v>
      </c>
      <c r="I3767" s="40"/>
      <c r="J3767" s="40" t="s">
        <v>97</v>
      </c>
      <c r="K3767" s="40" t="s">
        <v>97</v>
      </c>
      <c r="L3767" s="40" t="s">
        <v>97</v>
      </c>
    </row>
    <row r="3768" spans="1:12" x14ac:dyDescent="0.25">
      <c r="A3768" s="40" t="s">
        <v>25</v>
      </c>
      <c r="B3768" s="40" t="s">
        <v>502</v>
      </c>
      <c r="C3768" s="40" t="s">
        <v>6613</v>
      </c>
      <c r="D3768" s="40" t="s">
        <v>6614</v>
      </c>
      <c r="E3768" s="40" t="s">
        <v>6615</v>
      </c>
      <c r="F3768" s="40">
        <v>0</v>
      </c>
      <c r="G3768" s="40"/>
      <c r="H3768" s="40" t="s">
        <v>2234</v>
      </c>
      <c r="I3768" s="40"/>
      <c r="J3768" s="40" t="s">
        <v>97</v>
      </c>
      <c r="K3768" s="40" t="s">
        <v>97</v>
      </c>
      <c r="L3768" s="40" t="s">
        <v>97</v>
      </c>
    </row>
    <row r="3769" spans="1:12" x14ac:dyDescent="0.25">
      <c r="A3769" s="40" t="s">
        <v>25</v>
      </c>
      <c r="B3769" s="40" t="s">
        <v>506</v>
      </c>
      <c r="C3769" s="40" t="s">
        <v>6616</v>
      </c>
      <c r="D3769" s="40" t="s">
        <v>2281</v>
      </c>
      <c r="E3769" s="40" t="s">
        <v>2281</v>
      </c>
      <c r="F3769" s="40">
        <v>1</v>
      </c>
      <c r="G3769" s="40"/>
      <c r="H3769" s="40" t="s">
        <v>97</v>
      </c>
      <c r="I3769" s="40"/>
      <c r="J3769" s="40" t="s">
        <v>97</v>
      </c>
      <c r="K3769" s="40" t="s">
        <v>97</v>
      </c>
      <c r="L3769" s="40" t="s">
        <v>97</v>
      </c>
    </row>
    <row r="3770" spans="1:12" x14ac:dyDescent="0.25">
      <c r="A3770" s="40" t="s">
        <v>25</v>
      </c>
      <c r="B3770" s="40" t="s">
        <v>510</v>
      </c>
      <c r="C3770" s="40" t="s">
        <v>6617</v>
      </c>
      <c r="D3770" s="40" t="s">
        <v>2233</v>
      </c>
      <c r="E3770" s="40" t="s">
        <v>2233</v>
      </c>
      <c r="F3770" s="40">
        <v>1</v>
      </c>
      <c r="G3770" s="40"/>
      <c r="H3770" s="40" t="s">
        <v>97</v>
      </c>
      <c r="I3770" s="40"/>
      <c r="J3770" s="40" t="s">
        <v>97</v>
      </c>
      <c r="K3770" s="40" t="s">
        <v>97</v>
      </c>
      <c r="L3770" s="40" t="s">
        <v>97</v>
      </c>
    </row>
    <row r="3771" spans="1:12" x14ac:dyDescent="0.25">
      <c r="A3771" s="40" t="s">
        <v>25</v>
      </c>
      <c r="B3771" s="40" t="s">
        <v>518</v>
      </c>
      <c r="C3771" s="40" t="s">
        <v>6618</v>
      </c>
      <c r="D3771" s="40" t="s">
        <v>2233</v>
      </c>
      <c r="E3771" s="40" t="s">
        <v>2233</v>
      </c>
      <c r="F3771" s="40">
        <v>1</v>
      </c>
      <c r="G3771" s="40"/>
      <c r="H3771" s="40" t="s">
        <v>2234</v>
      </c>
      <c r="I3771" s="40"/>
      <c r="J3771" s="40" t="s">
        <v>97</v>
      </c>
      <c r="K3771" s="40" t="s">
        <v>97</v>
      </c>
      <c r="L3771" s="40" t="s">
        <v>97</v>
      </c>
    </row>
    <row r="3772" spans="1:12" x14ac:dyDescent="0.25">
      <c r="A3772" s="40" t="s">
        <v>25</v>
      </c>
      <c r="B3772" s="40" t="s">
        <v>527</v>
      </c>
      <c r="C3772" s="40" t="s">
        <v>6619</v>
      </c>
      <c r="D3772" s="40" t="s">
        <v>2233</v>
      </c>
      <c r="E3772" s="40" t="s">
        <v>2233</v>
      </c>
      <c r="F3772" s="40">
        <v>1</v>
      </c>
      <c r="G3772" s="40"/>
      <c r="H3772" s="40" t="s">
        <v>2234</v>
      </c>
      <c r="I3772" s="40"/>
      <c r="J3772" s="40" t="s">
        <v>97</v>
      </c>
      <c r="K3772" s="40" t="s">
        <v>97</v>
      </c>
      <c r="L3772" s="40" t="s">
        <v>97</v>
      </c>
    </row>
    <row r="3773" spans="1:12" x14ac:dyDescent="0.25">
      <c r="A3773" s="40" t="s">
        <v>25</v>
      </c>
      <c r="B3773" s="40" t="s">
        <v>529</v>
      </c>
      <c r="C3773" s="40" t="s">
        <v>6620</v>
      </c>
      <c r="D3773" s="40" t="s">
        <v>2233</v>
      </c>
      <c r="E3773" s="40" t="s">
        <v>2233</v>
      </c>
      <c r="F3773" s="40">
        <v>1</v>
      </c>
      <c r="G3773" s="40"/>
      <c r="H3773" s="40" t="s">
        <v>2234</v>
      </c>
      <c r="I3773" s="40"/>
      <c r="J3773" s="40" t="s">
        <v>97</v>
      </c>
      <c r="K3773" s="40" t="s">
        <v>97</v>
      </c>
      <c r="L3773" s="40" t="s">
        <v>97</v>
      </c>
    </row>
    <row r="3774" spans="1:12" x14ac:dyDescent="0.25">
      <c r="A3774" s="40" t="s">
        <v>25</v>
      </c>
      <c r="B3774" s="40" t="s">
        <v>531</v>
      </c>
      <c r="C3774" s="40" t="s">
        <v>6621</v>
      </c>
      <c r="D3774" s="40" t="s">
        <v>2233</v>
      </c>
      <c r="E3774" s="40" t="s">
        <v>2233</v>
      </c>
      <c r="F3774" s="40">
        <v>1</v>
      </c>
      <c r="G3774" s="40"/>
      <c r="H3774" s="40" t="s">
        <v>97</v>
      </c>
      <c r="I3774" s="40"/>
      <c r="J3774" s="40" t="s">
        <v>97</v>
      </c>
      <c r="K3774" s="40" t="s">
        <v>97</v>
      </c>
      <c r="L3774" s="40" t="s">
        <v>97</v>
      </c>
    </row>
    <row r="3775" spans="1:12" x14ac:dyDescent="0.25">
      <c r="A3775" s="40" t="s">
        <v>25</v>
      </c>
      <c r="B3775" s="40" t="s">
        <v>2263</v>
      </c>
      <c r="C3775" s="40" t="s">
        <v>6622</v>
      </c>
      <c r="D3775" s="40" t="s">
        <v>2233</v>
      </c>
      <c r="E3775" s="40" t="s">
        <v>2233</v>
      </c>
      <c r="F3775" s="40">
        <v>1</v>
      </c>
      <c r="G3775" s="40"/>
      <c r="H3775" s="40" t="s">
        <v>2234</v>
      </c>
      <c r="I3775" s="40"/>
      <c r="J3775" s="40" t="s">
        <v>97</v>
      </c>
      <c r="K3775" s="40" t="s">
        <v>97</v>
      </c>
      <c r="L3775" s="40" t="s">
        <v>97</v>
      </c>
    </row>
    <row r="3776" spans="1:12" x14ac:dyDescent="0.25">
      <c r="A3776" s="40" t="s">
        <v>25</v>
      </c>
      <c r="B3776" s="40" t="s">
        <v>3298</v>
      </c>
      <c r="C3776" s="40" t="s">
        <v>6623</v>
      </c>
      <c r="D3776" s="40" t="s">
        <v>2233</v>
      </c>
      <c r="E3776" s="40" t="s">
        <v>2233</v>
      </c>
      <c r="F3776" s="40">
        <v>1</v>
      </c>
      <c r="G3776" s="40"/>
      <c r="H3776" s="40" t="s">
        <v>2234</v>
      </c>
      <c r="I3776" s="40"/>
      <c r="J3776" s="40" t="s">
        <v>97</v>
      </c>
      <c r="K3776" s="40" t="s">
        <v>97</v>
      </c>
      <c r="L3776" s="40" t="s">
        <v>97</v>
      </c>
    </row>
    <row r="3777" spans="1:12" x14ac:dyDescent="0.25">
      <c r="A3777" s="40" t="s">
        <v>25</v>
      </c>
      <c r="B3777" s="40" t="s">
        <v>3300</v>
      </c>
      <c r="C3777" s="40" t="s">
        <v>6624</v>
      </c>
      <c r="D3777" s="40" t="s">
        <v>2233</v>
      </c>
      <c r="E3777" s="40" t="s">
        <v>2233</v>
      </c>
      <c r="F3777" s="40">
        <v>1</v>
      </c>
      <c r="G3777" s="40"/>
      <c r="H3777" s="40" t="s">
        <v>2234</v>
      </c>
      <c r="I3777" s="40"/>
      <c r="J3777" s="40" t="s">
        <v>97</v>
      </c>
      <c r="K3777" s="40" t="s">
        <v>97</v>
      </c>
      <c r="L3777" s="40" t="s">
        <v>97</v>
      </c>
    </row>
    <row r="3778" spans="1:12" x14ac:dyDescent="0.25">
      <c r="A3778" s="40" t="s">
        <v>25</v>
      </c>
      <c r="B3778" s="40" t="s">
        <v>6234</v>
      </c>
      <c r="C3778" s="40" t="s">
        <v>6625</v>
      </c>
      <c r="D3778" s="40" t="s">
        <v>2233</v>
      </c>
      <c r="E3778" s="40" t="s">
        <v>2233</v>
      </c>
      <c r="F3778" s="40">
        <v>1</v>
      </c>
      <c r="G3778" s="40"/>
      <c r="H3778" s="40" t="s">
        <v>2234</v>
      </c>
      <c r="I3778" s="40"/>
      <c r="J3778" s="40" t="s">
        <v>97</v>
      </c>
      <c r="K3778" s="40" t="s">
        <v>97</v>
      </c>
      <c r="L3778" s="40" t="s">
        <v>97</v>
      </c>
    </row>
    <row r="3779" spans="1:12" x14ac:dyDescent="0.25">
      <c r="A3779" s="40" t="s">
        <v>25</v>
      </c>
      <c r="B3779" s="40" t="s">
        <v>3302</v>
      </c>
      <c r="C3779" s="40" t="s">
        <v>6626</v>
      </c>
      <c r="D3779" s="40" t="s">
        <v>2233</v>
      </c>
      <c r="E3779" s="40" t="s">
        <v>2233</v>
      </c>
      <c r="F3779" s="40">
        <v>1</v>
      </c>
      <c r="G3779" s="40"/>
      <c r="H3779" s="40" t="s">
        <v>2234</v>
      </c>
      <c r="I3779" s="40"/>
      <c r="J3779" s="40" t="s">
        <v>97</v>
      </c>
      <c r="K3779" s="40" t="s">
        <v>97</v>
      </c>
      <c r="L3779" s="40" t="s">
        <v>97</v>
      </c>
    </row>
    <row r="3780" spans="1:12" x14ac:dyDescent="0.25">
      <c r="A3780" s="40" t="s">
        <v>25</v>
      </c>
      <c r="B3780" s="40" t="s">
        <v>6238</v>
      </c>
      <c r="C3780" s="40" t="s">
        <v>6627</v>
      </c>
      <c r="D3780" s="40" t="s">
        <v>2233</v>
      </c>
      <c r="E3780" s="40" t="s">
        <v>2233</v>
      </c>
      <c r="F3780" s="40">
        <v>1</v>
      </c>
      <c r="G3780" s="40"/>
      <c r="H3780" s="40" t="s">
        <v>2234</v>
      </c>
      <c r="I3780" s="40"/>
      <c r="J3780" s="40" t="s">
        <v>97</v>
      </c>
      <c r="K3780" s="40" t="s">
        <v>97</v>
      </c>
      <c r="L3780" s="40" t="s">
        <v>97</v>
      </c>
    </row>
    <row r="3781" spans="1:12" x14ac:dyDescent="0.25">
      <c r="A3781" s="40" t="s">
        <v>25</v>
      </c>
      <c r="B3781" s="40" t="s">
        <v>3304</v>
      </c>
      <c r="C3781" s="40" t="s">
        <v>6628</v>
      </c>
      <c r="D3781" s="40" t="s">
        <v>2233</v>
      </c>
      <c r="E3781" s="40" t="s">
        <v>2233</v>
      </c>
      <c r="F3781" s="40">
        <v>1</v>
      </c>
      <c r="G3781" s="40"/>
      <c r="H3781" s="40" t="s">
        <v>2234</v>
      </c>
      <c r="I3781" s="40"/>
      <c r="J3781" s="40" t="s">
        <v>97</v>
      </c>
      <c r="K3781" s="40" t="s">
        <v>97</v>
      </c>
      <c r="L3781" s="40" t="s">
        <v>97</v>
      </c>
    </row>
    <row r="3782" spans="1:12" x14ac:dyDescent="0.25">
      <c r="A3782" s="40" t="s">
        <v>25</v>
      </c>
      <c r="B3782" s="40" t="s">
        <v>6241</v>
      </c>
      <c r="C3782" s="40" t="s">
        <v>6629</v>
      </c>
      <c r="D3782" s="40" t="s">
        <v>2233</v>
      </c>
      <c r="E3782" s="40" t="s">
        <v>2233</v>
      </c>
      <c r="F3782" s="40">
        <v>1</v>
      </c>
      <c r="G3782" s="40"/>
      <c r="H3782" s="40" t="s">
        <v>2234</v>
      </c>
      <c r="I3782" s="40"/>
      <c r="J3782" s="40" t="s">
        <v>97</v>
      </c>
      <c r="K3782" s="40" t="s">
        <v>97</v>
      </c>
      <c r="L3782" s="40" t="s">
        <v>97</v>
      </c>
    </row>
    <row r="3783" spans="1:12" x14ac:dyDescent="0.25">
      <c r="A3783" s="40" t="s">
        <v>25</v>
      </c>
      <c r="B3783" s="40" t="s">
        <v>3306</v>
      </c>
      <c r="C3783" s="40" t="s">
        <v>6630</v>
      </c>
      <c r="D3783" s="40" t="s">
        <v>2233</v>
      </c>
      <c r="E3783" s="40" t="s">
        <v>2233</v>
      </c>
      <c r="F3783" s="40">
        <v>1</v>
      </c>
      <c r="G3783" s="40"/>
      <c r="H3783" s="40" t="s">
        <v>2234</v>
      </c>
      <c r="I3783" s="40"/>
      <c r="J3783" s="40" t="s">
        <v>97</v>
      </c>
      <c r="K3783" s="40" t="s">
        <v>97</v>
      </c>
      <c r="L3783" s="40" t="s">
        <v>97</v>
      </c>
    </row>
    <row r="3784" spans="1:12" x14ac:dyDescent="0.25">
      <c r="A3784" s="40" t="s">
        <v>25</v>
      </c>
      <c r="B3784" s="40" t="s">
        <v>6205</v>
      </c>
      <c r="C3784" s="40" t="s">
        <v>6631</v>
      </c>
      <c r="D3784" s="40" t="s">
        <v>2233</v>
      </c>
      <c r="E3784" s="40" t="s">
        <v>2233</v>
      </c>
      <c r="F3784" s="40">
        <v>1</v>
      </c>
      <c r="G3784" s="40"/>
      <c r="H3784" s="40" t="s">
        <v>2234</v>
      </c>
      <c r="I3784" s="40"/>
      <c r="J3784" s="40" t="s">
        <v>97</v>
      </c>
      <c r="K3784" s="40" t="s">
        <v>97</v>
      </c>
      <c r="L3784" s="40" t="s">
        <v>97</v>
      </c>
    </row>
    <row r="3785" spans="1:12" x14ac:dyDescent="0.25">
      <c r="A3785" s="40" t="s">
        <v>25</v>
      </c>
      <c r="B3785" s="40" t="s">
        <v>3308</v>
      </c>
      <c r="C3785" s="40" t="s">
        <v>6632</v>
      </c>
      <c r="D3785" s="40" t="s">
        <v>2233</v>
      </c>
      <c r="E3785" s="40" t="s">
        <v>2233</v>
      </c>
      <c r="F3785" s="40">
        <v>1</v>
      </c>
      <c r="G3785" s="40"/>
      <c r="H3785" s="40" t="s">
        <v>2234</v>
      </c>
      <c r="I3785" s="40"/>
      <c r="J3785" s="40" t="s">
        <v>97</v>
      </c>
      <c r="K3785" s="40" t="s">
        <v>97</v>
      </c>
      <c r="L3785" s="40" t="s">
        <v>97</v>
      </c>
    </row>
    <row r="3786" spans="1:12" x14ac:dyDescent="0.25">
      <c r="A3786" s="40" t="s">
        <v>25</v>
      </c>
      <c r="B3786" s="40" t="s">
        <v>3310</v>
      </c>
      <c r="C3786" s="40" t="s">
        <v>6633</v>
      </c>
      <c r="D3786" s="40" t="s">
        <v>2233</v>
      </c>
      <c r="E3786" s="40" t="s">
        <v>2233</v>
      </c>
      <c r="F3786" s="40">
        <v>1</v>
      </c>
      <c r="G3786" s="40"/>
      <c r="H3786" s="40" t="s">
        <v>2234</v>
      </c>
      <c r="I3786" s="40"/>
      <c r="J3786" s="40" t="s">
        <v>97</v>
      </c>
      <c r="K3786" s="40" t="s">
        <v>97</v>
      </c>
      <c r="L3786" s="40" t="s">
        <v>97</v>
      </c>
    </row>
    <row r="3787" spans="1:12" x14ac:dyDescent="0.25">
      <c r="A3787" s="40" t="s">
        <v>25</v>
      </c>
      <c r="B3787" s="40" t="s">
        <v>6209</v>
      </c>
      <c r="C3787" s="40" t="s">
        <v>6634</v>
      </c>
      <c r="D3787" s="40" t="s">
        <v>2233</v>
      </c>
      <c r="E3787" s="40" t="s">
        <v>2233</v>
      </c>
      <c r="F3787" s="40">
        <v>1</v>
      </c>
      <c r="G3787" s="40"/>
      <c r="H3787" s="40" t="s">
        <v>2234</v>
      </c>
      <c r="I3787" s="40"/>
      <c r="J3787" s="40" t="s">
        <v>97</v>
      </c>
      <c r="K3787" s="40" t="s">
        <v>97</v>
      </c>
      <c r="L3787" s="40" t="s">
        <v>97</v>
      </c>
    </row>
    <row r="3788" spans="1:12" x14ac:dyDescent="0.25">
      <c r="A3788" s="40" t="s">
        <v>25</v>
      </c>
      <c r="B3788" s="40" t="s">
        <v>6211</v>
      </c>
      <c r="C3788" s="40" t="s">
        <v>6635</v>
      </c>
      <c r="D3788" s="40" t="s">
        <v>2233</v>
      </c>
      <c r="E3788" s="40" t="s">
        <v>2233</v>
      </c>
      <c r="F3788" s="40">
        <v>1</v>
      </c>
      <c r="G3788" s="40"/>
      <c r="H3788" s="40" t="s">
        <v>2234</v>
      </c>
      <c r="I3788" s="40"/>
      <c r="J3788" s="40" t="s">
        <v>97</v>
      </c>
      <c r="K3788" s="40" t="s">
        <v>97</v>
      </c>
      <c r="L3788" s="40" t="s">
        <v>97</v>
      </c>
    </row>
    <row r="3789" spans="1:12" x14ac:dyDescent="0.25">
      <c r="A3789" s="40" t="s">
        <v>25</v>
      </c>
      <c r="B3789" s="40" t="s">
        <v>6213</v>
      </c>
      <c r="C3789" s="40" t="s">
        <v>6636</v>
      </c>
      <c r="D3789" s="40" t="s">
        <v>2233</v>
      </c>
      <c r="E3789" s="40" t="s">
        <v>2233</v>
      </c>
      <c r="F3789" s="40">
        <v>1</v>
      </c>
      <c r="G3789" s="40"/>
      <c r="H3789" s="40" t="s">
        <v>2234</v>
      </c>
      <c r="I3789" s="40"/>
      <c r="J3789" s="40" t="s">
        <v>97</v>
      </c>
      <c r="K3789" s="40" t="s">
        <v>97</v>
      </c>
      <c r="L3789" s="40" t="s">
        <v>97</v>
      </c>
    </row>
    <row r="3790" spans="1:12" x14ac:dyDescent="0.25">
      <c r="A3790" s="40" t="s">
        <v>25</v>
      </c>
      <c r="B3790" s="40" t="s">
        <v>6215</v>
      </c>
      <c r="C3790" s="40" t="s">
        <v>6637</v>
      </c>
      <c r="D3790" s="40" t="s">
        <v>2233</v>
      </c>
      <c r="E3790" s="40" t="s">
        <v>2233</v>
      </c>
      <c r="F3790" s="40">
        <v>1</v>
      </c>
      <c r="G3790" s="40"/>
      <c r="H3790" s="40" t="s">
        <v>2234</v>
      </c>
      <c r="I3790" s="40"/>
      <c r="J3790" s="40" t="s">
        <v>97</v>
      </c>
      <c r="K3790" s="40" t="s">
        <v>97</v>
      </c>
      <c r="L3790" s="40" t="s">
        <v>97</v>
      </c>
    </row>
    <row r="3791" spans="1:12" x14ac:dyDescent="0.25">
      <c r="A3791" s="40" t="s">
        <v>32</v>
      </c>
      <c r="B3791" s="40" t="s">
        <v>2233</v>
      </c>
      <c r="C3791" s="40" t="s">
        <v>6638</v>
      </c>
      <c r="D3791" s="40" t="s">
        <v>2233</v>
      </c>
      <c r="E3791" s="40" t="s">
        <v>2233</v>
      </c>
      <c r="F3791" s="40">
        <v>1</v>
      </c>
      <c r="G3791" s="40"/>
      <c r="H3791" s="40" t="s">
        <v>2234</v>
      </c>
      <c r="I3791" s="40"/>
      <c r="J3791" s="40" t="s">
        <v>97</v>
      </c>
      <c r="K3791" s="40" t="s">
        <v>97</v>
      </c>
      <c r="L3791" s="40" t="s">
        <v>97</v>
      </c>
    </row>
    <row r="3792" spans="1:12" x14ac:dyDescent="0.25">
      <c r="A3792" s="40" t="s">
        <v>32</v>
      </c>
      <c r="B3792" s="40" t="s">
        <v>2298</v>
      </c>
      <c r="C3792" s="40" t="s">
        <v>6639</v>
      </c>
      <c r="D3792" s="40" t="s">
        <v>2233</v>
      </c>
      <c r="E3792" s="40" t="s">
        <v>2233</v>
      </c>
      <c r="F3792" s="40">
        <v>1</v>
      </c>
      <c r="G3792" s="40"/>
      <c r="H3792" s="40" t="s">
        <v>2234</v>
      </c>
      <c r="I3792" s="40"/>
      <c r="J3792" s="40" t="s">
        <v>97</v>
      </c>
      <c r="K3792" s="40" t="s">
        <v>97</v>
      </c>
      <c r="L3792" s="40" t="s">
        <v>97</v>
      </c>
    </row>
    <row r="3793" spans="1:12" x14ac:dyDescent="0.25">
      <c r="A3793" s="40" t="s">
        <v>32</v>
      </c>
      <c r="B3793" s="40" t="s">
        <v>483</v>
      </c>
      <c r="C3793" s="40" t="s">
        <v>6640</v>
      </c>
      <c r="D3793" s="40" t="s">
        <v>2233</v>
      </c>
      <c r="E3793" s="40" t="s">
        <v>2233</v>
      </c>
      <c r="F3793" s="40">
        <v>1</v>
      </c>
      <c r="G3793" s="40"/>
      <c r="H3793" s="40" t="s">
        <v>2234</v>
      </c>
      <c r="I3793" s="40"/>
      <c r="J3793" s="40" t="s">
        <v>97</v>
      </c>
      <c r="K3793" s="40" t="s">
        <v>97</v>
      </c>
      <c r="L3793" s="40" t="s">
        <v>97</v>
      </c>
    </row>
    <row r="3794" spans="1:12" x14ac:dyDescent="0.25">
      <c r="A3794" s="40" t="s">
        <v>32</v>
      </c>
      <c r="B3794" s="40" t="s">
        <v>487</v>
      </c>
      <c r="C3794" s="40" t="s">
        <v>6641</v>
      </c>
      <c r="D3794" s="40" t="s">
        <v>2233</v>
      </c>
      <c r="E3794" s="40" t="s">
        <v>2233</v>
      </c>
      <c r="F3794" s="40">
        <v>1</v>
      </c>
      <c r="G3794" s="40"/>
      <c r="H3794" s="40" t="s">
        <v>2234</v>
      </c>
      <c r="I3794" s="40"/>
      <c r="J3794" s="40" t="s">
        <v>97</v>
      </c>
      <c r="K3794" s="40" t="s">
        <v>97</v>
      </c>
      <c r="L3794" s="40" t="s">
        <v>97</v>
      </c>
    </row>
    <row r="3795" spans="1:12" x14ac:dyDescent="0.25">
      <c r="A3795" s="40" t="s">
        <v>32</v>
      </c>
      <c r="B3795" s="40" t="s">
        <v>2263</v>
      </c>
      <c r="C3795" s="40" t="s">
        <v>6642</v>
      </c>
      <c r="D3795" s="40" t="s">
        <v>2233</v>
      </c>
      <c r="E3795" s="40" t="s">
        <v>2233</v>
      </c>
      <c r="F3795" s="40">
        <v>1</v>
      </c>
      <c r="G3795" s="40"/>
      <c r="H3795" s="40" t="s">
        <v>97</v>
      </c>
      <c r="I3795" s="40"/>
      <c r="J3795" s="40" t="s">
        <v>97</v>
      </c>
      <c r="K3795" s="40" t="s">
        <v>97</v>
      </c>
      <c r="L3795" s="40" t="s">
        <v>97</v>
      </c>
    </row>
    <row r="3796" spans="1:12" x14ac:dyDescent="0.25">
      <c r="A3796" s="40" t="s">
        <v>32</v>
      </c>
      <c r="B3796" s="40" t="s">
        <v>3300</v>
      </c>
      <c r="C3796" s="40" t="s">
        <v>6643</v>
      </c>
      <c r="D3796" s="40" t="s">
        <v>2233</v>
      </c>
      <c r="E3796" s="40" t="s">
        <v>2233</v>
      </c>
      <c r="F3796" s="40">
        <v>1</v>
      </c>
      <c r="G3796" s="40"/>
      <c r="H3796" s="40" t="s">
        <v>2234</v>
      </c>
      <c r="I3796" s="40"/>
      <c r="J3796" s="40" t="s">
        <v>97</v>
      </c>
      <c r="K3796" s="40" t="s">
        <v>97</v>
      </c>
      <c r="L3796" s="40" t="s">
        <v>97</v>
      </c>
    </row>
    <row r="3797" spans="1:12" x14ac:dyDescent="0.25">
      <c r="A3797" s="40" t="s">
        <v>32</v>
      </c>
      <c r="B3797" s="40" t="s">
        <v>6234</v>
      </c>
      <c r="C3797" s="40" t="s">
        <v>6644</v>
      </c>
      <c r="D3797" s="40" t="s">
        <v>2499</v>
      </c>
      <c r="E3797" s="40" t="s">
        <v>2499</v>
      </c>
      <c r="F3797" s="40">
        <v>1</v>
      </c>
      <c r="G3797" s="40"/>
      <c r="H3797" s="40" t="s">
        <v>2234</v>
      </c>
      <c r="I3797" s="40"/>
      <c r="J3797" s="40" t="s">
        <v>97</v>
      </c>
      <c r="K3797" s="40" t="s">
        <v>97</v>
      </c>
      <c r="L3797" s="40" t="s">
        <v>97</v>
      </c>
    </row>
    <row r="3798" spans="1:12" x14ac:dyDescent="0.25">
      <c r="A3798" s="40" t="s">
        <v>32</v>
      </c>
      <c r="B3798" s="40" t="s">
        <v>3734</v>
      </c>
      <c r="C3798" s="40" t="s">
        <v>6645</v>
      </c>
      <c r="D3798" s="40" t="s">
        <v>3167</v>
      </c>
      <c r="E3798" s="40" t="s">
        <v>3167</v>
      </c>
      <c r="F3798" s="40">
        <v>1</v>
      </c>
      <c r="G3798" s="40"/>
      <c r="H3798" s="40" t="s">
        <v>2234</v>
      </c>
      <c r="I3798" s="40"/>
      <c r="J3798" s="40" t="s">
        <v>97</v>
      </c>
      <c r="K3798" s="40" t="s">
        <v>97</v>
      </c>
      <c r="L3798" s="40" t="s">
        <v>97</v>
      </c>
    </row>
    <row r="3799" spans="1:12" x14ac:dyDescent="0.25">
      <c r="A3799" s="40" t="s">
        <v>32</v>
      </c>
      <c r="B3799" s="40" t="s">
        <v>3737</v>
      </c>
      <c r="C3799" s="40" t="s">
        <v>6646</v>
      </c>
      <c r="D3799" s="40" t="s">
        <v>2233</v>
      </c>
      <c r="E3799" s="40" t="s">
        <v>2233</v>
      </c>
      <c r="F3799" s="40">
        <v>1</v>
      </c>
      <c r="G3799" s="40"/>
      <c r="H3799" s="40" t="s">
        <v>2234</v>
      </c>
      <c r="I3799" s="40"/>
      <c r="J3799" s="40" t="s">
        <v>97</v>
      </c>
      <c r="K3799" s="40" t="s">
        <v>97</v>
      </c>
      <c r="L3799" s="40" t="s">
        <v>97</v>
      </c>
    </row>
    <row r="3800" spans="1:12" x14ac:dyDescent="0.25">
      <c r="A3800" s="40" t="s">
        <v>32</v>
      </c>
      <c r="B3800" s="40" t="s">
        <v>3739</v>
      </c>
      <c r="C3800" s="40" t="s">
        <v>6647</v>
      </c>
      <c r="D3800" s="40" t="s">
        <v>483</v>
      </c>
      <c r="E3800" s="40" t="s">
        <v>483</v>
      </c>
      <c r="F3800" s="40">
        <v>1</v>
      </c>
      <c r="G3800" s="40"/>
      <c r="H3800" s="40" t="s">
        <v>2234</v>
      </c>
      <c r="I3800" s="40"/>
      <c r="J3800" s="40" t="s">
        <v>97</v>
      </c>
      <c r="K3800" s="40" t="s">
        <v>97</v>
      </c>
      <c r="L3800" s="40" t="s">
        <v>97</v>
      </c>
    </row>
    <row r="3801" spans="1:12" x14ac:dyDescent="0.25">
      <c r="A3801" s="40" t="s">
        <v>32</v>
      </c>
      <c r="B3801" s="40" t="s">
        <v>6259</v>
      </c>
      <c r="C3801" s="40" t="s">
        <v>6648</v>
      </c>
      <c r="D3801" s="40" t="s">
        <v>2233</v>
      </c>
      <c r="E3801" s="40" t="s">
        <v>2233</v>
      </c>
      <c r="F3801" s="40">
        <v>1</v>
      </c>
      <c r="G3801" s="40"/>
      <c r="H3801" s="40" t="s">
        <v>2234</v>
      </c>
      <c r="I3801" s="40"/>
      <c r="J3801" s="40" t="s">
        <v>97</v>
      </c>
      <c r="K3801" s="40" t="s">
        <v>97</v>
      </c>
      <c r="L3801" s="40" t="s">
        <v>97</v>
      </c>
    </row>
    <row r="3802" spans="1:12" x14ac:dyDescent="0.25">
      <c r="A3802" s="40" t="s">
        <v>32</v>
      </c>
      <c r="B3802" s="40" t="s">
        <v>3741</v>
      </c>
      <c r="C3802" s="40" t="s">
        <v>6649</v>
      </c>
      <c r="D3802" s="40" t="s">
        <v>2233</v>
      </c>
      <c r="E3802" s="40" t="s">
        <v>2233</v>
      </c>
      <c r="F3802" s="40">
        <v>1</v>
      </c>
      <c r="G3802" s="40"/>
      <c r="H3802" s="40" t="s">
        <v>2234</v>
      </c>
      <c r="I3802" s="40"/>
      <c r="J3802" s="40" t="s">
        <v>97</v>
      </c>
      <c r="K3802" s="40" t="s">
        <v>97</v>
      </c>
      <c r="L3802" s="40" t="s">
        <v>97</v>
      </c>
    </row>
    <row r="3803" spans="1:12" x14ac:dyDescent="0.25">
      <c r="A3803" s="40" t="s">
        <v>32</v>
      </c>
      <c r="B3803" s="40" t="s">
        <v>6264</v>
      </c>
      <c r="C3803" s="40" t="s">
        <v>6650</v>
      </c>
      <c r="D3803" s="40" t="s">
        <v>6651</v>
      </c>
      <c r="E3803" s="40" t="s">
        <v>6652</v>
      </c>
      <c r="F3803" s="40">
        <v>0</v>
      </c>
      <c r="G3803" s="40"/>
      <c r="H3803" s="40" t="s">
        <v>97</v>
      </c>
      <c r="I3803" s="40"/>
      <c r="J3803" s="40" t="s">
        <v>97</v>
      </c>
      <c r="K3803" s="40" t="s">
        <v>97</v>
      </c>
      <c r="L3803" s="40" t="s">
        <v>97</v>
      </c>
    </row>
    <row r="3804" spans="1:12" x14ac:dyDescent="0.25">
      <c r="A3804" s="40" t="s">
        <v>32</v>
      </c>
      <c r="B3804" s="40" t="s">
        <v>3743</v>
      </c>
      <c r="C3804" s="40" t="s">
        <v>6653</v>
      </c>
      <c r="D3804" s="40" t="s">
        <v>6654</v>
      </c>
      <c r="E3804" s="40" t="s">
        <v>6654</v>
      </c>
      <c r="F3804" s="40">
        <v>1</v>
      </c>
      <c r="G3804" s="40"/>
      <c r="H3804" s="40" t="s">
        <v>97</v>
      </c>
      <c r="I3804" s="40"/>
      <c r="J3804" s="40" t="s">
        <v>97</v>
      </c>
      <c r="K3804" s="40" t="s">
        <v>97</v>
      </c>
      <c r="L3804" s="40" t="s">
        <v>97</v>
      </c>
    </row>
    <row r="3805" spans="1:12" x14ac:dyDescent="0.25">
      <c r="A3805" s="40" t="s">
        <v>32</v>
      </c>
      <c r="B3805" s="40" t="s">
        <v>6267</v>
      </c>
      <c r="C3805" s="40" t="s">
        <v>6655</v>
      </c>
      <c r="D3805" s="40" t="s">
        <v>2233</v>
      </c>
      <c r="E3805" s="40" t="s">
        <v>2233</v>
      </c>
      <c r="F3805" s="40">
        <v>1</v>
      </c>
      <c r="G3805" s="40"/>
      <c r="H3805" s="40" t="s">
        <v>97</v>
      </c>
      <c r="I3805" s="40"/>
      <c r="J3805" s="40" t="s">
        <v>97</v>
      </c>
      <c r="K3805" s="40" t="s">
        <v>97</v>
      </c>
      <c r="L3805" s="40" t="s">
        <v>97</v>
      </c>
    </row>
    <row r="3806" spans="1:12" x14ac:dyDescent="0.25">
      <c r="A3806" s="40" t="s">
        <v>32</v>
      </c>
      <c r="B3806" s="40" t="s">
        <v>3747</v>
      </c>
      <c r="C3806" s="40" t="s">
        <v>6656</v>
      </c>
      <c r="D3806" s="40" t="s">
        <v>6657</v>
      </c>
      <c r="E3806" s="40" t="s">
        <v>6657</v>
      </c>
      <c r="F3806" s="40">
        <v>1</v>
      </c>
      <c r="G3806" s="40"/>
      <c r="H3806" s="40" t="s">
        <v>97</v>
      </c>
      <c r="I3806" s="40"/>
      <c r="J3806" s="40" t="s">
        <v>97</v>
      </c>
      <c r="K3806" s="40" t="s">
        <v>97</v>
      </c>
      <c r="L3806" s="40" t="s">
        <v>97</v>
      </c>
    </row>
    <row r="3807" spans="1:12" x14ac:dyDescent="0.25">
      <c r="A3807" s="40" t="s">
        <v>32</v>
      </c>
      <c r="B3807" s="40" t="s">
        <v>3749</v>
      </c>
      <c r="C3807" s="40" t="s">
        <v>6658</v>
      </c>
      <c r="D3807" s="40" t="s">
        <v>2233</v>
      </c>
      <c r="E3807" s="40" t="s">
        <v>2233</v>
      </c>
      <c r="F3807" s="40">
        <v>1</v>
      </c>
      <c r="G3807" s="40"/>
      <c r="H3807" s="40" t="s">
        <v>97</v>
      </c>
      <c r="I3807" s="40"/>
      <c r="J3807" s="40" t="s">
        <v>97</v>
      </c>
      <c r="K3807" s="40" t="s">
        <v>97</v>
      </c>
      <c r="L3807" s="40" t="s">
        <v>97</v>
      </c>
    </row>
    <row r="3808" spans="1:12" x14ac:dyDescent="0.25">
      <c r="A3808" s="40" t="s">
        <v>32</v>
      </c>
      <c r="B3808" s="40" t="s">
        <v>6276</v>
      </c>
      <c r="C3808" s="40" t="s">
        <v>6659</v>
      </c>
      <c r="D3808" s="40" t="s">
        <v>2233</v>
      </c>
      <c r="E3808" s="40" t="s">
        <v>2233</v>
      </c>
      <c r="F3808" s="40">
        <v>1</v>
      </c>
      <c r="G3808" s="40"/>
      <c r="H3808" s="40" t="s">
        <v>97</v>
      </c>
      <c r="I3808" s="40"/>
      <c r="J3808" s="40" t="s">
        <v>97</v>
      </c>
      <c r="K3808" s="40" t="s">
        <v>97</v>
      </c>
      <c r="L3808" s="40" t="s">
        <v>97</v>
      </c>
    </row>
    <row r="3809" spans="1:12" x14ac:dyDescent="0.25">
      <c r="A3809" s="40" t="s">
        <v>32</v>
      </c>
      <c r="B3809" s="40" t="s">
        <v>6278</v>
      </c>
      <c r="C3809" s="40" t="s">
        <v>6660</v>
      </c>
      <c r="D3809" s="40" t="s">
        <v>2233</v>
      </c>
      <c r="E3809" s="40" t="s">
        <v>2233</v>
      </c>
      <c r="F3809" s="40">
        <v>1</v>
      </c>
      <c r="G3809" s="40"/>
      <c r="H3809" s="40" t="s">
        <v>97</v>
      </c>
      <c r="I3809" s="40"/>
      <c r="J3809" s="40" t="s">
        <v>97</v>
      </c>
      <c r="K3809" s="40" t="s">
        <v>97</v>
      </c>
      <c r="L3809" s="40" t="s">
        <v>97</v>
      </c>
    </row>
    <row r="3810" spans="1:12" x14ac:dyDescent="0.25">
      <c r="A3810" s="40" t="s">
        <v>32</v>
      </c>
      <c r="B3810" s="40" t="s">
        <v>6280</v>
      </c>
      <c r="C3810" s="40" t="s">
        <v>6661</v>
      </c>
      <c r="D3810" s="40" t="s">
        <v>2233</v>
      </c>
      <c r="E3810" s="40" t="s">
        <v>2233</v>
      </c>
      <c r="F3810" s="40">
        <v>1</v>
      </c>
      <c r="G3810" s="40"/>
      <c r="H3810" s="40" t="s">
        <v>97</v>
      </c>
      <c r="I3810" s="40"/>
      <c r="J3810" s="40" t="s">
        <v>97</v>
      </c>
      <c r="K3810" s="40" t="s">
        <v>97</v>
      </c>
      <c r="L3810" s="40" t="s">
        <v>97</v>
      </c>
    </row>
    <row r="3811" spans="1:12" x14ac:dyDescent="0.25">
      <c r="A3811" s="40" t="s">
        <v>32</v>
      </c>
      <c r="B3811" s="40" t="s">
        <v>6282</v>
      </c>
      <c r="C3811" s="40" t="s">
        <v>6662</v>
      </c>
      <c r="D3811" s="40" t="s">
        <v>2233</v>
      </c>
      <c r="E3811" s="40" t="s">
        <v>2233</v>
      </c>
      <c r="F3811" s="40">
        <v>1</v>
      </c>
      <c r="G3811" s="40"/>
      <c r="H3811" s="40" t="s">
        <v>97</v>
      </c>
      <c r="I3811" s="40"/>
      <c r="J3811" s="40" t="s">
        <v>97</v>
      </c>
      <c r="K3811" s="40" t="s">
        <v>97</v>
      </c>
      <c r="L3811" s="40" t="s">
        <v>97</v>
      </c>
    </row>
    <row r="3812" spans="1:12" x14ac:dyDescent="0.25">
      <c r="A3812" s="40" t="s">
        <v>32</v>
      </c>
      <c r="B3812" s="40" t="s">
        <v>3751</v>
      </c>
      <c r="C3812" s="40" t="s">
        <v>6663</v>
      </c>
      <c r="D3812" s="40" t="s">
        <v>2233</v>
      </c>
      <c r="E3812" s="40" t="s">
        <v>2233</v>
      </c>
      <c r="F3812" s="40">
        <v>1</v>
      </c>
      <c r="G3812" s="40"/>
      <c r="H3812" s="40" t="s">
        <v>97</v>
      </c>
      <c r="I3812" s="40"/>
      <c r="J3812" s="40" t="s">
        <v>97</v>
      </c>
      <c r="K3812" s="40" t="s">
        <v>97</v>
      </c>
      <c r="L3812" s="40" t="s">
        <v>97</v>
      </c>
    </row>
    <row r="3813" spans="1:12" x14ac:dyDescent="0.25">
      <c r="A3813" s="40" t="s">
        <v>32</v>
      </c>
      <c r="B3813" s="40" t="s">
        <v>6285</v>
      </c>
      <c r="C3813" s="40" t="s">
        <v>6664</v>
      </c>
      <c r="D3813" s="40" t="s">
        <v>2233</v>
      </c>
      <c r="E3813" s="40" t="s">
        <v>2233</v>
      </c>
      <c r="F3813" s="40">
        <v>1</v>
      </c>
      <c r="G3813" s="40"/>
      <c r="H3813" s="40" t="s">
        <v>97</v>
      </c>
      <c r="I3813" s="40"/>
      <c r="J3813" s="40" t="s">
        <v>97</v>
      </c>
      <c r="K3813" s="40" t="s">
        <v>97</v>
      </c>
      <c r="L3813" s="40" t="s">
        <v>97</v>
      </c>
    </row>
    <row r="3814" spans="1:12" x14ac:dyDescent="0.25">
      <c r="A3814" s="40" t="s">
        <v>32</v>
      </c>
      <c r="B3814" s="40" t="s">
        <v>3753</v>
      </c>
      <c r="C3814" s="40" t="s">
        <v>6665</v>
      </c>
      <c r="D3814" s="40" t="s">
        <v>2233</v>
      </c>
      <c r="E3814" s="40" t="s">
        <v>2233</v>
      </c>
      <c r="F3814" s="40">
        <v>1</v>
      </c>
      <c r="G3814" s="40"/>
      <c r="H3814" s="40" t="s">
        <v>97</v>
      </c>
      <c r="I3814" s="40"/>
      <c r="J3814" s="40" t="s">
        <v>97</v>
      </c>
      <c r="K3814" s="40" t="s">
        <v>97</v>
      </c>
      <c r="L3814" s="40" t="s">
        <v>97</v>
      </c>
    </row>
    <row r="3815" spans="1:12" x14ac:dyDescent="0.25">
      <c r="A3815" s="40" t="s">
        <v>32</v>
      </c>
      <c r="B3815" s="40" t="s">
        <v>6288</v>
      </c>
      <c r="C3815" s="40" t="s">
        <v>6666</v>
      </c>
      <c r="D3815" s="40" t="s">
        <v>2233</v>
      </c>
      <c r="E3815" s="40" t="s">
        <v>2233</v>
      </c>
      <c r="F3815" s="40">
        <v>1</v>
      </c>
      <c r="G3815" s="40"/>
      <c r="H3815" s="40" t="s">
        <v>97</v>
      </c>
      <c r="I3815" s="40"/>
      <c r="J3815" s="40" t="s">
        <v>97</v>
      </c>
      <c r="K3815" s="40" t="s">
        <v>97</v>
      </c>
      <c r="L3815" s="40" t="s">
        <v>97</v>
      </c>
    </row>
    <row r="3816" spans="1:12" x14ac:dyDescent="0.25">
      <c r="A3816" s="40" t="s">
        <v>32</v>
      </c>
      <c r="B3816" s="40" t="s">
        <v>3755</v>
      </c>
      <c r="C3816" s="40" t="s">
        <v>6667</v>
      </c>
      <c r="D3816" s="40" t="s">
        <v>2233</v>
      </c>
      <c r="E3816" s="40" t="s">
        <v>2233</v>
      </c>
      <c r="F3816" s="40">
        <v>1</v>
      </c>
      <c r="G3816" s="40"/>
      <c r="H3816" s="40" t="s">
        <v>97</v>
      </c>
      <c r="I3816" s="40"/>
      <c r="J3816" s="40" t="s">
        <v>97</v>
      </c>
      <c r="K3816" s="40" t="s">
        <v>97</v>
      </c>
      <c r="L3816" s="40" t="s">
        <v>97</v>
      </c>
    </row>
    <row r="3817" spans="1:12" x14ac:dyDescent="0.25">
      <c r="A3817" s="40" t="s">
        <v>32</v>
      </c>
      <c r="B3817" s="40" t="s">
        <v>6291</v>
      </c>
      <c r="C3817" s="40" t="s">
        <v>6668</v>
      </c>
      <c r="D3817" s="40" t="s">
        <v>2233</v>
      </c>
      <c r="E3817" s="40" t="s">
        <v>2233</v>
      </c>
      <c r="F3817" s="40">
        <v>1</v>
      </c>
      <c r="G3817" s="40"/>
      <c r="H3817" s="40" t="s">
        <v>97</v>
      </c>
      <c r="I3817" s="40"/>
      <c r="J3817" s="40" t="s">
        <v>97</v>
      </c>
      <c r="K3817" s="40" t="s">
        <v>97</v>
      </c>
      <c r="L3817" s="40" t="s">
        <v>97</v>
      </c>
    </row>
    <row r="3818" spans="1:12" x14ac:dyDescent="0.25">
      <c r="A3818" s="40" t="s">
        <v>32</v>
      </c>
      <c r="B3818" s="40" t="s">
        <v>3757</v>
      </c>
      <c r="C3818" s="40" t="s">
        <v>6669</v>
      </c>
      <c r="D3818" s="40" t="s">
        <v>2233</v>
      </c>
      <c r="E3818" s="40" t="s">
        <v>2233</v>
      </c>
      <c r="F3818" s="40">
        <v>1</v>
      </c>
      <c r="G3818" s="40"/>
      <c r="H3818" s="40" t="s">
        <v>97</v>
      </c>
      <c r="I3818" s="40"/>
      <c r="J3818" s="40" t="s">
        <v>97</v>
      </c>
      <c r="K3818" s="40" t="s">
        <v>97</v>
      </c>
      <c r="L3818" s="40" t="s">
        <v>97</v>
      </c>
    </row>
    <row r="3819" spans="1:12" x14ac:dyDescent="0.25">
      <c r="A3819" s="40" t="s">
        <v>32</v>
      </c>
      <c r="B3819" s="40" t="s">
        <v>6294</v>
      </c>
      <c r="C3819" s="40" t="s">
        <v>6670</v>
      </c>
      <c r="D3819" s="40" t="s">
        <v>2233</v>
      </c>
      <c r="E3819" s="40" t="s">
        <v>2233</v>
      </c>
      <c r="F3819" s="40">
        <v>1</v>
      </c>
      <c r="G3819" s="40"/>
      <c r="H3819" s="40" t="s">
        <v>97</v>
      </c>
      <c r="I3819" s="40"/>
      <c r="J3819" s="40" t="s">
        <v>97</v>
      </c>
      <c r="K3819" s="40" t="s">
        <v>97</v>
      </c>
      <c r="L3819" s="40" t="s">
        <v>97</v>
      </c>
    </row>
    <row r="3820" spans="1:12" x14ac:dyDescent="0.25">
      <c r="A3820" s="40" t="s">
        <v>32</v>
      </c>
      <c r="B3820" s="40" t="s">
        <v>3759</v>
      </c>
      <c r="C3820" s="40" t="s">
        <v>6671</v>
      </c>
      <c r="D3820" s="40" t="s">
        <v>2233</v>
      </c>
      <c r="E3820" s="40" t="s">
        <v>2233</v>
      </c>
      <c r="F3820" s="40">
        <v>1</v>
      </c>
      <c r="G3820" s="40"/>
      <c r="H3820" s="40" t="s">
        <v>97</v>
      </c>
      <c r="I3820" s="40"/>
      <c r="J3820" s="40" t="s">
        <v>97</v>
      </c>
      <c r="K3820" s="40" t="s">
        <v>97</v>
      </c>
      <c r="L3820" s="40" t="s">
        <v>97</v>
      </c>
    </row>
    <row r="3821" spans="1:12" x14ac:dyDescent="0.25">
      <c r="A3821" s="40" t="s">
        <v>32</v>
      </c>
      <c r="B3821" s="40" t="s">
        <v>6298</v>
      </c>
      <c r="C3821" s="40" t="s">
        <v>6672</v>
      </c>
      <c r="D3821" s="40" t="s">
        <v>2233</v>
      </c>
      <c r="E3821" s="40" t="s">
        <v>2233</v>
      </c>
      <c r="F3821" s="40">
        <v>1</v>
      </c>
      <c r="G3821" s="40"/>
      <c r="H3821" s="40" t="s">
        <v>97</v>
      </c>
      <c r="I3821" s="40"/>
      <c r="J3821" s="40" t="s">
        <v>97</v>
      </c>
      <c r="K3821" s="40" t="s">
        <v>97</v>
      </c>
      <c r="L3821" s="40" t="s">
        <v>97</v>
      </c>
    </row>
    <row r="3822" spans="1:12" x14ac:dyDescent="0.25">
      <c r="A3822" s="40" t="s">
        <v>32</v>
      </c>
      <c r="B3822" s="40" t="s">
        <v>3761</v>
      </c>
      <c r="C3822" s="40" t="s">
        <v>6673</v>
      </c>
      <c r="D3822" s="40" t="s">
        <v>2233</v>
      </c>
      <c r="E3822" s="40" t="s">
        <v>2233</v>
      </c>
      <c r="F3822" s="40">
        <v>1</v>
      </c>
      <c r="G3822" s="40"/>
      <c r="H3822" s="40" t="s">
        <v>97</v>
      </c>
      <c r="I3822" s="40"/>
      <c r="J3822" s="40" t="s">
        <v>97</v>
      </c>
      <c r="K3822" s="40" t="s">
        <v>97</v>
      </c>
      <c r="L3822" s="40" t="s">
        <v>97</v>
      </c>
    </row>
    <row r="3823" spans="1:12" x14ac:dyDescent="0.25">
      <c r="A3823" s="40" t="s">
        <v>32</v>
      </c>
      <c r="B3823" s="40" t="s">
        <v>3763</v>
      </c>
      <c r="C3823" s="40" t="s">
        <v>6674</v>
      </c>
      <c r="D3823" s="40" t="s">
        <v>2233</v>
      </c>
      <c r="E3823" s="40" t="s">
        <v>2233</v>
      </c>
      <c r="F3823" s="40">
        <v>1</v>
      </c>
      <c r="G3823" s="40"/>
      <c r="H3823" s="40" t="s">
        <v>97</v>
      </c>
      <c r="I3823" s="40"/>
      <c r="J3823" s="40" t="s">
        <v>97</v>
      </c>
      <c r="K3823" s="40" t="s">
        <v>97</v>
      </c>
      <c r="L3823" s="40" t="s">
        <v>97</v>
      </c>
    </row>
    <row r="3824" spans="1:12" x14ac:dyDescent="0.25">
      <c r="A3824" s="40" t="s">
        <v>32</v>
      </c>
      <c r="B3824" s="40" t="s">
        <v>6306</v>
      </c>
      <c r="C3824" s="40" t="s">
        <v>6675</v>
      </c>
      <c r="D3824" s="40" t="s">
        <v>2233</v>
      </c>
      <c r="E3824" s="40" t="s">
        <v>2233</v>
      </c>
      <c r="F3824" s="40">
        <v>1</v>
      </c>
      <c r="G3824" s="40"/>
      <c r="H3824" s="40" t="s">
        <v>97</v>
      </c>
      <c r="I3824" s="40"/>
      <c r="J3824" s="40" t="s">
        <v>97</v>
      </c>
      <c r="K3824" s="40" t="s">
        <v>97</v>
      </c>
      <c r="L3824" s="40" t="s">
        <v>97</v>
      </c>
    </row>
    <row r="3825" spans="1:12" x14ac:dyDescent="0.25">
      <c r="A3825" s="40" t="s">
        <v>32</v>
      </c>
      <c r="B3825" s="40" t="s">
        <v>3765</v>
      </c>
      <c r="C3825" s="40" t="s">
        <v>6676</v>
      </c>
      <c r="D3825" s="40" t="s">
        <v>2233</v>
      </c>
      <c r="E3825" s="40" t="s">
        <v>2233</v>
      </c>
      <c r="F3825" s="40">
        <v>1</v>
      </c>
      <c r="G3825" s="40"/>
      <c r="H3825" s="40" t="s">
        <v>97</v>
      </c>
      <c r="I3825" s="40"/>
      <c r="J3825" s="40" t="s">
        <v>97</v>
      </c>
      <c r="K3825" s="40" t="s">
        <v>97</v>
      </c>
      <c r="L3825" s="40" t="s">
        <v>97</v>
      </c>
    </row>
    <row r="3826" spans="1:12" x14ac:dyDescent="0.25">
      <c r="A3826" s="40" t="s">
        <v>32</v>
      </c>
      <c r="B3826" s="40" t="s">
        <v>6309</v>
      </c>
      <c r="C3826" s="40" t="s">
        <v>6677</v>
      </c>
      <c r="D3826" s="40" t="s">
        <v>2233</v>
      </c>
      <c r="E3826" s="40" t="s">
        <v>2233</v>
      </c>
      <c r="F3826" s="40">
        <v>1</v>
      </c>
      <c r="G3826" s="40"/>
      <c r="H3826" s="40" t="s">
        <v>97</v>
      </c>
      <c r="I3826" s="40"/>
      <c r="J3826" s="40" t="s">
        <v>97</v>
      </c>
      <c r="K3826" s="40" t="s">
        <v>97</v>
      </c>
      <c r="L3826" s="40" t="s">
        <v>97</v>
      </c>
    </row>
    <row r="3827" spans="1:12" x14ac:dyDescent="0.25">
      <c r="A3827" s="40" t="s">
        <v>32</v>
      </c>
      <c r="B3827" s="40" t="s">
        <v>6311</v>
      </c>
      <c r="C3827" s="40" t="s">
        <v>6678</v>
      </c>
      <c r="D3827" s="40" t="s">
        <v>2233</v>
      </c>
      <c r="E3827" s="40" t="s">
        <v>2233</v>
      </c>
      <c r="F3827" s="40">
        <v>1</v>
      </c>
      <c r="G3827" s="40"/>
      <c r="H3827" s="40" t="s">
        <v>97</v>
      </c>
      <c r="I3827" s="40"/>
      <c r="J3827" s="40" t="s">
        <v>97</v>
      </c>
      <c r="K3827" s="40" t="s">
        <v>97</v>
      </c>
      <c r="L3827" s="40" t="s">
        <v>97</v>
      </c>
    </row>
    <row r="3828" spans="1:12" x14ac:dyDescent="0.25">
      <c r="A3828" s="40" t="s">
        <v>32</v>
      </c>
      <c r="B3828" s="40" t="s">
        <v>6313</v>
      </c>
      <c r="C3828" s="40" t="s">
        <v>6679</v>
      </c>
      <c r="D3828" s="40" t="s">
        <v>2233</v>
      </c>
      <c r="E3828" s="40" t="s">
        <v>2233</v>
      </c>
      <c r="F3828" s="40">
        <v>1</v>
      </c>
      <c r="G3828" s="40"/>
      <c r="H3828" s="40" t="s">
        <v>97</v>
      </c>
      <c r="I3828" s="40"/>
      <c r="J3828" s="40" t="s">
        <v>97</v>
      </c>
      <c r="K3828" s="40" t="s">
        <v>97</v>
      </c>
      <c r="L3828" s="40" t="s">
        <v>97</v>
      </c>
    </row>
    <row r="3829" spans="1:12" x14ac:dyDescent="0.25">
      <c r="A3829" s="40" t="s">
        <v>32</v>
      </c>
      <c r="B3829" s="40" t="s">
        <v>6315</v>
      </c>
      <c r="C3829" s="40" t="s">
        <v>6680</v>
      </c>
      <c r="D3829" s="40" t="s">
        <v>2233</v>
      </c>
      <c r="E3829" s="40" t="s">
        <v>2233</v>
      </c>
      <c r="F3829" s="40">
        <v>1</v>
      </c>
      <c r="G3829" s="40"/>
      <c r="H3829" s="40" t="s">
        <v>97</v>
      </c>
      <c r="I3829" s="40"/>
      <c r="J3829" s="40" t="s">
        <v>97</v>
      </c>
      <c r="K3829" s="40" t="s">
        <v>97</v>
      </c>
      <c r="L3829" s="40" t="s">
        <v>97</v>
      </c>
    </row>
    <row r="3830" spans="1:12" x14ac:dyDescent="0.25">
      <c r="A3830" s="40" t="s">
        <v>32</v>
      </c>
      <c r="B3830" s="40" t="s">
        <v>6317</v>
      </c>
      <c r="C3830" s="40" t="s">
        <v>6681</v>
      </c>
      <c r="D3830" s="40" t="s">
        <v>2233</v>
      </c>
      <c r="E3830" s="40" t="s">
        <v>2233</v>
      </c>
      <c r="F3830" s="40">
        <v>1</v>
      </c>
      <c r="G3830" s="40"/>
      <c r="H3830" s="40" t="s">
        <v>97</v>
      </c>
      <c r="I3830" s="40"/>
      <c r="J3830" s="40" t="s">
        <v>97</v>
      </c>
      <c r="K3830" s="40" t="s">
        <v>97</v>
      </c>
      <c r="L3830" s="40" t="s">
        <v>97</v>
      </c>
    </row>
    <row r="3831" spans="1:12" x14ac:dyDescent="0.25">
      <c r="A3831" s="40" t="s">
        <v>32</v>
      </c>
      <c r="B3831" s="40" t="s">
        <v>6319</v>
      </c>
      <c r="C3831" s="40" t="s">
        <v>6682</v>
      </c>
      <c r="D3831" s="40" t="s">
        <v>2233</v>
      </c>
      <c r="E3831" s="40" t="s">
        <v>2233</v>
      </c>
      <c r="F3831" s="40">
        <v>1</v>
      </c>
      <c r="G3831" s="40"/>
      <c r="H3831" s="40" t="s">
        <v>97</v>
      </c>
      <c r="I3831" s="40"/>
      <c r="J3831" s="40" t="s">
        <v>97</v>
      </c>
      <c r="K3831" s="40" t="s">
        <v>97</v>
      </c>
      <c r="L3831" s="40" t="s">
        <v>97</v>
      </c>
    </row>
    <row r="3832" spans="1:12" x14ac:dyDescent="0.25">
      <c r="A3832" s="40" t="s">
        <v>32</v>
      </c>
      <c r="B3832" s="40" t="s">
        <v>6683</v>
      </c>
      <c r="C3832" s="40" t="s">
        <v>6684</v>
      </c>
      <c r="D3832" s="40" t="s">
        <v>2233</v>
      </c>
      <c r="E3832" s="40" t="s">
        <v>2233</v>
      </c>
      <c r="F3832" s="40">
        <v>1</v>
      </c>
      <c r="G3832" s="40"/>
      <c r="H3832" s="40" t="s">
        <v>97</v>
      </c>
      <c r="I3832" s="40"/>
      <c r="J3832" s="40" t="s">
        <v>97</v>
      </c>
      <c r="K3832" s="40" t="s">
        <v>97</v>
      </c>
      <c r="L3832" s="40" t="s">
        <v>97</v>
      </c>
    </row>
    <row r="3833" spans="1:12" x14ac:dyDescent="0.25">
      <c r="A3833" s="40" t="s">
        <v>32</v>
      </c>
      <c r="B3833" s="40" t="s">
        <v>6685</v>
      </c>
      <c r="C3833" s="40" t="s">
        <v>6686</v>
      </c>
      <c r="D3833" s="40" t="s">
        <v>2233</v>
      </c>
      <c r="E3833" s="40" t="s">
        <v>2233</v>
      </c>
      <c r="F3833" s="40">
        <v>1</v>
      </c>
      <c r="G3833" s="40"/>
      <c r="H3833" s="40" t="s">
        <v>97</v>
      </c>
      <c r="I3833" s="40"/>
      <c r="J3833" s="40" t="s">
        <v>97</v>
      </c>
      <c r="K3833" s="40" t="s">
        <v>97</v>
      </c>
      <c r="L3833" s="40" t="s">
        <v>97</v>
      </c>
    </row>
    <row r="3834" spans="1:12" x14ac:dyDescent="0.25">
      <c r="A3834" s="40" t="s">
        <v>32</v>
      </c>
      <c r="B3834" s="40" t="s">
        <v>6321</v>
      </c>
      <c r="C3834" s="40" t="s">
        <v>6687</v>
      </c>
      <c r="D3834" s="40" t="s">
        <v>2233</v>
      </c>
      <c r="E3834" s="40" t="s">
        <v>2233</v>
      </c>
      <c r="F3834" s="40">
        <v>1</v>
      </c>
      <c r="G3834" s="40"/>
      <c r="H3834" s="40" t="s">
        <v>97</v>
      </c>
      <c r="I3834" s="40"/>
      <c r="J3834" s="40" t="s">
        <v>97</v>
      </c>
      <c r="K3834" s="40" t="s">
        <v>97</v>
      </c>
      <c r="L3834" s="40" t="s">
        <v>97</v>
      </c>
    </row>
    <row r="3835" spans="1:12" x14ac:dyDescent="0.25">
      <c r="A3835" s="40" t="s">
        <v>32</v>
      </c>
      <c r="B3835" s="40" t="s">
        <v>6325</v>
      </c>
      <c r="C3835" s="40" t="s">
        <v>6688</v>
      </c>
      <c r="D3835" s="40" t="s">
        <v>2233</v>
      </c>
      <c r="E3835" s="40" t="s">
        <v>2233</v>
      </c>
      <c r="F3835" s="40">
        <v>1</v>
      </c>
      <c r="G3835" s="40"/>
      <c r="H3835" s="40" t="s">
        <v>2234</v>
      </c>
      <c r="I3835" s="40"/>
      <c r="J3835" s="40" t="s">
        <v>97</v>
      </c>
      <c r="K3835" s="40" t="s">
        <v>97</v>
      </c>
      <c r="L3835" s="40" t="s">
        <v>97</v>
      </c>
    </row>
    <row r="3836" spans="1:12" x14ac:dyDescent="0.25">
      <c r="A3836" s="40" t="s">
        <v>32</v>
      </c>
      <c r="B3836" s="40" t="s">
        <v>6327</v>
      </c>
      <c r="C3836" s="40" t="s">
        <v>6689</v>
      </c>
      <c r="D3836" s="40" t="s">
        <v>2233</v>
      </c>
      <c r="E3836" s="40" t="s">
        <v>2233</v>
      </c>
      <c r="F3836" s="40">
        <v>1</v>
      </c>
      <c r="G3836" s="40"/>
      <c r="H3836" s="40" t="s">
        <v>2234</v>
      </c>
      <c r="I3836" s="40"/>
      <c r="J3836" s="40" t="s">
        <v>97</v>
      </c>
      <c r="K3836" s="40" t="s">
        <v>97</v>
      </c>
      <c r="L3836" s="40" t="s">
        <v>97</v>
      </c>
    </row>
    <row r="3837" spans="1:12" x14ac:dyDescent="0.25">
      <c r="A3837" s="40" t="s">
        <v>32</v>
      </c>
      <c r="B3837" s="40" t="s">
        <v>6329</v>
      </c>
      <c r="C3837" s="40" t="s">
        <v>6690</v>
      </c>
      <c r="D3837" s="40" t="s">
        <v>2233</v>
      </c>
      <c r="E3837" s="40" t="s">
        <v>2233</v>
      </c>
      <c r="F3837" s="40">
        <v>1</v>
      </c>
      <c r="G3837" s="40"/>
      <c r="H3837" s="40" t="s">
        <v>2234</v>
      </c>
      <c r="I3837" s="40"/>
      <c r="J3837" s="40" t="s">
        <v>97</v>
      </c>
      <c r="K3837" s="40" t="s">
        <v>97</v>
      </c>
      <c r="L3837" s="40" t="s">
        <v>97</v>
      </c>
    </row>
    <row r="3838" spans="1:12" x14ac:dyDescent="0.25">
      <c r="A3838" s="40" t="s">
        <v>32</v>
      </c>
      <c r="B3838" s="40" t="s">
        <v>6691</v>
      </c>
      <c r="C3838" s="40" t="s">
        <v>6692</v>
      </c>
      <c r="D3838" s="40" t="s">
        <v>6693</v>
      </c>
      <c r="E3838" s="40" t="s">
        <v>6693</v>
      </c>
      <c r="F3838" s="40">
        <v>1</v>
      </c>
      <c r="G3838" s="40"/>
      <c r="H3838" s="40" t="s">
        <v>97</v>
      </c>
      <c r="I3838" s="40"/>
      <c r="J3838" s="40" t="s">
        <v>97</v>
      </c>
      <c r="K3838" s="40" t="s">
        <v>97</v>
      </c>
      <c r="L3838" s="40" t="s">
        <v>97</v>
      </c>
    </row>
    <row r="3839" spans="1:12" x14ac:dyDescent="0.25">
      <c r="A3839" s="40" t="s">
        <v>32</v>
      </c>
      <c r="B3839" s="40" t="s">
        <v>6694</v>
      </c>
      <c r="C3839" s="40" t="s">
        <v>6695</v>
      </c>
      <c r="D3839" s="40" t="s">
        <v>2233</v>
      </c>
      <c r="E3839" s="40" t="s">
        <v>2233</v>
      </c>
      <c r="F3839" s="40">
        <v>1</v>
      </c>
      <c r="G3839" s="40"/>
      <c r="H3839" s="40" t="s">
        <v>97</v>
      </c>
      <c r="I3839" s="40"/>
      <c r="J3839" s="40" t="s">
        <v>97</v>
      </c>
      <c r="K3839" s="40" t="s">
        <v>97</v>
      </c>
      <c r="L3839" s="40" t="s">
        <v>97</v>
      </c>
    </row>
    <row r="3840" spans="1:12" x14ac:dyDescent="0.25">
      <c r="A3840" s="40" t="s">
        <v>32</v>
      </c>
      <c r="B3840" s="40" t="s">
        <v>6696</v>
      </c>
      <c r="C3840" s="40" t="s">
        <v>6697</v>
      </c>
      <c r="D3840" s="40" t="s">
        <v>2233</v>
      </c>
      <c r="E3840" s="40" t="s">
        <v>2233</v>
      </c>
      <c r="F3840" s="40">
        <v>1</v>
      </c>
      <c r="G3840" s="40"/>
      <c r="H3840" s="40" t="s">
        <v>97</v>
      </c>
      <c r="I3840" s="40"/>
      <c r="J3840" s="40" t="s">
        <v>97</v>
      </c>
      <c r="K3840" s="40" t="s">
        <v>97</v>
      </c>
      <c r="L3840" s="40" t="s">
        <v>97</v>
      </c>
    </row>
    <row r="3841" spans="1:12" x14ac:dyDescent="0.25">
      <c r="A3841" s="40" t="s">
        <v>32</v>
      </c>
      <c r="B3841" s="40" t="s">
        <v>6698</v>
      </c>
      <c r="C3841" s="40" t="s">
        <v>6699</v>
      </c>
      <c r="D3841" s="40" t="s">
        <v>2233</v>
      </c>
      <c r="E3841" s="40" t="s">
        <v>2233</v>
      </c>
      <c r="F3841" s="40">
        <v>1</v>
      </c>
      <c r="G3841" s="40"/>
      <c r="H3841" s="40" t="s">
        <v>97</v>
      </c>
      <c r="I3841" s="40"/>
      <c r="J3841" s="40" t="s">
        <v>97</v>
      </c>
      <c r="K3841" s="40" t="s">
        <v>97</v>
      </c>
      <c r="L3841" s="40" t="s">
        <v>97</v>
      </c>
    </row>
    <row r="3842" spans="1:12" x14ac:dyDescent="0.25">
      <c r="A3842" s="40" t="s">
        <v>32</v>
      </c>
      <c r="B3842" s="40" t="s">
        <v>6700</v>
      </c>
      <c r="C3842" s="40" t="s">
        <v>6701</v>
      </c>
      <c r="D3842" s="40" t="s">
        <v>2233</v>
      </c>
      <c r="E3842" s="40" t="s">
        <v>2233</v>
      </c>
      <c r="F3842" s="40">
        <v>1</v>
      </c>
      <c r="G3842" s="40"/>
      <c r="H3842" s="40" t="s">
        <v>97</v>
      </c>
      <c r="I3842" s="40"/>
      <c r="J3842" s="40" t="s">
        <v>97</v>
      </c>
      <c r="K3842" s="40" t="s">
        <v>97</v>
      </c>
      <c r="L3842" s="40" t="s">
        <v>97</v>
      </c>
    </row>
    <row r="3843" spans="1:12" x14ac:dyDescent="0.25">
      <c r="A3843" s="40" t="s">
        <v>32</v>
      </c>
      <c r="B3843" s="40" t="s">
        <v>3953</v>
      </c>
      <c r="C3843" s="40" t="s">
        <v>6702</v>
      </c>
      <c r="D3843" s="40" t="s">
        <v>2281</v>
      </c>
      <c r="E3843" s="40" t="s">
        <v>2281</v>
      </c>
      <c r="F3843" s="40">
        <v>1</v>
      </c>
      <c r="G3843" s="40"/>
      <c r="H3843" s="40" t="s">
        <v>2234</v>
      </c>
      <c r="I3843" s="40"/>
      <c r="J3843" s="40" t="s">
        <v>97</v>
      </c>
      <c r="K3843" s="40" t="s">
        <v>97</v>
      </c>
      <c r="L3843" s="40" t="s">
        <v>97</v>
      </c>
    </row>
    <row r="3844" spans="1:12" x14ac:dyDescent="0.25">
      <c r="A3844" s="40" t="s">
        <v>32</v>
      </c>
      <c r="B3844" s="40" t="s">
        <v>3960</v>
      </c>
      <c r="C3844" s="40" t="s">
        <v>6703</v>
      </c>
      <c r="D3844" s="40" t="s">
        <v>6704</v>
      </c>
      <c r="E3844" s="40" t="s">
        <v>6594</v>
      </c>
      <c r="F3844" s="40">
        <v>0</v>
      </c>
      <c r="G3844" s="40"/>
      <c r="H3844" s="40" t="s">
        <v>97</v>
      </c>
      <c r="I3844" s="40"/>
      <c r="J3844" s="40" t="s">
        <v>97</v>
      </c>
      <c r="K3844" s="40" t="s">
        <v>97</v>
      </c>
      <c r="L3844" s="40" t="s">
        <v>97</v>
      </c>
    </row>
    <row r="3845" spans="1:12" x14ac:dyDescent="0.25">
      <c r="A3845" s="40" t="s">
        <v>32</v>
      </c>
      <c r="B3845" s="40" t="s">
        <v>6339</v>
      </c>
      <c r="C3845" s="40" t="s">
        <v>6705</v>
      </c>
      <c r="D3845" s="40" t="s">
        <v>3101</v>
      </c>
      <c r="E3845" s="40" t="s">
        <v>2499</v>
      </c>
      <c r="F3845" s="40">
        <v>0</v>
      </c>
      <c r="G3845" s="40"/>
      <c r="H3845" s="40" t="s">
        <v>97</v>
      </c>
      <c r="I3845" s="40"/>
      <c r="J3845" s="40" t="s">
        <v>97</v>
      </c>
      <c r="K3845" s="40" t="s">
        <v>97</v>
      </c>
      <c r="L3845" s="40" t="s">
        <v>97</v>
      </c>
    </row>
    <row r="3846" spans="1:12" x14ac:dyDescent="0.25">
      <c r="A3846" s="40" t="s">
        <v>32</v>
      </c>
      <c r="B3846" s="40" t="s">
        <v>3962</v>
      </c>
      <c r="C3846" s="40" t="s">
        <v>6706</v>
      </c>
      <c r="D3846" s="40" t="s">
        <v>6707</v>
      </c>
      <c r="E3846" s="40" t="s">
        <v>6598</v>
      </c>
      <c r="F3846" s="40">
        <v>0</v>
      </c>
      <c r="G3846" s="40"/>
      <c r="H3846" s="40" t="s">
        <v>97</v>
      </c>
      <c r="I3846" s="40"/>
      <c r="J3846" s="40" t="s">
        <v>97</v>
      </c>
      <c r="K3846" s="40" t="s">
        <v>97</v>
      </c>
      <c r="L3846" s="40" t="s">
        <v>97</v>
      </c>
    </row>
    <row r="3847" spans="1:12" x14ac:dyDescent="0.25">
      <c r="A3847" s="40" t="s">
        <v>32</v>
      </c>
      <c r="B3847" s="40" t="s">
        <v>6342</v>
      </c>
      <c r="C3847" s="40" t="s">
        <v>6708</v>
      </c>
      <c r="D3847" s="40" t="s">
        <v>2233</v>
      </c>
      <c r="E3847" s="40" t="s">
        <v>2233</v>
      </c>
      <c r="F3847" s="40">
        <v>1</v>
      </c>
      <c r="G3847" s="40"/>
      <c r="H3847" s="40" t="s">
        <v>2234</v>
      </c>
      <c r="I3847" s="40"/>
      <c r="J3847" s="40" t="s">
        <v>97</v>
      </c>
      <c r="K3847" s="40" t="s">
        <v>97</v>
      </c>
      <c r="L3847" s="40" t="s">
        <v>97</v>
      </c>
    </row>
    <row r="3848" spans="1:12" x14ac:dyDescent="0.25">
      <c r="A3848" s="40" t="s">
        <v>32</v>
      </c>
      <c r="B3848" s="40" t="s">
        <v>3964</v>
      </c>
      <c r="C3848" s="40" t="s">
        <v>6709</v>
      </c>
      <c r="D3848" s="40" t="s">
        <v>2233</v>
      </c>
      <c r="E3848" s="40" t="s">
        <v>2233</v>
      </c>
      <c r="F3848" s="40">
        <v>1</v>
      </c>
      <c r="G3848" s="40"/>
      <c r="H3848" s="40" t="s">
        <v>2234</v>
      </c>
      <c r="I3848" s="40"/>
      <c r="J3848" s="40" t="s">
        <v>97</v>
      </c>
      <c r="K3848" s="40" t="s">
        <v>97</v>
      </c>
      <c r="L3848" s="40" t="s">
        <v>97</v>
      </c>
    </row>
    <row r="3849" spans="1:12" x14ac:dyDescent="0.25">
      <c r="A3849" s="40" t="s">
        <v>32</v>
      </c>
      <c r="B3849" s="40" t="s">
        <v>6710</v>
      </c>
      <c r="C3849" s="40" t="s">
        <v>6711</v>
      </c>
      <c r="D3849" s="40" t="s">
        <v>2233</v>
      </c>
      <c r="E3849" s="40" t="s">
        <v>2233</v>
      </c>
      <c r="F3849" s="40">
        <v>1</v>
      </c>
      <c r="G3849" s="40"/>
      <c r="H3849" s="40" t="s">
        <v>2234</v>
      </c>
      <c r="I3849" s="40"/>
      <c r="J3849" s="40" t="s">
        <v>97</v>
      </c>
      <c r="K3849" s="40" t="s">
        <v>97</v>
      </c>
      <c r="L3849" s="40" t="s">
        <v>97</v>
      </c>
    </row>
    <row r="3850" spans="1:12" x14ac:dyDescent="0.25">
      <c r="A3850" s="40" t="s">
        <v>32</v>
      </c>
      <c r="B3850" s="40" t="s">
        <v>3966</v>
      </c>
      <c r="C3850" s="40" t="s">
        <v>6712</v>
      </c>
      <c r="D3850" s="40" t="s">
        <v>2233</v>
      </c>
      <c r="E3850" s="40" t="s">
        <v>2233</v>
      </c>
      <c r="F3850" s="40">
        <v>1</v>
      </c>
      <c r="G3850" s="40"/>
      <c r="H3850" s="40" t="s">
        <v>2234</v>
      </c>
      <c r="I3850" s="40"/>
      <c r="J3850" s="40" t="s">
        <v>97</v>
      </c>
      <c r="K3850" s="40" t="s">
        <v>97</v>
      </c>
      <c r="L3850" s="40" t="s">
        <v>97</v>
      </c>
    </row>
    <row r="3851" spans="1:12" x14ac:dyDescent="0.25">
      <c r="A3851" s="40" t="s">
        <v>32</v>
      </c>
      <c r="B3851" s="40" t="s">
        <v>6713</v>
      </c>
      <c r="C3851" s="40" t="s">
        <v>6714</v>
      </c>
      <c r="D3851" s="40" t="s">
        <v>2233</v>
      </c>
      <c r="E3851" s="40" t="s">
        <v>2233</v>
      </c>
      <c r="F3851" s="40">
        <v>1</v>
      </c>
      <c r="G3851" s="40"/>
      <c r="H3851" s="40" t="s">
        <v>2234</v>
      </c>
      <c r="I3851" s="40"/>
      <c r="J3851" s="40" t="s">
        <v>97</v>
      </c>
      <c r="K3851" s="40" t="s">
        <v>97</v>
      </c>
      <c r="L3851" s="40" t="s">
        <v>97</v>
      </c>
    </row>
    <row r="3852" spans="1:12" x14ac:dyDescent="0.25">
      <c r="A3852" s="40" t="s">
        <v>32</v>
      </c>
      <c r="B3852" s="40" t="s">
        <v>6345</v>
      </c>
      <c r="C3852" s="40" t="s">
        <v>6715</v>
      </c>
      <c r="D3852" s="40" t="s">
        <v>2233</v>
      </c>
      <c r="E3852" s="40" t="s">
        <v>2233</v>
      </c>
      <c r="F3852" s="40">
        <v>1</v>
      </c>
      <c r="G3852" s="40"/>
      <c r="H3852" s="40" t="s">
        <v>2234</v>
      </c>
      <c r="I3852" s="40"/>
      <c r="J3852" s="40" t="s">
        <v>97</v>
      </c>
      <c r="K3852" s="40" t="s">
        <v>97</v>
      </c>
      <c r="L3852" s="40" t="s">
        <v>97</v>
      </c>
    </row>
    <row r="3853" spans="1:12" x14ac:dyDescent="0.25">
      <c r="A3853" s="40" t="s">
        <v>32</v>
      </c>
      <c r="B3853" s="40" t="s">
        <v>3149</v>
      </c>
      <c r="C3853" s="40" t="s">
        <v>6716</v>
      </c>
      <c r="D3853" s="40" t="s">
        <v>2233</v>
      </c>
      <c r="E3853" s="40" t="s">
        <v>2233</v>
      </c>
      <c r="F3853" s="40">
        <v>1</v>
      </c>
      <c r="G3853" s="40"/>
      <c r="H3853" s="40" t="s">
        <v>2234</v>
      </c>
      <c r="I3853" s="40"/>
      <c r="J3853" s="40" t="s">
        <v>97</v>
      </c>
      <c r="K3853" s="40" t="s">
        <v>97</v>
      </c>
      <c r="L3853" s="40" t="s">
        <v>97</v>
      </c>
    </row>
    <row r="3854" spans="1:12" x14ac:dyDescent="0.25">
      <c r="A3854" s="40" t="s">
        <v>32</v>
      </c>
      <c r="B3854" s="40" t="s">
        <v>4209</v>
      </c>
      <c r="C3854" s="40" t="s">
        <v>6717</v>
      </c>
      <c r="D3854" s="40" t="s">
        <v>2233</v>
      </c>
      <c r="E3854" s="40" t="s">
        <v>2233</v>
      </c>
      <c r="F3854" s="40">
        <v>1</v>
      </c>
      <c r="G3854" s="40"/>
      <c r="H3854" s="40" t="s">
        <v>2234</v>
      </c>
      <c r="I3854" s="40"/>
      <c r="J3854" s="40" t="s">
        <v>97</v>
      </c>
      <c r="K3854" s="40" t="s">
        <v>97</v>
      </c>
      <c r="L3854" s="40" t="s">
        <v>97</v>
      </c>
    </row>
    <row r="3855" spans="1:12" x14ac:dyDescent="0.25">
      <c r="A3855" s="40" t="s">
        <v>32</v>
      </c>
      <c r="B3855" s="40" t="s">
        <v>4211</v>
      </c>
      <c r="C3855" s="40" t="s">
        <v>6718</v>
      </c>
      <c r="D3855" s="40" t="s">
        <v>2233</v>
      </c>
      <c r="E3855" s="40" t="s">
        <v>2233</v>
      </c>
      <c r="F3855" s="40">
        <v>1</v>
      </c>
      <c r="G3855" s="40"/>
      <c r="H3855" s="40" t="s">
        <v>2234</v>
      </c>
      <c r="I3855" s="40"/>
      <c r="J3855" s="40" t="s">
        <v>97</v>
      </c>
      <c r="K3855" s="40" t="s">
        <v>97</v>
      </c>
      <c r="L3855" s="40" t="s">
        <v>97</v>
      </c>
    </row>
    <row r="3856" spans="1:12" x14ac:dyDescent="0.25">
      <c r="A3856" s="40" t="s">
        <v>32</v>
      </c>
      <c r="B3856" s="40" t="s">
        <v>6719</v>
      </c>
      <c r="C3856" s="40" t="s">
        <v>6720</v>
      </c>
      <c r="D3856" s="40" t="s">
        <v>2233</v>
      </c>
      <c r="E3856" s="40" t="s">
        <v>2233</v>
      </c>
      <c r="F3856" s="40">
        <v>1</v>
      </c>
      <c r="G3856" s="40"/>
      <c r="H3856" s="40" t="s">
        <v>2234</v>
      </c>
      <c r="I3856" s="40"/>
      <c r="J3856" s="40" t="s">
        <v>97</v>
      </c>
      <c r="K3856" s="40" t="s">
        <v>97</v>
      </c>
      <c r="L3856" s="40" t="s">
        <v>97</v>
      </c>
    </row>
    <row r="3857" spans="1:12" x14ac:dyDescent="0.25">
      <c r="A3857" s="40" t="s">
        <v>32</v>
      </c>
      <c r="B3857" s="40" t="s">
        <v>4213</v>
      </c>
      <c r="C3857" s="40" t="s">
        <v>6721</v>
      </c>
      <c r="D3857" s="40" t="s">
        <v>2233</v>
      </c>
      <c r="E3857" s="40" t="s">
        <v>2233</v>
      </c>
      <c r="F3857" s="40">
        <v>1</v>
      </c>
      <c r="G3857" s="40"/>
      <c r="H3857" s="40" t="s">
        <v>2234</v>
      </c>
      <c r="I3857" s="40"/>
      <c r="J3857" s="40" t="s">
        <v>97</v>
      </c>
      <c r="K3857" s="40" t="s">
        <v>97</v>
      </c>
      <c r="L3857" s="40" t="s">
        <v>97</v>
      </c>
    </row>
    <row r="3858" spans="1:12" x14ac:dyDescent="0.25">
      <c r="A3858" s="40" t="s">
        <v>32</v>
      </c>
      <c r="B3858" s="40" t="s">
        <v>6722</v>
      </c>
      <c r="C3858" s="40" t="s">
        <v>6723</v>
      </c>
      <c r="D3858" s="40" t="s">
        <v>2233</v>
      </c>
      <c r="E3858" s="40" t="s">
        <v>2233</v>
      </c>
      <c r="F3858" s="40">
        <v>1</v>
      </c>
      <c r="G3858" s="40"/>
      <c r="H3858" s="40" t="s">
        <v>2234</v>
      </c>
      <c r="I3858" s="40"/>
      <c r="J3858" s="40" t="s">
        <v>97</v>
      </c>
      <c r="K3858" s="40" t="s">
        <v>97</v>
      </c>
      <c r="L3858" s="40" t="s">
        <v>97</v>
      </c>
    </row>
    <row r="3859" spans="1:12" x14ac:dyDescent="0.25">
      <c r="A3859" s="40" t="s">
        <v>32</v>
      </c>
      <c r="B3859" s="40" t="s">
        <v>4215</v>
      </c>
      <c r="C3859" s="40" t="s">
        <v>6724</v>
      </c>
      <c r="D3859" s="40" t="s">
        <v>2233</v>
      </c>
      <c r="E3859" s="40" t="s">
        <v>2233</v>
      </c>
      <c r="F3859" s="40">
        <v>1</v>
      </c>
      <c r="G3859" s="40"/>
      <c r="H3859" s="40" t="s">
        <v>2234</v>
      </c>
      <c r="I3859" s="40"/>
      <c r="J3859" s="40" t="s">
        <v>97</v>
      </c>
      <c r="K3859" s="40" t="s">
        <v>97</v>
      </c>
      <c r="L3859" s="40" t="s">
        <v>97</v>
      </c>
    </row>
    <row r="3860" spans="1:12" x14ac:dyDescent="0.25">
      <c r="A3860" s="40" t="s">
        <v>32</v>
      </c>
      <c r="B3860" s="40" t="s">
        <v>6725</v>
      </c>
      <c r="C3860" s="40" t="s">
        <v>6726</v>
      </c>
      <c r="D3860" s="40" t="s">
        <v>2233</v>
      </c>
      <c r="E3860" s="40" t="s">
        <v>2233</v>
      </c>
      <c r="F3860" s="40">
        <v>1</v>
      </c>
      <c r="G3860" s="40"/>
      <c r="H3860" s="40" t="s">
        <v>2234</v>
      </c>
      <c r="I3860" s="40"/>
      <c r="J3860" s="40" t="s">
        <v>97</v>
      </c>
      <c r="K3860" s="40" t="s">
        <v>97</v>
      </c>
      <c r="L3860" s="40" t="s">
        <v>97</v>
      </c>
    </row>
    <row r="3861" spans="1:12" x14ac:dyDescent="0.25">
      <c r="A3861" s="40" t="s">
        <v>32</v>
      </c>
      <c r="B3861" s="40" t="s">
        <v>4217</v>
      </c>
      <c r="C3861" s="40" t="s">
        <v>6727</v>
      </c>
      <c r="D3861" s="40" t="s">
        <v>2233</v>
      </c>
      <c r="E3861" s="40" t="s">
        <v>2233</v>
      </c>
      <c r="F3861" s="40">
        <v>1</v>
      </c>
      <c r="G3861" s="40"/>
      <c r="H3861" s="40" t="s">
        <v>2234</v>
      </c>
      <c r="I3861" s="40"/>
      <c r="J3861" s="40" t="s">
        <v>97</v>
      </c>
      <c r="K3861" s="40" t="s">
        <v>97</v>
      </c>
      <c r="L3861" s="40" t="s">
        <v>97</v>
      </c>
    </row>
    <row r="3862" spans="1:12" x14ac:dyDescent="0.25">
      <c r="A3862" s="40" t="s">
        <v>32</v>
      </c>
      <c r="B3862" s="40" t="s">
        <v>6728</v>
      </c>
      <c r="C3862" s="40" t="s">
        <v>6729</v>
      </c>
      <c r="D3862" s="40" t="s">
        <v>2233</v>
      </c>
      <c r="E3862" s="40" t="s">
        <v>2233</v>
      </c>
      <c r="F3862" s="40">
        <v>1</v>
      </c>
      <c r="G3862" s="40"/>
      <c r="H3862" s="40" t="s">
        <v>2234</v>
      </c>
      <c r="I3862" s="40"/>
      <c r="J3862" s="40" t="s">
        <v>97</v>
      </c>
      <c r="K3862" s="40" t="s">
        <v>97</v>
      </c>
      <c r="L3862" s="40" t="s">
        <v>97</v>
      </c>
    </row>
    <row r="3863" spans="1:12" x14ac:dyDescent="0.25">
      <c r="A3863" s="40" t="s">
        <v>32</v>
      </c>
      <c r="B3863" s="40" t="s">
        <v>4219</v>
      </c>
      <c r="C3863" s="40" t="s">
        <v>6730</v>
      </c>
      <c r="D3863" s="40" t="s">
        <v>2233</v>
      </c>
      <c r="E3863" s="40" t="s">
        <v>2233</v>
      </c>
      <c r="F3863" s="40">
        <v>1</v>
      </c>
      <c r="G3863" s="40"/>
      <c r="H3863" s="40" t="s">
        <v>2234</v>
      </c>
      <c r="I3863" s="40"/>
      <c r="J3863" s="40" t="s">
        <v>97</v>
      </c>
      <c r="K3863" s="40" t="s">
        <v>97</v>
      </c>
      <c r="L3863" s="40" t="s">
        <v>97</v>
      </c>
    </row>
    <row r="3864" spans="1:12" x14ac:dyDescent="0.25">
      <c r="A3864" s="40" t="s">
        <v>32</v>
      </c>
      <c r="B3864" s="40" t="s">
        <v>6731</v>
      </c>
      <c r="C3864" s="40" t="s">
        <v>6732</v>
      </c>
      <c r="D3864" s="40" t="s">
        <v>2233</v>
      </c>
      <c r="E3864" s="40" t="s">
        <v>2233</v>
      </c>
      <c r="F3864" s="40">
        <v>1</v>
      </c>
      <c r="G3864" s="40"/>
      <c r="H3864" s="40" t="s">
        <v>2234</v>
      </c>
      <c r="I3864" s="40"/>
      <c r="J3864" s="40" t="s">
        <v>97</v>
      </c>
      <c r="K3864" s="40" t="s">
        <v>97</v>
      </c>
      <c r="L3864" s="40" t="s">
        <v>97</v>
      </c>
    </row>
    <row r="3865" spans="1:12" x14ac:dyDescent="0.25">
      <c r="A3865" s="40" t="s">
        <v>32</v>
      </c>
      <c r="B3865" s="40" t="s">
        <v>6733</v>
      </c>
      <c r="C3865" s="40" t="s">
        <v>6734</v>
      </c>
      <c r="D3865" s="40" t="s">
        <v>2233</v>
      </c>
      <c r="E3865" s="40" t="s">
        <v>2233</v>
      </c>
      <c r="F3865" s="40">
        <v>1</v>
      </c>
      <c r="G3865" s="40"/>
      <c r="H3865" s="40" t="s">
        <v>2234</v>
      </c>
      <c r="I3865" s="40"/>
      <c r="J3865" s="40" t="s">
        <v>97</v>
      </c>
      <c r="K3865" s="40" t="s">
        <v>97</v>
      </c>
      <c r="L3865" s="40" t="s">
        <v>97</v>
      </c>
    </row>
    <row r="3866" spans="1:12" x14ac:dyDescent="0.25">
      <c r="A3866" s="40" t="s">
        <v>32</v>
      </c>
      <c r="B3866" s="40" t="s">
        <v>6735</v>
      </c>
      <c r="C3866" s="40" t="s">
        <v>6736</v>
      </c>
      <c r="D3866" s="40" t="s">
        <v>2233</v>
      </c>
      <c r="E3866" s="40" t="s">
        <v>2233</v>
      </c>
      <c r="F3866" s="40">
        <v>1</v>
      </c>
      <c r="G3866" s="40"/>
      <c r="H3866" s="40" t="s">
        <v>2234</v>
      </c>
      <c r="I3866" s="40"/>
      <c r="J3866" s="40" t="s">
        <v>97</v>
      </c>
      <c r="K3866" s="40" t="s">
        <v>97</v>
      </c>
      <c r="L3866" s="40" t="s">
        <v>97</v>
      </c>
    </row>
    <row r="3867" spans="1:12" x14ac:dyDescent="0.25">
      <c r="A3867" s="40" t="s">
        <v>32</v>
      </c>
      <c r="B3867" s="40" t="s">
        <v>6737</v>
      </c>
      <c r="C3867" s="40" t="s">
        <v>6738</v>
      </c>
      <c r="D3867" s="40" t="s">
        <v>2233</v>
      </c>
      <c r="E3867" s="40" t="s">
        <v>2233</v>
      </c>
      <c r="F3867" s="40">
        <v>1</v>
      </c>
      <c r="G3867" s="40"/>
      <c r="H3867" s="40" t="s">
        <v>2234</v>
      </c>
      <c r="I3867" s="40"/>
      <c r="J3867" s="40" t="s">
        <v>97</v>
      </c>
      <c r="K3867" s="40" t="s">
        <v>97</v>
      </c>
      <c r="L3867" s="40" t="s">
        <v>97</v>
      </c>
    </row>
    <row r="3868" spans="1:12" x14ac:dyDescent="0.25">
      <c r="A3868" s="40" t="s">
        <v>32</v>
      </c>
      <c r="B3868" s="40" t="s">
        <v>6739</v>
      </c>
      <c r="C3868" s="40" t="s">
        <v>6740</v>
      </c>
      <c r="D3868" s="40" t="s">
        <v>2233</v>
      </c>
      <c r="E3868" s="40" t="s">
        <v>2233</v>
      </c>
      <c r="F3868" s="40">
        <v>1</v>
      </c>
      <c r="G3868" s="40"/>
      <c r="H3868" s="40" t="s">
        <v>2234</v>
      </c>
      <c r="I3868" s="40"/>
      <c r="J3868" s="40" t="s">
        <v>97</v>
      </c>
      <c r="K3868" s="40" t="s">
        <v>97</v>
      </c>
      <c r="L3868" s="40" t="s">
        <v>97</v>
      </c>
    </row>
    <row r="3869" spans="1:12" x14ac:dyDescent="0.25">
      <c r="A3869" s="40" t="s">
        <v>32</v>
      </c>
      <c r="B3869" s="40" t="s">
        <v>6741</v>
      </c>
      <c r="C3869" s="40" t="s">
        <v>6742</v>
      </c>
      <c r="D3869" s="40" t="s">
        <v>2233</v>
      </c>
      <c r="E3869" s="40" t="s">
        <v>2233</v>
      </c>
      <c r="F3869" s="40">
        <v>1</v>
      </c>
      <c r="G3869" s="40"/>
      <c r="H3869" s="40" t="s">
        <v>2234</v>
      </c>
      <c r="I3869" s="40"/>
      <c r="J3869" s="40" t="s">
        <v>97</v>
      </c>
      <c r="K3869" s="40" t="s">
        <v>97</v>
      </c>
      <c r="L3869" s="40" t="s">
        <v>97</v>
      </c>
    </row>
    <row r="3870" spans="1:12" x14ac:dyDescent="0.25">
      <c r="A3870" s="40" t="s">
        <v>32</v>
      </c>
      <c r="B3870" s="40" t="s">
        <v>6743</v>
      </c>
      <c r="C3870" s="40" t="s">
        <v>6744</v>
      </c>
      <c r="D3870" s="40" t="s">
        <v>2233</v>
      </c>
      <c r="E3870" s="40" t="s">
        <v>2233</v>
      </c>
      <c r="F3870" s="40">
        <v>1</v>
      </c>
      <c r="G3870" s="40"/>
      <c r="H3870" s="40" t="s">
        <v>2234</v>
      </c>
      <c r="I3870" s="40"/>
      <c r="J3870" s="40" t="s">
        <v>97</v>
      </c>
      <c r="K3870" s="40" t="s">
        <v>97</v>
      </c>
      <c r="L3870" s="40" t="s">
        <v>97</v>
      </c>
    </row>
    <row r="3871" spans="1:12" x14ac:dyDescent="0.25">
      <c r="A3871" s="40" t="s">
        <v>32</v>
      </c>
      <c r="B3871" s="40" t="s">
        <v>6745</v>
      </c>
      <c r="C3871" s="40" t="s">
        <v>6746</v>
      </c>
      <c r="D3871" s="40" t="s">
        <v>2233</v>
      </c>
      <c r="E3871" s="40" t="s">
        <v>2233</v>
      </c>
      <c r="F3871" s="40">
        <v>1</v>
      </c>
      <c r="G3871" s="40"/>
      <c r="H3871" s="40" t="s">
        <v>2234</v>
      </c>
      <c r="I3871" s="40"/>
      <c r="J3871" s="40" t="s">
        <v>97</v>
      </c>
      <c r="K3871" s="40" t="s">
        <v>97</v>
      </c>
      <c r="L3871" s="40" t="s">
        <v>97</v>
      </c>
    </row>
    <row r="3872" spans="1:12" x14ac:dyDescent="0.25">
      <c r="A3872" s="40" t="s">
        <v>32</v>
      </c>
      <c r="B3872" s="40" t="s">
        <v>6747</v>
      </c>
      <c r="C3872" s="40" t="s">
        <v>6748</v>
      </c>
      <c r="D3872" s="40" t="s">
        <v>2233</v>
      </c>
      <c r="E3872" s="40" t="s">
        <v>2233</v>
      </c>
      <c r="F3872" s="40">
        <v>1</v>
      </c>
      <c r="G3872" s="40"/>
      <c r="H3872" s="40" t="s">
        <v>2234</v>
      </c>
      <c r="I3872" s="40"/>
      <c r="J3872" s="40" t="s">
        <v>97</v>
      </c>
      <c r="K3872" s="40" t="s">
        <v>97</v>
      </c>
      <c r="L3872" s="40" t="s">
        <v>97</v>
      </c>
    </row>
    <row r="3873" spans="1:12" x14ac:dyDescent="0.25">
      <c r="A3873" s="40" t="s">
        <v>32</v>
      </c>
      <c r="B3873" s="40" t="s">
        <v>6749</v>
      </c>
      <c r="C3873" s="40" t="s">
        <v>6750</v>
      </c>
      <c r="D3873" s="40" t="s">
        <v>3734</v>
      </c>
      <c r="E3873" s="40" t="s">
        <v>3734</v>
      </c>
      <c r="F3873" s="40">
        <v>1</v>
      </c>
      <c r="G3873" s="40"/>
      <c r="H3873" s="40" t="s">
        <v>2234</v>
      </c>
      <c r="I3873" s="40"/>
      <c r="J3873" s="40" t="s">
        <v>97</v>
      </c>
      <c r="K3873" s="40" t="s">
        <v>97</v>
      </c>
      <c r="L3873" s="40" t="s">
        <v>97</v>
      </c>
    </row>
    <row r="3874" spans="1:12" x14ac:dyDescent="0.25">
      <c r="A3874" s="40" t="s">
        <v>32</v>
      </c>
      <c r="B3874" s="40" t="s">
        <v>6751</v>
      </c>
      <c r="C3874" s="40" t="s">
        <v>6752</v>
      </c>
      <c r="D3874" s="40" t="s">
        <v>2233</v>
      </c>
      <c r="E3874" s="40" t="s">
        <v>2233</v>
      </c>
      <c r="F3874" s="40">
        <v>1</v>
      </c>
      <c r="G3874" s="40"/>
      <c r="H3874" s="40" t="s">
        <v>97</v>
      </c>
      <c r="I3874" s="40"/>
      <c r="J3874" s="40" t="s">
        <v>97</v>
      </c>
      <c r="K3874" s="40" t="s">
        <v>97</v>
      </c>
      <c r="L3874" s="40" t="s">
        <v>97</v>
      </c>
    </row>
    <row r="3875" spans="1:12" x14ac:dyDescent="0.25">
      <c r="A3875" s="40" t="s">
        <v>26</v>
      </c>
      <c r="B3875" s="40" t="s">
        <v>2233</v>
      </c>
      <c r="C3875" s="40" t="s">
        <v>6753</v>
      </c>
      <c r="D3875" s="40" t="s">
        <v>6754</v>
      </c>
      <c r="E3875" s="40" t="s">
        <v>6755</v>
      </c>
      <c r="F3875" s="40">
        <v>0</v>
      </c>
      <c r="G3875" s="40"/>
      <c r="H3875" s="40" t="s">
        <v>97</v>
      </c>
      <c r="I3875" s="40"/>
      <c r="J3875" s="40" t="s">
        <v>97</v>
      </c>
      <c r="K3875" s="40" t="s">
        <v>97</v>
      </c>
      <c r="L3875" s="40" t="s">
        <v>97</v>
      </c>
    </row>
    <row r="3876" spans="1:12" x14ac:dyDescent="0.25">
      <c r="A3876" s="40" t="s">
        <v>26</v>
      </c>
      <c r="B3876" s="40" t="s">
        <v>2298</v>
      </c>
      <c r="C3876" s="40" t="s">
        <v>6756</v>
      </c>
      <c r="D3876" s="40" t="s">
        <v>6757</v>
      </c>
      <c r="E3876" s="40" t="s">
        <v>6758</v>
      </c>
      <c r="F3876" s="40">
        <v>1</v>
      </c>
      <c r="G3876" s="40"/>
      <c r="H3876" s="40" t="s">
        <v>97</v>
      </c>
      <c r="I3876" s="40"/>
      <c r="J3876" s="40" t="s">
        <v>97</v>
      </c>
      <c r="K3876" s="40" t="s">
        <v>97</v>
      </c>
      <c r="L3876" s="40" t="s">
        <v>97</v>
      </c>
    </row>
    <row r="3877" spans="1:12" x14ac:dyDescent="0.25">
      <c r="A3877" s="40" t="s">
        <v>26</v>
      </c>
      <c r="B3877" s="40" t="s">
        <v>2300</v>
      </c>
      <c r="C3877" s="40" t="s">
        <v>6759</v>
      </c>
      <c r="D3877" s="40" t="s">
        <v>2300</v>
      </c>
      <c r="E3877" s="40" t="s">
        <v>2300</v>
      </c>
      <c r="F3877" s="40">
        <v>1</v>
      </c>
      <c r="G3877" s="40"/>
      <c r="H3877" s="40" t="s">
        <v>97</v>
      </c>
      <c r="I3877" s="40"/>
      <c r="J3877" s="40" t="s">
        <v>97</v>
      </c>
      <c r="K3877" s="40" t="s">
        <v>97</v>
      </c>
      <c r="L3877" s="40" t="s">
        <v>97</v>
      </c>
    </row>
    <row r="3878" spans="1:12" x14ac:dyDescent="0.25">
      <c r="A3878" s="40" t="s">
        <v>26</v>
      </c>
      <c r="B3878" s="40" t="s">
        <v>479</v>
      </c>
      <c r="C3878" s="40" t="s">
        <v>6760</v>
      </c>
      <c r="D3878" s="40" t="s">
        <v>6754</v>
      </c>
      <c r="E3878" s="40" t="s">
        <v>6755</v>
      </c>
      <c r="F3878" s="40">
        <v>0</v>
      </c>
      <c r="G3878" s="40"/>
      <c r="H3878" s="40" t="s">
        <v>97</v>
      </c>
      <c r="I3878" s="40"/>
      <c r="J3878" s="40" t="s">
        <v>97</v>
      </c>
      <c r="K3878" s="40" t="s">
        <v>97</v>
      </c>
      <c r="L3878" s="40" t="s">
        <v>97</v>
      </c>
    </row>
    <row r="3879" spans="1:12" x14ac:dyDescent="0.25">
      <c r="A3879" s="40" t="s">
        <v>26</v>
      </c>
      <c r="B3879" s="40" t="s">
        <v>483</v>
      </c>
      <c r="C3879" s="40" t="s">
        <v>6761</v>
      </c>
      <c r="D3879" s="40" t="s">
        <v>6757</v>
      </c>
      <c r="E3879" s="40" t="s">
        <v>6758</v>
      </c>
      <c r="F3879" s="40">
        <v>1</v>
      </c>
      <c r="G3879" s="40"/>
      <c r="H3879" s="40" t="s">
        <v>97</v>
      </c>
      <c r="I3879" s="40"/>
      <c r="J3879" s="40" t="s">
        <v>97</v>
      </c>
      <c r="K3879" s="40" t="s">
        <v>97</v>
      </c>
      <c r="L3879" s="40" t="s">
        <v>97</v>
      </c>
    </row>
    <row r="3880" spans="1:12" x14ac:dyDescent="0.25">
      <c r="A3880" s="40" t="s">
        <v>26</v>
      </c>
      <c r="B3880" s="40" t="s">
        <v>487</v>
      </c>
      <c r="C3880" s="40" t="s">
        <v>6762</v>
      </c>
      <c r="D3880" s="40" t="s">
        <v>2300</v>
      </c>
      <c r="E3880" s="40" t="s">
        <v>2300</v>
      </c>
      <c r="F3880" s="40">
        <v>1</v>
      </c>
      <c r="G3880" s="40"/>
      <c r="H3880" s="40" t="s">
        <v>97</v>
      </c>
      <c r="I3880" s="40"/>
      <c r="J3880" s="40" t="s">
        <v>97</v>
      </c>
      <c r="K3880" s="40" t="s">
        <v>97</v>
      </c>
      <c r="L3880" s="40" t="s">
        <v>97</v>
      </c>
    </row>
    <row r="3881" spans="1:12" x14ac:dyDescent="0.25">
      <c r="A3881" s="40" t="s">
        <v>26</v>
      </c>
      <c r="B3881" s="40" t="s">
        <v>491</v>
      </c>
      <c r="C3881" s="40" t="s">
        <v>6763</v>
      </c>
      <c r="D3881" s="40" t="s">
        <v>6754</v>
      </c>
      <c r="E3881" s="40" t="s">
        <v>6755</v>
      </c>
      <c r="F3881" s="40">
        <v>0</v>
      </c>
      <c r="G3881" s="40"/>
      <c r="H3881" s="40" t="s">
        <v>97</v>
      </c>
      <c r="I3881" s="40"/>
      <c r="J3881" s="40" t="s">
        <v>97</v>
      </c>
      <c r="K3881" s="40" t="s">
        <v>97</v>
      </c>
      <c r="L3881" s="40" t="s">
        <v>97</v>
      </c>
    </row>
    <row r="3882" spans="1:12" x14ac:dyDescent="0.25">
      <c r="A3882" s="40" t="s">
        <v>26</v>
      </c>
      <c r="B3882" s="40" t="s">
        <v>494</v>
      </c>
      <c r="C3882" s="40" t="s">
        <v>6764</v>
      </c>
      <c r="D3882" s="40" t="s">
        <v>6757</v>
      </c>
      <c r="E3882" s="40" t="s">
        <v>6758</v>
      </c>
      <c r="F3882" s="40">
        <v>1</v>
      </c>
      <c r="G3882" s="40"/>
      <c r="H3882" s="40" t="s">
        <v>97</v>
      </c>
      <c r="I3882" s="40"/>
      <c r="J3882" s="40" t="s">
        <v>97</v>
      </c>
      <c r="K3882" s="40" t="s">
        <v>97</v>
      </c>
      <c r="L3882" s="40" t="s">
        <v>97</v>
      </c>
    </row>
    <row r="3883" spans="1:12" x14ac:dyDescent="0.25">
      <c r="A3883" s="40" t="s">
        <v>26</v>
      </c>
      <c r="B3883" s="40" t="s">
        <v>496</v>
      </c>
      <c r="C3883" s="40" t="s">
        <v>6765</v>
      </c>
      <c r="D3883" s="40" t="s">
        <v>2300</v>
      </c>
      <c r="E3883" s="40" t="s">
        <v>2300</v>
      </c>
      <c r="F3883" s="40">
        <v>1</v>
      </c>
      <c r="G3883" s="40"/>
      <c r="H3883" s="40" t="s">
        <v>97</v>
      </c>
      <c r="I3883" s="40"/>
      <c r="J3883" s="40" t="s">
        <v>97</v>
      </c>
      <c r="K3883" s="40" t="s">
        <v>97</v>
      </c>
      <c r="L3883" s="40" t="s">
        <v>97</v>
      </c>
    </row>
    <row r="3884" spans="1:12" x14ac:dyDescent="0.25">
      <c r="A3884" s="40" t="s">
        <v>26</v>
      </c>
      <c r="B3884" s="40" t="s">
        <v>1297</v>
      </c>
      <c r="C3884" s="40" t="s">
        <v>6766</v>
      </c>
      <c r="D3884" s="40" t="s">
        <v>6754</v>
      </c>
      <c r="E3884" s="40" t="s">
        <v>6755</v>
      </c>
      <c r="F3884" s="40">
        <v>0</v>
      </c>
      <c r="G3884" s="40"/>
      <c r="H3884" s="40" t="s">
        <v>97</v>
      </c>
      <c r="I3884" s="40"/>
      <c r="J3884" s="40" t="s">
        <v>97</v>
      </c>
      <c r="K3884" s="40" t="s">
        <v>97</v>
      </c>
      <c r="L3884" s="40" t="s">
        <v>97</v>
      </c>
    </row>
    <row r="3885" spans="1:12" x14ac:dyDescent="0.25">
      <c r="A3885" s="40" t="s">
        <v>26</v>
      </c>
      <c r="B3885" s="40" t="s">
        <v>1300</v>
      </c>
      <c r="C3885" s="40" t="s">
        <v>6767</v>
      </c>
      <c r="D3885" s="40" t="s">
        <v>6757</v>
      </c>
      <c r="E3885" s="40" t="s">
        <v>6758</v>
      </c>
      <c r="F3885" s="40">
        <v>1</v>
      </c>
      <c r="G3885" s="40"/>
      <c r="H3885" s="40" t="s">
        <v>97</v>
      </c>
      <c r="I3885" s="40"/>
      <c r="J3885" s="40" t="s">
        <v>97</v>
      </c>
      <c r="K3885" s="40" t="s">
        <v>97</v>
      </c>
      <c r="L3885" s="40" t="s">
        <v>97</v>
      </c>
    </row>
    <row r="3886" spans="1:12" x14ac:dyDescent="0.25">
      <c r="A3886" s="40" t="s">
        <v>26</v>
      </c>
      <c r="B3886" s="40" t="s">
        <v>1302</v>
      </c>
      <c r="C3886" s="40" t="s">
        <v>6768</v>
      </c>
      <c r="D3886" s="40" t="s">
        <v>2300</v>
      </c>
      <c r="E3886" s="40" t="s">
        <v>2300</v>
      </c>
      <c r="F3886" s="40">
        <v>1</v>
      </c>
      <c r="G3886" s="40"/>
      <c r="H3886" s="40" t="s">
        <v>97</v>
      </c>
      <c r="I3886" s="40"/>
      <c r="J3886" s="40" t="s">
        <v>97</v>
      </c>
      <c r="K3886" s="40" t="s">
        <v>97</v>
      </c>
      <c r="L3886" s="40" t="s">
        <v>97</v>
      </c>
    </row>
    <row r="3887" spans="1:12" x14ac:dyDescent="0.25">
      <c r="A3887" s="40" t="s">
        <v>26</v>
      </c>
      <c r="B3887" s="40" t="s">
        <v>1304</v>
      </c>
      <c r="C3887" s="40" t="s">
        <v>6769</v>
      </c>
      <c r="D3887" s="40" t="s">
        <v>2233</v>
      </c>
      <c r="E3887" s="40" t="s">
        <v>2233</v>
      </c>
      <c r="F3887" s="40">
        <v>1</v>
      </c>
      <c r="G3887" s="40"/>
      <c r="H3887" s="40" t="s">
        <v>2234</v>
      </c>
      <c r="I3887" s="40"/>
      <c r="J3887" s="40" t="s">
        <v>97</v>
      </c>
      <c r="K3887" s="40" t="s">
        <v>97</v>
      </c>
      <c r="L3887" s="40" t="s">
        <v>97</v>
      </c>
    </row>
    <row r="3888" spans="1:12" x14ac:dyDescent="0.25">
      <c r="A3888" s="40" t="s">
        <v>26</v>
      </c>
      <c r="B3888" s="40" t="s">
        <v>1307</v>
      </c>
      <c r="C3888" s="40" t="s">
        <v>6770</v>
      </c>
      <c r="D3888" s="40" t="s">
        <v>6771</v>
      </c>
      <c r="E3888" s="40" t="s">
        <v>6771</v>
      </c>
      <c r="F3888" s="40">
        <v>1</v>
      </c>
      <c r="G3888" s="40"/>
      <c r="H3888" s="40" t="s">
        <v>2234</v>
      </c>
      <c r="I3888" s="40"/>
      <c r="J3888" s="40" t="s">
        <v>97</v>
      </c>
      <c r="K3888" s="40" t="s">
        <v>97</v>
      </c>
      <c r="L3888" s="40" t="s">
        <v>97</v>
      </c>
    </row>
    <row r="3889" spans="1:12" x14ac:dyDescent="0.25">
      <c r="A3889" s="40" t="s">
        <v>26</v>
      </c>
      <c r="B3889" s="40" t="s">
        <v>1309</v>
      </c>
      <c r="C3889" s="40" t="s">
        <v>6772</v>
      </c>
      <c r="D3889" s="40" t="s">
        <v>2233</v>
      </c>
      <c r="E3889" s="40" t="s">
        <v>2233</v>
      </c>
      <c r="F3889" s="40">
        <v>1</v>
      </c>
      <c r="G3889" s="40"/>
      <c r="H3889" s="40" t="s">
        <v>2234</v>
      </c>
      <c r="I3889" s="40"/>
      <c r="J3889" s="40" t="s">
        <v>97</v>
      </c>
      <c r="K3889" s="40" t="s">
        <v>97</v>
      </c>
      <c r="L3889" s="40" t="s">
        <v>97</v>
      </c>
    </row>
    <row r="3890" spans="1:12" x14ac:dyDescent="0.25">
      <c r="A3890" s="40" t="s">
        <v>26</v>
      </c>
      <c r="B3890" s="40" t="s">
        <v>2311</v>
      </c>
      <c r="C3890" s="40" t="s">
        <v>6773</v>
      </c>
      <c r="D3890" s="40" t="s">
        <v>2233</v>
      </c>
      <c r="E3890" s="40" t="s">
        <v>2233</v>
      </c>
      <c r="F3890" s="40">
        <v>1</v>
      </c>
      <c r="G3890" s="40"/>
      <c r="H3890" s="40" t="s">
        <v>2234</v>
      </c>
      <c r="I3890" s="40"/>
      <c r="J3890" s="40" t="s">
        <v>97</v>
      </c>
      <c r="K3890" s="40" t="s">
        <v>97</v>
      </c>
      <c r="L3890" s="40" t="s">
        <v>97</v>
      </c>
    </row>
    <row r="3891" spans="1:12" x14ac:dyDescent="0.25">
      <c r="A3891" s="40" t="s">
        <v>26</v>
      </c>
      <c r="B3891" s="40" t="s">
        <v>498</v>
      </c>
      <c r="C3891" s="40" t="s">
        <v>6774</v>
      </c>
      <c r="D3891" s="40" t="s">
        <v>2233</v>
      </c>
      <c r="E3891" s="40" t="s">
        <v>2233</v>
      </c>
      <c r="F3891" s="40">
        <v>1</v>
      </c>
      <c r="G3891" s="40"/>
      <c r="H3891" s="40" t="s">
        <v>2234</v>
      </c>
      <c r="I3891" s="40"/>
      <c r="J3891" s="40" t="s">
        <v>97</v>
      </c>
      <c r="K3891" s="40" t="s">
        <v>97</v>
      </c>
      <c r="L3891" s="40" t="s">
        <v>97</v>
      </c>
    </row>
    <row r="3892" spans="1:12" x14ac:dyDescent="0.25">
      <c r="A3892" s="40" t="s">
        <v>26</v>
      </c>
      <c r="B3892" s="40" t="s">
        <v>500</v>
      </c>
      <c r="C3892" s="40" t="s">
        <v>6775</v>
      </c>
      <c r="D3892" s="40" t="s">
        <v>2412</v>
      </c>
      <c r="E3892" s="40" t="s">
        <v>2412</v>
      </c>
      <c r="F3892" s="40">
        <v>1</v>
      </c>
      <c r="G3892" s="40"/>
      <c r="H3892" s="40" t="s">
        <v>2234</v>
      </c>
      <c r="I3892" s="40"/>
      <c r="J3892" s="40" t="s">
        <v>97</v>
      </c>
      <c r="K3892" s="40" t="s">
        <v>97</v>
      </c>
      <c r="L3892" s="40" t="s">
        <v>97</v>
      </c>
    </row>
    <row r="3893" spans="1:12" x14ac:dyDescent="0.25">
      <c r="A3893" s="40" t="s">
        <v>26</v>
      </c>
      <c r="B3893" s="40" t="s">
        <v>2239</v>
      </c>
      <c r="C3893" s="40" t="s">
        <v>6776</v>
      </c>
      <c r="D3893" s="40" t="s">
        <v>2233</v>
      </c>
      <c r="E3893" s="40" t="s">
        <v>2233</v>
      </c>
      <c r="F3893" s="40">
        <v>1</v>
      </c>
      <c r="G3893" s="40"/>
      <c r="H3893" s="40" t="s">
        <v>97</v>
      </c>
      <c r="I3893" s="40"/>
      <c r="J3893" s="40" t="s">
        <v>97</v>
      </c>
      <c r="K3893" s="40" t="s">
        <v>97</v>
      </c>
      <c r="L3893" s="40" t="s">
        <v>97</v>
      </c>
    </row>
    <row r="3894" spans="1:12" x14ac:dyDescent="0.25">
      <c r="A3894" s="40" t="s">
        <v>26</v>
      </c>
      <c r="B3894" s="40" t="s">
        <v>1316</v>
      </c>
      <c r="C3894" s="40" t="s">
        <v>6777</v>
      </c>
      <c r="D3894" s="40" t="s">
        <v>1236</v>
      </c>
      <c r="E3894" s="40" t="s">
        <v>1236</v>
      </c>
      <c r="F3894" s="40">
        <v>1</v>
      </c>
      <c r="G3894" s="40"/>
      <c r="H3894" s="40" t="s">
        <v>97</v>
      </c>
      <c r="I3894" s="40"/>
      <c r="J3894" s="40" t="s">
        <v>97</v>
      </c>
      <c r="K3894" s="40" t="s">
        <v>97</v>
      </c>
      <c r="L3894" s="40" t="s">
        <v>97</v>
      </c>
    </row>
    <row r="3895" spans="1:12" x14ac:dyDescent="0.25">
      <c r="A3895" s="40" t="s">
        <v>26</v>
      </c>
      <c r="B3895" s="40" t="s">
        <v>502</v>
      </c>
      <c r="C3895" s="40" t="s">
        <v>6778</v>
      </c>
      <c r="D3895" s="40" t="s">
        <v>2233</v>
      </c>
      <c r="E3895" s="40" t="s">
        <v>2233</v>
      </c>
      <c r="F3895" s="40">
        <v>1</v>
      </c>
      <c r="G3895" s="40"/>
      <c r="H3895" s="40" t="s">
        <v>97</v>
      </c>
      <c r="I3895" s="40"/>
      <c r="J3895" s="40" t="s">
        <v>97</v>
      </c>
      <c r="K3895" s="40" t="s">
        <v>97</v>
      </c>
      <c r="L3895" s="40" t="s">
        <v>97</v>
      </c>
    </row>
    <row r="3896" spans="1:12" x14ac:dyDescent="0.25">
      <c r="A3896" s="40" t="s">
        <v>26</v>
      </c>
      <c r="B3896" s="40" t="s">
        <v>506</v>
      </c>
      <c r="C3896" s="40" t="s">
        <v>6779</v>
      </c>
      <c r="D3896" s="40" t="s">
        <v>577</v>
      </c>
      <c r="E3896" s="40" t="s">
        <v>577</v>
      </c>
      <c r="F3896" s="40">
        <v>1</v>
      </c>
      <c r="G3896" s="40"/>
      <c r="H3896" s="40" t="s">
        <v>97</v>
      </c>
      <c r="I3896" s="40"/>
      <c r="J3896" s="40" t="s">
        <v>97</v>
      </c>
      <c r="K3896" s="40" t="s">
        <v>97</v>
      </c>
      <c r="L3896" s="40" t="s">
        <v>97</v>
      </c>
    </row>
    <row r="3897" spans="1:12" x14ac:dyDescent="0.25">
      <c r="A3897" s="40" t="s">
        <v>26</v>
      </c>
      <c r="B3897" s="40" t="s">
        <v>510</v>
      </c>
      <c r="C3897" s="40" t="s">
        <v>6780</v>
      </c>
      <c r="D3897" s="40" t="s">
        <v>2233</v>
      </c>
      <c r="E3897" s="40" t="s">
        <v>2233</v>
      </c>
      <c r="F3897" s="40">
        <v>1</v>
      </c>
      <c r="G3897" s="40"/>
      <c r="H3897" s="40" t="s">
        <v>97</v>
      </c>
      <c r="I3897" s="40"/>
      <c r="J3897" s="40" t="s">
        <v>97</v>
      </c>
      <c r="K3897" s="40" t="s">
        <v>97</v>
      </c>
      <c r="L3897" s="40" t="s">
        <v>97</v>
      </c>
    </row>
    <row r="3898" spans="1:12" x14ac:dyDescent="0.25">
      <c r="A3898" s="40" t="s">
        <v>26</v>
      </c>
      <c r="B3898" s="40" t="s">
        <v>514</v>
      </c>
      <c r="C3898" s="40" t="s">
        <v>6781</v>
      </c>
      <c r="D3898" s="40" t="s">
        <v>2233</v>
      </c>
      <c r="E3898" s="40" t="s">
        <v>2233</v>
      </c>
      <c r="F3898" s="40">
        <v>1</v>
      </c>
      <c r="G3898" s="40"/>
      <c r="H3898" s="40" t="s">
        <v>97</v>
      </c>
      <c r="I3898" s="40"/>
      <c r="J3898" s="40" t="s">
        <v>97</v>
      </c>
      <c r="K3898" s="40" t="s">
        <v>97</v>
      </c>
      <c r="L3898" s="40" t="s">
        <v>97</v>
      </c>
    </row>
    <row r="3899" spans="1:12" x14ac:dyDescent="0.25">
      <c r="A3899" s="40" t="s">
        <v>26</v>
      </c>
      <c r="B3899" s="40" t="s">
        <v>518</v>
      </c>
      <c r="C3899" s="40" t="s">
        <v>6782</v>
      </c>
      <c r="D3899" s="40" t="s">
        <v>2233</v>
      </c>
      <c r="E3899" s="40" t="s">
        <v>2233</v>
      </c>
      <c r="F3899" s="40">
        <v>1</v>
      </c>
      <c r="G3899" s="40"/>
      <c r="H3899" s="40" t="s">
        <v>97</v>
      </c>
      <c r="I3899" s="40"/>
      <c r="J3899" s="40" t="s">
        <v>97</v>
      </c>
      <c r="K3899" s="40" t="s">
        <v>97</v>
      </c>
      <c r="L3899" s="40" t="s">
        <v>97</v>
      </c>
    </row>
    <row r="3900" spans="1:12" x14ac:dyDescent="0.25">
      <c r="A3900" s="40" t="s">
        <v>26</v>
      </c>
      <c r="B3900" s="40" t="s">
        <v>521</v>
      </c>
      <c r="C3900" s="40" t="s">
        <v>6783</v>
      </c>
      <c r="D3900" s="40" t="s">
        <v>2233</v>
      </c>
      <c r="E3900" s="40" t="s">
        <v>2233</v>
      </c>
      <c r="F3900" s="40">
        <v>1</v>
      </c>
      <c r="G3900" s="40"/>
      <c r="H3900" s="40" t="s">
        <v>97</v>
      </c>
      <c r="I3900" s="40"/>
      <c r="J3900" s="40" t="s">
        <v>97</v>
      </c>
      <c r="K3900" s="40" t="s">
        <v>97</v>
      </c>
      <c r="L3900" s="40" t="s">
        <v>97</v>
      </c>
    </row>
    <row r="3901" spans="1:12" x14ac:dyDescent="0.25">
      <c r="A3901" s="40" t="s">
        <v>26</v>
      </c>
      <c r="B3901" s="40" t="s">
        <v>523</v>
      </c>
      <c r="C3901" s="40" t="s">
        <v>6784</v>
      </c>
      <c r="D3901" s="40" t="s">
        <v>2509</v>
      </c>
      <c r="E3901" s="40" t="s">
        <v>2509</v>
      </c>
      <c r="F3901" s="40">
        <v>1</v>
      </c>
      <c r="G3901" s="40"/>
      <c r="H3901" s="40" t="s">
        <v>97</v>
      </c>
      <c r="I3901" s="40"/>
      <c r="J3901" s="40" t="s">
        <v>97</v>
      </c>
      <c r="K3901" s="40" t="s">
        <v>97</v>
      </c>
      <c r="L3901" s="40" t="s">
        <v>97</v>
      </c>
    </row>
    <row r="3902" spans="1:12" x14ac:dyDescent="0.25">
      <c r="A3902" s="40" t="s">
        <v>26</v>
      </c>
      <c r="B3902" s="40" t="s">
        <v>527</v>
      </c>
      <c r="C3902" s="40" t="s">
        <v>6785</v>
      </c>
      <c r="D3902" s="40" t="s">
        <v>2233</v>
      </c>
      <c r="E3902" s="40" t="s">
        <v>2233</v>
      </c>
      <c r="F3902" s="40">
        <v>1</v>
      </c>
      <c r="G3902" s="40"/>
      <c r="H3902" s="40" t="s">
        <v>2234</v>
      </c>
      <c r="I3902" s="40"/>
      <c r="J3902" s="40" t="s">
        <v>97</v>
      </c>
      <c r="K3902" s="40" t="s">
        <v>97</v>
      </c>
      <c r="L3902" s="40" t="s">
        <v>97</v>
      </c>
    </row>
    <row r="3903" spans="1:12" x14ac:dyDescent="0.25">
      <c r="A3903" s="40" t="s">
        <v>26</v>
      </c>
      <c r="B3903" s="40" t="s">
        <v>529</v>
      </c>
      <c r="C3903" s="40" t="s">
        <v>6786</v>
      </c>
      <c r="D3903" s="40" t="s">
        <v>2233</v>
      </c>
      <c r="E3903" s="40" t="s">
        <v>2233</v>
      </c>
      <c r="F3903" s="40">
        <v>1</v>
      </c>
      <c r="G3903" s="40"/>
      <c r="H3903" s="40" t="s">
        <v>97</v>
      </c>
      <c r="I3903" s="40"/>
      <c r="J3903" s="40" t="s">
        <v>97</v>
      </c>
      <c r="K3903" s="40" t="s">
        <v>97</v>
      </c>
      <c r="L3903" s="40" t="s">
        <v>97</v>
      </c>
    </row>
    <row r="3904" spans="1:12" x14ac:dyDescent="0.25">
      <c r="A3904" s="40" t="s">
        <v>26</v>
      </c>
      <c r="B3904" s="40" t="s">
        <v>531</v>
      </c>
      <c r="C3904" s="40" t="s">
        <v>6787</v>
      </c>
      <c r="D3904" s="40" t="s">
        <v>2233</v>
      </c>
      <c r="E3904" s="40" t="s">
        <v>2233</v>
      </c>
      <c r="F3904" s="40">
        <v>1</v>
      </c>
      <c r="G3904" s="40"/>
      <c r="H3904" s="40" t="s">
        <v>2234</v>
      </c>
      <c r="I3904" s="40"/>
      <c r="J3904" s="40" t="s">
        <v>97</v>
      </c>
      <c r="K3904" s="40" t="s">
        <v>97</v>
      </c>
      <c r="L3904" s="40" t="s">
        <v>97</v>
      </c>
    </row>
    <row r="3905" spans="1:12" x14ac:dyDescent="0.25">
      <c r="A3905" s="40" t="s">
        <v>26</v>
      </c>
      <c r="B3905" s="40" t="s">
        <v>533</v>
      </c>
      <c r="C3905" s="40" t="s">
        <v>6788</v>
      </c>
      <c r="D3905" s="40" t="s">
        <v>2233</v>
      </c>
      <c r="E3905" s="40" t="s">
        <v>2233</v>
      </c>
      <c r="F3905" s="40">
        <v>1</v>
      </c>
      <c r="G3905" s="40"/>
      <c r="H3905" s="40" t="s">
        <v>2234</v>
      </c>
      <c r="I3905" s="40"/>
      <c r="J3905" s="40" t="s">
        <v>97</v>
      </c>
      <c r="K3905" s="40" t="s">
        <v>97</v>
      </c>
      <c r="L3905" s="40" t="s">
        <v>97</v>
      </c>
    </row>
    <row r="3906" spans="1:12" x14ac:dyDescent="0.25">
      <c r="A3906" s="40" t="s">
        <v>26</v>
      </c>
      <c r="B3906" s="40" t="s">
        <v>535</v>
      </c>
      <c r="C3906" s="40" t="s">
        <v>6789</v>
      </c>
      <c r="D3906" s="40" t="s">
        <v>2233</v>
      </c>
      <c r="E3906" s="40" t="s">
        <v>2233</v>
      </c>
      <c r="F3906" s="40">
        <v>1</v>
      </c>
      <c r="G3906" s="40"/>
      <c r="H3906" s="40" t="s">
        <v>2234</v>
      </c>
      <c r="I3906" s="40"/>
      <c r="J3906" s="40" t="s">
        <v>97</v>
      </c>
      <c r="K3906" s="40" t="s">
        <v>97</v>
      </c>
      <c r="L3906" s="40" t="s">
        <v>97</v>
      </c>
    </row>
    <row r="3907" spans="1:12" x14ac:dyDescent="0.25">
      <c r="A3907" s="40" t="s">
        <v>26</v>
      </c>
      <c r="B3907" s="40" t="s">
        <v>537</v>
      </c>
      <c r="C3907" s="40" t="s">
        <v>6790</v>
      </c>
      <c r="D3907" s="40" t="s">
        <v>2233</v>
      </c>
      <c r="E3907" s="40" t="s">
        <v>2233</v>
      </c>
      <c r="F3907" s="40">
        <v>1</v>
      </c>
      <c r="G3907" s="40"/>
      <c r="H3907" s="40" t="s">
        <v>2234</v>
      </c>
      <c r="I3907" s="40"/>
      <c r="J3907" s="40" t="s">
        <v>97</v>
      </c>
      <c r="K3907" s="40" t="s">
        <v>97</v>
      </c>
      <c r="L3907" s="40" t="s">
        <v>97</v>
      </c>
    </row>
    <row r="3908" spans="1:12" x14ac:dyDescent="0.25">
      <c r="A3908" s="40" t="s">
        <v>26</v>
      </c>
      <c r="B3908" s="40" t="s">
        <v>540</v>
      </c>
      <c r="C3908" s="40" t="s">
        <v>6791</v>
      </c>
      <c r="D3908" s="40" t="s">
        <v>2233</v>
      </c>
      <c r="E3908" s="40" t="s">
        <v>2233</v>
      </c>
      <c r="F3908" s="40">
        <v>1</v>
      </c>
      <c r="G3908" s="40"/>
      <c r="H3908" s="40" t="s">
        <v>2234</v>
      </c>
      <c r="I3908" s="40"/>
      <c r="J3908" s="40" t="s">
        <v>97</v>
      </c>
      <c r="K3908" s="40" t="s">
        <v>97</v>
      </c>
      <c r="L3908" s="40" t="s">
        <v>97</v>
      </c>
    </row>
    <row r="3909" spans="1:12" x14ac:dyDescent="0.25">
      <c r="A3909" s="40" t="s">
        <v>26</v>
      </c>
      <c r="B3909" s="40" t="s">
        <v>542</v>
      </c>
      <c r="C3909" s="40" t="s">
        <v>6792</v>
      </c>
      <c r="D3909" s="40" t="s">
        <v>2233</v>
      </c>
      <c r="E3909" s="40" t="s">
        <v>2233</v>
      </c>
      <c r="F3909" s="40">
        <v>1</v>
      </c>
      <c r="G3909" s="40"/>
      <c r="H3909" s="40" t="s">
        <v>2234</v>
      </c>
      <c r="I3909" s="40"/>
      <c r="J3909" s="40" t="s">
        <v>97</v>
      </c>
      <c r="K3909" s="40" t="s">
        <v>97</v>
      </c>
      <c r="L3909" s="40" t="s">
        <v>97</v>
      </c>
    </row>
    <row r="3910" spans="1:12" x14ac:dyDescent="0.25">
      <c r="A3910" s="40" t="s">
        <v>26</v>
      </c>
      <c r="B3910" s="40" t="s">
        <v>544</v>
      </c>
      <c r="C3910" s="40" t="s">
        <v>6793</v>
      </c>
      <c r="D3910" s="40" t="s">
        <v>2233</v>
      </c>
      <c r="E3910" s="40" t="s">
        <v>2233</v>
      </c>
      <c r="F3910" s="40">
        <v>1</v>
      </c>
      <c r="G3910" s="40"/>
      <c r="H3910" s="40" t="s">
        <v>2234</v>
      </c>
      <c r="I3910" s="40"/>
      <c r="J3910" s="40" t="s">
        <v>97</v>
      </c>
      <c r="K3910" s="40" t="s">
        <v>97</v>
      </c>
      <c r="L3910" s="40" t="s">
        <v>97</v>
      </c>
    </row>
    <row r="3911" spans="1:12" x14ac:dyDescent="0.25">
      <c r="A3911" s="40" t="s">
        <v>26</v>
      </c>
      <c r="B3911" s="40" t="s">
        <v>1337</v>
      </c>
      <c r="C3911" s="40" t="s">
        <v>6794</v>
      </c>
      <c r="D3911" s="40" t="s">
        <v>2233</v>
      </c>
      <c r="E3911" s="40" t="s">
        <v>2233</v>
      </c>
      <c r="F3911" s="40">
        <v>1</v>
      </c>
      <c r="G3911" s="40"/>
      <c r="H3911" s="40" t="s">
        <v>2234</v>
      </c>
      <c r="I3911" s="40"/>
      <c r="J3911" s="40" t="s">
        <v>97</v>
      </c>
      <c r="K3911" s="40" t="s">
        <v>97</v>
      </c>
      <c r="L3911" s="40" t="s">
        <v>97</v>
      </c>
    </row>
    <row r="3912" spans="1:12" x14ac:dyDescent="0.25">
      <c r="A3912" s="40" t="s">
        <v>26</v>
      </c>
      <c r="B3912" s="40" t="s">
        <v>548</v>
      </c>
      <c r="C3912" s="40" t="s">
        <v>6795</v>
      </c>
      <c r="D3912" s="40" t="s">
        <v>2233</v>
      </c>
      <c r="E3912" s="40" t="s">
        <v>2233</v>
      </c>
      <c r="F3912" s="40">
        <v>1</v>
      </c>
      <c r="G3912" s="40"/>
      <c r="H3912" s="40" t="s">
        <v>2234</v>
      </c>
      <c r="I3912" s="40"/>
      <c r="J3912" s="40" t="s">
        <v>97</v>
      </c>
      <c r="K3912" s="40" t="s">
        <v>97</v>
      </c>
      <c r="L3912" s="40" t="s">
        <v>97</v>
      </c>
    </row>
    <row r="3913" spans="1:12" x14ac:dyDescent="0.25">
      <c r="A3913" s="40" t="s">
        <v>26</v>
      </c>
      <c r="B3913" s="40" t="s">
        <v>3177</v>
      </c>
      <c r="C3913" s="40" t="s">
        <v>6796</v>
      </c>
      <c r="D3913" s="40" t="s">
        <v>2233</v>
      </c>
      <c r="E3913" s="40" t="s">
        <v>2233</v>
      </c>
      <c r="F3913" s="40">
        <v>1</v>
      </c>
      <c r="G3913" s="40"/>
      <c r="H3913" s="40" t="s">
        <v>2234</v>
      </c>
      <c r="I3913" s="40"/>
      <c r="J3913" s="40" t="s">
        <v>97</v>
      </c>
      <c r="K3913" s="40" t="s">
        <v>97</v>
      </c>
      <c r="L3913" s="40" t="s">
        <v>97</v>
      </c>
    </row>
    <row r="3914" spans="1:12" x14ac:dyDescent="0.25">
      <c r="A3914" s="40" t="s">
        <v>26</v>
      </c>
      <c r="B3914" s="40" t="s">
        <v>1339</v>
      </c>
      <c r="C3914" s="40" t="s">
        <v>6797</v>
      </c>
      <c r="D3914" s="40" t="s">
        <v>2233</v>
      </c>
      <c r="E3914" s="40" t="s">
        <v>2233</v>
      </c>
      <c r="F3914" s="40">
        <v>1</v>
      </c>
      <c r="G3914" s="40"/>
      <c r="H3914" s="40" t="s">
        <v>2234</v>
      </c>
      <c r="I3914" s="40"/>
      <c r="J3914" s="40" t="s">
        <v>97</v>
      </c>
      <c r="K3914" s="40" t="s">
        <v>97</v>
      </c>
      <c r="L3914" s="40" t="s">
        <v>97</v>
      </c>
    </row>
    <row r="3915" spans="1:12" x14ac:dyDescent="0.25">
      <c r="A3915" s="40" t="s">
        <v>26</v>
      </c>
      <c r="B3915" s="40" t="s">
        <v>1341</v>
      </c>
      <c r="C3915" s="40" t="s">
        <v>6798</v>
      </c>
      <c r="D3915" s="40" t="s">
        <v>2233</v>
      </c>
      <c r="E3915" s="40" t="s">
        <v>2233</v>
      </c>
      <c r="F3915" s="40">
        <v>1</v>
      </c>
      <c r="G3915" s="40"/>
      <c r="H3915" s="40" t="s">
        <v>2234</v>
      </c>
      <c r="I3915" s="40"/>
      <c r="J3915" s="40" t="s">
        <v>97</v>
      </c>
      <c r="K3915" s="40" t="s">
        <v>97</v>
      </c>
      <c r="L3915" s="40" t="s">
        <v>97</v>
      </c>
    </row>
    <row r="3916" spans="1:12" x14ac:dyDescent="0.25">
      <c r="A3916" s="40" t="s">
        <v>26</v>
      </c>
      <c r="B3916" s="40" t="s">
        <v>1343</v>
      </c>
      <c r="C3916" s="40" t="s">
        <v>6799</v>
      </c>
      <c r="D3916" s="40" t="s">
        <v>2233</v>
      </c>
      <c r="E3916" s="40" t="s">
        <v>2233</v>
      </c>
      <c r="F3916" s="40">
        <v>1</v>
      </c>
      <c r="G3916" s="40"/>
      <c r="H3916" s="40" t="s">
        <v>2234</v>
      </c>
      <c r="I3916" s="40"/>
      <c r="J3916" s="40" t="s">
        <v>97</v>
      </c>
      <c r="K3916" s="40" t="s">
        <v>97</v>
      </c>
      <c r="L3916" s="40" t="s">
        <v>97</v>
      </c>
    </row>
    <row r="3917" spans="1:12" x14ac:dyDescent="0.25">
      <c r="A3917" s="40" t="s">
        <v>26</v>
      </c>
      <c r="B3917" s="40" t="s">
        <v>6134</v>
      </c>
      <c r="C3917" s="40" t="s">
        <v>6800</v>
      </c>
      <c r="D3917" s="40" t="s">
        <v>2233</v>
      </c>
      <c r="E3917" s="40" t="s">
        <v>2233</v>
      </c>
      <c r="F3917" s="40">
        <v>1</v>
      </c>
      <c r="G3917" s="40"/>
      <c r="H3917" s="40" t="s">
        <v>2234</v>
      </c>
      <c r="I3917" s="40"/>
      <c r="J3917" s="40" t="s">
        <v>97</v>
      </c>
      <c r="K3917" s="40" t="s">
        <v>97</v>
      </c>
      <c r="L3917" s="40" t="s">
        <v>97</v>
      </c>
    </row>
    <row r="3918" spans="1:12" x14ac:dyDescent="0.25">
      <c r="A3918" s="40" t="s">
        <v>26</v>
      </c>
      <c r="B3918" s="40" t="s">
        <v>550</v>
      </c>
      <c r="C3918" s="40" t="s">
        <v>6801</v>
      </c>
      <c r="D3918" s="40" t="s">
        <v>2233</v>
      </c>
      <c r="E3918" s="40" t="s">
        <v>2233</v>
      </c>
      <c r="F3918" s="40">
        <v>1</v>
      </c>
      <c r="G3918" s="40"/>
      <c r="H3918" s="40" t="s">
        <v>2234</v>
      </c>
      <c r="I3918" s="40"/>
      <c r="J3918" s="40" t="s">
        <v>97</v>
      </c>
      <c r="K3918" s="40" t="s">
        <v>97</v>
      </c>
      <c r="L3918" s="40" t="s">
        <v>97</v>
      </c>
    </row>
    <row r="3919" spans="1:12" x14ac:dyDescent="0.25">
      <c r="A3919" s="40" t="s">
        <v>26</v>
      </c>
      <c r="B3919" s="40" t="s">
        <v>553</v>
      </c>
      <c r="C3919" s="40" t="s">
        <v>6802</v>
      </c>
      <c r="D3919" s="40" t="s">
        <v>2233</v>
      </c>
      <c r="E3919" s="40" t="s">
        <v>2233</v>
      </c>
      <c r="F3919" s="40">
        <v>1</v>
      </c>
      <c r="G3919" s="40"/>
      <c r="H3919" s="40" t="s">
        <v>2234</v>
      </c>
      <c r="I3919" s="40"/>
      <c r="J3919" s="40" t="s">
        <v>97</v>
      </c>
      <c r="K3919" s="40" t="s">
        <v>97</v>
      </c>
      <c r="L3919" s="40" t="s">
        <v>97</v>
      </c>
    </row>
    <row r="3920" spans="1:12" x14ac:dyDescent="0.25">
      <c r="A3920" s="40" t="s">
        <v>26</v>
      </c>
      <c r="B3920" s="40" t="s">
        <v>555</v>
      </c>
      <c r="C3920" s="40" t="s">
        <v>6803</v>
      </c>
      <c r="D3920" s="40" t="s">
        <v>2233</v>
      </c>
      <c r="E3920" s="40" t="s">
        <v>2233</v>
      </c>
      <c r="F3920" s="40">
        <v>1</v>
      </c>
      <c r="G3920" s="40"/>
      <c r="H3920" s="40" t="s">
        <v>2234</v>
      </c>
      <c r="I3920" s="40"/>
      <c r="J3920" s="40" t="s">
        <v>97</v>
      </c>
      <c r="K3920" s="40" t="s">
        <v>97</v>
      </c>
      <c r="L3920" s="40" t="s">
        <v>97</v>
      </c>
    </row>
    <row r="3921" spans="1:12" x14ac:dyDescent="0.25">
      <c r="A3921" s="40" t="s">
        <v>26</v>
      </c>
      <c r="B3921" s="40" t="s">
        <v>558</v>
      </c>
      <c r="C3921" s="40" t="s">
        <v>6804</v>
      </c>
      <c r="D3921" s="40" t="s">
        <v>2233</v>
      </c>
      <c r="E3921" s="40" t="s">
        <v>2233</v>
      </c>
      <c r="F3921" s="40">
        <v>1</v>
      </c>
      <c r="G3921" s="40"/>
      <c r="H3921" s="40" t="s">
        <v>2234</v>
      </c>
      <c r="I3921" s="40"/>
      <c r="J3921" s="40" t="s">
        <v>97</v>
      </c>
      <c r="K3921" s="40" t="s">
        <v>97</v>
      </c>
      <c r="L3921" s="40" t="s">
        <v>97</v>
      </c>
    </row>
    <row r="3922" spans="1:12" x14ac:dyDescent="0.25">
      <c r="A3922" s="40" t="s">
        <v>26</v>
      </c>
      <c r="B3922" s="40" t="s">
        <v>561</v>
      </c>
      <c r="C3922" s="40" t="s">
        <v>6805</v>
      </c>
      <c r="D3922" s="40" t="s">
        <v>2233</v>
      </c>
      <c r="E3922" s="40" t="s">
        <v>2233</v>
      </c>
      <c r="F3922" s="40">
        <v>1</v>
      </c>
      <c r="G3922" s="40"/>
      <c r="H3922" s="40" t="s">
        <v>2234</v>
      </c>
      <c r="I3922" s="40"/>
      <c r="J3922" s="40" t="s">
        <v>97</v>
      </c>
      <c r="K3922" s="40" t="s">
        <v>97</v>
      </c>
      <c r="L3922" s="40" t="s">
        <v>97</v>
      </c>
    </row>
    <row r="3923" spans="1:12" x14ac:dyDescent="0.25">
      <c r="A3923" s="40" t="s">
        <v>26</v>
      </c>
      <c r="B3923" s="40" t="s">
        <v>2416</v>
      </c>
      <c r="C3923" s="40" t="s">
        <v>6806</v>
      </c>
      <c r="D3923" s="40" t="s">
        <v>2233</v>
      </c>
      <c r="E3923" s="40" t="s">
        <v>2233</v>
      </c>
      <c r="F3923" s="40">
        <v>1</v>
      </c>
      <c r="G3923" s="40"/>
      <c r="H3923" s="40" t="s">
        <v>2234</v>
      </c>
      <c r="I3923" s="40"/>
      <c r="J3923" s="40" t="s">
        <v>97</v>
      </c>
      <c r="K3923" s="40" t="s">
        <v>97</v>
      </c>
      <c r="L3923" s="40" t="s">
        <v>97</v>
      </c>
    </row>
    <row r="3924" spans="1:12" x14ac:dyDescent="0.25">
      <c r="A3924" s="40" t="s">
        <v>26</v>
      </c>
      <c r="B3924" s="40" t="s">
        <v>1345</v>
      </c>
      <c r="C3924" s="40" t="s">
        <v>6807</v>
      </c>
      <c r="D3924" s="40" t="s">
        <v>2233</v>
      </c>
      <c r="E3924" s="40" t="s">
        <v>2233</v>
      </c>
      <c r="F3924" s="40">
        <v>1</v>
      </c>
      <c r="G3924" s="40"/>
      <c r="H3924" s="40" t="s">
        <v>2234</v>
      </c>
      <c r="I3924" s="40"/>
      <c r="J3924" s="40" t="s">
        <v>97</v>
      </c>
      <c r="K3924" s="40" t="s">
        <v>97</v>
      </c>
      <c r="L3924" s="40" t="s">
        <v>97</v>
      </c>
    </row>
    <row r="3925" spans="1:12" x14ac:dyDescent="0.25">
      <c r="A3925" s="40" t="s">
        <v>26</v>
      </c>
      <c r="B3925" s="40" t="s">
        <v>1347</v>
      </c>
      <c r="C3925" s="40" t="s">
        <v>6808</v>
      </c>
      <c r="D3925" s="40" t="s">
        <v>2233</v>
      </c>
      <c r="E3925" s="40" t="s">
        <v>2233</v>
      </c>
      <c r="F3925" s="40">
        <v>1</v>
      </c>
      <c r="G3925" s="40"/>
      <c r="H3925" s="40" t="s">
        <v>2234</v>
      </c>
      <c r="I3925" s="40"/>
      <c r="J3925" s="40" t="s">
        <v>97</v>
      </c>
      <c r="K3925" s="40" t="s">
        <v>97</v>
      </c>
      <c r="L3925" s="40" t="s">
        <v>97</v>
      </c>
    </row>
    <row r="3926" spans="1:12" x14ac:dyDescent="0.25">
      <c r="A3926" s="40" t="s">
        <v>26</v>
      </c>
      <c r="B3926" s="40" t="s">
        <v>1349</v>
      </c>
      <c r="C3926" s="40" t="s">
        <v>6809</v>
      </c>
      <c r="D3926" s="40" t="s">
        <v>2233</v>
      </c>
      <c r="E3926" s="40" t="s">
        <v>2233</v>
      </c>
      <c r="F3926" s="40">
        <v>1</v>
      </c>
      <c r="G3926" s="40"/>
      <c r="H3926" s="40" t="s">
        <v>2234</v>
      </c>
      <c r="I3926" s="40"/>
      <c r="J3926" s="40" t="s">
        <v>97</v>
      </c>
      <c r="K3926" s="40" t="s">
        <v>97</v>
      </c>
      <c r="L3926" s="40" t="s">
        <v>97</v>
      </c>
    </row>
    <row r="3927" spans="1:12" x14ac:dyDescent="0.25">
      <c r="A3927" s="40" t="s">
        <v>26</v>
      </c>
      <c r="B3927" s="40" t="s">
        <v>2252</v>
      </c>
      <c r="C3927" s="40" t="s">
        <v>6810</v>
      </c>
      <c r="D3927" s="40" t="s">
        <v>2233</v>
      </c>
      <c r="E3927" s="40" t="s">
        <v>2233</v>
      </c>
      <c r="F3927" s="40">
        <v>1</v>
      </c>
      <c r="G3927" s="40"/>
      <c r="H3927" s="40" t="s">
        <v>2234</v>
      </c>
      <c r="I3927" s="40"/>
      <c r="J3927" s="40" t="s">
        <v>97</v>
      </c>
      <c r="K3927" s="40" t="s">
        <v>97</v>
      </c>
      <c r="L3927" s="40" t="s">
        <v>97</v>
      </c>
    </row>
    <row r="3928" spans="1:12" x14ac:dyDescent="0.25">
      <c r="A3928" s="40" t="s">
        <v>26</v>
      </c>
      <c r="B3928" s="40" t="s">
        <v>2254</v>
      </c>
      <c r="C3928" s="40" t="s">
        <v>6811</v>
      </c>
      <c r="D3928" s="40" t="s">
        <v>2233</v>
      </c>
      <c r="E3928" s="40" t="s">
        <v>2233</v>
      </c>
      <c r="F3928" s="40">
        <v>1</v>
      </c>
      <c r="G3928" s="40"/>
      <c r="H3928" s="40" t="s">
        <v>2234</v>
      </c>
      <c r="I3928" s="40"/>
      <c r="J3928" s="40" t="s">
        <v>97</v>
      </c>
      <c r="K3928" s="40" t="s">
        <v>97</v>
      </c>
      <c r="L3928" s="40" t="s">
        <v>97</v>
      </c>
    </row>
    <row r="3929" spans="1:12" x14ac:dyDescent="0.25">
      <c r="A3929" s="40" t="s">
        <v>26</v>
      </c>
      <c r="B3929" s="40" t="s">
        <v>2263</v>
      </c>
      <c r="C3929" s="40" t="s">
        <v>6812</v>
      </c>
      <c r="D3929" s="40" t="s">
        <v>2233</v>
      </c>
      <c r="E3929" s="40" t="s">
        <v>2233</v>
      </c>
      <c r="F3929" s="40">
        <v>1</v>
      </c>
      <c r="G3929" s="40"/>
      <c r="H3929" s="40" t="s">
        <v>2234</v>
      </c>
      <c r="I3929" s="40"/>
      <c r="J3929" s="40" t="s">
        <v>97</v>
      </c>
      <c r="K3929" s="40" t="s">
        <v>97</v>
      </c>
      <c r="L3929" s="40" t="s">
        <v>97</v>
      </c>
    </row>
    <row r="3930" spans="1:12" x14ac:dyDescent="0.25">
      <c r="A3930" s="40" t="s">
        <v>26</v>
      </c>
      <c r="B3930" s="40" t="s">
        <v>3298</v>
      </c>
      <c r="C3930" s="40" t="s">
        <v>6813</v>
      </c>
      <c r="D3930" s="40" t="s">
        <v>2233</v>
      </c>
      <c r="E3930" s="40" t="s">
        <v>2233</v>
      </c>
      <c r="F3930" s="40">
        <v>1</v>
      </c>
      <c r="G3930" s="40"/>
      <c r="H3930" s="40" t="s">
        <v>2234</v>
      </c>
      <c r="I3930" s="40"/>
      <c r="J3930" s="40" t="s">
        <v>97</v>
      </c>
      <c r="K3930" s="40" t="s">
        <v>97</v>
      </c>
      <c r="L3930" s="40" t="s">
        <v>97</v>
      </c>
    </row>
    <row r="3931" spans="1:12" x14ac:dyDescent="0.25">
      <c r="A3931" s="40" t="s">
        <v>26</v>
      </c>
      <c r="B3931" s="40" t="s">
        <v>3300</v>
      </c>
      <c r="C3931" s="40" t="s">
        <v>6814</v>
      </c>
      <c r="D3931" s="40" t="s">
        <v>2233</v>
      </c>
      <c r="E3931" s="40" t="s">
        <v>2233</v>
      </c>
      <c r="F3931" s="40">
        <v>1</v>
      </c>
      <c r="G3931" s="40"/>
      <c r="H3931" s="40" t="s">
        <v>2234</v>
      </c>
      <c r="I3931" s="40"/>
      <c r="J3931" s="40" t="s">
        <v>97</v>
      </c>
      <c r="K3931" s="40" t="s">
        <v>97</v>
      </c>
      <c r="L3931" s="40" t="s">
        <v>97</v>
      </c>
    </row>
    <row r="3932" spans="1:12" x14ac:dyDescent="0.25">
      <c r="A3932" s="40" t="s">
        <v>26</v>
      </c>
      <c r="B3932" s="40" t="s">
        <v>6234</v>
      </c>
      <c r="C3932" s="40" t="s">
        <v>6815</v>
      </c>
      <c r="D3932" s="40" t="s">
        <v>2233</v>
      </c>
      <c r="E3932" s="40" t="s">
        <v>2233</v>
      </c>
      <c r="F3932" s="40">
        <v>1</v>
      </c>
      <c r="G3932" s="40"/>
      <c r="H3932" s="40" t="s">
        <v>2234</v>
      </c>
      <c r="I3932" s="40"/>
      <c r="J3932" s="40" t="s">
        <v>97</v>
      </c>
      <c r="K3932" s="40" t="s">
        <v>97</v>
      </c>
      <c r="L3932" s="40" t="s">
        <v>97</v>
      </c>
    </row>
    <row r="3933" spans="1:12" x14ac:dyDescent="0.25">
      <c r="A3933" s="40" t="s">
        <v>26</v>
      </c>
      <c r="B3933" s="40" t="s">
        <v>3302</v>
      </c>
      <c r="C3933" s="40" t="s">
        <v>6816</v>
      </c>
      <c r="D3933" s="40" t="s">
        <v>2233</v>
      </c>
      <c r="E3933" s="40" t="s">
        <v>2233</v>
      </c>
      <c r="F3933" s="40">
        <v>1</v>
      </c>
      <c r="G3933" s="40"/>
      <c r="H3933" s="40" t="s">
        <v>2234</v>
      </c>
      <c r="I3933" s="40"/>
      <c r="J3933" s="40" t="s">
        <v>97</v>
      </c>
      <c r="K3933" s="40" t="s">
        <v>97</v>
      </c>
      <c r="L3933" s="40" t="s">
        <v>97</v>
      </c>
    </row>
    <row r="3934" spans="1:12" x14ac:dyDescent="0.25">
      <c r="A3934" s="40" t="s">
        <v>26</v>
      </c>
      <c r="B3934" s="40" t="s">
        <v>6238</v>
      </c>
      <c r="C3934" s="40" t="s">
        <v>6817</v>
      </c>
      <c r="D3934" s="40" t="s">
        <v>2233</v>
      </c>
      <c r="E3934" s="40" t="s">
        <v>2233</v>
      </c>
      <c r="F3934" s="40">
        <v>1</v>
      </c>
      <c r="G3934" s="40"/>
      <c r="H3934" s="40" t="s">
        <v>2234</v>
      </c>
      <c r="I3934" s="40"/>
      <c r="J3934" s="40" t="s">
        <v>97</v>
      </c>
      <c r="K3934" s="40" t="s">
        <v>97</v>
      </c>
      <c r="L3934" s="40" t="s">
        <v>97</v>
      </c>
    </row>
    <row r="3935" spans="1:12" x14ac:dyDescent="0.25">
      <c r="A3935" s="40" t="s">
        <v>26</v>
      </c>
      <c r="B3935" s="40" t="s">
        <v>3304</v>
      </c>
      <c r="C3935" s="40" t="s">
        <v>6818</v>
      </c>
      <c r="D3935" s="40" t="s">
        <v>2233</v>
      </c>
      <c r="E3935" s="40" t="s">
        <v>2233</v>
      </c>
      <c r="F3935" s="40">
        <v>1</v>
      </c>
      <c r="G3935" s="40"/>
      <c r="H3935" s="40" t="s">
        <v>2234</v>
      </c>
      <c r="I3935" s="40"/>
      <c r="J3935" s="40" t="s">
        <v>97</v>
      </c>
      <c r="K3935" s="40" t="s">
        <v>97</v>
      </c>
      <c r="L3935" s="40" t="s">
        <v>97</v>
      </c>
    </row>
    <row r="3936" spans="1:12" x14ac:dyDescent="0.25">
      <c r="A3936" s="40" t="s">
        <v>26</v>
      </c>
      <c r="B3936" s="40" t="s">
        <v>6241</v>
      </c>
      <c r="C3936" s="40" t="s">
        <v>6819</v>
      </c>
      <c r="D3936" s="40" t="s">
        <v>2233</v>
      </c>
      <c r="E3936" s="40" t="s">
        <v>2233</v>
      </c>
      <c r="F3936" s="40">
        <v>1</v>
      </c>
      <c r="G3936" s="40"/>
      <c r="H3936" s="40" t="s">
        <v>2234</v>
      </c>
      <c r="I3936" s="40"/>
      <c r="J3936" s="40" t="s">
        <v>97</v>
      </c>
      <c r="K3936" s="40" t="s">
        <v>97</v>
      </c>
      <c r="L3936" s="40" t="s">
        <v>97</v>
      </c>
    </row>
    <row r="3937" spans="1:12" x14ac:dyDescent="0.25">
      <c r="A3937" s="40" t="s">
        <v>26</v>
      </c>
      <c r="B3937" s="40" t="s">
        <v>3306</v>
      </c>
      <c r="C3937" s="40" t="s">
        <v>6820</v>
      </c>
      <c r="D3937" s="40" t="s">
        <v>2233</v>
      </c>
      <c r="E3937" s="40" t="s">
        <v>2233</v>
      </c>
      <c r="F3937" s="40">
        <v>1</v>
      </c>
      <c r="G3937" s="40"/>
      <c r="H3937" s="40" t="s">
        <v>2234</v>
      </c>
      <c r="I3937" s="40"/>
      <c r="J3937" s="40" t="s">
        <v>97</v>
      </c>
      <c r="K3937" s="40" t="s">
        <v>97</v>
      </c>
      <c r="L3937" s="40" t="s">
        <v>97</v>
      </c>
    </row>
    <row r="3938" spans="1:12" x14ac:dyDescent="0.25">
      <c r="A3938" s="40" t="s">
        <v>26</v>
      </c>
      <c r="B3938" s="40" t="s">
        <v>6205</v>
      </c>
      <c r="C3938" s="40" t="s">
        <v>6821</v>
      </c>
      <c r="D3938" s="40" t="s">
        <v>2233</v>
      </c>
      <c r="E3938" s="40" t="s">
        <v>2233</v>
      </c>
      <c r="F3938" s="40">
        <v>1</v>
      </c>
      <c r="G3938" s="40"/>
      <c r="H3938" s="40" t="s">
        <v>2234</v>
      </c>
      <c r="I3938" s="40"/>
      <c r="J3938" s="40" t="s">
        <v>97</v>
      </c>
      <c r="K3938" s="40" t="s">
        <v>97</v>
      </c>
      <c r="L3938" s="40" t="s">
        <v>97</v>
      </c>
    </row>
    <row r="3939" spans="1:12" x14ac:dyDescent="0.25">
      <c r="A3939" s="40" t="s">
        <v>26</v>
      </c>
      <c r="B3939" s="40" t="s">
        <v>3308</v>
      </c>
      <c r="C3939" s="40" t="s">
        <v>6822</v>
      </c>
      <c r="D3939" s="40" t="s">
        <v>2233</v>
      </c>
      <c r="E3939" s="40" t="s">
        <v>2233</v>
      </c>
      <c r="F3939" s="40">
        <v>1</v>
      </c>
      <c r="G3939" s="40"/>
      <c r="H3939" s="40" t="s">
        <v>2234</v>
      </c>
      <c r="I3939" s="40"/>
      <c r="J3939" s="40" t="s">
        <v>97</v>
      </c>
      <c r="K3939" s="40" t="s">
        <v>97</v>
      </c>
      <c r="L3939" s="40" t="s">
        <v>97</v>
      </c>
    </row>
    <row r="3940" spans="1:12" x14ac:dyDescent="0.25">
      <c r="A3940" s="40" t="s">
        <v>26</v>
      </c>
      <c r="B3940" s="40" t="s">
        <v>3310</v>
      </c>
      <c r="C3940" s="40" t="s">
        <v>6823</v>
      </c>
      <c r="D3940" s="40" t="s">
        <v>2233</v>
      </c>
      <c r="E3940" s="40" t="s">
        <v>2233</v>
      </c>
      <c r="F3940" s="40">
        <v>1</v>
      </c>
      <c r="G3940" s="40"/>
      <c r="H3940" s="40" t="s">
        <v>2234</v>
      </c>
      <c r="I3940" s="40"/>
      <c r="J3940" s="40" t="s">
        <v>97</v>
      </c>
      <c r="K3940" s="40" t="s">
        <v>97</v>
      </c>
      <c r="L3940" s="40" t="s">
        <v>97</v>
      </c>
    </row>
    <row r="3941" spans="1:12" x14ac:dyDescent="0.25">
      <c r="A3941" s="40" t="s">
        <v>26</v>
      </c>
      <c r="B3941" s="40" t="s">
        <v>6209</v>
      </c>
      <c r="C3941" s="40" t="s">
        <v>6824</v>
      </c>
      <c r="D3941" s="40" t="s">
        <v>2233</v>
      </c>
      <c r="E3941" s="40" t="s">
        <v>2233</v>
      </c>
      <c r="F3941" s="40">
        <v>1</v>
      </c>
      <c r="G3941" s="40"/>
      <c r="H3941" s="40" t="s">
        <v>2234</v>
      </c>
      <c r="I3941" s="40"/>
      <c r="J3941" s="40" t="s">
        <v>97</v>
      </c>
      <c r="K3941" s="40" t="s">
        <v>97</v>
      </c>
      <c r="L3941" s="40" t="s">
        <v>97</v>
      </c>
    </row>
    <row r="3942" spans="1:12" x14ac:dyDescent="0.25">
      <c r="A3942" s="40" t="s">
        <v>26</v>
      </c>
      <c r="B3942" s="40" t="s">
        <v>6211</v>
      </c>
      <c r="C3942" s="40" t="s">
        <v>6825</v>
      </c>
      <c r="D3942" s="40" t="s">
        <v>2233</v>
      </c>
      <c r="E3942" s="40" t="s">
        <v>2233</v>
      </c>
      <c r="F3942" s="40">
        <v>1</v>
      </c>
      <c r="G3942" s="40"/>
      <c r="H3942" s="40" t="s">
        <v>2234</v>
      </c>
      <c r="I3942" s="40"/>
      <c r="J3942" s="40" t="s">
        <v>97</v>
      </c>
      <c r="K3942" s="40" t="s">
        <v>97</v>
      </c>
      <c r="L3942" s="40" t="s">
        <v>97</v>
      </c>
    </row>
    <row r="3943" spans="1:12" x14ac:dyDescent="0.25">
      <c r="A3943" s="40" t="s">
        <v>26</v>
      </c>
      <c r="B3943" s="40" t="s">
        <v>6213</v>
      </c>
      <c r="C3943" s="40" t="s">
        <v>6826</v>
      </c>
      <c r="D3943" s="40" t="s">
        <v>2233</v>
      </c>
      <c r="E3943" s="40" t="s">
        <v>2233</v>
      </c>
      <c r="F3943" s="40">
        <v>1</v>
      </c>
      <c r="G3943" s="40"/>
      <c r="H3943" s="40" t="s">
        <v>2234</v>
      </c>
      <c r="I3943" s="40"/>
      <c r="J3943" s="40" t="s">
        <v>97</v>
      </c>
      <c r="K3943" s="40" t="s">
        <v>97</v>
      </c>
      <c r="L3943" s="40" t="s">
        <v>97</v>
      </c>
    </row>
    <row r="3944" spans="1:12" x14ac:dyDescent="0.25">
      <c r="A3944" s="40" t="s">
        <v>26</v>
      </c>
      <c r="B3944" s="40" t="s">
        <v>6215</v>
      </c>
      <c r="C3944" s="40" t="s">
        <v>6827</v>
      </c>
      <c r="D3944" s="40" t="s">
        <v>2233</v>
      </c>
      <c r="E3944" s="40" t="s">
        <v>2233</v>
      </c>
      <c r="F3944" s="40">
        <v>1</v>
      </c>
      <c r="G3944" s="40"/>
      <c r="H3944" s="40" t="s">
        <v>2234</v>
      </c>
      <c r="I3944" s="40"/>
      <c r="J3944" s="40" t="s">
        <v>97</v>
      </c>
      <c r="K3944" s="40" t="s">
        <v>97</v>
      </c>
      <c r="L3944" s="40" t="s">
        <v>97</v>
      </c>
    </row>
    <row r="3945" spans="1:12" x14ac:dyDescent="0.25">
      <c r="A3945" s="40" t="s">
        <v>26</v>
      </c>
      <c r="B3945" s="40" t="s">
        <v>3312</v>
      </c>
      <c r="C3945" s="40" t="s">
        <v>6828</v>
      </c>
      <c r="D3945" s="40" t="s">
        <v>2233</v>
      </c>
      <c r="E3945" s="40" t="s">
        <v>2233</v>
      </c>
      <c r="F3945" s="40">
        <v>1</v>
      </c>
      <c r="G3945" s="40"/>
      <c r="H3945" s="40" t="s">
        <v>2234</v>
      </c>
      <c r="I3945" s="40"/>
      <c r="J3945" s="40" t="s">
        <v>97</v>
      </c>
      <c r="K3945" s="40" t="s">
        <v>97</v>
      </c>
      <c r="L3945" s="40" t="s">
        <v>97</v>
      </c>
    </row>
    <row r="3946" spans="1:12" x14ac:dyDescent="0.25">
      <c r="A3946" s="40" t="s">
        <v>26</v>
      </c>
      <c r="B3946" s="40" t="s">
        <v>6218</v>
      </c>
      <c r="C3946" s="40" t="s">
        <v>6829</v>
      </c>
      <c r="D3946" s="40" t="s">
        <v>2233</v>
      </c>
      <c r="E3946" s="40" t="s">
        <v>2233</v>
      </c>
      <c r="F3946" s="40">
        <v>1</v>
      </c>
      <c r="G3946" s="40"/>
      <c r="H3946" s="40" t="s">
        <v>2234</v>
      </c>
      <c r="I3946" s="40"/>
      <c r="J3946" s="40" t="s">
        <v>97</v>
      </c>
      <c r="K3946" s="40" t="s">
        <v>97</v>
      </c>
      <c r="L3946" s="40" t="s">
        <v>97</v>
      </c>
    </row>
    <row r="3947" spans="1:12" x14ac:dyDescent="0.25">
      <c r="A3947" s="40" t="s">
        <v>26</v>
      </c>
      <c r="B3947" s="40" t="s">
        <v>3314</v>
      </c>
      <c r="C3947" s="40" t="s">
        <v>6830</v>
      </c>
      <c r="D3947" s="40" t="s">
        <v>2233</v>
      </c>
      <c r="E3947" s="40" t="s">
        <v>2233</v>
      </c>
      <c r="F3947" s="40">
        <v>1</v>
      </c>
      <c r="G3947" s="40"/>
      <c r="H3947" s="40" t="s">
        <v>2234</v>
      </c>
      <c r="I3947" s="40"/>
      <c r="J3947" s="40" t="s">
        <v>97</v>
      </c>
      <c r="K3947" s="40" t="s">
        <v>97</v>
      </c>
      <c r="L3947" s="40" t="s">
        <v>97</v>
      </c>
    </row>
    <row r="3948" spans="1:12" x14ac:dyDescent="0.25">
      <c r="A3948" s="40" t="s">
        <v>26</v>
      </c>
      <c r="B3948" s="40" t="s">
        <v>6221</v>
      </c>
      <c r="C3948" s="40" t="s">
        <v>6831</v>
      </c>
      <c r="D3948" s="40" t="s">
        <v>2233</v>
      </c>
      <c r="E3948" s="40" t="s">
        <v>2233</v>
      </c>
      <c r="F3948" s="40">
        <v>1</v>
      </c>
      <c r="G3948" s="40"/>
      <c r="H3948" s="40" t="s">
        <v>2234</v>
      </c>
      <c r="I3948" s="40"/>
      <c r="J3948" s="40" t="s">
        <v>97</v>
      </c>
      <c r="K3948" s="40" t="s">
        <v>97</v>
      </c>
      <c r="L3948" s="40" t="s">
        <v>97</v>
      </c>
    </row>
    <row r="3949" spans="1:12" x14ac:dyDescent="0.25">
      <c r="A3949" s="40" t="s">
        <v>26</v>
      </c>
      <c r="B3949" s="40" t="s">
        <v>3316</v>
      </c>
      <c r="C3949" s="40" t="s">
        <v>6832</v>
      </c>
      <c r="D3949" s="40" t="s">
        <v>2233</v>
      </c>
      <c r="E3949" s="40" t="s">
        <v>2233</v>
      </c>
      <c r="F3949" s="40">
        <v>1</v>
      </c>
      <c r="G3949" s="40"/>
      <c r="H3949" s="40" t="s">
        <v>2234</v>
      </c>
      <c r="I3949" s="40"/>
      <c r="J3949" s="40" t="s">
        <v>97</v>
      </c>
      <c r="K3949" s="40" t="s">
        <v>97</v>
      </c>
      <c r="L3949" s="40" t="s">
        <v>97</v>
      </c>
    </row>
    <row r="3950" spans="1:12" x14ac:dyDescent="0.25">
      <c r="A3950" s="40" t="s">
        <v>26</v>
      </c>
      <c r="B3950" s="40" t="s">
        <v>6224</v>
      </c>
      <c r="C3950" s="40" t="s">
        <v>6833</v>
      </c>
      <c r="D3950" s="40" t="s">
        <v>2233</v>
      </c>
      <c r="E3950" s="40" t="s">
        <v>2233</v>
      </c>
      <c r="F3950" s="40">
        <v>1</v>
      </c>
      <c r="G3950" s="40"/>
      <c r="H3950" s="40" t="s">
        <v>2234</v>
      </c>
      <c r="I3950" s="40"/>
      <c r="J3950" s="40" t="s">
        <v>97</v>
      </c>
      <c r="K3950" s="40" t="s">
        <v>97</v>
      </c>
      <c r="L3950" s="40" t="s">
        <v>97</v>
      </c>
    </row>
    <row r="3951" spans="1:12" x14ac:dyDescent="0.25">
      <c r="A3951" s="40" t="s">
        <v>26</v>
      </c>
      <c r="B3951" s="40" t="s">
        <v>3318</v>
      </c>
      <c r="C3951" s="40" t="s">
        <v>6834</v>
      </c>
      <c r="D3951" s="40" t="s">
        <v>2233</v>
      </c>
      <c r="E3951" s="40" t="s">
        <v>2233</v>
      </c>
      <c r="F3951" s="40">
        <v>1</v>
      </c>
      <c r="G3951" s="40"/>
      <c r="H3951" s="40" t="s">
        <v>2234</v>
      </c>
      <c r="I3951" s="40"/>
      <c r="J3951" s="40" t="s">
        <v>97</v>
      </c>
      <c r="K3951" s="40" t="s">
        <v>97</v>
      </c>
      <c r="L3951" s="40" t="s">
        <v>97</v>
      </c>
    </row>
    <row r="3952" spans="1:12" x14ac:dyDescent="0.25">
      <c r="A3952" s="40" t="s">
        <v>26</v>
      </c>
      <c r="B3952" s="40" t="s">
        <v>6227</v>
      </c>
      <c r="C3952" s="40" t="s">
        <v>6835</v>
      </c>
      <c r="D3952" s="40" t="s">
        <v>2233</v>
      </c>
      <c r="E3952" s="40" t="s">
        <v>2233</v>
      </c>
      <c r="F3952" s="40">
        <v>1</v>
      </c>
      <c r="G3952" s="40"/>
      <c r="H3952" s="40" t="s">
        <v>2234</v>
      </c>
      <c r="I3952" s="40"/>
      <c r="J3952" s="40" t="s">
        <v>97</v>
      </c>
      <c r="K3952" s="40" t="s">
        <v>97</v>
      </c>
      <c r="L3952" s="40" t="s">
        <v>97</v>
      </c>
    </row>
    <row r="3953" spans="1:12" x14ac:dyDescent="0.25">
      <c r="A3953" s="40" t="s">
        <v>26</v>
      </c>
      <c r="B3953" s="40" t="s">
        <v>3320</v>
      </c>
      <c r="C3953" s="40" t="s">
        <v>6836</v>
      </c>
      <c r="D3953" s="40" t="s">
        <v>2233</v>
      </c>
      <c r="E3953" s="40" t="s">
        <v>2233</v>
      </c>
      <c r="F3953" s="40">
        <v>1</v>
      </c>
      <c r="G3953" s="40"/>
      <c r="H3953" s="40" t="s">
        <v>2234</v>
      </c>
      <c r="I3953" s="40"/>
      <c r="J3953" s="40" t="s">
        <v>97</v>
      </c>
      <c r="K3953" s="40" t="s">
        <v>97</v>
      </c>
      <c r="L3953" s="40" t="s">
        <v>97</v>
      </c>
    </row>
    <row r="3954" spans="1:12" x14ac:dyDescent="0.25">
      <c r="A3954" s="40" t="s">
        <v>26</v>
      </c>
      <c r="B3954" s="40" t="s">
        <v>6450</v>
      </c>
      <c r="C3954" s="40" t="s">
        <v>6837</v>
      </c>
      <c r="D3954" s="40" t="s">
        <v>2233</v>
      </c>
      <c r="E3954" s="40" t="s">
        <v>2233</v>
      </c>
      <c r="F3954" s="40">
        <v>1</v>
      </c>
      <c r="G3954" s="40"/>
      <c r="H3954" s="40" t="s">
        <v>2234</v>
      </c>
      <c r="I3954" s="40"/>
      <c r="J3954" s="40" t="s">
        <v>97</v>
      </c>
      <c r="K3954" s="40" t="s">
        <v>97</v>
      </c>
      <c r="L3954" s="40" t="s">
        <v>97</v>
      </c>
    </row>
    <row r="3955" spans="1:12" x14ac:dyDescent="0.25">
      <c r="A3955" s="40" t="s">
        <v>26</v>
      </c>
      <c r="B3955" s="40" t="s">
        <v>3322</v>
      </c>
      <c r="C3955" s="40" t="s">
        <v>6838</v>
      </c>
      <c r="D3955" s="40" t="s">
        <v>2233</v>
      </c>
      <c r="E3955" s="40" t="s">
        <v>2233</v>
      </c>
      <c r="F3955" s="40">
        <v>1</v>
      </c>
      <c r="G3955" s="40"/>
      <c r="H3955" s="40" t="s">
        <v>2234</v>
      </c>
      <c r="I3955" s="40"/>
      <c r="J3955" s="40" t="s">
        <v>97</v>
      </c>
      <c r="K3955" s="40" t="s">
        <v>97</v>
      </c>
      <c r="L3955" s="40" t="s">
        <v>97</v>
      </c>
    </row>
    <row r="3956" spans="1:12" x14ac:dyDescent="0.25">
      <c r="A3956" s="40" t="s">
        <v>26</v>
      </c>
      <c r="B3956" s="40" t="s">
        <v>6839</v>
      </c>
      <c r="C3956" s="40" t="s">
        <v>6840</v>
      </c>
      <c r="D3956" s="40" t="s">
        <v>2233</v>
      </c>
      <c r="E3956" s="40" t="s">
        <v>2233</v>
      </c>
      <c r="F3956" s="40">
        <v>1</v>
      </c>
      <c r="G3956" s="40"/>
      <c r="H3956" s="40" t="s">
        <v>2234</v>
      </c>
      <c r="I3956" s="40"/>
      <c r="J3956" s="40" t="s">
        <v>97</v>
      </c>
      <c r="K3956" s="40" t="s">
        <v>97</v>
      </c>
      <c r="L3956" s="40" t="s">
        <v>97</v>
      </c>
    </row>
    <row r="3957" spans="1:12" x14ac:dyDescent="0.25">
      <c r="A3957" s="40" t="s">
        <v>26</v>
      </c>
      <c r="B3957" s="40" t="s">
        <v>3324</v>
      </c>
      <c r="C3957" s="40" t="s">
        <v>6841</v>
      </c>
      <c r="D3957" s="40" t="s">
        <v>2233</v>
      </c>
      <c r="E3957" s="40" t="s">
        <v>2233</v>
      </c>
      <c r="F3957" s="40">
        <v>1</v>
      </c>
      <c r="G3957" s="40"/>
      <c r="H3957" s="40" t="s">
        <v>2234</v>
      </c>
      <c r="I3957" s="40"/>
      <c r="J3957" s="40" t="s">
        <v>97</v>
      </c>
      <c r="K3957" s="40" t="s">
        <v>97</v>
      </c>
      <c r="L3957" s="40" t="s">
        <v>97</v>
      </c>
    </row>
    <row r="3958" spans="1:12" x14ac:dyDescent="0.25">
      <c r="A3958" s="40" t="s">
        <v>26</v>
      </c>
      <c r="B3958" s="40" t="s">
        <v>6842</v>
      </c>
      <c r="C3958" s="40" t="s">
        <v>6843</v>
      </c>
      <c r="D3958" s="40" t="s">
        <v>2233</v>
      </c>
      <c r="E3958" s="40" t="s">
        <v>2233</v>
      </c>
      <c r="F3958" s="40">
        <v>1</v>
      </c>
      <c r="G3958" s="40"/>
      <c r="H3958" s="40" t="s">
        <v>2234</v>
      </c>
      <c r="I3958" s="40"/>
      <c r="J3958" s="40" t="s">
        <v>97</v>
      </c>
      <c r="K3958" s="40" t="s">
        <v>97</v>
      </c>
      <c r="L3958" s="40" t="s">
        <v>97</v>
      </c>
    </row>
    <row r="3959" spans="1:12" x14ac:dyDescent="0.25">
      <c r="A3959" s="40" t="s">
        <v>26</v>
      </c>
      <c r="B3959" s="40" t="s">
        <v>3326</v>
      </c>
      <c r="C3959" s="40" t="s">
        <v>6844</v>
      </c>
      <c r="D3959" s="40" t="s">
        <v>2233</v>
      </c>
      <c r="E3959" s="40" t="s">
        <v>2233</v>
      </c>
      <c r="F3959" s="40">
        <v>1</v>
      </c>
      <c r="G3959" s="40"/>
      <c r="H3959" s="40" t="s">
        <v>2234</v>
      </c>
      <c r="I3959" s="40"/>
      <c r="J3959" s="40" t="s">
        <v>97</v>
      </c>
      <c r="K3959" s="40" t="s">
        <v>97</v>
      </c>
      <c r="L3959" s="40" t="s">
        <v>97</v>
      </c>
    </row>
    <row r="3960" spans="1:12" x14ac:dyDescent="0.25">
      <c r="A3960" s="40" t="s">
        <v>26</v>
      </c>
      <c r="B3960" s="40" t="s">
        <v>6845</v>
      </c>
      <c r="C3960" s="40" t="s">
        <v>6846</v>
      </c>
      <c r="D3960" s="40" t="s">
        <v>2233</v>
      </c>
      <c r="E3960" s="40" t="s">
        <v>2233</v>
      </c>
      <c r="F3960" s="40">
        <v>1</v>
      </c>
      <c r="G3960" s="40"/>
      <c r="H3960" s="40" t="s">
        <v>2234</v>
      </c>
      <c r="I3960" s="40"/>
      <c r="J3960" s="40" t="s">
        <v>97</v>
      </c>
      <c r="K3960" s="40" t="s">
        <v>97</v>
      </c>
      <c r="L3960" s="40" t="s">
        <v>97</v>
      </c>
    </row>
    <row r="3961" spans="1:12" x14ac:dyDescent="0.25">
      <c r="A3961" s="40" t="s">
        <v>26</v>
      </c>
      <c r="B3961" s="40" t="s">
        <v>6847</v>
      </c>
      <c r="C3961" s="40" t="s">
        <v>6848</v>
      </c>
      <c r="D3961" s="40" t="s">
        <v>6849</v>
      </c>
      <c r="E3961" s="40" t="s">
        <v>6849</v>
      </c>
      <c r="F3961" s="40">
        <v>1</v>
      </c>
      <c r="G3961" s="40"/>
      <c r="H3961" s="40" t="s">
        <v>2234</v>
      </c>
      <c r="I3961" s="40"/>
      <c r="J3961" s="40" t="s">
        <v>97</v>
      </c>
      <c r="K3961" s="40" t="s">
        <v>97</v>
      </c>
      <c r="L3961" s="40" t="s">
        <v>97</v>
      </c>
    </row>
    <row r="3962" spans="1:12" x14ac:dyDescent="0.25">
      <c r="A3962" s="40" t="s">
        <v>26</v>
      </c>
      <c r="B3962" s="40" t="s">
        <v>6850</v>
      </c>
      <c r="C3962" s="40" t="s">
        <v>6851</v>
      </c>
      <c r="D3962" s="40" t="s">
        <v>2233</v>
      </c>
      <c r="E3962" s="40" t="s">
        <v>2233</v>
      </c>
      <c r="F3962" s="40">
        <v>1</v>
      </c>
      <c r="G3962" s="40"/>
      <c r="H3962" s="40" t="s">
        <v>97</v>
      </c>
      <c r="I3962" s="40"/>
      <c r="J3962" s="40" t="s">
        <v>97</v>
      </c>
      <c r="K3962" s="40" t="s">
        <v>97</v>
      </c>
      <c r="L3962" s="40" t="s">
        <v>97</v>
      </c>
    </row>
    <row r="3963" spans="1:12" x14ac:dyDescent="0.25">
      <c r="A3963" s="40" t="s">
        <v>26</v>
      </c>
      <c r="B3963" s="40" t="s">
        <v>3734</v>
      </c>
      <c r="C3963" s="40" t="s">
        <v>6852</v>
      </c>
      <c r="D3963" s="40" t="s">
        <v>2233</v>
      </c>
      <c r="E3963" s="40" t="s">
        <v>2233</v>
      </c>
      <c r="F3963" s="40">
        <v>1</v>
      </c>
      <c r="G3963" s="40"/>
      <c r="H3963" s="40" t="s">
        <v>97</v>
      </c>
      <c r="I3963" s="40"/>
      <c r="J3963" s="40" t="s">
        <v>97</v>
      </c>
      <c r="K3963" s="40" t="s">
        <v>97</v>
      </c>
      <c r="L3963" s="40" t="s">
        <v>97</v>
      </c>
    </row>
    <row r="3964" spans="1:12" x14ac:dyDescent="0.25">
      <c r="A3964" s="40" t="s">
        <v>26</v>
      </c>
      <c r="B3964" s="40" t="s">
        <v>3739</v>
      </c>
      <c r="C3964" s="40" t="s">
        <v>6853</v>
      </c>
      <c r="D3964" s="40" t="s">
        <v>2233</v>
      </c>
      <c r="E3964" s="40" t="s">
        <v>2233</v>
      </c>
      <c r="F3964" s="40">
        <v>1</v>
      </c>
      <c r="G3964" s="40"/>
      <c r="H3964" s="40" t="s">
        <v>2234</v>
      </c>
      <c r="I3964" s="40"/>
      <c r="J3964" s="40" t="s">
        <v>97</v>
      </c>
      <c r="K3964" s="40" t="s">
        <v>97</v>
      </c>
      <c r="L3964" s="40" t="s">
        <v>97</v>
      </c>
    </row>
    <row r="3965" spans="1:12" x14ac:dyDescent="0.25">
      <c r="A3965" s="40" t="s">
        <v>26</v>
      </c>
      <c r="B3965" s="40" t="s">
        <v>6259</v>
      </c>
      <c r="C3965" s="40" t="s">
        <v>6854</v>
      </c>
      <c r="D3965" s="40" t="s">
        <v>3048</v>
      </c>
      <c r="E3965" s="40" t="s">
        <v>3048</v>
      </c>
      <c r="F3965" s="40">
        <v>1</v>
      </c>
      <c r="G3965" s="40"/>
      <c r="H3965" s="40" t="s">
        <v>2234</v>
      </c>
      <c r="I3965" s="40"/>
      <c r="J3965" s="40" t="s">
        <v>97</v>
      </c>
      <c r="K3965" s="40" t="s">
        <v>97</v>
      </c>
      <c r="L3965" s="40" t="s">
        <v>97</v>
      </c>
    </row>
    <row r="3966" spans="1:12" x14ac:dyDescent="0.25">
      <c r="A3966" s="40" t="s">
        <v>26</v>
      </c>
      <c r="B3966" s="40" t="s">
        <v>3741</v>
      </c>
      <c r="C3966" s="40" t="s">
        <v>6855</v>
      </c>
      <c r="D3966" s="40" t="s">
        <v>577</v>
      </c>
      <c r="E3966" s="40" t="s">
        <v>577</v>
      </c>
      <c r="F3966" s="40">
        <v>1</v>
      </c>
      <c r="G3966" s="40"/>
      <c r="H3966" s="40" t="s">
        <v>2234</v>
      </c>
      <c r="I3966" s="40"/>
      <c r="J3966" s="40" t="s">
        <v>97</v>
      </c>
      <c r="K3966" s="40" t="s">
        <v>97</v>
      </c>
      <c r="L3966" s="40" t="s">
        <v>97</v>
      </c>
    </row>
    <row r="3967" spans="1:12" x14ac:dyDescent="0.25">
      <c r="A3967" s="40" t="s">
        <v>26</v>
      </c>
      <c r="B3967" s="40" t="s">
        <v>6264</v>
      </c>
      <c r="C3967" s="40" t="s">
        <v>6856</v>
      </c>
      <c r="D3967" s="40" t="s">
        <v>2233</v>
      </c>
      <c r="E3967" s="40" t="s">
        <v>2233</v>
      </c>
      <c r="F3967" s="40">
        <v>1</v>
      </c>
      <c r="G3967" s="40"/>
      <c r="H3967" s="40" t="s">
        <v>2234</v>
      </c>
      <c r="I3967" s="40"/>
      <c r="J3967" s="40" t="s">
        <v>97</v>
      </c>
      <c r="K3967" s="40" t="s">
        <v>97</v>
      </c>
      <c r="L3967" s="40" t="s">
        <v>97</v>
      </c>
    </row>
    <row r="3968" spans="1:12" x14ac:dyDescent="0.25">
      <c r="A3968" s="40" t="s">
        <v>26</v>
      </c>
      <c r="B3968" s="40" t="s">
        <v>3743</v>
      </c>
      <c r="C3968" s="40" t="s">
        <v>6857</v>
      </c>
      <c r="D3968" s="40" t="s">
        <v>2233</v>
      </c>
      <c r="E3968" s="40" t="s">
        <v>2233</v>
      </c>
      <c r="F3968" s="40">
        <v>1</v>
      </c>
      <c r="G3968" s="40"/>
      <c r="H3968" s="40" t="s">
        <v>2234</v>
      </c>
      <c r="I3968" s="40"/>
      <c r="J3968" s="40" t="s">
        <v>97</v>
      </c>
      <c r="K3968" s="40" t="s">
        <v>97</v>
      </c>
      <c r="L3968" s="40" t="s">
        <v>97</v>
      </c>
    </row>
    <row r="3969" spans="1:12" x14ac:dyDescent="0.25">
      <c r="A3969" s="40" t="s">
        <v>26</v>
      </c>
      <c r="B3969" s="40" t="s">
        <v>6267</v>
      </c>
      <c r="C3969" s="40" t="s">
        <v>6858</v>
      </c>
      <c r="D3969" s="40" t="s">
        <v>2233</v>
      </c>
      <c r="E3969" s="40" t="s">
        <v>2233</v>
      </c>
      <c r="F3969" s="40">
        <v>1</v>
      </c>
      <c r="G3969" s="40"/>
      <c r="H3969" s="40" t="s">
        <v>2234</v>
      </c>
      <c r="I3969" s="40"/>
      <c r="J3969" s="40" t="s">
        <v>97</v>
      </c>
      <c r="K3969" s="40" t="s">
        <v>97</v>
      </c>
      <c r="L3969" s="40" t="s">
        <v>97</v>
      </c>
    </row>
    <row r="3970" spans="1:12" x14ac:dyDescent="0.25">
      <c r="A3970" s="40" t="s">
        <v>26</v>
      </c>
      <c r="B3970" s="40" t="s">
        <v>3745</v>
      </c>
      <c r="C3970" s="40" t="s">
        <v>6859</v>
      </c>
      <c r="D3970" s="40" t="s">
        <v>2233</v>
      </c>
      <c r="E3970" s="40" t="s">
        <v>2233</v>
      </c>
      <c r="F3970" s="40">
        <v>1</v>
      </c>
      <c r="G3970" s="40"/>
      <c r="H3970" s="40" t="s">
        <v>2234</v>
      </c>
      <c r="I3970" s="40"/>
      <c r="J3970" s="40" t="s">
        <v>97</v>
      </c>
      <c r="K3970" s="40" t="s">
        <v>97</v>
      </c>
      <c r="L3970" s="40" t="s">
        <v>97</v>
      </c>
    </row>
    <row r="3971" spans="1:12" x14ac:dyDescent="0.25">
      <c r="A3971" s="40" t="s">
        <v>26</v>
      </c>
      <c r="B3971" s="40" t="s">
        <v>6272</v>
      </c>
      <c r="C3971" s="40" t="s">
        <v>6860</v>
      </c>
      <c r="D3971" s="40" t="s">
        <v>2233</v>
      </c>
      <c r="E3971" s="40" t="s">
        <v>2233</v>
      </c>
      <c r="F3971" s="40">
        <v>1</v>
      </c>
      <c r="G3971" s="40"/>
      <c r="H3971" s="40" t="s">
        <v>2234</v>
      </c>
      <c r="I3971" s="40"/>
      <c r="J3971" s="40" t="s">
        <v>97</v>
      </c>
      <c r="K3971" s="40" t="s">
        <v>97</v>
      </c>
      <c r="L3971" s="40" t="s">
        <v>97</v>
      </c>
    </row>
    <row r="3972" spans="1:12" x14ac:dyDescent="0.25">
      <c r="A3972" s="40" t="s">
        <v>26</v>
      </c>
      <c r="B3972" s="40" t="s">
        <v>3747</v>
      </c>
      <c r="C3972" s="40" t="s">
        <v>6861</v>
      </c>
      <c r="D3972" s="40" t="s">
        <v>2233</v>
      </c>
      <c r="E3972" s="40" t="s">
        <v>2233</v>
      </c>
      <c r="F3972" s="40">
        <v>1</v>
      </c>
      <c r="G3972" s="40"/>
      <c r="H3972" s="40" t="s">
        <v>2234</v>
      </c>
      <c r="I3972" s="40"/>
      <c r="J3972" s="40" t="s">
        <v>97</v>
      </c>
      <c r="K3972" s="40" t="s">
        <v>97</v>
      </c>
      <c r="L3972" s="40" t="s">
        <v>97</v>
      </c>
    </row>
    <row r="3973" spans="1:12" x14ac:dyDescent="0.25">
      <c r="A3973" s="40" t="s">
        <v>26</v>
      </c>
      <c r="B3973" s="40" t="s">
        <v>3749</v>
      </c>
      <c r="C3973" s="40" t="s">
        <v>6862</v>
      </c>
      <c r="D3973" s="40" t="s">
        <v>2233</v>
      </c>
      <c r="E3973" s="40" t="s">
        <v>2233</v>
      </c>
      <c r="F3973" s="40">
        <v>1</v>
      </c>
      <c r="G3973" s="40"/>
      <c r="H3973" s="40" t="s">
        <v>2234</v>
      </c>
      <c r="I3973" s="40"/>
      <c r="J3973" s="40" t="s">
        <v>97</v>
      </c>
      <c r="K3973" s="40" t="s">
        <v>97</v>
      </c>
      <c r="L3973" s="40" t="s">
        <v>97</v>
      </c>
    </row>
    <row r="3974" spans="1:12" x14ac:dyDescent="0.25">
      <c r="A3974" s="40" t="s">
        <v>26</v>
      </c>
      <c r="B3974" s="40" t="s">
        <v>6276</v>
      </c>
      <c r="C3974" s="40" t="s">
        <v>6863</v>
      </c>
      <c r="D3974" s="40" t="s">
        <v>2233</v>
      </c>
      <c r="E3974" s="40" t="s">
        <v>2233</v>
      </c>
      <c r="F3974" s="40">
        <v>1</v>
      </c>
      <c r="G3974" s="40"/>
      <c r="H3974" s="40" t="s">
        <v>2234</v>
      </c>
      <c r="I3974" s="40"/>
      <c r="J3974" s="40" t="s">
        <v>97</v>
      </c>
      <c r="K3974" s="40" t="s">
        <v>97</v>
      </c>
      <c r="L3974" s="40" t="s">
        <v>97</v>
      </c>
    </row>
    <row r="3975" spans="1:12" x14ac:dyDescent="0.25">
      <c r="A3975" s="40" t="s">
        <v>26</v>
      </c>
      <c r="B3975" s="40" t="s">
        <v>6278</v>
      </c>
      <c r="C3975" s="40" t="s">
        <v>6864</v>
      </c>
      <c r="D3975" s="40" t="s">
        <v>2233</v>
      </c>
      <c r="E3975" s="40" t="s">
        <v>2233</v>
      </c>
      <c r="F3975" s="40">
        <v>1</v>
      </c>
      <c r="G3975" s="40"/>
      <c r="H3975" s="40" t="s">
        <v>2234</v>
      </c>
      <c r="I3975" s="40"/>
      <c r="J3975" s="40" t="s">
        <v>97</v>
      </c>
      <c r="K3975" s="40" t="s">
        <v>97</v>
      </c>
      <c r="L3975" s="40" t="s">
        <v>97</v>
      </c>
    </row>
    <row r="3976" spans="1:12" x14ac:dyDescent="0.25">
      <c r="A3976" s="40" t="s">
        <v>26</v>
      </c>
      <c r="B3976" s="40" t="s">
        <v>6280</v>
      </c>
      <c r="C3976" s="40" t="s">
        <v>6865</v>
      </c>
      <c r="D3976" s="40" t="s">
        <v>2233</v>
      </c>
      <c r="E3976" s="40" t="s">
        <v>2233</v>
      </c>
      <c r="F3976" s="40">
        <v>1</v>
      </c>
      <c r="G3976" s="40"/>
      <c r="H3976" s="40" t="s">
        <v>97</v>
      </c>
      <c r="I3976" s="40"/>
      <c r="J3976" s="40" t="s">
        <v>97</v>
      </c>
      <c r="K3976" s="40" t="s">
        <v>97</v>
      </c>
      <c r="L3976" s="40" t="s">
        <v>97</v>
      </c>
    </row>
    <row r="3977" spans="1:12" x14ac:dyDescent="0.25">
      <c r="A3977" s="40" t="s">
        <v>26</v>
      </c>
      <c r="B3977" s="40" t="s">
        <v>6282</v>
      </c>
      <c r="C3977" s="40" t="s">
        <v>6866</v>
      </c>
      <c r="D3977" s="40" t="s">
        <v>2281</v>
      </c>
      <c r="E3977" s="40" t="s">
        <v>2281</v>
      </c>
      <c r="F3977" s="40">
        <v>1</v>
      </c>
      <c r="G3977" s="40"/>
      <c r="H3977" s="40" t="s">
        <v>97</v>
      </c>
      <c r="I3977" s="40"/>
      <c r="J3977" s="40" t="s">
        <v>97</v>
      </c>
      <c r="K3977" s="40" t="s">
        <v>97</v>
      </c>
      <c r="L3977" s="40" t="s">
        <v>97</v>
      </c>
    </row>
    <row r="3978" spans="1:12" x14ac:dyDescent="0.25">
      <c r="A3978" s="40" t="s">
        <v>26</v>
      </c>
      <c r="B3978" s="40" t="s">
        <v>3751</v>
      </c>
      <c r="C3978" s="40" t="s">
        <v>6867</v>
      </c>
      <c r="D3978" s="40" t="s">
        <v>2233</v>
      </c>
      <c r="E3978" s="40" t="s">
        <v>2233</v>
      </c>
      <c r="F3978" s="40">
        <v>1</v>
      </c>
      <c r="G3978" s="40"/>
      <c r="H3978" s="40" t="s">
        <v>97</v>
      </c>
      <c r="I3978" s="40"/>
      <c r="J3978" s="40" t="s">
        <v>97</v>
      </c>
      <c r="K3978" s="40" t="s">
        <v>97</v>
      </c>
      <c r="L3978" s="40" t="s">
        <v>97</v>
      </c>
    </row>
    <row r="3979" spans="1:12" x14ac:dyDescent="0.25">
      <c r="A3979" s="40" t="s">
        <v>26</v>
      </c>
      <c r="B3979" s="40" t="s">
        <v>6285</v>
      </c>
      <c r="C3979" s="40" t="s">
        <v>6868</v>
      </c>
      <c r="D3979" s="40" t="s">
        <v>2233</v>
      </c>
      <c r="E3979" s="40" t="s">
        <v>2233</v>
      </c>
      <c r="F3979" s="40">
        <v>1</v>
      </c>
      <c r="G3979" s="40"/>
      <c r="H3979" s="40" t="s">
        <v>97</v>
      </c>
      <c r="I3979" s="40"/>
      <c r="J3979" s="40" t="s">
        <v>97</v>
      </c>
      <c r="K3979" s="40" t="s">
        <v>97</v>
      </c>
      <c r="L3979" s="40" t="s">
        <v>97</v>
      </c>
    </row>
    <row r="3980" spans="1:12" x14ac:dyDescent="0.25">
      <c r="A3980" s="40" t="s">
        <v>26</v>
      </c>
      <c r="B3980" s="40" t="s">
        <v>3753</v>
      </c>
      <c r="C3980" s="40" t="s">
        <v>6869</v>
      </c>
      <c r="D3980" s="40" t="s">
        <v>2233</v>
      </c>
      <c r="E3980" s="40" t="s">
        <v>2233</v>
      </c>
      <c r="F3980" s="40">
        <v>1</v>
      </c>
      <c r="G3980" s="40"/>
      <c r="H3980" s="40" t="s">
        <v>97</v>
      </c>
      <c r="I3980" s="40"/>
      <c r="J3980" s="40" t="s">
        <v>97</v>
      </c>
      <c r="K3980" s="40" t="s">
        <v>97</v>
      </c>
      <c r="L3980" s="40" t="s">
        <v>97</v>
      </c>
    </row>
    <row r="3981" spans="1:12" x14ac:dyDescent="0.25">
      <c r="A3981" s="40" t="s">
        <v>26</v>
      </c>
      <c r="B3981" s="40" t="s">
        <v>6288</v>
      </c>
      <c r="C3981" s="40" t="s">
        <v>6870</v>
      </c>
      <c r="D3981" s="40" t="s">
        <v>2233</v>
      </c>
      <c r="E3981" s="40" t="s">
        <v>2233</v>
      </c>
      <c r="F3981" s="40">
        <v>1</v>
      </c>
      <c r="G3981" s="40"/>
      <c r="H3981" s="40" t="s">
        <v>97</v>
      </c>
      <c r="I3981" s="40"/>
      <c r="J3981" s="40" t="s">
        <v>97</v>
      </c>
      <c r="K3981" s="40" t="s">
        <v>97</v>
      </c>
      <c r="L3981" s="40" t="s">
        <v>97</v>
      </c>
    </row>
    <row r="3982" spans="1:12" x14ac:dyDescent="0.25">
      <c r="A3982" s="40" t="s">
        <v>26</v>
      </c>
      <c r="B3982" s="40" t="s">
        <v>3755</v>
      </c>
      <c r="C3982" s="40" t="s">
        <v>6871</v>
      </c>
      <c r="D3982" s="40" t="s">
        <v>2233</v>
      </c>
      <c r="E3982" s="40" t="s">
        <v>2233</v>
      </c>
      <c r="F3982" s="40">
        <v>1</v>
      </c>
      <c r="G3982" s="40"/>
      <c r="H3982" s="40" t="s">
        <v>97</v>
      </c>
      <c r="I3982" s="40"/>
      <c r="J3982" s="40" t="s">
        <v>97</v>
      </c>
      <c r="K3982" s="40" t="s">
        <v>97</v>
      </c>
      <c r="L3982" s="40" t="s">
        <v>97</v>
      </c>
    </row>
    <row r="3983" spans="1:12" x14ac:dyDescent="0.25">
      <c r="A3983" s="40" t="s">
        <v>26</v>
      </c>
      <c r="B3983" s="40" t="s">
        <v>3953</v>
      </c>
      <c r="C3983" s="40" t="s">
        <v>6872</v>
      </c>
      <c r="D3983" s="40" t="s">
        <v>2233</v>
      </c>
      <c r="E3983" s="40" t="s">
        <v>2233</v>
      </c>
      <c r="F3983" s="40">
        <v>1</v>
      </c>
      <c r="G3983" s="40"/>
      <c r="H3983" s="40" t="s">
        <v>97</v>
      </c>
      <c r="I3983" s="40"/>
      <c r="J3983" s="40" t="s">
        <v>97</v>
      </c>
      <c r="K3983" s="40" t="s">
        <v>97</v>
      </c>
      <c r="L3983" s="40" t="s">
        <v>97</v>
      </c>
    </row>
    <row r="3984" spans="1:12" x14ac:dyDescent="0.25">
      <c r="A3984" s="40" t="s">
        <v>26</v>
      </c>
      <c r="B3984" s="40" t="s">
        <v>3958</v>
      </c>
      <c r="C3984" s="40" t="s">
        <v>6873</v>
      </c>
      <c r="D3984" s="40" t="s">
        <v>2233</v>
      </c>
      <c r="E3984" s="40" t="s">
        <v>2233</v>
      </c>
      <c r="F3984" s="40">
        <v>1</v>
      </c>
      <c r="G3984" s="40"/>
      <c r="H3984" s="40" t="s">
        <v>2234</v>
      </c>
      <c r="I3984" s="40"/>
      <c r="J3984" s="40" t="s">
        <v>97</v>
      </c>
      <c r="K3984" s="40" t="s">
        <v>97</v>
      </c>
      <c r="L3984" s="40" t="s">
        <v>97</v>
      </c>
    </row>
    <row r="3985" spans="1:12" x14ac:dyDescent="0.25">
      <c r="A3985" s="40" t="s">
        <v>26</v>
      </c>
      <c r="B3985" s="40" t="s">
        <v>6336</v>
      </c>
      <c r="C3985" s="40" t="s">
        <v>6874</v>
      </c>
      <c r="D3985" s="40" t="s">
        <v>3048</v>
      </c>
      <c r="E3985" s="40" t="s">
        <v>3048</v>
      </c>
      <c r="F3985" s="40">
        <v>1</v>
      </c>
      <c r="G3985" s="40"/>
      <c r="H3985" s="40" t="s">
        <v>2234</v>
      </c>
      <c r="I3985" s="40"/>
      <c r="J3985" s="40" t="s">
        <v>97</v>
      </c>
      <c r="K3985" s="40" t="s">
        <v>97</v>
      </c>
      <c r="L3985" s="40" t="s">
        <v>97</v>
      </c>
    </row>
    <row r="3986" spans="1:12" x14ac:dyDescent="0.25">
      <c r="A3986" s="40" t="s">
        <v>26</v>
      </c>
      <c r="B3986" s="40" t="s">
        <v>3960</v>
      </c>
      <c r="C3986" s="40" t="s">
        <v>6875</v>
      </c>
      <c r="D3986" s="40" t="s">
        <v>577</v>
      </c>
      <c r="E3986" s="40" t="s">
        <v>577</v>
      </c>
      <c r="F3986" s="40">
        <v>1</v>
      </c>
      <c r="G3986" s="40"/>
      <c r="H3986" s="40" t="s">
        <v>2234</v>
      </c>
      <c r="I3986" s="40"/>
      <c r="J3986" s="40" t="s">
        <v>97</v>
      </c>
      <c r="K3986" s="40" t="s">
        <v>97</v>
      </c>
      <c r="L3986" s="40" t="s">
        <v>97</v>
      </c>
    </row>
    <row r="3987" spans="1:12" x14ac:dyDescent="0.25">
      <c r="A3987" s="40" t="s">
        <v>26</v>
      </c>
      <c r="B3987" s="40" t="s">
        <v>6339</v>
      </c>
      <c r="C3987" s="40" t="s">
        <v>6876</v>
      </c>
      <c r="D3987" s="40" t="s">
        <v>2233</v>
      </c>
      <c r="E3987" s="40" t="s">
        <v>2233</v>
      </c>
      <c r="F3987" s="40">
        <v>1</v>
      </c>
      <c r="G3987" s="40"/>
      <c r="H3987" s="40" t="s">
        <v>2234</v>
      </c>
      <c r="I3987" s="40"/>
      <c r="J3987" s="40" t="s">
        <v>97</v>
      </c>
      <c r="K3987" s="40" t="s">
        <v>97</v>
      </c>
      <c r="L3987" s="40" t="s">
        <v>97</v>
      </c>
    </row>
    <row r="3988" spans="1:12" x14ac:dyDescent="0.25">
      <c r="A3988" s="40" t="s">
        <v>26</v>
      </c>
      <c r="B3988" s="40" t="s">
        <v>3962</v>
      </c>
      <c r="C3988" s="40" t="s">
        <v>6877</v>
      </c>
      <c r="D3988" s="40" t="s">
        <v>2233</v>
      </c>
      <c r="E3988" s="40" t="s">
        <v>2233</v>
      </c>
      <c r="F3988" s="40">
        <v>1</v>
      </c>
      <c r="G3988" s="40"/>
      <c r="H3988" s="40" t="s">
        <v>2234</v>
      </c>
      <c r="I3988" s="40"/>
      <c r="J3988" s="40" t="s">
        <v>97</v>
      </c>
      <c r="K3988" s="40" t="s">
        <v>97</v>
      </c>
      <c r="L3988" s="40" t="s">
        <v>97</v>
      </c>
    </row>
    <row r="3989" spans="1:12" x14ac:dyDescent="0.25">
      <c r="A3989" s="40" t="s">
        <v>26</v>
      </c>
      <c r="B3989" s="40" t="s">
        <v>6342</v>
      </c>
      <c r="C3989" s="40" t="s">
        <v>6878</v>
      </c>
      <c r="D3989" s="40" t="s">
        <v>2233</v>
      </c>
      <c r="E3989" s="40" t="s">
        <v>2233</v>
      </c>
      <c r="F3989" s="40">
        <v>1</v>
      </c>
      <c r="G3989" s="40"/>
      <c r="H3989" s="40" t="s">
        <v>2234</v>
      </c>
      <c r="I3989" s="40"/>
      <c r="J3989" s="40" t="s">
        <v>97</v>
      </c>
      <c r="K3989" s="40" t="s">
        <v>97</v>
      </c>
      <c r="L3989" s="40" t="s">
        <v>97</v>
      </c>
    </row>
    <row r="3990" spans="1:12" x14ac:dyDescent="0.25">
      <c r="A3990" s="40" t="s">
        <v>26</v>
      </c>
      <c r="B3990" s="40" t="s">
        <v>3964</v>
      </c>
      <c r="C3990" s="40" t="s">
        <v>6879</v>
      </c>
      <c r="D3990" s="40" t="s">
        <v>2233</v>
      </c>
      <c r="E3990" s="40" t="s">
        <v>2233</v>
      </c>
      <c r="F3990" s="40">
        <v>1</v>
      </c>
      <c r="G3990" s="40"/>
      <c r="H3990" s="40" t="s">
        <v>2234</v>
      </c>
      <c r="I3990" s="40"/>
      <c r="J3990" s="40" t="s">
        <v>97</v>
      </c>
      <c r="K3990" s="40" t="s">
        <v>97</v>
      </c>
      <c r="L3990" s="40" t="s">
        <v>97</v>
      </c>
    </row>
    <row r="3991" spans="1:12" x14ac:dyDescent="0.25">
      <c r="A3991" s="40" t="s">
        <v>26</v>
      </c>
      <c r="B3991" s="40" t="s">
        <v>6710</v>
      </c>
      <c r="C3991" s="40" t="s">
        <v>6880</v>
      </c>
      <c r="D3991" s="40" t="s">
        <v>2233</v>
      </c>
      <c r="E3991" s="40" t="s">
        <v>2233</v>
      </c>
      <c r="F3991" s="40">
        <v>1</v>
      </c>
      <c r="G3991" s="40"/>
      <c r="H3991" s="40" t="s">
        <v>2234</v>
      </c>
      <c r="I3991" s="40"/>
      <c r="J3991" s="40" t="s">
        <v>97</v>
      </c>
      <c r="K3991" s="40" t="s">
        <v>97</v>
      </c>
      <c r="L3991" s="40" t="s">
        <v>97</v>
      </c>
    </row>
    <row r="3992" spans="1:12" x14ac:dyDescent="0.25">
      <c r="A3992" s="40" t="s">
        <v>26</v>
      </c>
      <c r="B3992" s="40" t="s">
        <v>3966</v>
      </c>
      <c r="C3992" s="40" t="s">
        <v>6881</v>
      </c>
      <c r="D3992" s="40" t="s">
        <v>2233</v>
      </c>
      <c r="E3992" s="40" t="s">
        <v>2233</v>
      </c>
      <c r="F3992" s="40">
        <v>1</v>
      </c>
      <c r="G3992" s="40"/>
      <c r="H3992" s="40" t="s">
        <v>2234</v>
      </c>
      <c r="I3992" s="40"/>
      <c r="J3992" s="40" t="s">
        <v>97</v>
      </c>
      <c r="K3992" s="40" t="s">
        <v>97</v>
      </c>
      <c r="L3992" s="40" t="s">
        <v>97</v>
      </c>
    </row>
    <row r="3993" spans="1:12" x14ac:dyDescent="0.25">
      <c r="A3993" s="40" t="s">
        <v>26</v>
      </c>
      <c r="B3993" s="40" t="s">
        <v>6713</v>
      </c>
      <c r="C3993" s="40" t="s">
        <v>6882</v>
      </c>
      <c r="D3993" s="40" t="s">
        <v>2233</v>
      </c>
      <c r="E3993" s="40" t="s">
        <v>2233</v>
      </c>
      <c r="F3993" s="40">
        <v>1</v>
      </c>
      <c r="G3993" s="40"/>
      <c r="H3993" s="40" t="s">
        <v>2234</v>
      </c>
      <c r="I3993" s="40"/>
      <c r="J3993" s="40" t="s">
        <v>97</v>
      </c>
      <c r="K3993" s="40" t="s">
        <v>97</v>
      </c>
      <c r="L3993" s="40" t="s">
        <v>97</v>
      </c>
    </row>
    <row r="3994" spans="1:12" x14ac:dyDescent="0.25">
      <c r="A3994" s="40" t="s">
        <v>26</v>
      </c>
      <c r="B3994" s="40" t="s">
        <v>6345</v>
      </c>
      <c r="C3994" s="40" t="s">
        <v>6883</v>
      </c>
      <c r="D3994" s="40" t="s">
        <v>2233</v>
      </c>
      <c r="E3994" s="40" t="s">
        <v>2233</v>
      </c>
      <c r="F3994" s="40">
        <v>1</v>
      </c>
      <c r="G3994" s="40"/>
      <c r="H3994" s="40" t="s">
        <v>2234</v>
      </c>
      <c r="I3994" s="40"/>
      <c r="J3994" s="40" t="s">
        <v>97</v>
      </c>
      <c r="K3994" s="40" t="s">
        <v>97</v>
      </c>
      <c r="L3994" s="40" t="s">
        <v>97</v>
      </c>
    </row>
    <row r="3995" spans="1:12" x14ac:dyDescent="0.25">
      <c r="A3995" s="40" t="s">
        <v>26</v>
      </c>
      <c r="B3995" s="40" t="s">
        <v>6347</v>
      </c>
      <c r="C3995" s="40" t="s">
        <v>6884</v>
      </c>
      <c r="D3995" s="40" t="s">
        <v>2233</v>
      </c>
      <c r="E3995" s="40" t="s">
        <v>2233</v>
      </c>
      <c r="F3995" s="40">
        <v>1</v>
      </c>
      <c r="G3995" s="40"/>
      <c r="H3995" s="40" t="s">
        <v>2234</v>
      </c>
      <c r="I3995" s="40"/>
      <c r="J3995" s="40" t="s">
        <v>97</v>
      </c>
      <c r="K3995" s="40" t="s">
        <v>97</v>
      </c>
      <c r="L3995" s="40" t="s">
        <v>97</v>
      </c>
    </row>
    <row r="3996" spans="1:12" x14ac:dyDescent="0.25">
      <c r="A3996" s="40" t="s">
        <v>26</v>
      </c>
      <c r="B3996" s="40" t="s">
        <v>6349</v>
      </c>
      <c r="C3996" s="40" t="s">
        <v>6885</v>
      </c>
      <c r="D3996" s="40" t="s">
        <v>2233</v>
      </c>
      <c r="E3996" s="40" t="s">
        <v>2233</v>
      </c>
      <c r="F3996" s="40">
        <v>1</v>
      </c>
      <c r="G3996" s="40"/>
      <c r="H3996" s="40" t="s">
        <v>97</v>
      </c>
      <c r="I3996" s="40"/>
      <c r="J3996" s="40" t="s">
        <v>97</v>
      </c>
      <c r="K3996" s="40" t="s">
        <v>97</v>
      </c>
      <c r="L3996" s="40" t="s">
        <v>97</v>
      </c>
    </row>
    <row r="3997" spans="1:12" x14ac:dyDescent="0.25">
      <c r="A3997" s="40" t="s">
        <v>26</v>
      </c>
      <c r="B3997" s="40" t="s">
        <v>6351</v>
      </c>
      <c r="C3997" s="40" t="s">
        <v>6886</v>
      </c>
      <c r="D3997" s="40" t="s">
        <v>2281</v>
      </c>
      <c r="E3997" s="40" t="s">
        <v>2281</v>
      </c>
      <c r="F3997" s="40">
        <v>1</v>
      </c>
      <c r="G3997" s="40"/>
      <c r="H3997" s="40" t="s">
        <v>97</v>
      </c>
      <c r="I3997" s="40"/>
      <c r="J3997" s="40" t="s">
        <v>97</v>
      </c>
      <c r="K3997" s="40" t="s">
        <v>97</v>
      </c>
      <c r="L3997" s="40" t="s">
        <v>97</v>
      </c>
    </row>
    <row r="3998" spans="1:12" x14ac:dyDescent="0.25">
      <c r="A3998" s="40" t="s">
        <v>26</v>
      </c>
      <c r="B3998" s="40" t="s">
        <v>6353</v>
      </c>
      <c r="C3998" s="40" t="s">
        <v>6887</v>
      </c>
      <c r="D3998" s="40" t="s">
        <v>2233</v>
      </c>
      <c r="E3998" s="40" t="s">
        <v>2233</v>
      </c>
      <c r="F3998" s="40">
        <v>1</v>
      </c>
      <c r="G3998" s="40"/>
      <c r="H3998" s="40" t="s">
        <v>97</v>
      </c>
      <c r="I3998" s="40"/>
      <c r="J3998" s="40" t="s">
        <v>97</v>
      </c>
      <c r="K3998" s="40" t="s">
        <v>97</v>
      </c>
      <c r="L3998" s="40" t="s">
        <v>97</v>
      </c>
    </row>
    <row r="3999" spans="1:12" x14ac:dyDescent="0.25">
      <c r="A3999" s="40" t="s">
        <v>26</v>
      </c>
      <c r="B3999" s="40" t="s">
        <v>6355</v>
      </c>
      <c r="C3999" s="40" t="s">
        <v>6888</v>
      </c>
      <c r="D3999" s="40" t="s">
        <v>2233</v>
      </c>
      <c r="E3999" s="40" t="s">
        <v>2233</v>
      </c>
      <c r="F3999" s="40">
        <v>1</v>
      </c>
      <c r="G3999" s="40"/>
      <c r="H3999" s="40" t="s">
        <v>97</v>
      </c>
      <c r="I3999" s="40"/>
      <c r="J3999" s="40" t="s">
        <v>97</v>
      </c>
      <c r="K3999" s="40" t="s">
        <v>97</v>
      </c>
      <c r="L3999" s="40" t="s">
        <v>97</v>
      </c>
    </row>
    <row r="4000" spans="1:12" x14ac:dyDescent="0.25">
      <c r="A4000" s="40" t="s">
        <v>26</v>
      </c>
      <c r="B4000" s="40" t="s">
        <v>6357</v>
      </c>
      <c r="C4000" s="40" t="s">
        <v>6889</v>
      </c>
      <c r="D4000" s="40" t="s">
        <v>2233</v>
      </c>
      <c r="E4000" s="40" t="s">
        <v>2233</v>
      </c>
      <c r="F4000" s="40">
        <v>1</v>
      </c>
      <c r="G4000" s="40"/>
      <c r="H4000" s="40" t="s">
        <v>97</v>
      </c>
      <c r="I4000" s="40"/>
      <c r="J4000" s="40" t="s">
        <v>97</v>
      </c>
      <c r="K4000" s="40" t="s">
        <v>97</v>
      </c>
      <c r="L4000" s="40" t="s">
        <v>97</v>
      </c>
    </row>
    <row r="4001" spans="1:12" x14ac:dyDescent="0.25">
      <c r="A4001" s="40" t="s">
        <v>26</v>
      </c>
      <c r="B4001" s="40" t="s">
        <v>6359</v>
      </c>
      <c r="C4001" s="40" t="s">
        <v>6890</v>
      </c>
      <c r="D4001" s="40" t="s">
        <v>2233</v>
      </c>
      <c r="E4001" s="40" t="s">
        <v>2233</v>
      </c>
      <c r="F4001" s="40">
        <v>1</v>
      </c>
      <c r="G4001" s="40"/>
      <c r="H4001" s="40" t="s">
        <v>97</v>
      </c>
      <c r="I4001" s="40"/>
      <c r="J4001" s="40" t="s">
        <v>97</v>
      </c>
      <c r="K4001" s="40" t="s">
        <v>97</v>
      </c>
      <c r="L4001" s="40" t="s">
        <v>97</v>
      </c>
    </row>
    <row r="4002" spans="1:12" x14ac:dyDescent="0.25">
      <c r="A4002" s="40" t="s">
        <v>26</v>
      </c>
      <c r="B4002" s="40" t="s">
        <v>6361</v>
      </c>
      <c r="C4002" s="40" t="s">
        <v>6891</v>
      </c>
      <c r="D4002" s="40" t="s">
        <v>2233</v>
      </c>
      <c r="E4002" s="40" t="s">
        <v>2233</v>
      </c>
      <c r="F4002" s="40">
        <v>1</v>
      </c>
      <c r="G4002" s="40"/>
      <c r="H4002" s="40" t="s">
        <v>97</v>
      </c>
      <c r="I4002" s="40"/>
      <c r="J4002" s="40" t="s">
        <v>97</v>
      </c>
      <c r="K4002" s="40" t="s">
        <v>97</v>
      </c>
      <c r="L4002" s="40" t="s">
        <v>97</v>
      </c>
    </row>
    <row r="4003" spans="1:12" x14ac:dyDescent="0.25">
      <c r="A4003" s="40" t="s">
        <v>33</v>
      </c>
      <c r="B4003" s="40" t="s">
        <v>2233</v>
      </c>
      <c r="C4003" s="40" t="s">
        <v>6892</v>
      </c>
      <c r="D4003" s="40" t="s">
        <v>2233</v>
      </c>
      <c r="E4003" s="40" t="s">
        <v>2233</v>
      </c>
      <c r="F4003" s="40">
        <v>1</v>
      </c>
      <c r="G4003" s="40"/>
      <c r="H4003" s="40" t="s">
        <v>97</v>
      </c>
      <c r="I4003" s="40"/>
      <c r="J4003" s="40" t="s">
        <v>97</v>
      </c>
      <c r="K4003" s="40" t="s">
        <v>97</v>
      </c>
      <c r="L4003" s="40" t="s">
        <v>97</v>
      </c>
    </row>
    <row r="4004" spans="1:12" x14ac:dyDescent="0.25">
      <c r="A4004" s="40" t="s">
        <v>33</v>
      </c>
      <c r="B4004" s="40" t="s">
        <v>2298</v>
      </c>
      <c r="C4004" s="40" t="s">
        <v>6893</v>
      </c>
      <c r="D4004" s="40" t="s">
        <v>6894</v>
      </c>
      <c r="E4004" s="40" t="s">
        <v>6894</v>
      </c>
      <c r="F4004" s="40">
        <v>1</v>
      </c>
      <c r="G4004" s="40"/>
      <c r="H4004" s="40" t="s">
        <v>2234</v>
      </c>
      <c r="I4004" s="40"/>
      <c r="J4004" s="40">
        <v>1</v>
      </c>
      <c r="K4004" s="40" t="s">
        <v>97</v>
      </c>
      <c r="L4004" s="40" t="s">
        <v>97</v>
      </c>
    </row>
    <row r="4005" spans="1:12" x14ac:dyDescent="0.25">
      <c r="A4005" s="40" t="s">
        <v>33</v>
      </c>
      <c r="B4005" s="40" t="s">
        <v>2300</v>
      </c>
      <c r="C4005" s="40" t="s">
        <v>6895</v>
      </c>
      <c r="D4005" s="40" t="s">
        <v>2233</v>
      </c>
      <c r="E4005" s="40" t="s">
        <v>2233</v>
      </c>
      <c r="F4005" s="40">
        <v>1</v>
      </c>
      <c r="G4005" s="40"/>
      <c r="H4005" s="40" t="s">
        <v>97</v>
      </c>
      <c r="I4005" s="40"/>
      <c r="J4005" s="40">
        <v>1</v>
      </c>
      <c r="K4005" s="40">
        <v>1</v>
      </c>
      <c r="L4005" s="40" t="s">
        <v>97</v>
      </c>
    </row>
    <row r="4006" spans="1:12" x14ac:dyDescent="0.25">
      <c r="A4006" s="40" t="s">
        <v>33</v>
      </c>
      <c r="B4006" s="40" t="s">
        <v>479</v>
      </c>
      <c r="C4006" s="40" t="s">
        <v>6896</v>
      </c>
      <c r="D4006" s="40" t="s">
        <v>2233</v>
      </c>
      <c r="E4006" s="40" t="s">
        <v>2233</v>
      </c>
      <c r="F4006" s="40">
        <v>1</v>
      </c>
      <c r="G4006" s="40"/>
      <c r="H4006" s="40" t="s">
        <v>2234</v>
      </c>
      <c r="I4006" s="40"/>
      <c r="J4006" s="40" t="s">
        <v>97</v>
      </c>
      <c r="K4006" s="40" t="s">
        <v>97</v>
      </c>
      <c r="L4006" s="40" t="s">
        <v>97</v>
      </c>
    </row>
    <row r="4007" spans="1:12" x14ac:dyDescent="0.25">
      <c r="A4007" s="40" t="s">
        <v>33</v>
      </c>
      <c r="B4007" s="40" t="s">
        <v>483</v>
      </c>
      <c r="C4007" s="40" t="s">
        <v>6897</v>
      </c>
      <c r="D4007" s="40" t="s">
        <v>2233</v>
      </c>
      <c r="E4007" s="40" t="s">
        <v>2233</v>
      </c>
      <c r="F4007" s="40">
        <v>1</v>
      </c>
      <c r="G4007" s="40"/>
      <c r="H4007" s="40" t="s">
        <v>2234</v>
      </c>
      <c r="I4007" s="40"/>
      <c r="J4007" s="40">
        <v>1</v>
      </c>
      <c r="K4007" s="40" t="s">
        <v>97</v>
      </c>
      <c r="L4007" s="40" t="s">
        <v>97</v>
      </c>
    </row>
    <row r="4008" spans="1:12" x14ac:dyDescent="0.25">
      <c r="A4008" s="40" t="s">
        <v>33</v>
      </c>
      <c r="B4008" s="40" t="s">
        <v>494</v>
      </c>
      <c r="C4008" s="40" t="s">
        <v>6898</v>
      </c>
      <c r="D4008" s="40" t="s">
        <v>2233</v>
      </c>
      <c r="E4008" s="40" t="s">
        <v>2233</v>
      </c>
      <c r="F4008" s="40">
        <v>1</v>
      </c>
      <c r="G4008" s="40"/>
      <c r="H4008" s="40" t="s">
        <v>97</v>
      </c>
      <c r="I4008" s="40"/>
      <c r="J4008" s="40">
        <v>1</v>
      </c>
      <c r="K4008" s="40" t="s">
        <v>97</v>
      </c>
      <c r="L4008" s="40" t="s">
        <v>97</v>
      </c>
    </row>
    <row r="4009" spans="1:12" x14ac:dyDescent="0.25">
      <c r="A4009" s="40" t="s">
        <v>33</v>
      </c>
      <c r="B4009" s="40" t="s">
        <v>496</v>
      </c>
      <c r="C4009" s="40" t="s">
        <v>6899</v>
      </c>
      <c r="D4009" s="40" t="s">
        <v>2233</v>
      </c>
      <c r="E4009" s="40" t="s">
        <v>2233</v>
      </c>
      <c r="F4009" s="40">
        <v>1</v>
      </c>
      <c r="G4009" s="40"/>
      <c r="H4009" s="40" t="s">
        <v>2234</v>
      </c>
      <c r="I4009" s="40"/>
      <c r="J4009" s="40" t="s">
        <v>97</v>
      </c>
      <c r="K4009" s="40" t="s">
        <v>97</v>
      </c>
      <c r="L4009" s="40" t="s">
        <v>97</v>
      </c>
    </row>
    <row r="4010" spans="1:12" x14ac:dyDescent="0.25">
      <c r="A4010" s="40" t="s">
        <v>33</v>
      </c>
      <c r="B4010" s="40" t="s">
        <v>1297</v>
      </c>
      <c r="C4010" s="40" t="s">
        <v>6900</v>
      </c>
      <c r="D4010" s="40" t="s">
        <v>2233</v>
      </c>
      <c r="E4010" s="40" t="s">
        <v>2233</v>
      </c>
      <c r="F4010" s="40">
        <v>1</v>
      </c>
      <c r="G4010" s="40"/>
      <c r="H4010" s="40" t="s">
        <v>2234</v>
      </c>
      <c r="I4010" s="40"/>
      <c r="J4010" s="40" t="s">
        <v>97</v>
      </c>
      <c r="K4010" s="40" t="s">
        <v>97</v>
      </c>
      <c r="L4010" s="40" t="s">
        <v>97</v>
      </c>
    </row>
    <row r="4011" spans="1:12" x14ac:dyDescent="0.25">
      <c r="A4011" s="40" t="s">
        <v>33</v>
      </c>
      <c r="B4011" s="40" t="s">
        <v>1300</v>
      </c>
      <c r="C4011" s="40" t="s">
        <v>6901</v>
      </c>
      <c r="D4011" s="40" t="s">
        <v>2233</v>
      </c>
      <c r="E4011" s="40" t="s">
        <v>2233</v>
      </c>
      <c r="F4011" s="40">
        <v>1</v>
      </c>
      <c r="G4011" s="40"/>
      <c r="H4011" s="40" t="s">
        <v>2234</v>
      </c>
      <c r="I4011" s="40"/>
      <c r="J4011" s="40" t="s">
        <v>97</v>
      </c>
      <c r="K4011" s="40" t="s">
        <v>97</v>
      </c>
      <c r="L4011" s="40" t="s">
        <v>97</v>
      </c>
    </row>
    <row r="4012" spans="1:12" x14ac:dyDescent="0.25">
      <c r="A4012" s="40" t="s">
        <v>33</v>
      </c>
      <c r="B4012" s="40" t="s">
        <v>1302</v>
      </c>
      <c r="C4012" s="40" t="s">
        <v>6902</v>
      </c>
      <c r="D4012" s="40" t="s">
        <v>2233</v>
      </c>
      <c r="E4012" s="40" t="s">
        <v>2233</v>
      </c>
      <c r="F4012" s="40">
        <v>1</v>
      </c>
      <c r="G4012" s="40"/>
      <c r="H4012" s="40" t="s">
        <v>2234</v>
      </c>
      <c r="I4012" s="40"/>
      <c r="J4012" s="40" t="s">
        <v>97</v>
      </c>
      <c r="K4012" s="40" t="s">
        <v>97</v>
      </c>
      <c r="L4012" s="40" t="s">
        <v>97</v>
      </c>
    </row>
    <row r="4013" spans="1:12" x14ac:dyDescent="0.25">
      <c r="A4013" s="40" t="s">
        <v>33</v>
      </c>
      <c r="B4013" s="40" t="s">
        <v>1304</v>
      </c>
      <c r="C4013" s="40" t="s">
        <v>6903</v>
      </c>
      <c r="D4013" s="40" t="s">
        <v>2233</v>
      </c>
      <c r="E4013" s="40" t="s">
        <v>2233</v>
      </c>
      <c r="F4013" s="40">
        <v>1</v>
      </c>
      <c r="G4013" s="40"/>
      <c r="H4013" s="40" t="s">
        <v>97</v>
      </c>
      <c r="I4013" s="40"/>
      <c r="J4013" s="40">
        <v>1</v>
      </c>
      <c r="K4013" s="40" t="s">
        <v>97</v>
      </c>
      <c r="L4013" s="40" t="s">
        <v>97</v>
      </c>
    </row>
    <row r="4014" spans="1:12" x14ac:dyDescent="0.25">
      <c r="A4014" s="40" t="s">
        <v>33</v>
      </c>
      <c r="B4014" s="40" t="s">
        <v>498</v>
      </c>
      <c r="C4014" s="40" t="s">
        <v>6904</v>
      </c>
      <c r="D4014" s="40" t="s">
        <v>2233</v>
      </c>
      <c r="E4014" s="40" t="s">
        <v>2233</v>
      </c>
      <c r="F4014" s="40">
        <v>1</v>
      </c>
      <c r="G4014" s="40"/>
      <c r="H4014" s="40" t="s">
        <v>2234</v>
      </c>
      <c r="I4014" s="40"/>
      <c r="J4014" s="40" t="s">
        <v>97</v>
      </c>
      <c r="K4014" s="40" t="s">
        <v>97</v>
      </c>
      <c r="L4014" s="40" t="s">
        <v>97</v>
      </c>
    </row>
    <row r="4015" spans="1:12" x14ac:dyDescent="0.25">
      <c r="A4015" s="40" t="s">
        <v>33</v>
      </c>
      <c r="B4015" s="40" t="s">
        <v>500</v>
      </c>
      <c r="C4015" s="40" t="s">
        <v>6905</v>
      </c>
      <c r="D4015" s="40" t="s">
        <v>2233</v>
      </c>
      <c r="E4015" s="40" t="s">
        <v>2233</v>
      </c>
      <c r="F4015" s="40">
        <v>1</v>
      </c>
      <c r="G4015" s="40"/>
      <c r="H4015" s="40" t="s">
        <v>2234</v>
      </c>
      <c r="I4015" s="40"/>
      <c r="J4015" s="40" t="s">
        <v>97</v>
      </c>
      <c r="K4015" s="40" t="s">
        <v>97</v>
      </c>
      <c r="L4015" s="40" t="s">
        <v>97</v>
      </c>
    </row>
    <row r="4016" spans="1:12" x14ac:dyDescent="0.25">
      <c r="A4016" s="40" t="s">
        <v>33</v>
      </c>
      <c r="B4016" s="40" t="s">
        <v>2239</v>
      </c>
      <c r="C4016" s="40" t="s">
        <v>6906</v>
      </c>
      <c r="D4016" s="40" t="s">
        <v>2233</v>
      </c>
      <c r="E4016" s="40" t="s">
        <v>2233</v>
      </c>
      <c r="F4016" s="40">
        <v>1</v>
      </c>
      <c r="G4016" s="40"/>
      <c r="H4016" s="40" t="s">
        <v>2234</v>
      </c>
      <c r="I4016" s="40"/>
      <c r="J4016" s="40" t="s">
        <v>97</v>
      </c>
      <c r="K4016" s="40" t="s">
        <v>97</v>
      </c>
      <c r="L4016" s="40" t="s">
        <v>97</v>
      </c>
    </row>
    <row r="4017" spans="1:12" x14ac:dyDescent="0.25">
      <c r="A4017" s="40" t="s">
        <v>33</v>
      </c>
      <c r="B4017" s="40" t="s">
        <v>1316</v>
      </c>
      <c r="C4017" s="40" t="s">
        <v>6907</v>
      </c>
      <c r="D4017" s="40" t="s">
        <v>2233</v>
      </c>
      <c r="E4017" s="40" t="s">
        <v>2233</v>
      </c>
      <c r="F4017" s="40">
        <v>1</v>
      </c>
      <c r="G4017" s="40"/>
      <c r="H4017" s="40" t="s">
        <v>2234</v>
      </c>
      <c r="I4017" s="40"/>
      <c r="J4017" s="40" t="s">
        <v>97</v>
      </c>
      <c r="K4017" s="40" t="s">
        <v>97</v>
      </c>
      <c r="L4017" s="40" t="s">
        <v>97</v>
      </c>
    </row>
    <row r="4018" spans="1:12" x14ac:dyDescent="0.25">
      <c r="A4018" s="40" t="s">
        <v>33</v>
      </c>
      <c r="B4018" s="40" t="s">
        <v>502</v>
      </c>
      <c r="C4018" s="40" t="s">
        <v>6908</v>
      </c>
      <c r="D4018" s="40" t="s">
        <v>2233</v>
      </c>
      <c r="E4018" s="40" t="s">
        <v>2233</v>
      </c>
      <c r="F4018" s="40">
        <v>1</v>
      </c>
      <c r="G4018" s="40"/>
      <c r="H4018" s="40" t="s">
        <v>97</v>
      </c>
      <c r="I4018" s="40"/>
      <c r="J4018" s="40" t="s">
        <v>97</v>
      </c>
      <c r="K4018" s="40" t="s">
        <v>97</v>
      </c>
      <c r="L4018" s="40" t="s">
        <v>97</v>
      </c>
    </row>
    <row r="4019" spans="1:12" x14ac:dyDescent="0.25">
      <c r="A4019" s="40" t="s">
        <v>33</v>
      </c>
      <c r="B4019" s="40" t="s">
        <v>518</v>
      </c>
      <c r="C4019" s="40" t="s">
        <v>6909</v>
      </c>
      <c r="D4019" s="40" t="s">
        <v>2233</v>
      </c>
      <c r="E4019" s="40" t="s">
        <v>2233</v>
      </c>
      <c r="F4019" s="40">
        <v>1</v>
      </c>
      <c r="G4019" s="40"/>
      <c r="H4019" s="40" t="s">
        <v>2234</v>
      </c>
      <c r="I4019" s="40"/>
      <c r="J4019" s="40" t="s">
        <v>97</v>
      </c>
      <c r="K4019" s="40" t="s">
        <v>97</v>
      </c>
      <c r="L4019" s="40" t="s">
        <v>97</v>
      </c>
    </row>
    <row r="4020" spans="1:12" x14ac:dyDescent="0.25">
      <c r="A4020" s="40" t="s">
        <v>33</v>
      </c>
      <c r="B4020" s="40" t="s">
        <v>521</v>
      </c>
      <c r="C4020" s="40" t="s">
        <v>6910</v>
      </c>
      <c r="D4020" s="40" t="s">
        <v>2233</v>
      </c>
      <c r="E4020" s="40" t="s">
        <v>2233</v>
      </c>
      <c r="F4020" s="40">
        <v>1</v>
      </c>
      <c r="G4020" s="40"/>
      <c r="H4020" s="40" t="s">
        <v>2234</v>
      </c>
      <c r="I4020" s="40"/>
      <c r="J4020" s="40" t="s">
        <v>97</v>
      </c>
      <c r="K4020" s="40" t="s">
        <v>97</v>
      </c>
      <c r="L4020" s="40" t="s">
        <v>97</v>
      </c>
    </row>
    <row r="4021" spans="1:12" x14ac:dyDescent="0.25">
      <c r="A4021" s="40" t="s">
        <v>33</v>
      </c>
      <c r="B4021" s="40" t="s">
        <v>523</v>
      </c>
      <c r="C4021" s="40" t="s">
        <v>6911</v>
      </c>
      <c r="D4021" s="40" t="s">
        <v>2233</v>
      </c>
      <c r="E4021" s="40" t="s">
        <v>2233</v>
      </c>
      <c r="F4021" s="40">
        <v>1</v>
      </c>
      <c r="G4021" s="40"/>
      <c r="H4021" s="40" t="s">
        <v>2234</v>
      </c>
      <c r="I4021" s="40"/>
      <c r="J4021" s="40" t="s">
        <v>97</v>
      </c>
      <c r="K4021" s="40" t="s">
        <v>97</v>
      </c>
      <c r="L4021" s="40" t="s">
        <v>97</v>
      </c>
    </row>
    <row r="4022" spans="1:12" x14ac:dyDescent="0.25">
      <c r="A4022" s="40" t="s">
        <v>33</v>
      </c>
      <c r="B4022" s="40" t="s">
        <v>525</v>
      </c>
      <c r="C4022" s="40" t="s">
        <v>6912</v>
      </c>
      <c r="D4022" s="40" t="s">
        <v>2233</v>
      </c>
      <c r="E4022" s="40" t="s">
        <v>2233</v>
      </c>
      <c r="F4022" s="40">
        <v>1</v>
      </c>
      <c r="G4022" s="40"/>
      <c r="H4022" s="40" t="s">
        <v>2234</v>
      </c>
      <c r="I4022" s="40"/>
      <c r="J4022" s="40" t="s">
        <v>97</v>
      </c>
      <c r="K4022" s="40" t="s">
        <v>97</v>
      </c>
      <c r="L4022" s="40" t="s">
        <v>97</v>
      </c>
    </row>
    <row r="4023" spans="1:12" x14ac:dyDescent="0.25">
      <c r="A4023" s="40" t="s">
        <v>33</v>
      </c>
      <c r="B4023" s="40" t="s">
        <v>527</v>
      </c>
      <c r="C4023" s="40" t="s">
        <v>6913</v>
      </c>
      <c r="D4023" s="40" t="s">
        <v>2233</v>
      </c>
      <c r="E4023" s="40" t="s">
        <v>2233</v>
      </c>
      <c r="F4023" s="40">
        <v>1</v>
      </c>
      <c r="G4023" s="40"/>
      <c r="H4023" s="40" t="s">
        <v>97</v>
      </c>
      <c r="I4023" s="40"/>
      <c r="J4023" s="40" t="s">
        <v>97</v>
      </c>
      <c r="K4023" s="40" t="s">
        <v>97</v>
      </c>
      <c r="L4023" s="40" t="s">
        <v>97</v>
      </c>
    </row>
    <row r="4024" spans="1:12" x14ac:dyDescent="0.25">
      <c r="A4024" s="40" t="s">
        <v>33</v>
      </c>
      <c r="B4024" s="40" t="s">
        <v>529</v>
      </c>
      <c r="C4024" s="40" t="s">
        <v>6914</v>
      </c>
      <c r="D4024" s="40" t="s">
        <v>2233</v>
      </c>
      <c r="E4024" s="40" t="s">
        <v>2233</v>
      </c>
      <c r="F4024" s="40">
        <v>1</v>
      </c>
      <c r="G4024" s="40"/>
      <c r="H4024" s="40" t="s">
        <v>2234</v>
      </c>
      <c r="I4024" s="40"/>
      <c r="J4024" s="40" t="s">
        <v>97</v>
      </c>
      <c r="K4024" s="40" t="s">
        <v>97</v>
      </c>
      <c r="L4024" s="40" t="s">
        <v>97</v>
      </c>
    </row>
    <row r="4025" spans="1:12" x14ac:dyDescent="0.25">
      <c r="A4025" s="40" t="s">
        <v>33</v>
      </c>
      <c r="B4025" s="40" t="s">
        <v>531</v>
      </c>
      <c r="C4025" s="40" t="s">
        <v>6915</v>
      </c>
      <c r="D4025" s="40" t="s">
        <v>2233</v>
      </c>
      <c r="E4025" s="40" t="s">
        <v>2233</v>
      </c>
      <c r="F4025" s="40">
        <v>1</v>
      </c>
      <c r="G4025" s="40"/>
      <c r="H4025" s="40" t="s">
        <v>97</v>
      </c>
      <c r="I4025" s="40"/>
      <c r="J4025" s="40" t="s">
        <v>97</v>
      </c>
      <c r="K4025" s="40" t="s">
        <v>97</v>
      </c>
      <c r="L4025" s="40" t="s">
        <v>97</v>
      </c>
    </row>
    <row r="4026" spans="1:12" x14ac:dyDescent="0.25">
      <c r="A4026" s="40" t="s">
        <v>33</v>
      </c>
      <c r="B4026" s="40" t="s">
        <v>535</v>
      </c>
      <c r="C4026" s="40" t="s">
        <v>6916</v>
      </c>
      <c r="D4026" s="40" t="s">
        <v>2233</v>
      </c>
      <c r="E4026" s="40" t="s">
        <v>2233</v>
      </c>
      <c r="F4026" s="40">
        <v>1</v>
      </c>
      <c r="G4026" s="40"/>
      <c r="H4026" s="40" t="s">
        <v>2234</v>
      </c>
      <c r="I4026" s="40"/>
      <c r="J4026" s="40" t="s">
        <v>97</v>
      </c>
      <c r="K4026" s="40" t="s">
        <v>97</v>
      </c>
      <c r="L4026" s="40" t="s">
        <v>97</v>
      </c>
    </row>
    <row r="4027" spans="1:12" x14ac:dyDescent="0.25">
      <c r="A4027" s="40" t="s">
        <v>33</v>
      </c>
      <c r="B4027" s="40" t="s">
        <v>537</v>
      </c>
      <c r="C4027" s="40" t="s">
        <v>6917</v>
      </c>
      <c r="D4027" s="40" t="s">
        <v>2233</v>
      </c>
      <c r="E4027" s="40" t="s">
        <v>2233</v>
      </c>
      <c r="F4027" s="40">
        <v>1</v>
      </c>
      <c r="G4027" s="40"/>
      <c r="H4027" s="40" t="s">
        <v>2234</v>
      </c>
      <c r="I4027" s="40"/>
      <c r="J4027" s="40" t="s">
        <v>97</v>
      </c>
      <c r="K4027" s="40" t="s">
        <v>97</v>
      </c>
      <c r="L4027" s="40" t="s">
        <v>97</v>
      </c>
    </row>
    <row r="4028" spans="1:12" x14ac:dyDescent="0.25">
      <c r="A4028" s="40" t="s">
        <v>33</v>
      </c>
      <c r="B4028" s="40" t="s">
        <v>544</v>
      </c>
      <c r="C4028" s="40" t="s">
        <v>6918</v>
      </c>
      <c r="D4028" s="40" t="s">
        <v>2233</v>
      </c>
      <c r="E4028" s="40" t="s">
        <v>2233</v>
      </c>
      <c r="F4028" s="40">
        <v>1</v>
      </c>
      <c r="G4028" s="40"/>
      <c r="H4028" s="40" t="s">
        <v>97</v>
      </c>
      <c r="I4028" s="40"/>
      <c r="J4028" s="40" t="s">
        <v>97</v>
      </c>
      <c r="K4028" s="40" t="s">
        <v>97</v>
      </c>
      <c r="L4028" s="40" t="s">
        <v>97</v>
      </c>
    </row>
    <row r="4029" spans="1:12" x14ac:dyDescent="0.25">
      <c r="A4029" s="40" t="s">
        <v>33</v>
      </c>
      <c r="B4029" s="40" t="s">
        <v>1337</v>
      </c>
      <c r="C4029" s="40" t="s">
        <v>6919</v>
      </c>
      <c r="D4029" s="40" t="s">
        <v>2233</v>
      </c>
      <c r="E4029" s="40" t="s">
        <v>2233</v>
      </c>
      <c r="F4029" s="40">
        <v>1</v>
      </c>
      <c r="G4029" s="40"/>
      <c r="H4029" s="40" t="s">
        <v>97</v>
      </c>
      <c r="I4029" s="40"/>
      <c r="J4029" s="40" t="s">
        <v>97</v>
      </c>
      <c r="K4029" s="40" t="s">
        <v>97</v>
      </c>
      <c r="L4029" s="40" t="s">
        <v>97</v>
      </c>
    </row>
    <row r="4030" spans="1:12" x14ac:dyDescent="0.25">
      <c r="A4030" s="40" t="s">
        <v>33</v>
      </c>
      <c r="B4030" s="40" t="s">
        <v>1339</v>
      </c>
      <c r="C4030" s="40" t="s">
        <v>6920</v>
      </c>
      <c r="D4030" s="40" t="s">
        <v>6921</v>
      </c>
      <c r="E4030" s="40" t="s">
        <v>2233</v>
      </c>
      <c r="F4030" s="40">
        <v>0</v>
      </c>
      <c r="G4030" s="40"/>
      <c r="H4030" s="40" t="s">
        <v>2234</v>
      </c>
      <c r="I4030" s="40"/>
      <c r="J4030" s="40" t="s">
        <v>97</v>
      </c>
      <c r="K4030" s="40" t="s">
        <v>97</v>
      </c>
      <c r="L4030" s="40" t="s">
        <v>97</v>
      </c>
    </row>
    <row r="4031" spans="1:12" x14ac:dyDescent="0.25">
      <c r="A4031" s="40" t="s">
        <v>33</v>
      </c>
      <c r="B4031" s="40" t="s">
        <v>1341</v>
      </c>
      <c r="C4031" s="40" t="s">
        <v>6922</v>
      </c>
      <c r="D4031" s="40" t="s">
        <v>2233</v>
      </c>
      <c r="E4031" s="40" t="s">
        <v>2233</v>
      </c>
      <c r="F4031" s="40">
        <v>1</v>
      </c>
      <c r="G4031" s="40"/>
      <c r="H4031" s="40" t="s">
        <v>2234</v>
      </c>
      <c r="I4031" s="40"/>
      <c r="J4031" s="40" t="s">
        <v>97</v>
      </c>
      <c r="K4031" s="40" t="s">
        <v>97</v>
      </c>
      <c r="L4031" s="40" t="s">
        <v>97</v>
      </c>
    </row>
    <row r="4032" spans="1:12" x14ac:dyDescent="0.25">
      <c r="A4032" s="40" t="s">
        <v>33</v>
      </c>
      <c r="B4032" s="40" t="s">
        <v>550</v>
      </c>
      <c r="C4032" s="40" t="s">
        <v>6923</v>
      </c>
      <c r="D4032" s="40" t="s">
        <v>6924</v>
      </c>
      <c r="E4032" s="40" t="s">
        <v>2233</v>
      </c>
      <c r="F4032" s="40">
        <v>0</v>
      </c>
      <c r="G4032" s="40"/>
      <c r="H4032" s="40" t="s">
        <v>2234</v>
      </c>
      <c r="I4032" s="40"/>
      <c r="J4032" s="40" t="s">
        <v>97</v>
      </c>
      <c r="K4032" s="40" t="s">
        <v>97</v>
      </c>
      <c r="L4032" s="40" t="s">
        <v>97</v>
      </c>
    </row>
    <row r="4033" spans="1:12" x14ac:dyDescent="0.25">
      <c r="A4033" s="40" t="s">
        <v>33</v>
      </c>
      <c r="B4033" s="40" t="s">
        <v>577</v>
      </c>
      <c r="C4033" s="40" t="s">
        <v>6925</v>
      </c>
      <c r="D4033" s="40" t="s">
        <v>2233</v>
      </c>
      <c r="E4033" s="40" t="s">
        <v>2233</v>
      </c>
      <c r="F4033" s="40">
        <v>1</v>
      </c>
      <c r="G4033" s="40"/>
      <c r="H4033" s="40" t="s">
        <v>2234</v>
      </c>
      <c r="I4033" s="40"/>
      <c r="J4033" s="40" t="s">
        <v>97</v>
      </c>
      <c r="K4033" s="40" t="s">
        <v>97</v>
      </c>
      <c r="L4033" s="40" t="s">
        <v>97</v>
      </c>
    </row>
    <row r="4034" spans="1:12" x14ac:dyDescent="0.25">
      <c r="A4034" s="40" t="s">
        <v>33</v>
      </c>
      <c r="B4034" s="40" t="s">
        <v>580</v>
      </c>
      <c r="C4034" s="40" t="s">
        <v>6926</v>
      </c>
      <c r="D4034" s="40" t="s">
        <v>2233</v>
      </c>
      <c r="E4034" s="40" t="s">
        <v>2233</v>
      </c>
      <c r="F4034" s="40">
        <v>1</v>
      </c>
      <c r="G4034" s="40"/>
      <c r="H4034" s="40" t="s">
        <v>2234</v>
      </c>
      <c r="I4034" s="40"/>
      <c r="J4034" s="40" t="s">
        <v>97</v>
      </c>
      <c r="K4034" s="40" t="s">
        <v>97</v>
      </c>
      <c r="L4034" s="40" t="s">
        <v>97</v>
      </c>
    </row>
    <row r="4035" spans="1:12" x14ac:dyDescent="0.25">
      <c r="A4035" s="40" t="s">
        <v>33</v>
      </c>
      <c r="B4035" s="40" t="s">
        <v>582</v>
      </c>
      <c r="C4035" s="40" t="s">
        <v>6927</v>
      </c>
      <c r="D4035" s="40" t="s">
        <v>2233</v>
      </c>
      <c r="E4035" s="40" t="s">
        <v>2233</v>
      </c>
      <c r="F4035" s="40">
        <v>1</v>
      </c>
      <c r="G4035" s="40"/>
      <c r="H4035" s="40" t="s">
        <v>2234</v>
      </c>
      <c r="I4035" s="40"/>
      <c r="J4035" s="40" t="s">
        <v>97</v>
      </c>
      <c r="K4035" s="40" t="s">
        <v>97</v>
      </c>
      <c r="L4035" s="40" t="s">
        <v>97</v>
      </c>
    </row>
    <row r="4036" spans="1:12" x14ac:dyDescent="0.25">
      <c r="A4036" s="40" t="s">
        <v>33</v>
      </c>
      <c r="B4036" s="40" t="s">
        <v>586</v>
      </c>
      <c r="C4036" s="40" t="s">
        <v>6928</v>
      </c>
      <c r="D4036" s="40" t="s">
        <v>2233</v>
      </c>
      <c r="E4036" s="40" t="s">
        <v>2233</v>
      </c>
      <c r="F4036" s="40">
        <v>1</v>
      </c>
      <c r="G4036" s="40"/>
      <c r="H4036" s="40" t="s">
        <v>2234</v>
      </c>
      <c r="I4036" s="40"/>
      <c r="J4036" s="40" t="s">
        <v>97</v>
      </c>
      <c r="K4036" s="40" t="s">
        <v>97</v>
      </c>
      <c r="L4036" s="40" t="s">
        <v>97</v>
      </c>
    </row>
    <row r="4037" spans="1:12" x14ac:dyDescent="0.25">
      <c r="A4037" s="40" t="s">
        <v>33</v>
      </c>
      <c r="B4037" s="40" t="s">
        <v>588</v>
      </c>
      <c r="C4037" s="40" t="s">
        <v>6929</v>
      </c>
      <c r="D4037" s="40" t="s">
        <v>2233</v>
      </c>
      <c r="E4037" s="40" t="s">
        <v>2233</v>
      </c>
      <c r="F4037" s="40">
        <v>1</v>
      </c>
      <c r="G4037" s="40"/>
      <c r="H4037" s="40" t="s">
        <v>2234</v>
      </c>
      <c r="I4037" s="40"/>
      <c r="J4037" s="40" t="s">
        <v>97</v>
      </c>
      <c r="K4037" s="40" t="s">
        <v>97</v>
      </c>
      <c r="L4037" s="40" t="s">
        <v>97</v>
      </c>
    </row>
    <row r="4038" spans="1:12" x14ac:dyDescent="0.25">
      <c r="A4038" s="40" t="s">
        <v>33</v>
      </c>
      <c r="B4038" s="40" t="s">
        <v>1353</v>
      </c>
      <c r="C4038" s="40" t="s">
        <v>6930</v>
      </c>
      <c r="D4038" s="40" t="s">
        <v>2233</v>
      </c>
      <c r="E4038" s="40" t="s">
        <v>2233</v>
      </c>
      <c r="F4038" s="40">
        <v>1</v>
      </c>
      <c r="G4038" s="40"/>
      <c r="H4038" s="40" t="s">
        <v>2234</v>
      </c>
      <c r="I4038" s="40"/>
      <c r="J4038" s="40" t="s">
        <v>97</v>
      </c>
      <c r="K4038" s="40" t="s">
        <v>97</v>
      </c>
      <c r="L4038" s="40" t="s">
        <v>97</v>
      </c>
    </row>
    <row r="4039" spans="1:12" x14ac:dyDescent="0.25">
      <c r="A4039" s="40" t="s">
        <v>33</v>
      </c>
      <c r="B4039" s="40" t="s">
        <v>2331</v>
      </c>
      <c r="C4039" s="40" t="s">
        <v>6931</v>
      </c>
      <c r="D4039" s="40" t="s">
        <v>2233</v>
      </c>
      <c r="E4039" s="40" t="s">
        <v>2233</v>
      </c>
      <c r="F4039" s="40">
        <v>1</v>
      </c>
      <c r="G4039" s="40"/>
      <c r="H4039" s="40" t="s">
        <v>2234</v>
      </c>
      <c r="I4039" s="40"/>
      <c r="J4039" s="40" t="s">
        <v>97</v>
      </c>
      <c r="K4039" s="40" t="s">
        <v>97</v>
      </c>
      <c r="L4039" s="40" t="s">
        <v>97</v>
      </c>
    </row>
    <row r="4040" spans="1:12" x14ac:dyDescent="0.25">
      <c r="A4040" s="40" t="s">
        <v>33</v>
      </c>
      <c r="B4040" s="40" t="s">
        <v>590</v>
      </c>
      <c r="C4040" s="40" t="s">
        <v>6932</v>
      </c>
      <c r="D4040" s="40" t="s">
        <v>2233</v>
      </c>
      <c r="E4040" s="40" t="s">
        <v>2233</v>
      </c>
      <c r="F4040" s="40">
        <v>1</v>
      </c>
      <c r="G4040" s="40"/>
      <c r="H4040" s="40" t="s">
        <v>2234</v>
      </c>
      <c r="I4040" s="40"/>
      <c r="J4040" s="40" t="s">
        <v>97</v>
      </c>
      <c r="K4040" s="40" t="s">
        <v>97</v>
      </c>
      <c r="L4040" s="40" t="s">
        <v>97</v>
      </c>
    </row>
    <row r="4041" spans="1:12" x14ac:dyDescent="0.25">
      <c r="A4041" s="40" t="s">
        <v>33</v>
      </c>
      <c r="B4041" s="40" t="s">
        <v>593</v>
      </c>
      <c r="C4041" s="40" t="s">
        <v>6933</v>
      </c>
      <c r="D4041" s="40" t="s">
        <v>2233</v>
      </c>
      <c r="E4041" s="40" t="s">
        <v>2233</v>
      </c>
      <c r="F4041" s="40">
        <v>1</v>
      </c>
      <c r="G4041" s="40"/>
      <c r="H4041" s="40" t="s">
        <v>2234</v>
      </c>
      <c r="I4041" s="40"/>
      <c r="J4041" s="40" t="s">
        <v>97</v>
      </c>
      <c r="K4041" s="40" t="s">
        <v>97</v>
      </c>
      <c r="L4041" s="40" t="s">
        <v>97</v>
      </c>
    </row>
    <row r="4042" spans="1:12" x14ac:dyDescent="0.25">
      <c r="A4042" s="40" t="s">
        <v>33</v>
      </c>
      <c r="B4042" s="40" t="s">
        <v>595</v>
      </c>
      <c r="C4042" s="40" t="s">
        <v>6934</v>
      </c>
      <c r="D4042" s="40" t="s">
        <v>2233</v>
      </c>
      <c r="E4042" s="40" t="s">
        <v>2233</v>
      </c>
      <c r="F4042" s="40">
        <v>1</v>
      </c>
      <c r="G4042" s="40"/>
      <c r="H4042" s="40" t="s">
        <v>2234</v>
      </c>
      <c r="I4042" s="40"/>
      <c r="J4042" s="40" t="s">
        <v>97</v>
      </c>
      <c r="K4042" s="40" t="s">
        <v>97</v>
      </c>
      <c r="L4042" s="40" t="s">
        <v>97</v>
      </c>
    </row>
    <row r="4043" spans="1:12" x14ac:dyDescent="0.25">
      <c r="A4043" s="40" t="s">
        <v>33</v>
      </c>
      <c r="B4043" s="40" t="s">
        <v>598</v>
      </c>
      <c r="C4043" s="40" t="s">
        <v>6935</v>
      </c>
      <c r="D4043" s="40" t="s">
        <v>2233</v>
      </c>
      <c r="E4043" s="40" t="s">
        <v>2233</v>
      </c>
      <c r="F4043" s="40">
        <v>1</v>
      </c>
      <c r="G4043" s="40"/>
      <c r="H4043" s="40" t="s">
        <v>2234</v>
      </c>
      <c r="I4043" s="40"/>
      <c r="J4043" s="40" t="s">
        <v>97</v>
      </c>
      <c r="K4043" s="40" t="s">
        <v>97</v>
      </c>
      <c r="L4043" s="40" t="s">
        <v>97</v>
      </c>
    </row>
    <row r="4044" spans="1:12" x14ac:dyDescent="0.25">
      <c r="A4044" s="40" t="s">
        <v>33</v>
      </c>
      <c r="B4044" s="40" t="s">
        <v>2266</v>
      </c>
      <c r="C4044" s="40" t="s">
        <v>6936</v>
      </c>
      <c r="D4044" s="40" t="s">
        <v>2233</v>
      </c>
      <c r="E4044" s="40" t="s">
        <v>2233</v>
      </c>
      <c r="F4044" s="40">
        <v>1</v>
      </c>
      <c r="G4044" s="40"/>
      <c r="H4044" s="40" t="s">
        <v>2234</v>
      </c>
      <c r="I4044" s="40"/>
      <c r="J4044" s="40" t="s">
        <v>97</v>
      </c>
      <c r="K4044" s="40" t="s">
        <v>97</v>
      </c>
      <c r="L4044" s="40" t="s">
        <v>97</v>
      </c>
    </row>
    <row r="4045" spans="1:12" x14ac:dyDescent="0.25">
      <c r="A4045" s="40" t="s">
        <v>33</v>
      </c>
      <c r="B4045" s="40" t="s">
        <v>601</v>
      </c>
      <c r="C4045" s="40" t="s">
        <v>6937</v>
      </c>
      <c r="D4045" s="40" t="s">
        <v>2233</v>
      </c>
      <c r="E4045" s="40" t="s">
        <v>2233</v>
      </c>
      <c r="F4045" s="40">
        <v>1</v>
      </c>
      <c r="G4045" s="40"/>
      <c r="H4045" s="40" t="s">
        <v>2234</v>
      </c>
      <c r="I4045" s="40"/>
      <c r="J4045" s="40" t="s">
        <v>97</v>
      </c>
      <c r="K4045" s="40" t="s">
        <v>97</v>
      </c>
      <c r="L4045" s="40" t="s">
        <v>97</v>
      </c>
    </row>
    <row r="4046" spans="1:12" x14ac:dyDescent="0.25">
      <c r="A4046" s="40" t="s">
        <v>33</v>
      </c>
      <c r="B4046" s="40" t="s">
        <v>603</v>
      </c>
      <c r="C4046" s="40" t="s">
        <v>6938</v>
      </c>
      <c r="D4046" s="40" t="s">
        <v>2233</v>
      </c>
      <c r="E4046" s="40" t="s">
        <v>2233</v>
      </c>
      <c r="F4046" s="40">
        <v>1</v>
      </c>
      <c r="G4046" s="40"/>
      <c r="H4046" s="40" t="s">
        <v>2234</v>
      </c>
      <c r="I4046" s="40"/>
      <c r="J4046" s="40" t="s">
        <v>97</v>
      </c>
      <c r="K4046" s="40" t="s">
        <v>97</v>
      </c>
      <c r="L4046" s="40" t="s">
        <v>97</v>
      </c>
    </row>
    <row r="4047" spans="1:12" x14ac:dyDescent="0.25">
      <c r="A4047" s="40" t="s">
        <v>33</v>
      </c>
      <c r="B4047" s="40" t="s">
        <v>606</v>
      </c>
      <c r="C4047" s="40" t="s">
        <v>6939</v>
      </c>
      <c r="D4047" s="40" t="s">
        <v>2233</v>
      </c>
      <c r="E4047" s="40" t="s">
        <v>2233</v>
      </c>
      <c r="F4047" s="40">
        <v>1</v>
      </c>
      <c r="G4047" s="40"/>
      <c r="H4047" s="40" t="s">
        <v>2234</v>
      </c>
      <c r="I4047" s="40"/>
      <c r="J4047" s="40" t="s">
        <v>97</v>
      </c>
      <c r="K4047" s="40" t="s">
        <v>97</v>
      </c>
      <c r="L4047" s="40" t="s">
        <v>97</v>
      </c>
    </row>
    <row r="4048" spans="1:12" x14ac:dyDescent="0.25">
      <c r="A4048" s="40" t="s">
        <v>33</v>
      </c>
      <c r="B4048" s="40" t="s">
        <v>2521</v>
      </c>
      <c r="C4048" s="40" t="s">
        <v>6940</v>
      </c>
      <c r="D4048" s="40" t="s">
        <v>2233</v>
      </c>
      <c r="E4048" s="40" t="s">
        <v>2233</v>
      </c>
      <c r="F4048" s="40">
        <v>1</v>
      </c>
      <c r="G4048" s="40"/>
      <c r="H4048" s="40" t="s">
        <v>2234</v>
      </c>
      <c r="I4048" s="40"/>
      <c r="J4048" s="40" t="s">
        <v>97</v>
      </c>
      <c r="K4048" s="40" t="s">
        <v>97</v>
      </c>
      <c r="L4048" s="40" t="s">
        <v>97</v>
      </c>
    </row>
    <row r="4049" spans="1:12" x14ac:dyDescent="0.25">
      <c r="A4049" s="40" t="s">
        <v>33</v>
      </c>
      <c r="B4049" s="40" t="s">
        <v>858</v>
      </c>
      <c r="C4049" s="40" t="s">
        <v>6941</v>
      </c>
      <c r="D4049" s="40" t="s">
        <v>2297</v>
      </c>
      <c r="E4049" s="40" t="s">
        <v>2233</v>
      </c>
      <c r="F4049" s="40">
        <v>0</v>
      </c>
      <c r="G4049" s="40"/>
      <c r="H4049" s="40" t="s">
        <v>2234</v>
      </c>
      <c r="I4049" s="40"/>
      <c r="J4049" s="40" t="s">
        <v>97</v>
      </c>
      <c r="K4049" s="40" t="s">
        <v>97</v>
      </c>
      <c r="L4049" s="40" t="s">
        <v>97</v>
      </c>
    </row>
    <row r="4050" spans="1:12" x14ac:dyDescent="0.25">
      <c r="A4050" s="40" t="s">
        <v>33</v>
      </c>
      <c r="B4050" s="40" t="s">
        <v>860</v>
      </c>
      <c r="C4050" s="40" t="s">
        <v>6942</v>
      </c>
      <c r="D4050" s="40" t="s">
        <v>2297</v>
      </c>
      <c r="E4050" s="40" t="s">
        <v>2233</v>
      </c>
      <c r="F4050" s="40">
        <v>0</v>
      </c>
      <c r="G4050" s="40"/>
      <c r="H4050" s="40" t="s">
        <v>2234</v>
      </c>
      <c r="I4050" s="40"/>
      <c r="J4050" s="40" t="s">
        <v>97</v>
      </c>
      <c r="K4050" s="40" t="s">
        <v>97</v>
      </c>
      <c r="L4050" s="40" t="s">
        <v>97</v>
      </c>
    </row>
    <row r="4051" spans="1:12" x14ac:dyDescent="0.25">
      <c r="A4051" s="40" t="s">
        <v>33</v>
      </c>
      <c r="B4051" s="40" t="s">
        <v>862</v>
      </c>
      <c r="C4051" s="40" t="s">
        <v>6943</v>
      </c>
      <c r="D4051" s="40" t="s">
        <v>2297</v>
      </c>
      <c r="E4051" s="40" t="s">
        <v>2233</v>
      </c>
      <c r="F4051" s="40">
        <v>0</v>
      </c>
      <c r="G4051" s="40"/>
      <c r="H4051" s="40" t="s">
        <v>2234</v>
      </c>
      <c r="I4051" s="40"/>
      <c r="J4051" s="40" t="s">
        <v>97</v>
      </c>
      <c r="K4051" s="40" t="s">
        <v>97</v>
      </c>
      <c r="L4051" s="40" t="s">
        <v>97</v>
      </c>
    </row>
    <row r="4052" spans="1:12" x14ac:dyDescent="0.25">
      <c r="A4052" s="40" t="s">
        <v>33</v>
      </c>
      <c r="B4052" s="40" t="s">
        <v>864</v>
      </c>
      <c r="C4052" s="40" t="s">
        <v>6944</v>
      </c>
      <c r="D4052" s="40" t="s">
        <v>6945</v>
      </c>
      <c r="E4052" s="40" t="s">
        <v>2233</v>
      </c>
      <c r="F4052" s="40">
        <v>0</v>
      </c>
      <c r="G4052" s="40"/>
      <c r="H4052" s="40" t="s">
        <v>2234</v>
      </c>
      <c r="I4052" s="40"/>
      <c r="J4052" s="40" t="s">
        <v>97</v>
      </c>
      <c r="K4052" s="40" t="s">
        <v>97</v>
      </c>
      <c r="L4052" s="40" t="s">
        <v>97</v>
      </c>
    </row>
    <row r="4053" spans="1:12" x14ac:dyDescent="0.25">
      <c r="A4053" s="40" t="s">
        <v>33</v>
      </c>
      <c r="B4053" s="40" t="s">
        <v>875</v>
      </c>
      <c r="C4053" s="40" t="s">
        <v>6946</v>
      </c>
      <c r="D4053" s="40" t="s">
        <v>2297</v>
      </c>
      <c r="E4053" s="40" t="s">
        <v>2233</v>
      </c>
      <c r="F4053" s="40">
        <v>0</v>
      </c>
      <c r="G4053" s="40"/>
      <c r="H4053" s="40" t="s">
        <v>2234</v>
      </c>
      <c r="I4053" s="40"/>
      <c r="J4053" s="40" t="s">
        <v>97</v>
      </c>
      <c r="K4053" s="40" t="s">
        <v>97</v>
      </c>
      <c r="L4053" s="40" t="s">
        <v>97</v>
      </c>
    </row>
    <row r="4054" spans="1:12" x14ac:dyDescent="0.25">
      <c r="A4054" s="40" t="s">
        <v>33</v>
      </c>
      <c r="B4054" s="40" t="s">
        <v>2346</v>
      </c>
      <c r="C4054" s="40" t="s">
        <v>6947</v>
      </c>
      <c r="D4054" s="40" t="s">
        <v>2297</v>
      </c>
      <c r="E4054" s="40" t="s">
        <v>2233</v>
      </c>
      <c r="F4054" s="40">
        <v>0</v>
      </c>
      <c r="G4054" s="40"/>
      <c r="H4054" s="40" t="s">
        <v>2234</v>
      </c>
      <c r="I4054" s="40"/>
      <c r="J4054" s="40" t="s">
        <v>97</v>
      </c>
      <c r="K4054" s="40" t="s">
        <v>97</v>
      </c>
      <c r="L4054" s="40" t="s">
        <v>97</v>
      </c>
    </row>
    <row r="4055" spans="1:12" x14ac:dyDescent="0.25">
      <c r="A4055" s="40" t="s">
        <v>33</v>
      </c>
      <c r="B4055" s="40" t="s">
        <v>6948</v>
      </c>
      <c r="C4055" s="40" t="s">
        <v>6949</v>
      </c>
      <c r="D4055" s="40" t="s">
        <v>2297</v>
      </c>
      <c r="E4055" s="40" t="s">
        <v>2233</v>
      </c>
      <c r="F4055" s="40">
        <v>0</v>
      </c>
      <c r="G4055" s="40"/>
      <c r="H4055" s="40" t="s">
        <v>2234</v>
      </c>
      <c r="I4055" s="40"/>
      <c r="J4055" s="40" t="s">
        <v>97</v>
      </c>
      <c r="K4055" s="40" t="s">
        <v>97</v>
      </c>
      <c r="L4055" s="40" t="s">
        <v>97</v>
      </c>
    </row>
    <row r="4056" spans="1:12" x14ac:dyDescent="0.25">
      <c r="A4056" s="40" t="s">
        <v>33</v>
      </c>
      <c r="B4056" s="40" t="s">
        <v>6950</v>
      </c>
      <c r="C4056" s="40" t="s">
        <v>6951</v>
      </c>
      <c r="D4056" s="40" t="s">
        <v>6952</v>
      </c>
      <c r="E4056" s="40" t="s">
        <v>2233</v>
      </c>
      <c r="F4056" s="40">
        <v>0</v>
      </c>
      <c r="G4056" s="40"/>
      <c r="H4056" s="40" t="s">
        <v>2234</v>
      </c>
      <c r="I4056" s="40"/>
      <c r="J4056" s="40" t="s">
        <v>97</v>
      </c>
      <c r="K4056" s="40" t="s">
        <v>97</v>
      </c>
      <c r="L4056" s="40" t="s">
        <v>97</v>
      </c>
    </row>
    <row r="4057" spans="1:12" x14ac:dyDescent="0.25">
      <c r="A4057" s="40" t="s">
        <v>33</v>
      </c>
      <c r="B4057" s="40" t="s">
        <v>2350</v>
      </c>
      <c r="C4057" s="40" t="s">
        <v>6953</v>
      </c>
      <c r="D4057" s="40" t="s">
        <v>2297</v>
      </c>
      <c r="E4057" s="40" t="s">
        <v>2233</v>
      </c>
      <c r="F4057" s="40">
        <v>0</v>
      </c>
      <c r="G4057" s="40"/>
      <c r="H4057" s="40" t="s">
        <v>2234</v>
      </c>
      <c r="I4057" s="40"/>
      <c r="J4057" s="40" t="s">
        <v>97</v>
      </c>
      <c r="K4057" s="40" t="s">
        <v>97</v>
      </c>
      <c r="L4057" s="40" t="s">
        <v>97</v>
      </c>
    </row>
    <row r="4058" spans="1:12" x14ac:dyDescent="0.25">
      <c r="A4058" s="40" t="s">
        <v>33</v>
      </c>
      <c r="B4058" s="40" t="s">
        <v>6954</v>
      </c>
      <c r="C4058" s="40" t="s">
        <v>6955</v>
      </c>
      <c r="D4058" s="40" t="s">
        <v>2297</v>
      </c>
      <c r="E4058" s="40" t="s">
        <v>2233</v>
      </c>
      <c r="F4058" s="40">
        <v>0</v>
      </c>
      <c r="G4058" s="40"/>
      <c r="H4058" s="40" t="s">
        <v>2234</v>
      </c>
      <c r="I4058" s="40"/>
      <c r="J4058" s="40" t="s">
        <v>97</v>
      </c>
      <c r="K4058" s="40" t="s">
        <v>97</v>
      </c>
      <c r="L4058" s="40" t="s">
        <v>97</v>
      </c>
    </row>
    <row r="4059" spans="1:12" x14ac:dyDescent="0.25">
      <c r="A4059" s="40" t="s">
        <v>33</v>
      </c>
      <c r="B4059" s="40" t="s">
        <v>2352</v>
      </c>
      <c r="C4059" s="40" t="s">
        <v>6956</v>
      </c>
      <c r="D4059" s="40" t="s">
        <v>2297</v>
      </c>
      <c r="E4059" s="40" t="s">
        <v>2233</v>
      </c>
      <c r="F4059" s="40">
        <v>0</v>
      </c>
      <c r="G4059" s="40"/>
      <c r="H4059" s="40" t="s">
        <v>2234</v>
      </c>
      <c r="I4059" s="40"/>
      <c r="J4059" s="40" t="s">
        <v>97</v>
      </c>
      <c r="K4059" s="40" t="s">
        <v>97</v>
      </c>
      <c r="L4059" s="40" t="s">
        <v>97</v>
      </c>
    </row>
    <row r="4060" spans="1:12" x14ac:dyDescent="0.25">
      <c r="A4060" s="40" t="s">
        <v>33</v>
      </c>
      <c r="B4060" s="40" t="s">
        <v>6957</v>
      </c>
      <c r="C4060" s="40" t="s">
        <v>6958</v>
      </c>
      <c r="D4060" s="40" t="s">
        <v>6959</v>
      </c>
      <c r="E4060" s="40" t="s">
        <v>2233</v>
      </c>
      <c r="F4060" s="40">
        <v>0</v>
      </c>
      <c r="G4060" s="40"/>
      <c r="H4060" s="40" t="s">
        <v>2234</v>
      </c>
      <c r="I4060" s="40"/>
      <c r="J4060" s="40" t="s">
        <v>97</v>
      </c>
      <c r="K4060" s="40" t="s">
        <v>97</v>
      </c>
      <c r="L4060" s="40" t="s">
        <v>97</v>
      </c>
    </row>
    <row r="4061" spans="1:12" x14ac:dyDescent="0.25">
      <c r="A4061" s="40" t="s">
        <v>33</v>
      </c>
      <c r="B4061" s="40" t="s">
        <v>881</v>
      </c>
      <c r="C4061" s="40" t="s">
        <v>6960</v>
      </c>
      <c r="D4061" s="40" t="s">
        <v>2297</v>
      </c>
      <c r="E4061" s="40" t="s">
        <v>2233</v>
      </c>
      <c r="F4061" s="40">
        <v>0</v>
      </c>
      <c r="G4061" s="40"/>
      <c r="H4061" s="40" t="s">
        <v>2234</v>
      </c>
      <c r="I4061" s="40"/>
      <c r="J4061" s="40" t="s">
        <v>97</v>
      </c>
      <c r="K4061" s="40" t="s">
        <v>97</v>
      </c>
      <c r="L4061" s="40" t="s">
        <v>97</v>
      </c>
    </row>
    <row r="4062" spans="1:12" x14ac:dyDescent="0.25">
      <c r="A4062" s="40" t="s">
        <v>33</v>
      </c>
      <c r="B4062" s="40" t="s">
        <v>884</v>
      </c>
      <c r="C4062" s="40" t="s">
        <v>6961</v>
      </c>
      <c r="D4062" s="40" t="s">
        <v>2297</v>
      </c>
      <c r="E4062" s="40" t="s">
        <v>2233</v>
      </c>
      <c r="F4062" s="40">
        <v>0</v>
      </c>
      <c r="G4062" s="40"/>
      <c r="H4062" s="40" t="s">
        <v>2234</v>
      </c>
      <c r="I4062" s="40"/>
      <c r="J4062" s="40" t="s">
        <v>97</v>
      </c>
      <c r="K4062" s="40" t="s">
        <v>97</v>
      </c>
      <c r="L4062" s="40" t="s">
        <v>97</v>
      </c>
    </row>
    <row r="4063" spans="1:12" x14ac:dyDescent="0.25">
      <c r="A4063" s="40" t="s">
        <v>33</v>
      </c>
      <c r="B4063" s="40" t="s">
        <v>886</v>
      </c>
      <c r="C4063" s="40" t="s">
        <v>6962</v>
      </c>
      <c r="D4063" s="40" t="s">
        <v>2297</v>
      </c>
      <c r="E4063" s="40" t="s">
        <v>2233</v>
      </c>
      <c r="F4063" s="40">
        <v>0</v>
      </c>
      <c r="G4063" s="40"/>
      <c r="H4063" s="40" t="s">
        <v>2234</v>
      </c>
      <c r="I4063" s="40"/>
      <c r="J4063" s="40" t="s">
        <v>97</v>
      </c>
      <c r="K4063" s="40" t="s">
        <v>97</v>
      </c>
      <c r="L4063" s="40" t="s">
        <v>97</v>
      </c>
    </row>
    <row r="4064" spans="1:12" x14ac:dyDescent="0.25">
      <c r="A4064" s="40" t="s">
        <v>33</v>
      </c>
      <c r="B4064" s="40" t="s">
        <v>888</v>
      </c>
      <c r="C4064" s="40" t="s">
        <v>6963</v>
      </c>
      <c r="D4064" s="40" t="s">
        <v>6964</v>
      </c>
      <c r="E4064" s="40" t="s">
        <v>2233</v>
      </c>
      <c r="F4064" s="40">
        <v>0</v>
      </c>
      <c r="G4064" s="40"/>
      <c r="H4064" s="40" t="s">
        <v>2234</v>
      </c>
      <c r="I4064" s="40"/>
      <c r="J4064" s="40" t="s">
        <v>97</v>
      </c>
      <c r="K4064" s="40" t="s">
        <v>97</v>
      </c>
      <c r="L4064" s="40" t="s">
        <v>97</v>
      </c>
    </row>
    <row r="4065" spans="1:12" x14ac:dyDescent="0.25">
      <c r="A4065" s="40" t="s">
        <v>33</v>
      </c>
      <c r="B4065" s="40" t="s">
        <v>900</v>
      </c>
      <c r="C4065" s="40" t="s">
        <v>6965</v>
      </c>
      <c r="D4065" s="40" t="s">
        <v>2297</v>
      </c>
      <c r="E4065" s="40" t="s">
        <v>2233</v>
      </c>
      <c r="F4065" s="40">
        <v>0</v>
      </c>
      <c r="G4065" s="40"/>
      <c r="H4065" s="40" t="s">
        <v>2234</v>
      </c>
      <c r="I4065" s="40"/>
      <c r="J4065" s="40" t="s">
        <v>97</v>
      </c>
      <c r="K4065" s="40" t="s">
        <v>97</v>
      </c>
      <c r="L4065" s="40" t="s">
        <v>97</v>
      </c>
    </row>
    <row r="4066" spans="1:12" x14ac:dyDescent="0.25">
      <c r="A4066" s="40" t="s">
        <v>33</v>
      </c>
      <c r="B4066" s="40" t="s">
        <v>903</v>
      </c>
      <c r="C4066" s="40" t="s">
        <v>6966</v>
      </c>
      <c r="D4066" s="40" t="s">
        <v>2297</v>
      </c>
      <c r="E4066" s="40" t="s">
        <v>2233</v>
      </c>
      <c r="F4066" s="40">
        <v>0</v>
      </c>
      <c r="G4066" s="40"/>
      <c r="H4066" s="40" t="s">
        <v>2234</v>
      </c>
      <c r="I4066" s="40"/>
      <c r="J4066" s="40" t="s">
        <v>97</v>
      </c>
      <c r="K4066" s="40" t="s">
        <v>97</v>
      </c>
      <c r="L4066" s="40" t="s">
        <v>97</v>
      </c>
    </row>
    <row r="4067" spans="1:12" x14ac:dyDescent="0.25">
      <c r="A4067" s="40" t="s">
        <v>33</v>
      </c>
      <c r="B4067" s="40" t="s">
        <v>905</v>
      </c>
      <c r="C4067" s="40" t="s">
        <v>6967</v>
      </c>
      <c r="D4067" s="40" t="s">
        <v>2297</v>
      </c>
      <c r="E4067" s="40" t="s">
        <v>2233</v>
      </c>
      <c r="F4067" s="40">
        <v>0</v>
      </c>
      <c r="G4067" s="40"/>
      <c r="H4067" s="40" t="s">
        <v>2234</v>
      </c>
      <c r="I4067" s="40"/>
      <c r="J4067" s="40" t="s">
        <v>97</v>
      </c>
      <c r="K4067" s="40" t="s">
        <v>97</v>
      </c>
      <c r="L4067" s="40" t="s">
        <v>97</v>
      </c>
    </row>
    <row r="4068" spans="1:12" x14ac:dyDescent="0.25">
      <c r="A4068" s="40" t="s">
        <v>33</v>
      </c>
      <c r="B4068" s="40" t="s">
        <v>907</v>
      </c>
      <c r="C4068" s="40" t="s">
        <v>6968</v>
      </c>
      <c r="D4068" s="40" t="s">
        <v>6945</v>
      </c>
      <c r="E4068" s="40" t="s">
        <v>2233</v>
      </c>
      <c r="F4068" s="40">
        <v>0</v>
      </c>
      <c r="G4068" s="40"/>
      <c r="H4068" s="40" t="s">
        <v>2234</v>
      </c>
      <c r="I4068" s="40"/>
      <c r="J4068" s="40" t="s">
        <v>97</v>
      </c>
      <c r="K4068" s="40" t="s">
        <v>97</v>
      </c>
      <c r="L4068" s="40" t="s">
        <v>97</v>
      </c>
    </row>
    <row r="4069" spans="1:12" x14ac:dyDescent="0.25">
      <c r="A4069" s="40" t="s">
        <v>33</v>
      </c>
      <c r="B4069" s="40" t="s">
        <v>1387</v>
      </c>
      <c r="C4069" s="40" t="s">
        <v>6969</v>
      </c>
      <c r="D4069" s="40" t="s">
        <v>2297</v>
      </c>
      <c r="E4069" s="40" t="s">
        <v>2233</v>
      </c>
      <c r="F4069" s="40">
        <v>0</v>
      </c>
      <c r="G4069" s="40"/>
      <c r="H4069" s="40" t="s">
        <v>2234</v>
      </c>
      <c r="I4069" s="40"/>
      <c r="J4069" s="40" t="s">
        <v>97</v>
      </c>
      <c r="K4069" s="40" t="s">
        <v>97</v>
      </c>
      <c r="L4069" s="40" t="s">
        <v>97</v>
      </c>
    </row>
    <row r="4070" spans="1:12" x14ac:dyDescent="0.25">
      <c r="A4070" s="40" t="s">
        <v>33</v>
      </c>
      <c r="B4070" s="40" t="s">
        <v>921</v>
      </c>
      <c r="C4070" s="40" t="s">
        <v>6970</v>
      </c>
      <c r="D4070" s="40" t="s">
        <v>2297</v>
      </c>
      <c r="E4070" s="40" t="s">
        <v>2233</v>
      </c>
      <c r="F4070" s="40">
        <v>0</v>
      </c>
      <c r="G4070" s="40"/>
      <c r="H4070" s="40" t="s">
        <v>2234</v>
      </c>
      <c r="I4070" s="40"/>
      <c r="J4070" s="40" t="s">
        <v>97</v>
      </c>
      <c r="K4070" s="40" t="s">
        <v>97</v>
      </c>
      <c r="L4070" s="40" t="s">
        <v>97</v>
      </c>
    </row>
    <row r="4071" spans="1:12" x14ac:dyDescent="0.25">
      <c r="A4071" s="40" t="s">
        <v>33</v>
      </c>
      <c r="B4071" s="40" t="s">
        <v>924</v>
      </c>
      <c r="C4071" s="40" t="s">
        <v>6971</v>
      </c>
      <c r="D4071" s="40" t="s">
        <v>2297</v>
      </c>
      <c r="E4071" s="40" t="s">
        <v>2233</v>
      </c>
      <c r="F4071" s="40">
        <v>0</v>
      </c>
      <c r="G4071" s="40"/>
      <c r="H4071" s="40" t="s">
        <v>2234</v>
      </c>
      <c r="I4071" s="40"/>
      <c r="J4071" s="40" t="s">
        <v>97</v>
      </c>
      <c r="K4071" s="40" t="s">
        <v>97</v>
      </c>
      <c r="L4071" s="40" t="s">
        <v>97</v>
      </c>
    </row>
    <row r="4072" spans="1:12" x14ac:dyDescent="0.25">
      <c r="A4072" s="40" t="s">
        <v>33</v>
      </c>
      <c r="B4072" s="40" t="s">
        <v>927</v>
      </c>
      <c r="C4072" s="40" t="s">
        <v>6972</v>
      </c>
      <c r="D4072" s="40" t="s">
        <v>6952</v>
      </c>
      <c r="E4072" s="40" t="s">
        <v>2233</v>
      </c>
      <c r="F4072" s="40">
        <v>0</v>
      </c>
      <c r="G4072" s="40"/>
      <c r="H4072" s="40" t="s">
        <v>2234</v>
      </c>
      <c r="I4072" s="40"/>
      <c r="J4072" s="40" t="s">
        <v>97</v>
      </c>
      <c r="K4072" s="40" t="s">
        <v>97</v>
      </c>
      <c r="L4072" s="40" t="s">
        <v>97</v>
      </c>
    </row>
    <row r="4073" spans="1:12" x14ac:dyDescent="0.25">
      <c r="A4073" s="40" t="s">
        <v>33</v>
      </c>
      <c r="B4073" s="40" t="s">
        <v>942</v>
      </c>
      <c r="C4073" s="40" t="s">
        <v>6973</v>
      </c>
      <c r="D4073" s="40" t="s">
        <v>2297</v>
      </c>
      <c r="E4073" s="40" t="s">
        <v>2233</v>
      </c>
      <c r="F4073" s="40">
        <v>0</v>
      </c>
      <c r="G4073" s="40"/>
      <c r="H4073" s="40" t="s">
        <v>2234</v>
      </c>
      <c r="I4073" s="40"/>
      <c r="J4073" s="40" t="s">
        <v>97</v>
      </c>
      <c r="K4073" s="40" t="s">
        <v>97</v>
      </c>
      <c r="L4073" s="40" t="s">
        <v>97</v>
      </c>
    </row>
    <row r="4074" spans="1:12" x14ac:dyDescent="0.25">
      <c r="A4074" s="40" t="s">
        <v>33</v>
      </c>
      <c r="B4074" s="40" t="s">
        <v>1397</v>
      </c>
      <c r="C4074" s="40" t="s">
        <v>6974</v>
      </c>
      <c r="D4074" s="40" t="s">
        <v>2297</v>
      </c>
      <c r="E4074" s="40" t="s">
        <v>2233</v>
      </c>
      <c r="F4074" s="40">
        <v>0</v>
      </c>
      <c r="G4074" s="40"/>
      <c r="H4074" s="40" t="s">
        <v>2234</v>
      </c>
      <c r="I4074" s="40"/>
      <c r="J4074" s="40" t="s">
        <v>97</v>
      </c>
      <c r="K4074" s="40" t="s">
        <v>97</v>
      </c>
      <c r="L4074" s="40" t="s">
        <v>97</v>
      </c>
    </row>
    <row r="4075" spans="1:12" x14ac:dyDescent="0.25">
      <c r="A4075" s="40" t="s">
        <v>33</v>
      </c>
      <c r="B4075" s="40" t="s">
        <v>1399</v>
      </c>
      <c r="C4075" s="40" t="s">
        <v>6975</v>
      </c>
      <c r="D4075" s="40" t="s">
        <v>2297</v>
      </c>
      <c r="E4075" s="40" t="s">
        <v>2233</v>
      </c>
      <c r="F4075" s="40">
        <v>0</v>
      </c>
      <c r="G4075" s="40"/>
      <c r="H4075" s="40" t="s">
        <v>2234</v>
      </c>
      <c r="I4075" s="40"/>
      <c r="J4075" s="40" t="s">
        <v>97</v>
      </c>
      <c r="K4075" s="40" t="s">
        <v>97</v>
      </c>
      <c r="L4075" s="40" t="s">
        <v>97</v>
      </c>
    </row>
    <row r="4076" spans="1:12" x14ac:dyDescent="0.25">
      <c r="A4076" s="40" t="s">
        <v>33</v>
      </c>
      <c r="B4076" s="40" t="s">
        <v>1401</v>
      </c>
      <c r="C4076" s="40" t="s">
        <v>6976</v>
      </c>
      <c r="D4076" s="40" t="s">
        <v>6959</v>
      </c>
      <c r="E4076" s="40" t="s">
        <v>2233</v>
      </c>
      <c r="F4076" s="40">
        <v>0</v>
      </c>
      <c r="G4076" s="40"/>
      <c r="H4076" s="40" t="s">
        <v>2234</v>
      </c>
      <c r="I4076" s="40"/>
      <c r="J4076" s="40" t="s">
        <v>97</v>
      </c>
      <c r="K4076" s="40" t="s">
        <v>97</v>
      </c>
      <c r="L4076" s="40" t="s">
        <v>97</v>
      </c>
    </row>
    <row r="4077" spans="1:12" x14ac:dyDescent="0.25">
      <c r="A4077" s="40" t="s">
        <v>33</v>
      </c>
      <c r="B4077" s="40" t="s">
        <v>1411</v>
      </c>
      <c r="C4077" s="40" t="s">
        <v>6977</v>
      </c>
      <c r="D4077" s="40" t="s">
        <v>2297</v>
      </c>
      <c r="E4077" s="40" t="s">
        <v>2233</v>
      </c>
      <c r="F4077" s="40">
        <v>0</v>
      </c>
      <c r="G4077" s="40"/>
      <c r="H4077" s="40" t="s">
        <v>2234</v>
      </c>
      <c r="I4077" s="40"/>
      <c r="J4077" s="40" t="s">
        <v>97</v>
      </c>
      <c r="K4077" s="40" t="s">
        <v>97</v>
      </c>
      <c r="L4077" s="40" t="s">
        <v>97</v>
      </c>
    </row>
    <row r="4078" spans="1:12" x14ac:dyDescent="0.25">
      <c r="A4078" s="40" t="s">
        <v>33</v>
      </c>
      <c r="B4078" s="40" t="s">
        <v>945</v>
      </c>
      <c r="C4078" s="40" t="s">
        <v>6978</v>
      </c>
      <c r="D4078" s="40" t="s">
        <v>2297</v>
      </c>
      <c r="E4078" s="40" t="s">
        <v>2233</v>
      </c>
      <c r="F4078" s="40">
        <v>0</v>
      </c>
      <c r="G4078" s="40"/>
      <c r="H4078" s="40" t="s">
        <v>2234</v>
      </c>
      <c r="I4078" s="40"/>
      <c r="J4078" s="40" t="s">
        <v>97</v>
      </c>
      <c r="K4078" s="40" t="s">
        <v>97</v>
      </c>
      <c r="L4078" s="40" t="s">
        <v>97</v>
      </c>
    </row>
    <row r="4079" spans="1:12" x14ac:dyDescent="0.25">
      <c r="A4079" s="40" t="s">
        <v>33</v>
      </c>
      <c r="B4079" s="40" t="s">
        <v>948</v>
      </c>
      <c r="C4079" s="40" t="s">
        <v>6979</v>
      </c>
      <c r="D4079" s="40" t="s">
        <v>2297</v>
      </c>
      <c r="E4079" s="40" t="s">
        <v>2233</v>
      </c>
      <c r="F4079" s="40">
        <v>0</v>
      </c>
      <c r="G4079" s="40"/>
      <c r="H4079" s="40" t="s">
        <v>2234</v>
      </c>
      <c r="I4079" s="40"/>
      <c r="J4079" s="40" t="s">
        <v>97</v>
      </c>
      <c r="K4079" s="40" t="s">
        <v>97</v>
      </c>
      <c r="L4079" s="40" t="s">
        <v>97</v>
      </c>
    </row>
    <row r="4080" spans="1:12" x14ac:dyDescent="0.25">
      <c r="A4080" s="40" t="s">
        <v>33</v>
      </c>
      <c r="B4080" s="40" t="s">
        <v>951</v>
      </c>
      <c r="C4080" s="40" t="s">
        <v>6980</v>
      </c>
      <c r="D4080" s="40" t="s">
        <v>6964</v>
      </c>
      <c r="E4080" s="40" t="s">
        <v>2233</v>
      </c>
      <c r="F4080" s="40">
        <v>0</v>
      </c>
      <c r="G4080" s="40"/>
      <c r="H4080" s="40" t="s">
        <v>2234</v>
      </c>
      <c r="I4080" s="40"/>
      <c r="J4080" s="40" t="s">
        <v>97</v>
      </c>
      <c r="K4080" s="40" t="s">
        <v>97</v>
      </c>
      <c r="L4080" s="40" t="s">
        <v>97</v>
      </c>
    </row>
    <row r="4081" spans="1:12" x14ac:dyDescent="0.25">
      <c r="A4081" s="40" t="s">
        <v>33</v>
      </c>
      <c r="B4081" s="40" t="s">
        <v>965</v>
      </c>
      <c r="C4081" s="40" t="s">
        <v>6981</v>
      </c>
      <c r="D4081" s="40" t="s">
        <v>2297</v>
      </c>
      <c r="E4081" s="40" t="s">
        <v>2233</v>
      </c>
      <c r="F4081" s="40">
        <v>0</v>
      </c>
      <c r="G4081" s="40"/>
      <c r="H4081" s="40" t="s">
        <v>2234</v>
      </c>
      <c r="I4081" s="40"/>
      <c r="J4081" s="40" t="s">
        <v>97</v>
      </c>
      <c r="K4081" s="40" t="s">
        <v>97</v>
      </c>
      <c r="L4081" s="40" t="s">
        <v>97</v>
      </c>
    </row>
    <row r="4082" spans="1:12" x14ac:dyDescent="0.25">
      <c r="A4082" s="40" t="s">
        <v>33</v>
      </c>
      <c r="B4082" s="40" t="s">
        <v>968</v>
      </c>
      <c r="C4082" s="40" t="s">
        <v>6982</v>
      </c>
      <c r="D4082" s="40" t="s">
        <v>2297</v>
      </c>
      <c r="E4082" s="40" t="s">
        <v>2233</v>
      </c>
      <c r="F4082" s="40">
        <v>0</v>
      </c>
      <c r="G4082" s="40"/>
      <c r="H4082" s="40" t="s">
        <v>2234</v>
      </c>
      <c r="I4082" s="40"/>
      <c r="J4082" s="40" t="s">
        <v>97</v>
      </c>
      <c r="K4082" s="40" t="s">
        <v>97</v>
      </c>
      <c r="L4082" s="40" t="s">
        <v>97</v>
      </c>
    </row>
    <row r="4083" spans="1:12" x14ac:dyDescent="0.25">
      <c r="A4083" s="40" t="s">
        <v>33</v>
      </c>
      <c r="B4083" s="40" t="s">
        <v>970</v>
      </c>
      <c r="C4083" s="40" t="s">
        <v>6983</v>
      </c>
      <c r="D4083" s="40" t="s">
        <v>2297</v>
      </c>
      <c r="E4083" s="40" t="s">
        <v>2233</v>
      </c>
      <c r="F4083" s="40">
        <v>0</v>
      </c>
      <c r="G4083" s="40"/>
      <c r="H4083" s="40" t="s">
        <v>2234</v>
      </c>
      <c r="I4083" s="40"/>
      <c r="J4083" s="40" t="s">
        <v>97</v>
      </c>
      <c r="K4083" s="40" t="s">
        <v>97</v>
      </c>
      <c r="L4083" s="40" t="s">
        <v>97</v>
      </c>
    </row>
    <row r="4084" spans="1:12" x14ac:dyDescent="0.25">
      <c r="A4084" s="40" t="s">
        <v>33</v>
      </c>
      <c r="B4084" s="40" t="s">
        <v>973</v>
      </c>
      <c r="C4084" s="40" t="s">
        <v>6984</v>
      </c>
      <c r="D4084" s="40" t="s">
        <v>6945</v>
      </c>
      <c r="E4084" s="40" t="s">
        <v>2233</v>
      </c>
      <c r="F4084" s="40">
        <v>0</v>
      </c>
      <c r="G4084" s="40"/>
      <c r="H4084" s="40" t="s">
        <v>2234</v>
      </c>
      <c r="I4084" s="40"/>
      <c r="J4084" s="40" t="s">
        <v>97</v>
      </c>
      <c r="K4084" s="40" t="s">
        <v>97</v>
      </c>
      <c r="L4084" s="40" t="s">
        <v>97</v>
      </c>
    </row>
    <row r="4085" spans="1:12" x14ac:dyDescent="0.25">
      <c r="A4085" s="40" t="s">
        <v>33</v>
      </c>
      <c r="B4085" s="40" t="s">
        <v>983</v>
      </c>
      <c r="C4085" s="40" t="s">
        <v>6985</v>
      </c>
      <c r="D4085" s="40" t="s">
        <v>2297</v>
      </c>
      <c r="E4085" s="40" t="s">
        <v>2233</v>
      </c>
      <c r="F4085" s="40">
        <v>0</v>
      </c>
      <c r="G4085" s="40"/>
      <c r="H4085" s="40" t="s">
        <v>2234</v>
      </c>
      <c r="I4085" s="40"/>
      <c r="J4085" s="40" t="s">
        <v>97</v>
      </c>
      <c r="K4085" s="40" t="s">
        <v>97</v>
      </c>
      <c r="L4085" s="40" t="s">
        <v>97</v>
      </c>
    </row>
    <row r="4086" spans="1:12" x14ac:dyDescent="0.25">
      <c r="A4086" s="40" t="s">
        <v>33</v>
      </c>
      <c r="B4086" s="40" t="s">
        <v>985</v>
      </c>
      <c r="C4086" s="40" t="s">
        <v>6986</v>
      </c>
      <c r="D4086" s="40" t="s">
        <v>2297</v>
      </c>
      <c r="E4086" s="40" t="s">
        <v>2233</v>
      </c>
      <c r="F4086" s="40">
        <v>0</v>
      </c>
      <c r="G4086" s="40"/>
      <c r="H4086" s="40" t="s">
        <v>2234</v>
      </c>
      <c r="I4086" s="40"/>
      <c r="J4086" s="40" t="s">
        <v>97</v>
      </c>
      <c r="K4086" s="40" t="s">
        <v>97</v>
      </c>
      <c r="L4086" s="40" t="s">
        <v>97</v>
      </c>
    </row>
    <row r="4087" spans="1:12" x14ac:dyDescent="0.25">
      <c r="A4087" s="40" t="s">
        <v>33</v>
      </c>
      <c r="B4087" s="40" t="s">
        <v>987</v>
      </c>
      <c r="C4087" s="40" t="s">
        <v>6987</v>
      </c>
      <c r="D4087" s="40" t="s">
        <v>2297</v>
      </c>
      <c r="E4087" s="40" t="s">
        <v>2233</v>
      </c>
      <c r="F4087" s="40">
        <v>0</v>
      </c>
      <c r="G4087" s="40"/>
      <c r="H4087" s="40" t="s">
        <v>2234</v>
      </c>
      <c r="I4087" s="40"/>
      <c r="J4087" s="40" t="s">
        <v>97</v>
      </c>
      <c r="K4087" s="40" t="s">
        <v>97</v>
      </c>
      <c r="L4087" s="40" t="s">
        <v>97</v>
      </c>
    </row>
    <row r="4088" spans="1:12" x14ac:dyDescent="0.25">
      <c r="A4088" s="40" t="s">
        <v>33</v>
      </c>
      <c r="B4088" s="40" t="s">
        <v>989</v>
      </c>
      <c r="C4088" s="40" t="s">
        <v>6988</v>
      </c>
      <c r="D4088" s="40" t="s">
        <v>6952</v>
      </c>
      <c r="E4088" s="40" t="s">
        <v>2233</v>
      </c>
      <c r="F4088" s="40">
        <v>0</v>
      </c>
      <c r="G4088" s="40"/>
      <c r="H4088" s="40" t="s">
        <v>2234</v>
      </c>
      <c r="I4088" s="40"/>
      <c r="J4088" s="40" t="s">
        <v>97</v>
      </c>
      <c r="K4088" s="40" t="s">
        <v>97</v>
      </c>
      <c r="L4088" s="40" t="s">
        <v>97</v>
      </c>
    </row>
    <row r="4089" spans="1:12" x14ac:dyDescent="0.25">
      <c r="A4089" s="40" t="s">
        <v>33</v>
      </c>
      <c r="B4089" s="40" t="s">
        <v>1001</v>
      </c>
      <c r="C4089" s="40" t="s">
        <v>6989</v>
      </c>
      <c r="D4089" s="40" t="s">
        <v>2297</v>
      </c>
      <c r="E4089" s="40" t="s">
        <v>2233</v>
      </c>
      <c r="F4089" s="40">
        <v>0</v>
      </c>
      <c r="G4089" s="40"/>
      <c r="H4089" s="40" t="s">
        <v>2234</v>
      </c>
      <c r="I4089" s="40"/>
      <c r="J4089" s="40" t="s">
        <v>97</v>
      </c>
      <c r="K4089" s="40" t="s">
        <v>97</v>
      </c>
      <c r="L4089" s="40" t="s">
        <v>97</v>
      </c>
    </row>
    <row r="4090" spans="1:12" x14ac:dyDescent="0.25">
      <c r="A4090" s="40" t="s">
        <v>33</v>
      </c>
      <c r="B4090" s="40" t="s">
        <v>1440</v>
      </c>
      <c r="C4090" s="40" t="s">
        <v>6990</v>
      </c>
      <c r="D4090" s="40" t="s">
        <v>2297</v>
      </c>
      <c r="E4090" s="40" t="s">
        <v>2233</v>
      </c>
      <c r="F4090" s="40">
        <v>0</v>
      </c>
      <c r="G4090" s="40"/>
      <c r="H4090" s="40" t="s">
        <v>2234</v>
      </c>
      <c r="I4090" s="40"/>
      <c r="J4090" s="40" t="s">
        <v>97</v>
      </c>
      <c r="K4090" s="40" t="s">
        <v>97</v>
      </c>
      <c r="L4090" s="40" t="s">
        <v>97</v>
      </c>
    </row>
    <row r="4091" spans="1:12" x14ac:dyDescent="0.25">
      <c r="A4091" s="40" t="s">
        <v>33</v>
      </c>
      <c r="B4091" s="40" t="s">
        <v>1443</v>
      </c>
      <c r="C4091" s="40" t="s">
        <v>6991</v>
      </c>
      <c r="D4091" s="40" t="s">
        <v>2297</v>
      </c>
      <c r="E4091" s="40" t="s">
        <v>2233</v>
      </c>
      <c r="F4091" s="40">
        <v>0</v>
      </c>
      <c r="G4091" s="40"/>
      <c r="H4091" s="40" t="s">
        <v>2234</v>
      </c>
      <c r="I4091" s="40"/>
      <c r="J4091" s="40" t="s">
        <v>97</v>
      </c>
      <c r="K4091" s="40" t="s">
        <v>97</v>
      </c>
      <c r="L4091" s="40" t="s">
        <v>97</v>
      </c>
    </row>
    <row r="4092" spans="1:12" x14ac:dyDescent="0.25">
      <c r="A4092" s="40" t="s">
        <v>33</v>
      </c>
      <c r="B4092" s="40" t="s">
        <v>1445</v>
      </c>
      <c r="C4092" s="40" t="s">
        <v>6992</v>
      </c>
      <c r="D4092" s="40" t="s">
        <v>6959</v>
      </c>
      <c r="E4092" s="40" t="s">
        <v>2233</v>
      </c>
      <c r="F4092" s="40">
        <v>0</v>
      </c>
      <c r="G4092" s="40"/>
      <c r="H4092" s="40" t="s">
        <v>2234</v>
      </c>
      <c r="I4092" s="40"/>
      <c r="J4092" s="40" t="s">
        <v>97</v>
      </c>
      <c r="K4092" s="40" t="s">
        <v>97</v>
      </c>
      <c r="L4092" s="40" t="s">
        <v>97</v>
      </c>
    </row>
    <row r="4093" spans="1:12" x14ac:dyDescent="0.25">
      <c r="A4093" s="40" t="s">
        <v>33</v>
      </c>
      <c r="B4093" s="40" t="s">
        <v>1017</v>
      </c>
      <c r="C4093" s="40" t="s">
        <v>6993</v>
      </c>
      <c r="D4093" s="40" t="s">
        <v>2297</v>
      </c>
      <c r="E4093" s="40" t="s">
        <v>2233</v>
      </c>
      <c r="F4093" s="40">
        <v>0</v>
      </c>
      <c r="G4093" s="40"/>
      <c r="H4093" s="40" t="s">
        <v>2234</v>
      </c>
      <c r="I4093" s="40"/>
      <c r="J4093" s="40" t="s">
        <v>97</v>
      </c>
      <c r="K4093" s="40" t="s">
        <v>97</v>
      </c>
      <c r="L4093" s="40" t="s">
        <v>97</v>
      </c>
    </row>
    <row r="4094" spans="1:12" x14ac:dyDescent="0.25">
      <c r="A4094" s="40" t="s">
        <v>33</v>
      </c>
      <c r="B4094" s="40" t="s">
        <v>1019</v>
      </c>
      <c r="C4094" s="40" t="s">
        <v>6994</v>
      </c>
      <c r="D4094" s="40" t="s">
        <v>2297</v>
      </c>
      <c r="E4094" s="40" t="s">
        <v>2233</v>
      </c>
      <c r="F4094" s="40">
        <v>0</v>
      </c>
      <c r="G4094" s="40"/>
      <c r="H4094" s="40" t="s">
        <v>2234</v>
      </c>
      <c r="I4094" s="40"/>
      <c r="J4094" s="40" t="s">
        <v>97</v>
      </c>
      <c r="K4094" s="40" t="s">
        <v>97</v>
      </c>
      <c r="L4094" s="40" t="s">
        <v>97</v>
      </c>
    </row>
    <row r="4095" spans="1:12" x14ac:dyDescent="0.25">
      <c r="A4095" s="40" t="s">
        <v>33</v>
      </c>
      <c r="B4095" s="40" t="s">
        <v>1021</v>
      </c>
      <c r="C4095" s="40" t="s">
        <v>6995</v>
      </c>
      <c r="D4095" s="40" t="s">
        <v>2297</v>
      </c>
      <c r="E4095" s="40" t="s">
        <v>2233</v>
      </c>
      <c r="F4095" s="40">
        <v>0</v>
      </c>
      <c r="G4095" s="40"/>
      <c r="H4095" s="40" t="s">
        <v>2234</v>
      </c>
      <c r="I4095" s="40"/>
      <c r="J4095" s="40" t="s">
        <v>97</v>
      </c>
      <c r="K4095" s="40" t="s">
        <v>97</v>
      </c>
      <c r="L4095" s="40" t="s">
        <v>97</v>
      </c>
    </row>
    <row r="4096" spans="1:12" x14ac:dyDescent="0.25">
      <c r="A4096" s="40" t="s">
        <v>33</v>
      </c>
      <c r="B4096" s="40" t="s">
        <v>1024</v>
      </c>
      <c r="C4096" s="40" t="s">
        <v>6996</v>
      </c>
      <c r="D4096" s="40" t="s">
        <v>6964</v>
      </c>
      <c r="E4096" s="40" t="s">
        <v>2233</v>
      </c>
      <c r="F4096" s="40">
        <v>0</v>
      </c>
      <c r="G4096" s="40"/>
      <c r="H4096" s="40" t="s">
        <v>2234</v>
      </c>
      <c r="I4096" s="40"/>
      <c r="J4096" s="40" t="s">
        <v>97</v>
      </c>
      <c r="K4096" s="40" t="s">
        <v>97</v>
      </c>
      <c r="L4096" s="40" t="s">
        <v>97</v>
      </c>
    </row>
    <row r="4097" spans="1:12" x14ac:dyDescent="0.25">
      <c r="A4097" s="40" t="s">
        <v>33</v>
      </c>
      <c r="B4097" s="40" t="s">
        <v>1035</v>
      </c>
      <c r="C4097" s="40" t="s">
        <v>6997</v>
      </c>
      <c r="D4097" s="40" t="s">
        <v>2297</v>
      </c>
      <c r="E4097" s="40" t="s">
        <v>2233</v>
      </c>
      <c r="F4097" s="40">
        <v>0</v>
      </c>
      <c r="G4097" s="40"/>
      <c r="H4097" s="40" t="s">
        <v>2234</v>
      </c>
      <c r="I4097" s="40"/>
      <c r="J4097" s="40" t="s">
        <v>97</v>
      </c>
      <c r="K4097" s="40" t="s">
        <v>97</v>
      </c>
      <c r="L4097" s="40" t="s">
        <v>97</v>
      </c>
    </row>
    <row r="4098" spans="1:12" x14ac:dyDescent="0.25">
      <c r="A4098" s="40" t="s">
        <v>33</v>
      </c>
      <c r="B4098" s="40" t="s">
        <v>1037</v>
      </c>
      <c r="C4098" s="40" t="s">
        <v>6998</v>
      </c>
      <c r="D4098" s="40" t="s">
        <v>2297</v>
      </c>
      <c r="E4098" s="40" t="s">
        <v>2233</v>
      </c>
      <c r="F4098" s="40">
        <v>0</v>
      </c>
      <c r="G4098" s="40"/>
      <c r="H4098" s="40" t="s">
        <v>2234</v>
      </c>
      <c r="I4098" s="40"/>
      <c r="J4098" s="40" t="s">
        <v>97</v>
      </c>
      <c r="K4098" s="40" t="s">
        <v>97</v>
      </c>
      <c r="L4098" s="40" t="s">
        <v>97</v>
      </c>
    </row>
    <row r="4099" spans="1:12" x14ac:dyDescent="0.25">
      <c r="A4099" s="40" t="s">
        <v>33</v>
      </c>
      <c r="B4099" s="40" t="s">
        <v>1039</v>
      </c>
      <c r="C4099" s="40" t="s">
        <v>6999</v>
      </c>
      <c r="D4099" s="40" t="s">
        <v>2297</v>
      </c>
      <c r="E4099" s="40" t="s">
        <v>2233</v>
      </c>
      <c r="F4099" s="40">
        <v>0</v>
      </c>
      <c r="G4099" s="40"/>
      <c r="H4099" s="40" t="s">
        <v>2234</v>
      </c>
      <c r="I4099" s="40"/>
      <c r="J4099" s="40" t="s">
        <v>97</v>
      </c>
      <c r="K4099" s="40" t="s">
        <v>97</v>
      </c>
      <c r="L4099" s="40" t="s">
        <v>97</v>
      </c>
    </row>
    <row r="4100" spans="1:12" x14ac:dyDescent="0.25">
      <c r="A4100" s="40" t="s">
        <v>33</v>
      </c>
      <c r="B4100" s="40" t="s">
        <v>1041</v>
      </c>
      <c r="C4100" s="40" t="s">
        <v>7000</v>
      </c>
      <c r="D4100" s="40" t="s">
        <v>6945</v>
      </c>
      <c r="E4100" s="40" t="s">
        <v>2233</v>
      </c>
      <c r="F4100" s="40">
        <v>0</v>
      </c>
      <c r="G4100" s="40"/>
      <c r="H4100" s="40" t="s">
        <v>2234</v>
      </c>
      <c r="I4100" s="40"/>
      <c r="J4100" s="40" t="s">
        <v>97</v>
      </c>
      <c r="K4100" s="40" t="s">
        <v>97</v>
      </c>
      <c r="L4100" s="40" t="s">
        <v>97</v>
      </c>
    </row>
    <row r="4101" spans="1:12" x14ac:dyDescent="0.25">
      <c r="A4101" s="40" t="s">
        <v>33</v>
      </c>
      <c r="B4101" s="40" t="s">
        <v>7001</v>
      </c>
      <c r="C4101" s="40" t="s">
        <v>7002</v>
      </c>
      <c r="D4101" s="40" t="s">
        <v>2297</v>
      </c>
      <c r="E4101" s="40" t="s">
        <v>2233</v>
      </c>
      <c r="F4101" s="40">
        <v>0</v>
      </c>
      <c r="G4101" s="40"/>
      <c r="H4101" s="40" t="s">
        <v>2234</v>
      </c>
      <c r="I4101" s="40"/>
      <c r="J4101" s="40" t="s">
        <v>97</v>
      </c>
      <c r="K4101" s="40" t="s">
        <v>97</v>
      </c>
      <c r="L4101" s="40" t="s">
        <v>97</v>
      </c>
    </row>
    <row r="4102" spans="1:12" x14ac:dyDescent="0.25">
      <c r="A4102" s="40" t="s">
        <v>33</v>
      </c>
      <c r="B4102" s="40" t="s">
        <v>7003</v>
      </c>
      <c r="C4102" s="40" t="s">
        <v>7004</v>
      </c>
      <c r="D4102" s="40" t="s">
        <v>2297</v>
      </c>
      <c r="E4102" s="40" t="s">
        <v>2233</v>
      </c>
      <c r="F4102" s="40">
        <v>0</v>
      </c>
      <c r="G4102" s="40"/>
      <c r="H4102" s="40" t="s">
        <v>2234</v>
      </c>
      <c r="I4102" s="40"/>
      <c r="J4102" s="40" t="s">
        <v>97</v>
      </c>
      <c r="K4102" s="40" t="s">
        <v>97</v>
      </c>
      <c r="L4102" s="40" t="s">
        <v>97</v>
      </c>
    </row>
    <row r="4103" spans="1:12" x14ac:dyDescent="0.25">
      <c r="A4103" s="40" t="s">
        <v>33</v>
      </c>
      <c r="B4103" s="40" t="s">
        <v>7005</v>
      </c>
      <c r="C4103" s="40" t="s">
        <v>7006</v>
      </c>
      <c r="D4103" s="40" t="s">
        <v>2297</v>
      </c>
      <c r="E4103" s="40" t="s">
        <v>2233</v>
      </c>
      <c r="F4103" s="40">
        <v>0</v>
      </c>
      <c r="G4103" s="40"/>
      <c r="H4103" s="40" t="s">
        <v>2234</v>
      </c>
      <c r="I4103" s="40"/>
      <c r="J4103" s="40" t="s">
        <v>97</v>
      </c>
      <c r="K4103" s="40" t="s">
        <v>97</v>
      </c>
      <c r="L4103" s="40" t="s">
        <v>97</v>
      </c>
    </row>
    <row r="4104" spans="1:12" x14ac:dyDescent="0.25">
      <c r="A4104" s="40" t="s">
        <v>33</v>
      </c>
      <c r="B4104" s="40" t="s">
        <v>7007</v>
      </c>
      <c r="C4104" s="40" t="s">
        <v>7008</v>
      </c>
      <c r="D4104" s="40" t="s">
        <v>6952</v>
      </c>
      <c r="E4104" s="40" t="s">
        <v>2233</v>
      </c>
      <c r="F4104" s="40">
        <v>0</v>
      </c>
      <c r="G4104" s="40"/>
      <c r="H4104" s="40" t="s">
        <v>2234</v>
      </c>
      <c r="I4104" s="40"/>
      <c r="J4104" s="40" t="s">
        <v>97</v>
      </c>
      <c r="K4104" s="40" t="s">
        <v>97</v>
      </c>
      <c r="L4104" s="40" t="s">
        <v>97</v>
      </c>
    </row>
    <row r="4105" spans="1:12" x14ac:dyDescent="0.25">
      <c r="A4105" s="40" t="s">
        <v>33</v>
      </c>
      <c r="B4105" s="40" t="s">
        <v>7009</v>
      </c>
      <c r="C4105" s="40" t="s">
        <v>7010</v>
      </c>
      <c r="D4105" s="40" t="s">
        <v>2297</v>
      </c>
      <c r="E4105" s="40" t="s">
        <v>2233</v>
      </c>
      <c r="F4105" s="40">
        <v>0</v>
      </c>
      <c r="G4105" s="40"/>
      <c r="H4105" s="40" t="s">
        <v>2234</v>
      </c>
      <c r="I4105" s="40"/>
      <c r="J4105" s="40" t="s">
        <v>97</v>
      </c>
      <c r="K4105" s="40" t="s">
        <v>97</v>
      </c>
      <c r="L4105" s="40" t="s">
        <v>97</v>
      </c>
    </row>
    <row r="4106" spans="1:12" x14ac:dyDescent="0.25">
      <c r="A4106" s="40" t="s">
        <v>33</v>
      </c>
      <c r="B4106" s="40" t="s">
        <v>7011</v>
      </c>
      <c r="C4106" s="40" t="s">
        <v>7012</v>
      </c>
      <c r="D4106" s="40" t="s">
        <v>2297</v>
      </c>
      <c r="E4106" s="40" t="s">
        <v>2233</v>
      </c>
      <c r="F4106" s="40">
        <v>0</v>
      </c>
      <c r="G4106" s="40"/>
      <c r="H4106" s="40" t="s">
        <v>2234</v>
      </c>
      <c r="I4106" s="40"/>
      <c r="J4106" s="40" t="s">
        <v>97</v>
      </c>
      <c r="K4106" s="40" t="s">
        <v>97</v>
      </c>
      <c r="L4106" s="40" t="s">
        <v>97</v>
      </c>
    </row>
    <row r="4107" spans="1:12" x14ac:dyDescent="0.25">
      <c r="A4107" s="40" t="s">
        <v>33</v>
      </c>
      <c r="B4107" s="40" t="s">
        <v>7013</v>
      </c>
      <c r="C4107" s="40" t="s">
        <v>7014</v>
      </c>
      <c r="D4107" s="40" t="s">
        <v>2297</v>
      </c>
      <c r="E4107" s="40" t="s">
        <v>2233</v>
      </c>
      <c r="F4107" s="40">
        <v>0</v>
      </c>
      <c r="G4107" s="40"/>
      <c r="H4107" s="40" t="s">
        <v>2234</v>
      </c>
      <c r="I4107" s="40"/>
      <c r="J4107" s="40" t="s">
        <v>97</v>
      </c>
      <c r="K4107" s="40" t="s">
        <v>97</v>
      </c>
      <c r="L4107" s="40" t="s">
        <v>97</v>
      </c>
    </row>
    <row r="4108" spans="1:12" x14ac:dyDescent="0.25">
      <c r="A4108" s="40" t="s">
        <v>33</v>
      </c>
      <c r="B4108" s="40" t="s">
        <v>7015</v>
      </c>
      <c r="C4108" s="40" t="s">
        <v>7016</v>
      </c>
      <c r="D4108" s="40" t="s">
        <v>6959</v>
      </c>
      <c r="E4108" s="40" t="s">
        <v>2233</v>
      </c>
      <c r="F4108" s="40">
        <v>0</v>
      </c>
      <c r="G4108" s="40"/>
      <c r="H4108" s="40" t="s">
        <v>2234</v>
      </c>
      <c r="I4108" s="40"/>
      <c r="J4108" s="40" t="s">
        <v>97</v>
      </c>
      <c r="K4108" s="40" t="s">
        <v>97</v>
      </c>
      <c r="L4108" s="40" t="s">
        <v>97</v>
      </c>
    </row>
    <row r="4109" spans="1:12" x14ac:dyDescent="0.25">
      <c r="A4109" s="40" t="s">
        <v>33</v>
      </c>
      <c r="B4109" s="40" t="s">
        <v>7017</v>
      </c>
      <c r="C4109" s="40" t="s">
        <v>7018</v>
      </c>
      <c r="D4109" s="40" t="s">
        <v>2297</v>
      </c>
      <c r="E4109" s="40" t="s">
        <v>2233</v>
      </c>
      <c r="F4109" s="40">
        <v>0</v>
      </c>
      <c r="G4109" s="40"/>
      <c r="H4109" s="40" t="s">
        <v>2234</v>
      </c>
      <c r="I4109" s="40"/>
      <c r="J4109" s="40" t="s">
        <v>97</v>
      </c>
      <c r="K4109" s="40" t="s">
        <v>97</v>
      </c>
      <c r="L4109" s="40" t="s">
        <v>97</v>
      </c>
    </row>
    <row r="4110" spans="1:12" x14ac:dyDescent="0.25">
      <c r="A4110" s="40" t="s">
        <v>33</v>
      </c>
      <c r="B4110" s="40" t="s">
        <v>7019</v>
      </c>
      <c r="C4110" s="40" t="s">
        <v>7020</v>
      </c>
      <c r="D4110" s="40" t="s">
        <v>2297</v>
      </c>
      <c r="E4110" s="40" t="s">
        <v>2233</v>
      </c>
      <c r="F4110" s="40">
        <v>0</v>
      </c>
      <c r="G4110" s="40"/>
      <c r="H4110" s="40" t="s">
        <v>2234</v>
      </c>
      <c r="I4110" s="40"/>
      <c r="J4110" s="40" t="s">
        <v>97</v>
      </c>
      <c r="K4110" s="40" t="s">
        <v>97</v>
      </c>
      <c r="L4110" s="40" t="s">
        <v>97</v>
      </c>
    </row>
    <row r="4111" spans="1:12" x14ac:dyDescent="0.25">
      <c r="A4111" s="40" t="s">
        <v>33</v>
      </c>
      <c r="B4111" s="40" t="s">
        <v>7021</v>
      </c>
      <c r="C4111" s="40" t="s">
        <v>7022</v>
      </c>
      <c r="D4111" s="40" t="s">
        <v>2297</v>
      </c>
      <c r="E4111" s="40" t="s">
        <v>2233</v>
      </c>
      <c r="F4111" s="40">
        <v>0</v>
      </c>
      <c r="G4111" s="40"/>
      <c r="H4111" s="40" t="s">
        <v>2234</v>
      </c>
      <c r="I4111" s="40"/>
      <c r="J4111" s="40" t="s">
        <v>97</v>
      </c>
      <c r="K4111" s="40" t="s">
        <v>97</v>
      </c>
      <c r="L4111" s="40" t="s">
        <v>97</v>
      </c>
    </row>
    <row r="4112" spans="1:12" x14ac:dyDescent="0.25">
      <c r="A4112" s="40" t="s">
        <v>33</v>
      </c>
      <c r="B4112" s="40" t="s">
        <v>7023</v>
      </c>
      <c r="C4112" s="40" t="s">
        <v>7024</v>
      </c>
      <c r="D4112" s="40" t="s">
        <v>6964</v>
      </c>
      <c r="E4112" s="40" t="s">
        <v>2233</v>
      </c>
      <c r="F4112" s="40">
        <v>0</v>
      </c>
      <c r="G4112" s="40"/>
      <c r="H4112" s="40" t="s">
        <v>2234</v>
      </c>
      <c r="I4112" s="40"/>
      <c r="J4112" s="40" t="s">
        <v>97</v>
      </c>
      <c r="K4112" s="40" t="s">
        <v>97</v>
      </c>
      <c r="L4112" s="40" t="s">
        <v>97</v>
      </c>
    </row>
    <row r="4113" spans="1:12" x14ac:dyDescent="0.25">
      <c r="A4113" s="40" t="s">
        <v>33</v>
      </c>
      <c r="B4113" s="40" t="s">
        <v>1236</v>
      </c>
      <c r="C4113" s="40" t="s">
        <v>7025</v>
      </c>
      <c r="D4113" s="40" t="s">
        <v>2233</v>
      </c>
      <c r="E4113" s="40" t="s">
        <v>2233</v>
      </c>
      <c r="F4113" s="40">
        <v>1</v>
      </c>
      <c r="G4113" s="40"/>
      <c r="H4113" s="40" t="s">
        <v>2234</v>
      </c>
      <c r="I4113" s="40"/>
      <c r="J4113" s="40" t="s">
        <v>97</v>
      </c>
      <c r="K4113" s="40" t="s">
        <v>97</v>
      </c>
      <c r="L4113" s="40" t="s">
        <v>97</v>
      </c>
    </row>
    <row r="4114" spans="1:12" x14ac:dyDescent="0.25">
      <c r="A4114" s="40" t="s">
        <v>33</v>
      </c>
      <c r="B4114" s="40" t="s">
        <v>1238</v>
      </c>
      <c r="C4114" s="40" t="s">
        <v>7026</v>
      </c>
      <c r="D4114" s="40" t="s">
        <v>2233</v>
      </c>
      <c r="E4114" s="40" t="s">
        <v>2233</v>
      </c>
      <c r="F4114" s="40">
        <v>1</v>
      </c>
      <c r="G4114" s="40"/>
      <c r="H4114" s="40" t="s">
        <v>2234</v>
      </c>
      <c r="I4114" s="40"/>
      <c r="J4114" s="40" t="s">
        <v>97</v>
      </c>
      <c r="K4114" s="40" t="s">
        <v>97</v>
      </c>
      <c r="L4114" s="40" t="s">
        <v>97</v>
      </c>
    </row>
    <row r="4115" spans="1:12" x14ac:dyDescent="0.25">
      <c r="A4115" s="40" t="s">
        <v>33</v>
      </c>
      <c r="B4115" s="40" t="s">
        <v>1241</v>
      </c>
      <c r="C4115" s="40" t="s">
        <v>7027</v>
      </c>
      <c r="D4115" s="40" t="s">
        <v>2233</v>
      </c>
      <c r="E4115" s="40" t="s">
        <v>2233</v>
      </c>
      <c r="F4115" s="40">
        <v>1</v>
      </c>
      <c r="G4115" s="40"/>
      <c r="H4115" s="40" t="s">
        <v>2234</v>
      </c>
      <c r="I4115" s="40"/>
      <c r="J4115" s="40" t="s">
        <v>97</v>
      </c>
      <c r="K4115" s="40" t="s">
        <v>97</v>
      </c>
      <c r="L4115" s="40" t="s">
        <v>97</v>
      </c>
    </row>
    <row r="4116" spans="1:12" x14ac:dyDescent="0.25">
      <c r="A4116" s="40" t="s">
        <v>33</v>
      </c>
      <c r="B4116" s="40" t="s">
        <v>1243</v>
      </c>
      <c r="C4116" s="40" t="s">
        <v>7028</v>
      </c>
      <c r="D4116" s="40" t="s">
        <v>2233</v>
      </c>
      <c r="E4116" s="40" t="s">
        <v>2233</v>
      </c>
      <c r="F4116" s="40">
        <v>1</v>
      </c>
      <c r="G4116" s="40"/>
      <c r="H4116" s="40" t="s">
        <v>2234</v>
      </c>
      <c r="I4116" s="40"/>
      <c r="J4116" s="40" t="s">
        <v>97</v>
      </c>
      <c r="K4116" s="40" t="s">
        <v>97</v>
      </c>
      <c r="L4116" s="40" t="s">
        <v>97</v>
      </c>
    </row>
    <row r="4117" spans="1:12" x14ac:dyDescent="0.25">
      <c r="A4117" s="40" t="s">
        <v>33</v>
      </c>
      <c r="B4117" s="40" t="s">
        <v>1246</v>
      </c>
      <c r="C4117" s="40" t="s">
        <v>7029</v>
      </c>
      <c r="D4117" s="40" t="s">
        <v>2233</v>
      </c>
      <c r="E4117" s="40" t="s">
        <v>2233</v>
      </c>
      <c r="F4117" s="40">
        <v>1</v>
      </c>
      <c r="G4117" s="40"/>
      <c r="H4117" s="40" t="s">
        <v>2234</v>
      </c>
      <c r="I4117" s="40"/>
      <c r="J4117" s="40" t="s">
        <v>97</v>
      </c>
      <c r="K4117" s="40" t="s">
        <v>97</v>
      </c>
      <c r="L4117" s="40" t="s">
        <v>97</v>
      </c>
    </row>
    <row r="4118" spans="1:12" x14ac:dyDescent="0.25">
      <c r="A4118" s="40" t="s">
        <v>33</v>
      </c>
      <c r="B4118" s="40" t="s">
        <v>1248</v>
      </c>
      <c r="C4118" s="40" t="s">
        <v>7030</v>
      </c>
      <c r="D4118" s="40" t="s">
        <v>2233</v>
      </c>
      <c r="E4118" s="40" t="s">
        <v>2233</v>
      </c>
      <c r="F4118" s="40">
        <v>1</v>
      </c>
      <c r="G4118" s="40"/>
      <c r="H4118" s="40" t="s">
        <v>2234</v>
      </c>
      <c r="I4118" s="40"/>
      <c r="J4118" s="40" t="s">
        <v>97</v>
      </c>
      <c r="K4118" s="40" t="s">
        <v>97</v>
      </c>
      <c r="L4118" s="40" t="s">
        <v>97</v>
      </c>
    </row>
    <row r="4119" spans="1:12" x14ac:dyDescent="0.25">
      <c r="A4119" s="40" t="s">
        <v>33</v>
      </c>
      <c r="B4119" s="40" t="s">
        <v>1251</v>
      </c>
      <c r="C4119" s="40" t="s">
        <v>7031</v>
      </c>
      <c r="D4119" s="40" t="s">
        <v>2233</v>
      </c>
      <c r="E4119" s="40" t="s">
        <v>2233</v>
      </c>
      <c r="F4119" s="40">
        <v>1</v>
      </c>
      <c r="G4119" s="40"/>
      <c r="H4119" s="40" t="s">
        <v>2234</v>
      </c>
      <c r="I4119" s="40"/>
      <c r="J4119" s="40" t="s">
        <v>97</v>
      </c>
      <c r="K4119" s="40" t="s">
        <v>97</v>
      </c>
      <c r="L4119" s="40" t="s">
        <v>97</v>
      </c>
    </row>
    <row r="4120" spans="1:12" x14ac:dyDescent="0.25">
      <c r="A4120" s="40" t="s">
        <v>33</v>
      </c>
      <c r="B4120" s="40" t="s">
        <v>1253</v>
      </c>
      <c r="C4120" s="40" t="s">
        <v>7032</v>
      </c>
      <c r="D4120" s="40" t="s">
        <v>2233</v>
      </c>
      <c r="E4120" s="40" t="s">
        <v>2233</v>
      </c>
      <c r="F4120" s="40">
        <v>1</v>
      </c>
      <c r="G4120" s="40"/>
      <c r="H4120" s="40" t="s">
        <v>2234</v>
      </c>
      <c r="I4120" s="40"/>
      <c r="J4120" s="40" t="s">
        <v>97</v>
      </c>
      <c r="K4120" s="40" t="s">
        <v>97</v>
      </c>
      <c r="L4120" s="40" t="s">
        <v>97</v>
      </c>
    </row>
    <row r="4121" spans="1:12" x14ac:dyDescent="0.25">
      <c r="A4121" s="40" t="s">
        <v>33</v>
      </c>
      <c r="B4121" s="40" t="s">
        <v>1256</v>
      </c>
      <c r="C4121" s="40" t="s">
        <v>7033</v>
      </c>
      <c r="D4121" s="40" t="s">
        <v>2233</v>
      </c>
      <c r="E4121" s="40" t="s">
        <v>2233</v>
      </c>
      <c r="F4121" s="40">
        <v>1</v>
      </c>
      <c r="G4121" s="40"/>
      <c r="H4121" s="40" t="s">
        <v>2234</v>
      </c>
      <c r="I4121" s="40"/>
      <c r="J4121" s="40" t="s">
        <v>97</v>
      </c>
      <c r="K4121" s="40" t="s">
        <v>97</v>
      </c>
      <c r="L4121" s="40" t="s">
        <v>97</v>
      </c>
    </row>
    <row r="4122" spans="1:12" x14ac:dyDescent="0.25">
      <c r="A4122" s="40" t="s">
        <v>33</v>
      </c>
      <c r="B4122" s="40" t="s">
        <v>1259</v>
      </c>
      <c r="C4122" s="40" t="s">
        <v>7034</v>
      </c>
      <c r="D4122" s="40" t="s">
        <v>2233</v>
      </c>
      <c r="E4122" s="40" t="s">
        <v>2233</v>
      </c>
      <c r="F4122" s="40">
        <v>1</v>
      </c>
      <c r="G4122" s="40"/>
      <c r="H4122" s="40" t="s">
        <v>2234</v>
      </c>
      <c r="I4122" s="40"/>
      <c r="J4122" s="40" t="s">
        <v>97</v>
      </c>
      <c r="K4122" s="40" t="s">
        <v>97</v>
      </c>
      <c r="L4122" s="40" t="s">
        <v>97</v>
      </c>
    </row>
    <row r="4123" spans="1:12" x14ac:dyDescent="0.25">
      <c r="A4123" s="40" t="s">
        <v>33</v>
      </c>
      <c r="B4123" s="40" t="s">
        <v>1261</v>
      </c>
      <c r="C4123" s="40" t="s">
        <v>7035</v>
      </c>
      <c r="D4123" s="40" t="s">
        <v>2233</v>
      </c>
      <c r="E4123" s="40" t="s">
        <v>2233</v>
      </c>
      <c r="F4123" s="40">
        <v>1</v>
      </c>
      <c r="G4123" s="40"/>
      <c r="H4123" s="40" t="s">
        <v>2234</v>
      </c>
      <c r="I4123" s="40"/>
      <c r="J4123" s="40" t="s">
        <v>97</v>
      </c>
      <c r="K4123" s="40" t="s">
        <v>97</v>
      </c>
      <c r="L4123" s="40" t="s">
        <v>97</v>
      </c>
    </row>
    <row r="4124" spans="1:12" x14ac:dyDescent="0.25">
      <c r="A4124" s="40" t="s">
        <v>33</v>
      </c>
      <c r="B4124" s="40" t="s">
        <v>1263</v>
      </c>
      <c r="C4124" s="40" t="s">
        <v>7036</v>
      </c>
      <c r="D4124" s="40" t="s">
        <v>2233</v>
      </c>
      <c r="E4124" s="40" t="s">
        <v>2233</v>
      </c>
      <c r="F4124" s="40">
        <v>1</v>
      </c>
      <c r="G4124" s="40"/>
      <c r="H4124" s="40" t="s">
        <v>2234</v>
      </c>
      <c r="I4124" s="40"/>
      <c r="J4124" s="40" t="s">
        <v>97</v>
      </c>
      <c r="K4124" s="40" t="s">
        <v>97</v>
      </c>
      <c r="L4124" s="40" t="s">
        <v>97</v>
      </c>
    </row>
    <row r="4125" spans="1:12" x14ac:dyDescent="0.25">
      <c r="A4125" s="40" t="s">
        <v>33</v>
      </c>
      <c r="B4125" s="40" t="s">
        <v>1594</v>
      </c>
      <c r="C4125" s="40" t="s">
        <v>7037</v>
      </c>
      <c r="D4125" s="40" t="s">
        <v>2233</v>
      </c>
      <c r="E4125" s="40" t="s">
        <v>2233</v>
      </c>
      <c r="F4125" s="40">
        <v>1</v>
      </c>
      <c r="G4125" s="40"/>
      <c r="H4125" s="40" t="s">
        <v>2234</v>
      </c>
      <c r="I4125" s="40"/>
      <c r="J4125" s="40" t="s">
        <v>97</v>
      </c>
      <c r="K4125" s="40" t="s">
        <v>97</v>
      </c>
      <c r="L4125" s="40" t="s">
        <v>97</v>
      </c>
    </row>
    <row r="4126" spans="1:12" x14ac:dyDescent="0.25">
      <c r="A4126" s="40" t="s">
        <v>33</v>
      </c>
      <c r="B4126" s="40" t="s">
        <v>1596</v>
      </c>
      <c r="C4126" s="40" t="s">
        <v>7038</v>
      </c>
      <c r="D4126" s="40" t="s">
        <v>2233</v>
      </c>
      <c r="E4126" s="40" t="s">
        <v>2233</v>
      </c>
      <c r="F4126" s="40">
        <v>1</v>
      </c>
      <c r="G4126" s="40"/>
      <c r="H4126" s="40" t="s">
        <v>2234</v>
      </c>
      <c r="I4126" s="40"/>
      <c r="J4126" s="40" t="s">
        <v>97</v>
      </c>
      <c r="K4126" s="40" t="s">
        <v>97</v>
      </c>
      <c r="L4126" s="40" t="s">
        <v>97</v>
      </c>
    </row>
    <row r="4127" spans="1:12" x14ac:dyDescent="0.25">
      <c r="A4127" s="40" t="s">
        <v>33</v>
      </c>
      <c r="B4127" s="40" t="s">
        <v>1598</v>
      </c>
      <c r="C4127" s="40" t="s">
        <v>7039</v>
      </c>
      <c r="D4127" s="40" t="s">
        <v>2233</v>
      </c>
      <c r="E4127" s="40" t="s">
        <v>2233</v>
      </c>
      <c r="F4127" s="40">
        <v>1</v>
      </c>
      <c r="G4127" s="40"/>
      <c r="H4127" s="40" t="s">
        <v>2234</v>
      </c>
      <c r="I4127" s="40"/>
      <c r="J4127" s="40" t="s">
        <v>97</v>
      </c>
      <c r="K4127" s="40" t="s">
        <v>97</v>
      </c>
      <c r="L4127" s="40" t="s">
        <v>97</v>
      </c>
    </row>
    <row r="4128" spans="1:12" x14ac:dyDescent="0.25">
      <c r="A4128" s="40" t="s">
        <v>33</v>
      </c>
      <c r="B4128" s="40" t="s">
        <v>1600</v>
      </c>
      <c r="C4128" s="40" t="s">
        <v>7040</v>
      </c>
      <c r="D4128" s="40" t="s">
        <v>2233</v>
      </c>
      <c r="E4128" s="40" t="s">
        <v>2233</v>
      </c>
      <c r="F4128" s="40">
        <v>1</v>
      </c>
      <c r="G4128" s="40"/>
      <c r="H4128" s="40" t="s">
        <v>2234</v>
      </c>
      <c r="I4128" s="40"/>
      <c r="J4128" s="40" t="s">
        <v>97</v>
      </c>
      <c r="K4128" s="40" t="s">
        <v>97</v>
      </c>
      <c r="L4128" s="40" t="s">
        <v>97</v>
      </c>
    </row>
    <row r="4129" spans="1:12" x14ac:dyDescent="0.25">
      <c r="A4129" s="40" t="s">
        <v>33</v>
      </c>
      <c r="B4129" s="40" t="s">
        <v>1602</v>
      </c>
      <c r="C4129" s="40" t="s">
        <v>7041</v>
      </c>
      <c r="D4129" s="40" t="s">
        <v>2233</v>
      </c>
      <c r="E4129" s="40" t="s">
        <v>2233</v>
      </c>
      <c r="F4129" s="40">
        <v>1</v>
      </c>
      <c r="G4129" s="40"/>
      <c r="H4129" s="40" t="s">
        <v>2234</v>
      </c>
      <c r="I4129" s="40"/>
      <c r="J4129" s="40" t="s">
        <v>97</v>
      </c>
      <c r="K4129" s="40" t="s">
        <v>97</v>
      </c>
      <c r="L4129" s="40" t="s">
        <v>97</v>
      </c>
    </row>
    <row r="4130" spans="1:12" x14ac:dyDescent="0.25">
      <c r="A4130" s="40" t="s">
        <v>33</v>
      </c>
      <c r="B4130" s="40" t="s">
        <v>1604</v>
      </c>
      <c r="C4130" s="40" t="s">
        <v>7042</v>
      </c>
      <c r="D4130" s="40" t="s">
        <v>2233</v>
      </c>
      <c r="E4130" s="40" t="s">
        <v>2233</v>
      </c>
      <c r="F4130" s="40">
        <v>1</v>
      </c>
      <c r="G4130" s="40"/>
      <c r="H4130" s="40" t="s">
        <v>2234</v>
      </c>
      <c r="I4130" s="40"/>
      <c r="J4130" s="40" t="s">
        <v>97</v>
      </c>
      <c r="K4130" s="40" t="s">
        <v>97</v>
      </c>
      <c r="L4130" s="40" t="s">
        <v>97</v>
      </c>
    </row>
    <row r="4131" spans="1:12" x14ac:dyDescent="0.25">
      <c r="A4131" s="40" t="s">
        <v>33</v>
      </c>
      <c r="B4131" s="40" t="s">
        <v>1606</v>
      </c>
      <c r="C4131" s="40" t="s">
        <v>7043</v>
      </c>
      <c r="D4131" s="40" t="s">
        <v>2233</v>
      </c>
      <c r="E4131" s="40" t="s">
        <v>2233</v>
      </c>
      <c r="F4131" s="40">
        <v>1</v>
      </c>
      <c r="G4131" s="40"/>
      <c r="H4131" s="40" t="s">
        <v>2234</v>
      </c>
      <c r="I4131" s="40"/>
      <c r="J4131" s="40" t="s">
        <v>97</v>
      </c>
      <c r="K4131" s="40" t="s">
        <v>97</v>
      </c>
      <c r="L4131" s="40" t="s">
        <v>97</v>
      </c>
    </row>
    <row r="4132" spans="1:12" x14ac:dyDescent="0.25">
      <c r="A4132" s="40" t="s">
        <v>33</v>
      </c>
      <c r="B4132" s="40" t="s">
        <v>1608</v>
      </c>
      <c r="C4132" s="40" t="s">
        <v>7044</v>
      </c>
      <c r="D4132" s="40" t="s">
        <v>2233</v>
      </c>
      <c r="E4132" s="40" t="s">
        <v>2233</v>
      </c>
      <c r="F4132" s="40">
        <v>1</v>
      </c>
      <c r="G4132" s="40"/>
      <c r="H4132" s="40" t="s">
        <v>2234</v>
      </c>
      <c r="I4132" s="40"/>
      <c r="J4132" s="40" t="s">
        <v>97</v>
      </c>
      <c r="K4132" s="40" t="s">
        <v>97</v>
      </c>
      <c r="L4132" s="40" t="s">
        <v>97</v>
      </c>
    </row>
    <row r="4133" spans="1:12" x14ac:dyDescent="0.25">
      <c r="A4133" s="40" t="s">
        <v>33</v>
      </c>
      <c r="B4133" s="40" t="s">
        <v>1610</v>
      </c>
      <c r="C4133" s="40" t="s">
        <v>7045</v>
      </c>
      <c r="D4133" s="40" t="s">
        <v>2233</v>
      </c>
      <c r="E4133" s="40" t="s">
        <v>2233</v>
      </c>
      <c r="F4133" s="40">
        <v>1</v>
      </c>
      <c r="G4133" s="40"/>
      <c r="H4133" s="40" t="s">
        <v>2234</v>
      </c>
      <c r="I4133" s="40"/>
      <c r="J4133" s="40" t="s">
        <v>97</v>
      </c>
      <c r="K4133" s="40" t="s">
        <v>97</v>
      </c>
      <c r="L4133" s="40" t="s">
        <v>97</v>
      </c>
    </row>
    <row r="4134" spans="1:12" x14ac:dyDescent="0.25">
      <c r="A4134" s="40" t="s">
        <v>33</v>
      </c>
      <c r="B4134" s="40" t="s">
        <v>1612</v>
      </c>
      <c r="C4134" s="40" t="s">
        <v>7046</v>
      </c>
      <c r="D4134" s="40" t="s">
        <v>2233</v>
      </c>
      <c r="E4134" s="40" t="s">
        <v>2233</v>
      </c>
      <c r="F4134" s="40">
        <v>1</v>
      </c>
      <c r="G4134" s="40"/>
      <c r="H4134" s="40" t="s">
        <v>2234</v>
      </c>
      <c r="I4134" s="40"/>
      <c r="J4134" s="40" t="s">
        <v>97</v>
      </c>
      <c r="K4134" s="40" t="s">
        <v>97</v>
      </c>
      <c r="L4134" s="40" t="s">
        <v>97</v>
      </c>
    </row>
    <row r="4135" spans="1:12" x14ac:dyDescent="0.25">
      <c r="A4135" s="40" t="s">
        <v>33</v>
      </c>
      <c r="B4135" s="40" t="s">
        <v>1614</v>
      </c>
      <c r="C4135" s="40" t="s">
        <v>7047</v>
      </c>
      <c r="D4135" s="40" t="s">
        <v>2233</v>
      </c>
      <c r="E4135" s="40" t="s">
        <v>2233</v>
      </c>
      <c r="F4135" s="40">
        <v>1</v>
      </c>
      <c r="G4135" s="40"/>
      <c r="H4135" s="40" t="s">
        <v>2234</v>
      </c>
      <c r="I4135" s="40"/>
      <c r="J4135" s="40" t="s">
        <v>97</v>
      </c>
      <c r="K4135" s="40" t="s">
        <v>97</v>
      </c>
      <c r="L4135" s="40" t="s">
        <v>97</v>
      </c>
    </row>
    <row r="4136" spans="1:12" x14ac:dyDescent="0.25">
      <c r="A4136" s="40" t="s">
        <v>33</v>
      </c>
      <c r="B4136" s="40" t="s">
        <v>1616</v>
      </c>
      <c r="C4136" s="40" t="s">
        <v>7048</v>
      </c>
      <c r="D4136" s="40" t="s">
        <v>2233</v>
      </c>
      <c r="E4136" s="40" t="s">
        <v>2233</v>
      </c>
      <c r="F4136" s="40">
        <v>1</v>
      </c>
      <c r="G4136" s="40"/>
      <c r="H4136" s="40" t="s">
        <v>2234</v>
      </c>
      <c r="I4136" s="40"/>
      <c r="J4136" s="40" t="s">
        <v>97</v>
      </c>
      <c r="K4136" s="40" t="s">
        <v>97</v>
      </c>
      <c r="L4136" s="40" t="s">
        <v>97</v>
      </c>
    </row>
    <row r="4137" spans="1:12" x14ac:dyDescent="0.25">
      <c r="A4137" s="40" t="s">
        <v>33</v>
      </c>
      <c r="B4137" s="40" t="s">
        <v>1618</v>
      </c>
      <c r="C4137" s="40" t="s">
        <v>7049</v>
      </c>
      <c r="D4137" s="40" t="s">
        <v>2233</v>
      </c>
      <c r="E4137" s="40" t="s">
        <v>2233</v>
      </c>
      <c r="F4137" s="40">
        <v>1</v>
      </c>
      <c r="G4137" s="40"/>
      <c r="H4137" s="40" t="s">
        <v>2234</v>
      </c>
      <c r="I4137" s="40"/>
      <c r="J4137" s="40" t="s">
        <v>97</v>
      </c>
      <c r="K4137" s="40" t="s">
        <v>97</v>
      </c>
      <c r="L4137" s="40" t="s">
        <v>97</v>
      </c>
    </row>
    <row r="4138" spans="1:12" x14ac:dyDescent="0.25">
      <c r="A4138" s="40" t="s">
        <v>33</v>
      </c>
      <c r="B4138" s="40" t="s">
        <v>1620</v>
      </c>
      <c r="C4138" s="40" t="s">
        <v>7050</v>
      </c>
      <c r="D4138" s="40" t="s">
        <v>2233</v>
      </c>
      <c r="E4138" s="40" t="s">
        <v>2233</v>
      </c>
      <c r="F4138" s="40">
        <v>1</v>
      </c>
      <c r="G4138" s="40"/>
      <c r="H4138" s="40" t="s">
        <v>2234</v>
      </c>
      <c r="I4138" s="40"/>
      <c r="J4138" s="40" t="s">
        <v>97</v>
      </c>
      <c r="K4138" s="40" t="s">
        <v>97</v>
      </c>
      <c r="L4138" s="40" t="s">
        <v>97</v>
      </c>
    </row>
    <row r="4139" spans="1:12" x14ac:dyDescent="0.25">
      <c r="A4139" s="40" t="s">
        <v>33</v>
      </c>
      <c r="B4139" s="40" t="s">
        <v>1622</v>
      </c>
      <c r="C4139" s="40" t="s">
        <v>7051</v>
      </c>
      <c r="D4139" s="40" t="s">
        <v>2233</v>
      </c>
      <c r="E4139" s="40" t="s">
        <v>2233</v>
      </c>
      <c r="F4139" s="40">
        <v>1</v>
      </c>
      <c r="G4139" s="40"/>
      <c r="H4139" s="40" t="s">
        <v>2234</v>
      </c>
      <c r="I4139" s="40"/>
      <c r="J4139" s="40" t="s">
        <v>97</v>
      </c>
      <c r="K4139" s="40" t="s">
        <v>97</v>
      </c>
      <c r="L4139" s="40" t="s">
        <v>97</v>
      </c>
    </row>
    <row r="4140" spans="1:12" x14ac:dyDescent="0.25">
      <c r="A4140" s="40" t="s">
        <v>33</v>
      </c>
      <c r="B4140" s="40" t="s">
        <v>1624</v>
      </c>
      <c r="C4140" s="40" t="s">
        <v>7052</v>
      </c>
      <c r="D4140" s="40" t="s">
        <v>2233</v>
      </c>
      <c r="E4140" s="40" t="s">
        <v>2233</v>
      </c>
      <c r="F4140" s="40">
        <v>1</v>
      </c>
      <c r="G4140" s="40"/>
      <c r="H4140" s="40" t="s">
        <v>2234</v>
      </c>
      <c r="I4140" s="40"/>
      <c r="J4140" s="40" t="s">
        <v>97</v>
      </c>
      <c r="K4140" s="40" t="s">
        <v>97</v>
      </c>
      <c r="L4140" s="40" t="s">
        <v>97</v>
      </c>
    </row>
    <row r="4141" spans="1:12" x14ac:dyDescent="0.25">
      <c r="A4141" s="40" t="s">
        <v>33</v>
      </c>
      <c r="B4141" s="40" t="s">
        <v>1626</v>
      </c>
      <c r="C4141" s="40" t="s">
        <v>7053</v>
      </c>
      <c r="D4141" s="40" t="s">
        <v>2233</v>
      </c>
      <c r="E4141" s="40" t="s">
        <v>2233</v>
      </c>
      <c r="F4141" s="40">
        <v>1</v>
      </c>
      <c r="G4141" s="40"/>
      <c r="H4141" s="40" t="s">
        <v>2234</v>
      </c>
      <c r="I4141" s="40"/>
      <c r="J4141" s="40" t="s">
        <v>97</v>
      </c>
      <c r="K4141" s="40" t="s">
        <v>97</v>
      </c>
      <c r="L4141" s="40" t="s">
        <v>97</v>
      </c>
    </row>
    <row r="4142" spans="1:12" x14ac:dyDescent="0.25">
      <c r="A4142" s="40" t="s">
        <v>33</v>
      </c>
      <c r="B4142" s="40" t="s">
        <v>1628</v>
      </c>
      <c r="C4142" s="40" t="s">
        <v>7054</v>
      </c>
      <c r="D4142" s="40" t="s">
        <v>2233</v>
      </c>
      <c r="E4142" s="40" t="s">
        <v>2233</v>
      </c>
      <c r="F4142" s="40">
        <v>1</v>
      </c>
      <c r="G4142" s="40"/>
      <c r="H4142" s="40" t="s">
        <v>2234</v>
      </c>
      <c r="I4142" s="40"/>
      <c r="J4142" s="40" t="s">
        <v>97</v>
      </c>
      <c r="K4142" s="40" t="s">
        <v>97</v>
      </c>
      <c r="L4142" s="40" t="s">
        <v>97</v>
      </c>
    </row>
    <row r="4143" spans="1:12" x14ac:dyDescent="0.25">
      <c r="A4143" s="40" t="s">
        <v>33</v>
      </c>
      <c r="B4143" s="40" t="s">
        <v>1631</v>
      </c>
      <c r="C4143" s="40" t="s">
        <v>7055</v>
      </c>
      <c r="D4143" s="40" t="s">
        <v>2233</v>
      </c>
      <c r="E4143" s="40" t="s">
        <v>2233</v>
      </c>
      <c r="F4143" s="40">
        <v>1</v>
      </c>
      <c r="G4143" s="40"/>
      <c r="H4143" s="40" t="s">
        <v>2234</v>
      </c>
      <c r="I4143" s="40"/>
      <c r="J4143" s="40" t="s">
        <v>97</v>
      </c>
      <c r="K4143" s="40" t="s">
        <v>97</v>
      </c>
      <c r="L4143" s="40" t="s">
        <v>97</v>
      </c>
    </row>
    <row r="4144" spans="1:12" x14ac:dyDescent="0.25">
      <c r="A4144" s="40" t="s">
        <v>33</v>
      </c>
      <c r="B4144" s="40" t="s">
        <v>1633</v>
      </c>
      <c r="C4144" s="40" t="s">
        <v>7056</v>
      </c>
      <c r="D4144" s="40" t="s">
        <v>2233</v>
      </c>
      <c r="E4144" s="40" t="s">
        <v>2233</v>
      </c>
      <c r="F4144" s="40">
        <v>1</v>
      </c>
      <c r="G4144" s="40"/>
      <c r="H4144" s="40" t="s">
        <v>2234</v>
      </c>
      <c r="I4144" s="40"/>
      <c r="J4144" s="40" t="s">
        <v>97</v>
      </c>
      <c r="K4144" s="40" t="s">
        <v>97</v>
      </c>
      <c r="L4144" s="40" t="s">
        <v>97</v>
      </c>
    </row>
    <row r="4145" spans="1:12" x14ac:dyDescent="0.25">
      <c r="A4145" s="40" t="s">
        <v>33</v>
      </c>
      <c r="B4145" s="40" t="s">
        <v>1635</v>
      </c>
      <c r="C4145" s="40" t="s">
        <v>7057</v>
      </c>
      <c r="D4145" s="40" t="s">
        <v>577</v>
      </c>
      <c r="E4145" s="40" t="s">
        <v>2233</v>
      </c>
      <c r="F4145" s="40">
        <v>0</v>
      </c>
      <c r="G4145" s="40"/>
      <c r="H4145" s="40" t="s">
        <v>2234</v>
      </c>
      <c r="I4145" s="40"/>
      <c r="J4145" s="40" t="s">
        <v>97</v>
      </c>
      <c r="K4145" s="40" t="s">
        <v>97</v>
      </c>
      <c r="L4145" s="40" t="s">
        <v>97</v>
      </c>
    </row>
    <row r="4146" spans="1:12" x14ac:dyDescent="0.25">
      <c r="A4146" s="40" t="s">
        <v>33</v>
      </c>
      <c r="B4146" s="40" t="s">
        <v>1637</v>
      </c>
      <c r="C4146" s="40" t="s">
        <v>7058</v>
      </c>
      <c r="D4146" s="40" t="s">
        <v>2341</v>
      </c>
      <c r="E4146" s="40" t="s">
        <v>2233</v>
      </c>
      <c r="F4146" s="40">
        <v>0</v>
      </c>
      <c r="G4146" s="40"/>
      <c r="H4146" s="40" t="s">
        <v>2234</v>
      </c>
      <c r="I4146" s="40"/>
      <c r="J4146" s="40" t="s">
        <v>97</v>
      </c>
      <c r="K4146" s="40" t="s">
        <v>97</v>
      </c>
      <c r="L4146" s="40" t="s">
        <v>97</v>
      </c>
    </row>
    <row r="4147" spans="1:12" x14ac:dyDescent="0.25">
      <c r="A4147" s="40" t="s">
        <v>33</v>
      </c>
      <c r="B4147" s="40" t="s">
        <v>1639</v>
      </c>
      <c r="C4147" s="40" t="s">
        <v>7059</v>
      </c>
      <c r="D4147" s="40" t="s">
        <v>7060</v>
      </c>
      <c r="E4147" s="40" t="s">
        <v>2233</v>
      </c>
      <c r="F4147" s="40">
        <v>0</v>
      </c>
      <c r="G4147" s="40"/>
      <c r="H4147" s="40" t="s">
        <v>2234</v>
      </c>
      <c r="I4147" s="40"/>
      <c r="J4147" s="40" t="s">
        <v>97</v>
      </c>
      <c r="K4147" s="40" t="s">
        <v>97</v>
      </c>
      <c r="L4147" s="40" t="s">
        <v>97</v>
      </c>
    </row>
    <row r="4148" spans="1:12" x14ac:dyDescent="0.25">
      <c r="A4148" s="40" t="s">
        <v>33</v>
      </c>
      <c r="B4148" s="40" t="s">
        <v>1641</v>
      </c>
      <c r="C4148" s="40" t="s">
        <v>7061</v>
      </c>
      <c r="D4148" s="40" t="s">
        <v>2238</v>
      </c>
      <c r="E4148" s="40" t="s">
        <v>2233</v>
      </c>
      <c r="F4148" s="40">
        <v>0</v>
      </c>
      <c r="G4148" s="40"/>
      <c r="H4148" s="40" t="s">
        <v>2234</v>
      </c>
      <c r="I4148" s="40"/>
      <c r="J4148" s="40" t="s">
        <v>97</v>
      </c>
      <c r="K4148" s="40" t="s">
        <v>97</v>
      </c>
      <c r="L4148" s="40" t="s">
        <v>97</v>
      </c>
    </row>
    <row r="4149" spans="1:12" x14ac:dyDescent="0.25">
      <c r="A4149" s="40" t="s">
        <v>33</v>
      </c>
      <c r="B4149" s="40" t="s">
        <v>1643</v>
      </c>
      <c r="C4149" s="40" t="s">
        <v>7062</v>
      </c>
      <c r="D4149" s="40" t="s">
        <v>577</v>
      </c>
      <c r="E4149" s="40" t="s">
        <v>2233</v>
      </c>
      <c r="F4149" s="40">
        <v>0</v>
      </c>
      <c r="G4149" s="40"/>
      <c r="H4149" s="40" t="s">
        <v>2234</v>
      </c>
      <c r="I4149" s="40"/>
      <c r="J4149" s="40" t="s">
        <v>97</v>
      </c>
      <c r="K4149" s="40" t="s">
        <v>97</v>
      </c>
      <c r="L4149" s="40" t="s">
        <v>97</v>
      </c>
    </row>
    <row r="4150" spans="1:12" x14ac:dyDescent="0.25">
      <c r="A4150" s="40" t="s">
        <v>33</v>
      </c>
      <c r="B4150" s="40" t="s">
        <v>1645</v>
      </c>
      <c r="C4150" s="40" t="s">
        <v>7063</v>
      </c>
      <c r="D4150" s="40" t="s">
        <v>2341</v>
      </c>
      <c r="E4150" s="40" t="s">
        <v>2233</v>
      </c>
      <c r="F4150" s="40">
        <v>0</v>
      </c>
      <c r="G4150" s="40"/>
      <c r="H4150" s="40" t="s">
        <v>2234</v>
      </c>
      <c r="I4150" s="40"/>
      <c r="J4150" s="40" t="s">
        <v>97</v>
      </c>
      <c r="K4150" s="40" t="s">
        <v>97</v>
      </c>
      <c r="L4150" s="40" t="s">
        <v>97</v>
      </c>
    </row>
    <row r="4151" spans="1:12" x14ac:dyDescent="0.25">
      <c r="A4151" s="40" t="s">
        <v>33</v>
      </c>
      <c r="B4151" s="40" t="s">
        <v>1647</v>
      </c>
      <c r="C4151" s="40" t="s">
        <v>7064</v>
      </c>
      <c r="D4151" s="40" t="s">
        <v>7060</v>
      </c>
      <c r="E4151" s="40" t="s">
        <v>2233</v>
      </c>
      <c r="F4151" s="40">
        <v>0</v>
      </c>
      <c r="G4151" s="40"/>
      <c r="H4151" s="40" t="s">
        <v>2234</v>
      </c>
      <c r="I4151" s="40"/>
      <c r="J4151" s="40" t="s">
        <v>97</v>
      </c>
      <c r="K4151" s="40" t="s">
        <v>97</v>
      </c>
      <c r="L4151" s="40" t="s">
        <v>97</v>
      </c>
    </row>
    <row r="4152" spans="1:12" x14ac:dyDescent="0.25">
      <c r="A4152" s="40" t="s">
        <v>33</v>
      </c>
      <c r="B4152" s="40" t="s">
        <v>1650</v>
      </c>
      <c r="C4152" s="40" t="s">
        <v>7065</v>
      </c>
      <c r="D4152" s="40" t="s">
        <v>2238</v>
      </c>
      <c r="E4152" s="40" t="s">
        <v>2233</v>
      </c>
      <c r="F4152" s="40">
        <v>0</v>
      </c>
      <c r="G4152" s="40"/>
      <c r="H4152" s="40" t="s">
        <v>2234</v>
      </c>
      <c r="I4152" s="40"/>
      <c r="J4152" s="40" t="s">
        <v>97</v>
      </c>
      <c r="K4152" s="40" t="s">
        <v>97</v>
      </c>
      <c r="L4152" s="40" t="s">
        <v>97</v>
      </c>
    </row>
    <row r="4153" spans="1:12" x14ac:dyDescent="0.25">
      <c r="A4153" s="40" t="s">
        <v>33</v>
      </c>
      <c r="B4153" s="40" t="s">
        <v>1652</v>
      </c>
      <c r="C4153" s="40" t="s">
        <v>7066</v>
      </c>
      <c r="D4153" s="40" t="s">
        <v>577</v>
      </c>
      <c r="E4153" s="40" t="s">
        <v>2233</v>
      </c>
      <c r="F4153" s="40">
        <v>0</v>
      </c>
      <c r="G4153" s="40"/>
      <c r="H4153" s="40" t="s">
        <v>2234</v>
      </c>
      <c r="I4153" s="40"/>
      <c r="J4153" s="40" t="s">
        <v>97</v>
      </c>
      <c r="K4153" s="40" t="s">
        <v>97</v>
      </c>
      <c r="L4153" s="40" t="s">
        <v>97</v>
      </c>
    </row>
    <row r="4154" spans="1:12" x14ac:dyDescent="0.25">
      <c r="A4154" s="40" t="s">
        <v>33</v>
      </c>
      <c r="B4154" s="40" t="s">
        <v>1654</v>
      </c>
      <c r="C4154" s="40" t="s">
        <v>7067</v>
      </c>
      <c r="D4154" s="40" t="s">
        <v>2341</v>
      </c>
      <c r="E4154" s="40" t="s">
        <v>2233</v>
      </c>
      <c r="F4154" s="40">
        <v>0</v>
      </c>
      <c r="G4154" s="40"/>
      <c r="H4154" s="40" t="s">
        <v>2234</v>
      </c>
      <c r="I4154" s="40"/>
      <c r="J4154" s="40" t="s">
        <v>97</v>
      </c>
      <c r="K4154" s="40" t="s">
        <v>97</v>
      </c>
      <c r="L4154" s="40" t="s">
        <v>97</v>
      </c>
    </row>
    <row r="4155" spans="1:12" x14ac:dyDescent="0.25">
      <c r="A4155" s="40" t="s">
        <v>33</v>
      </c>
      <c r="B4155" s="40" t="s">
        <v>1656</v>
      </c>
      <c r="C4155" s="40" t="s">
        <v>7068</v>
      </c>
      <c r="D4155" s="40" t="s">
        <v>7060</v>
      </c>
      <c r="E4155" s="40" t="s">
        <v>2233</v>
      </c>
      <c r="F4155" s="40">
        <v>0</v>
      </c>
      <c r="G4155" s="40"/>
      <c r="H4155" s="40" t="s">
        <v>2234</v>
      </c>
      <c r="I4155" s="40"/>
      <c r="J4155" s="40" t="s">
        <v>97</v>
      </c>
      <c r="K4155" s="40" t="s">
        <v>97</v>
      </c>
      <c r="L4155" s="40" t="s">
        <v>97</v>
      </c>
    </row>
    <row r="4156" spans="1:12" x14ac:dyDescent="0.25">
      <c r="A4156" s="40" t="s">
        <v>33</v>
      </c>
      <c r="B4156" s="40" t="s">
        <v>1658</v>
      </c>
      <c r="C4156" s="40" t="s">
        <v>7069</v>
      </c>
      <c r="D4156" s="40" t="s">
        <v>2238</v>
      </c>
      <c r="E4156" s="40" t="s">
        <v>2233</v>
      </c>
      <c r="F4156" s="40">
        <v>0</v>
      </c>
      <c r="G4156" s="40"/>
      <c r="H4156" s="40" t="s">
        <v>2234</v>
      </c>
      <c r="I4156" s="40"/>
      <c r="J4156" s="40" t="s">
        <v>97</v>
      </c>
      <c r="K4156" s="40" t="s">
        <v>97</v>
      </c>
      <c r="L4156" s="40" t="s">
        <v>97</v>
      </c>
    </row>
    <row r="4157" spans="1:12" x14ac:dyDescent="0.25">
      <c r="A4157" s="40" t="s">
        <v>33</v>
      </c>
      <c r="B4157" s="40" t="s">
        <v>7070</v>
      </c>
      <c r="C4157" s="40" t="s">
        <v>7071</v>
      </c>
      <c r="D4157" s="40" t="s">
        <v>577</v>
      </c>
      <c r="E4157" s="40" t="s">
        <v>2233</v>
      </c>
      <c r="F4157" s="40">
        <v>0</v>
      </c>
      <c r="G4157" s="40"/>
      <c r="H4157" s="40" t="s">
        <v>2234</v>
      </c>
      <c r="I4157" s="40"/>
      <c r="J4157" s="40" t="s">
        <v>97</v>
      </c>
      <c r="K4157" s="40" t="s">
        <v>97</v>
      </c>
      <c r="L4157" s="40" t="s">
        <v>97</v>
      </c>
    </row>
    <row r="4158" spans="1:12" x14ac:dyDescent="0.25">
      <c r="A4158" s="40" t="s">
        <v>33</v>
      </c>
      <c r="B4158" s="40" t="s">
        <v>7072</v>
      </c>
      <c r="C4158" s="40" t="s">
        <v>7073</v>
      </c>
      <c r="D4158" s="40" t="s">
        <v>2341</v>
      </c>
      <c r="E4158" s="40" t="s">
        <v>2233</v>
      </c>
      <c r="F4158" s="40">
        <v>0</v>
      </c>
      <c r="G4158" s="40"/>
      <c r="H4158" s="40" t="s">
        <v>2234</v>
      </c>
      <c r="I4158" s="40"/>
      <c r="J4158" s="40" t="s">
        <v>97</v>
      </c>
      <c r="K4158" s="40" t="s">
        <v>97</v>
      </c>
      <c r="L4158" s="40" t="s">
        <v>97</v>
      </c>
    </row>
    <row r="4159" spans="1:12" x14ac:dyDescent="0.25">
      <c r="A4159" s="40" t="s">
        <v>33</v>
      </c>
      <c r="B4159" s="40" t="s">
        <v>7074</v>
      </c>
      <c r="C4159" s="40" t="s">
        <v>7075</v>
      </c>
      <c r="D4159" s="40" t="s">
        <v>7060</v>
      </c>
      <c r="E4159" s="40" t="s">
        <v>2233</v>
      </c>
      <c r="F4159" s="40">
        <v>0</v>
      </c>
      <c r="G4159" s="40"/>
      <c r="H4159" s="40" t="s">
        <v>2234</v>
      </c>
      <c r="I4159" s="40"/>
      <c r="J4159" s="40" t="s">
        <v>97</v>
      </c>
      <c r="K4159" s="40" t="s">
        <v>97</v>
      </c>
      <c r="L4159" s="40" t="s">
        <v>97</v>
      </c>
    </row>
    <row r="4160" spans="1:12" x14ac:dyDescent="0.25">
      <c r="A4160" s="40" t="s">
        <v>33</v>
      </c>
      <c r="B4160" s="40" t="s">
        <v>7076</v>
      </c>
      <c r="C4160" s="40" t="s">
        <v>7077</v>
      </c>
      <c r="D4160" s="40" t="s">
        <v>2238</v>
      </c>
      <c r="E4160" s="40" t="s">
        <v>2233</v>
      </c>
      <c r="F4160" s="40">
        <v>0</v>
      </c>
      <c r="G4160" s="40"/>
      <c r="H4160" s="40" t="s">
        <v>2234</v>
      </c>
      <c r="I4160" s="40"/>
      <c r="J4160" s="40" t="s">
        <v>97</v>
      </c>
      <c r="K4160" s="40" t="s">
        <v>97</v>
      </c>
      <c r="L4160" s="40" t="s">
        <v>97</v>
      </c>
    </row>
    <row r="4161" spans="1:12" x14ac:dyDescent="0.25">
      <c r="A4161" s="40" t="s">
        <v>33</v>
      </c>
      <c r="B4161" s="40" t="s">
        <v>7078</v>
      </c>
      <c r="C4161" s="40" t="s">
        <v>7079</v>
      </c>
      <c r="D4161" s="40" t="s">
        <v>2499</v>
      </c>
      <c r="E4161" s="40" t="s">
        <v>2233</v>
      </c>
      <c r="F4161" s="40">
        <v>0</v>
      </c>
      <c r="G4161" s="40"/>
      <c r="H4161" s="40" t="s">
        <v>2234</v>
      </c>
      <c r="I4161" s="40"/>
      <c r="J4161" s="40" t="s">
        <v>97</v>
      </c>
      <c r="K4161" s="40" t="s">
        <v>97</v>
      </c>
      <c r="L4161" s="40" t="s">
        <v>97</v>
      </c>
    </row>
    <row r="4162" spans="1:12" x14ac:dyDescent="0.25">
      <c r="A4162" s="40" t="s">
        <v>33</v>
      </c>
      <c r="B4162" s="40" t="s">
        <v>7080</v>
      </c>
      <c r="C4162" s="40" t="s">
        <v>7081</v>
      </c>
      <c r="D4162" s="40" t="s">
        <v>2248</v>
      </c>
      <c r="E4162" s="40" t="s">
        <v>2233</v>
      </c>
      <c r="F4162" s="40">
        <v>0</v>
      </c>
      <c r="G4162" s="40"/>
      <c r="H4162" s="40" t="s">
        <v>2234</v>
      </c>
      <c r="I4162" s="40"/>
      <c r="J4162" s="40" t="s">
        <v>97</v>
      </c>
      <c r="K4162" s="40" t="s">
        <v>97</v>
      </c>
      <c r="L4162" s="40" t="s">
        <v>97</v>
      </c>
    </row>
    <row r="4163" spans="1:12" x14ac:dyDescent="0.25">
      <c r="A4163" s="40" t="s">
        <v>33</v>
      </c>
      <c r="B4163" s="40" t="s">
        <v>7082</v>
      </c>
      <c r="C4163" s="40" t="s">
        <v>7083</v>
      </c>
      <c r="D4163" s="40" t="s">
        <v>2281</v>
      </c>
      <c r="E4163" s="40" t="s">
        <v>2233</v>
      </c>
      <c r="F4163" s="40">
        <v>0</v>
      </c>
      <c r="G4163" s="40"/>
      <c r="H4163" s="40" t="s">
        <v>2234</v>
      </c>
      <c r="I4163" s="40"/>
      <c r="J4163" s="40" t="s">
        <v>97</v>
      </c>
      <c r="K4163" s="40" t="s">
        <v>97</v>
      </c>
      <c r="L4163" s="40" t="s">
        <v>97</v>
      </c>
    </row>
    <row r="4164" spans="1:12" x14ac:dyDescent="0.25">
      <c r="A4164" s="40" t="s">
        <v>33</v>
      </c>
      <c r="B4164" s="40" t="s">
        <v>7084</v>
      </c>
      <c r="C4164" s="40" t="s">
        <v>7085</v>
      </c>
      <c r="D4164" s="40" t="s">
        <v>2233</v>
      </c>
      <c r="E4164" s="40" t="s">
        <v>2233</v>
      </c>
      <c r="F4164" s="40">
        <v>1</v>
      </c>
      <c r="G4164" s="40"/>
      <c r="H4164" s="40" t="s">
        <v>2234</v>
      </c>
      <c r="I4164" s="40"/>
      <c r="J4164" s="40" t="s">
        <v>97</v>
      </c>
      <c r="K4164" s="40" t="s">
        <v>97</v>
      </c>
      <c r="L4164" s="40" t="s">
        <v>97</v>
      </c>
    </row>
    <row r="4165" spans="1:12" x14ac:dyDescent="0.25">
      <c r="A4165" s="40" t="s">
        <v>33</v>
      </c>
      <c r="B4165" s="40" t="s">
        <v>7086</v>
      </c>
      <c r="C4165" s="40" t="s">
        <v>7087</v>
      </c>
      <c r="D4165" s="40" t="s">
        <v>2499</v>
      </c>
      <c r="E4165" s="40" t="s">
        <v>2233</v>
      </c>
      <c r="F4165" s="40">
        <v>0</v>
      </c>
      <c r="G4165" s="40"/>
      <c r="H4165" s="40" t="s">
        <v>2234</v>
      </c>
      <c r="I4165" s="40"/>
      <c r="J4165" s="40" t="s">
        <v>97</v>
      </c>
      <c r="K4165" s="40" t="s">
        <v>97</v>
      </c>
      <c r="L4165" s="40" t="s">
        <v>97</v>
      </c>
    </row>
    <row r="4166" spans="1:12" x14ac:dyDescent="0.25">
      <c r="A4166" s="40" t="s">
        <v>33</v>
      </c>
      <c r="B4166" s="40" t="s">
        <v>7088</v>
      </c>
      <c r="C4166" s="40" t="s">
        <v>7089</v>
      </c>
      <c r="D4166" s="40" t="s">
        <v>2248</v>
      </c>
      <c r="E4166" s="40" t="s">
        <v>2233</v>
      </c>
      <c r="F4166" s="40">
        <v>0</v>
      </c>
      <c r="G4166" s="40"/>
      <c r="H4166" s="40" t="s">
        <v>2234</v>
      </c>
      <c r="I4166" s="40"/>
      <c r="J4166" s="40" t="s">
        <v>97</v>
      </c>
      <c r="K4166" s="40" t="s">
        <v>97</v>
      </c>
      <c r="L4166" s="40" t="s">
        <v>97</v>
      </c>
    </row>
    <row r="4167" spans="1:12" x14ac:dyDescent="0.25">
      <c r="A4167" s="40" t="s">
        <v>33</v>
      </c>
      <c r="B4167" s="40" t="s">
        <v>7090</v>
      </c>
      <c r="C4167" s="40" t="s">
        <v>7091</v>
      </c>
      <c r="D4167" s="40" t="s">
        <v>2281</v>
      </c>
      <c r="E4167" s="40" t="s">
        <v>2233</v>
      </c>
      <c r="F4167" s="40">
        <v>0</v>
      </c>
      <c r="G4167" s="40"/>
      <c r="H4167" s="40" t="s">
        <v>2234</v>
      </c>
      <c r="I4167" s="40"/>
      <c r="J4167" s="40" t="s">
        <v>97</v>
      </c>
      <c r="K4167" s="40" t="s">
        <v>97</v>
      </c>
      <c r="L4167" s="40" t="s">
        <v>97</v>
      </c>
    </row>
    <row r="4168" spans="1:12" x14ac:dyDescent="0.25">
      <c r="A4168" s="40" t="s">
        <v>33</v>
      </c>
      <c r="B4168" s="40" t="s">
        <v>7092</v>
      </c>
      <c r="C4168" s="40" t="s">
        <v>7093</v>
      </c>
      <c r="D4168" s="40" t="s">
        <v>2233</v>
      </c>
      <c r="E4168" s="40" t="s">
        <v>2233</v>
      </c>
      <c r="F4168" s="40">
        <v>1</v>
      </c>
      <c r="G4168" s="40"/>
      <c r="H4168" s="40" t="s">
        <v>2234</v>
      </c>
      <c r="I4168" s="40"/>
      <c r="J4168" s="40" t="s">
        <v>97</v>
      </c>
      <c r="K4168" s="40" t="s">
        <v>97</v>
      </c>
      <c r="L4168" s="40" t="s">
        <v>97</v>
      </c>
    </row>
    <row r="4169" spans="1:12" x14ac:dyDescent="0.25">
      <c r="A4169" s="40" t="s">
        <v>33</v>
      </c>
      <c r="B4169" s="40" t="s">
        <v>1660</v>
      </c>
      <c r="C4169" s="40" t="s">
        <v>7094</v>
      </c>
      <c r="D4169" s="40" t="s">
        <v>2499</v>
      </c>
      <c r="E4169" s="40" t="s">
        <v>2233</v>
      </c>
      <c r="F4169" s="40">
        <v>0</v>
      </c>
      <c r="G4169" s="40"/>
      <c r="H4169" s="40" t="s">
        <v>2234</v>
      </c>
      <c r="I4169" s="40"/>
      <c r="J4169" s="40" t="s">
        <v>97</v>
      </c>
      <c r="K4169" s="40" t="s">
        <v>97</v>
      </c>
      <c r="L4169" s="40" t="s">
        <v>97</v>
      </c>
    </row>
    <row r="4170" spans="1:12" x14ac:dyDescent="0.25">
      <c r="A4170" s="40" t="s">
        <v>33</v>
      </c>
      <c r="B4170" s="40" t="s">
        <v>1662</v>
      </c>
      <c r="C4170" s="40" t="s">
        <v>7095</v>
      </c>
      <c r="D4170" s="40" t="s">
        <v>2248</v>
      </c>
      <c r="E4170" s="40" t="s">
        <v>2233</v>
      </c>
      <c r="F4170" s="40">
        <v>0</v>
      </c>
      <c r="G4170" s="40"/>
      <c r="H4170" s="40" t="s">
        <v>2234</v>
      </c>
      <c r="I4170" s="40"/>
      <c r="J4170" s="40" t="s">
        <v>97</v>
      </c>
      <c r="K4170" s="40" t="s">
        <v>97</v>
      </c>
      <c r="L4170" s="40" t="s">
        <v>97</v>
      </c>
    </row>
    <row r="4171" spans="1:12" x14ac:dyDescent="0.25">
      <c r="A4171" s="40" t="s">
        <v>33</v>
      </c>
      <c r="B4171" s="40" t="s">
        <v>1664</v>
      </c>
      <c r="C4171" s="40" t="s">
        <v>7096</v>
      </c>
      <c r="D4171" s="40" t="s">
        <v>2281</v>
      </c>
      <c r="E4171" s="40" t="s">
        <v>2233</v>
      </c>
      <c r="F4171" s="40">
        <v>0</v>
      </c>
      <c r="G4171" s="40"/>
      <c r="H4171" s="40" t="s">
        <v>2234</v>
      </c>
      <c r="I4171" s="40"/>
      <c r="J4171" s="40" t="s">
        <v>97</v>
      </c>
      <c r="K4171" s="40" t="s">
        <v>97</v>
      </c>
      <c r="L4171" s="40" t="s">
        <v>97</v>
      </c>
    </row>
    <row r="4172" spans="1:12" x14ac:dyDescent="0.25">
      <c r="A4172" s="40" t="s">
        <v>33</v>
      </c>
      <c r="B4172" s="40" t="s">
        <v>1666</v>
      </c>
      <c r="C4172" s="40" t="s">
        <v>7097</v>
      </c>
      <c r="D4172" s="40" t="s">
        <v>2233</v>
      </c>
      <c r="E4172" s="40" t="s">
        <v>2233</v>
      </c>
      <c r="F4172" s="40">
        <v>1</v>
      </c>
      <c r="G4172" s="40"/>
      <c r="H4172" s="40" t="s">
        <v>2234</v>
      </c>
      <c r="I4172" s="40"/>
      <c r="J4172" s="40" t="s">
        <v>97</v>
      </c>
      <c r="K4172" s="40" t="s">
        <v>97</v>
      </c>
      <c r="L4172" s="40" t="s">
        <v>97</v>
      </c>
    </row>
    <row r="4173" spans="1:12" x14ac:dyDescent="0.25">
      <c r="A4173" s="40" t="s">
        <v>33</v>
      </c>
      <c r="B4173" s="40" t="s">
        <v>1668</v>
      </c>
      <c r="C4173" s="40" t="s">
        <v>7098</v>
      </c>
      <c r="D4173" s="40" t="s">
        <v>2499</v>
      </c>
      <c r="E4173" s="40" t="s">
        <v>2233</v>
      </c>
      <c r="F4173" s="40">
        <v>0</v>
      </c>
      <c r="G4173" s="40"/>
      <c r="H4173" s="40" t="s">
        <v>2234</v>
      </c>
      <c r="I4173" s="40"/>
      <c r="J4173" s="40" t="s">
        <v>97</v>
      </c>
      <c r="K4173" s="40" t="s">
        <v>97</v>
      </c>
      <c r="L4173" s="40" t="s">
        <v>97</v>
      </c>
    </row>
    <row r="4174" spans="1:12" x14ac:dyDescent="0.25">
      <c r="A4174" s="40" t="s">
        <v>33</v>
      </c>
      <c r="B4174" s="40" t="s">
        <v>1670</v>
      </c>
      <c r="C4174" s="40" t="s">
        <v>7099</v>
      </c>
      <c r="D4174" s="40" t="s">
        <v>2248</v>
      </c>
      <c r="E4174" s="40" t="s">
        <v>2233</v>
      </c>
      <c r="F4174" s="40">
        <v>0</v>
      </c>
      <c r="G4174" s="40"/>
      <c r="H4174" s="40" t="s">
        <v>2234</v>
      </c>
      <c r="I4174" s="40"/>
      <c r="J4174" s="40" t="s">
        <v>97</v>
      </c>
      <c r="K4174" s="40" t="s">
        <v>97</v>
      </c>
      <c r="L4174" s="40" t="s">
        <v>97</v>
      </c>
    </row>
    <row r="4175" spans="1:12" x14ac:dyDescent="0.25">
      <c r="A4175" s="40" t="s">
        <v>33</v>
      </c>
      <c r="B4175" s="40" t="s">
        <v>1672</v>
      </c>
      <c r="C4175" s="40" t="s">
        <v>7100</v>
      </c>
      <c r="D4175" s="40" t="s">
        <v>2281</v>
      </c>
      <c r="E4175" s="40" t="s">
        <v>2233</v>
      </c>
      <c r="F4175" s="40">
        <v>0</v>
      </c>
      <c r="G4175" s="40"/>
      <c r="H4175" s="40" t="s">
        <v>2234</v>
      </c>
      <c r="I4175" s="40"/>
      <c r="J4175" s="40" t="s">
        <v>97</v>
      </c>
      <c r="K4175" s="40" t="s">
        <v>97</v>
      </c>
      <c r="L4175" s="40" t="s">
        <v>97</v>
      </c>
    </row>
    <row r="4176" spans="1:12" x14ac:dyDescent="0.25">
      <c r="A4176" s="40" t="s">
        <v>33</v>
      </c>
      <c r="B4176" s="40" t="s">
        <v>1674</v>
      </c>
      <c r="C4176" s="40" t="s">
        <v>7101</v>
      </c>
      <c r="D4176" s="40" t="s">
        <v>2233</v>
      </c>
      <c r="E4176" s="40" t="s">
        <v>2233</v>
      </c>
      <c r="F4176" s="40">
        <v>1</v>
      </c>
      <c r="G4176" s="40"/>
      <c r="H4176" s="40" t="s">
        <v>2234</v>
      </c>
      <c r="I4176" s="40"/>
      <c r="J4176" s="40" t="s">
        <v>97</v>
      </c>
      <c r="K4176" s="40" t="s">
        <v>97</v>
      </c>
      <c r="L4176" s="40" t="s">
        <v>97</v>
      </c>
    </row>
    <row r="4177" spans="1:12" x14ac:dyDescent="0.25">
      <c r="A4177" s="40" t="s">
        <v>33</v>
      </c>
      <c r="B4177" s="40" t="s">
        <v>1676</v>
      </c>
      <c r="C4177" s="40" t="s">
        <v>7102</v>
      </c>
      <c r="D4177" s="40" t="s">
        <v>2233</v>
      </c>
      <c r="E4177" s="40" t="s">
        <v>2233</v>
      </c>
      <c r="F4177" s="40">
        <v>1</v>
      </c>
      <c r="G4177" s="40"/>
      <c r="H4177" s="40" t="s">
        <v>2234</v>
      </c>
      <c r="I4177" s="40"/>
      <c r="J4177" s="40" t="s">
        <v>97</v>
      </c>
      <c r="K4177" s="40" t="s">
        <v>97</v>
      </c>
      <c r="L4177" s="40" t="s">
        <v>97</v>
      </c>
    </row>
    <row r="4178" spans="1:12" x14ac:dyDescent="0.25">
      <c r="A4178" s="40" t="s">
        <v>33</v>
      </c>
      <c r="B4178" s="40" t="s">
        <v>2263</v>
      </c>
      <c r="C4178" s="40" t="s">
        <v>7103</v>
      </c>
      <c r="D4178" s="40" t="s">
        <v>2281</v>
      </c>
      <c r="E4178" s="40" t="s">
        <v>2281</v>
      </c>
      <c r="F4178" s="40">
        <v>1</v>
      </c>
      <c r="G4178" s="40"/>
      <c r="H4178" s="40" t="s">
        <v>2234</v>
      </c>
      <c r="I4178" s="40"/>
      <c r="J4178" s="40">
        <v>2</v>
      </c>
      <c r="K4178" s="40" t="s">
        <v>97</v>
      </c>
      <c r="L4178" s="40" t="s">
        <v>97</v>
      </c>
    </row>
    <row r="4179" spans="1:12" x14ac:dyDescent="0.25">
      <c r="A4179" s="40" t="s">
        <v>33</v>
      </c>
      <c r="B4179" s="40" t="s">
        <v>3306</v>
      </c>
      <c r="C4179" s="40" t="s">
        <v>7104</v>
      </c>
      <c r="D4179" s="40" t="s">
        <v>2233</v>
      </c>
      <c r="E4179" s="40" t="s">
        <v>2233</v>
      </c>
      <c r="F4179" s="40">
        <v>1</v>
      </c>
      <c r="G4179" s="40"/>
      <c r="H4179" s="40" t="s">
        <v>2234</v>
      </c>
      <c r="I4179" s="40"/>
      <c r="J4179" s="40" t="s">
        <v>97</v>
      </c>
      <c r="K4179" s="40" t="s">
        <v>97</v>
      </c>
      <c r="L4179" s="40" t="s">
        <v>97</v>
      </c>
    </row>
    <row r="4180" spans="1:12" x14ac:dyDescent="0.25">
      <c r="A4180" s="40" t="s">
        <v>33</v>
      </c>
      <c r="B4180" s="40" t="s">
        <v>6205</v>
      </c>
      <c r="C4180" s="40" t="s">
        <v>7105</v>
      </c>
      <c r="D4180" s="40" t="s">
        <v>2233</v>
      </c>
      <c r="E4180" s="40" t="s">
        <v>2233</v>
      </c>
      <c r="F4180" s="40">
        <v>1</v>
      </c>
      <c r="G4180" s="40"/>
      <c r="H4180" s="40" t="s">
        <v>2234</v>
      </c>
      <c r="I4180" s="40"/>
      <c r="J4180" s="40" t="s">
        <v>97</v>
      </c>
      <c r="K4180" s="40" t="s">
        <v>97</v>
      </c>
      <c r="L4180" s="40" t="s">
        <v>97</v>
      </c>
    </row>
    <row r="4181" spans="1:12" x14ac:dyDescent="0.25">
      <c r="A4181" s="40" t="s">
        <v>33</v>
      </c>
      <c r="B4181" s="40" t="s">
        <v>3308</v>
      </c>
      <c r="C4181" s="40" t="s">
        <v>7106</v>
      </c>
      <c r="D4181" s="40" t="s">
        <v>2233</v>
      </c>
      <c r="E4181" s="40" t="s">
        <v>2233</v>
      </c>
      <c r="F4181" s="40">
        <v>1</v>
      </c>
      <c r="G4181" s="40"/>
      <c r="H4181" s="40" t="s">
        <v>2234</v>
      </c>
      <c r="I4181" s="40"/>
      <c r="J4181" s="40" t="s">
        <v>97</v>
      </c>
      <c r="K4181" s="40" t="s">
        <v>97</v>
      </c>
      <c r="L4181" s="40" t="s">
        <v>97</v>
      </c>
    </row>
    <row r="4182" spans="1:12" x14ac:dyDescent="0.25">
      <c r="A4182" s="40" t="s">
        <v>33</v>
      </c>
      <c r="B4182" s="40" t="s">
        <v>3310</v>
      </c>
      <c r="C4182" s="40" t="s">
        <v>7107</v>
      </c>
      <c r="D4182" s="40" t="s">
        <v>2233</v>
      </c>
      <c r="E4182" s="40" t="s">
        <v>2233</v>
      </c>
      <c r="F4182" s="40">
        <v>1</v>
      </c>
      <c r="G4182" s="40"/>
      <c r="H4182" s="40" t="s">
        <v>2234</v>
      </c>
      <c r="I4182" s="40"/>
      <c r="J4182" s="40" t="s">
        <v>97</v>
      </c>
      <c r="K4182" s="40" t="s">
        <v>97</v>
      </c>
      <c r="L4182" s="40" t="s">
        <v>97</v>
      </c>
    </row>
    <row r="4183" spans="1:12" x14ac:dyDescent="0.25">
      <c r="A4183" s="40" t="s">
        <v>33</v>
      </c>
      <c r="B4183" s="40" t="s">
        <v>3312</v>
      </c>
      <c r="C4183" s="40" t="s">
        <v>7108</v>
      </c>
      <c r="D4183" s="40" t="s">
        <v>2233</v>
      </c>
      <c r="E4183" s="40" t="s">
        <v>2233</v>
      </c>
      <c r="F4183" s="40">
        <v>1</v>
      </c>
      <c r="G4183" s="40"/>
      <c r="H4183" s="40" t="s">
        <v>2234</v>
      </c>
      <c r="I4183" s="40"/>
      <c r="J4183" s="40" t="s">
        <v>97</v>
      </c>
      <c r="K4183" s="40" t="s">
        <v>97</v>
      </c>
      <c r="L4183" s="40" t="s">
        <v>97</v>
      </c>
    </row>
    <row r="4184" spans="1:12" x14ac:dyDescent="0.25">
      <c r="A4184" s="40" t="s">
        <v>33</v>
      </c>
      <c r="B4184" s="40" t="s">
        <v>6218</v>
      </c>
      <c r="C4184" s="40" t="s">
        <v>7109</v>
      </c>
      <c r="D4184" s="40" t="s">
        <v>2233</v>
      </c>
      <c r="E4184" s="40" t="s">
        <v>2233</v>
      </c>
      <c r="F4184" s="40">
        <v>1</v>
      </c>
      <c r="G4184" s="40"/>
      <c r="H4184" s="40" t="s">
        <v>2234</v>
      </c>
      <c r="I4184" s="40"/>
      <c r="J4184" s="40" t="s">
        <v>97</v>
      </c>
      <c r="K4184" s="40" t="s">
        <v>97</v>
      </c>
      <c r="L4184" s="40" t="s">
        <v>97</v>
      </c>
    </row>
    <row r="4185" spans="1:12" x14ac:dyDescent="0.25">
      <c r="A4185" s="40" t="s">
        <v>33</v>
      </c>
      <c r="B4185" s="40" t="s">
        <v>3314</v>
      </c>
      <c r="C4185" s="40" t="s">
        <v>7110</v>
      </c>
      <c r="D4185" s="40" t="s">
        <v>2233</v>
      </c>
      <c r="E4185" s="40" t="s">
        <v>2233</v>
      </c>
      <c r="F4185" s="40">
        <v>1</v>
      </c>
      <c r="G4185" s="40"/>
      <c r="H4185" s="40" t="s">
        <v>2234</v>
      </c>
      <c r="I4185" s="40"/>
      <c r="J4185" s="40" t="s">
        <v>97</v>
      </c>
      <c r="K4185" s="40" t="s">
        <v>97</v>
      </c>
      <c r="L4185" s="40" t="s">
        <v>97</v>
      </c>
    </row>
    <row r="4186" spans="1:12" x14ac:dyDescent="0.25">
      <c r="A4186" s="40" t="s">
        <v>33</v>
      </c>
      <c r="B4186" s="40" t="s">
        <v>6221</v>
      </c>
      <c r="C4186" s="40" t="s">
        <v>7111</v>
      </c>
      <c r="D4186" s="40" t="s">
        <v>2233</v>
      </c>
      <c r="E4186" s="40" t="s">
        <v>2233</v>
      </c>
      <c r="F4186" s="40">
        <v>1</v>
      </c>
      <c r="G4186" s="40"/>
      <c r="H4186" s="40" t="s">
        <v>97</v>
      </c>
      <c r="I4186" s="40"/>
      <c r="J4186" s="40" t="s">
        <v>97</v>
      </c>
      <c r="K4186" s="40" t="s">
        <v>97</v>
      </c>
      <c r="L4186" s="40" t="s">
        <v>97</v>
      </c>
    </row>
    <row r="4187" spans="1:12" x14ac:dyDescent="0.25">
      <c r="A4187" s="40" t="s">
        <v>33</v>
      </c>
      <c r="B4187" s="40" t="s">
        <v>3316</v>
      </c>
      <c r="C4187" s="40" t="s">
        <v>7112</v>
      </c>
      <c r="D4187" s="40" t="s">
        <v>2233</v>
      </c>
      <c r="E4187" s="40" t="s">
        <v>2233</v>
      </c>
      <c r="F4187" s="40">
        <v>1</v>
      </c>
      <c r="G4187" s="40"/>
      <c r="H4187" s="40" t="s">
        <v>2234</v>
      </c>
      <c r="I4187" s="40"/>
      <c r="J4187" s="40" t="s">
        <v>97</v>
      </c>
      <c r="K4187" s="40" t="s">
        <v>97</v>
      </c>
      <c r="L4187" s="40" t="s">
        <v>97</v>
      </c>
    </row>
    <row r="4188" spans="1:12" x14ac:dyDescent="0.25">
      <c r="A4188" s="40" t="s">
        <v>34</v>
      </c>
      <c r="B4188" s="40" t="s">
        <v>2233</v>
      </c>
      <c r="C4188" s="40" t="s">
        <v>7113</v>
      </c>
      <c r="D4188" s="40" t="s">
        <v>7114</v>
      </c>
      <c r="E4188" s="40" t="s">
        <v>2233</v>
      </c>
      <c r="F4188" s="40">
        <v>0</v>
      </c>
      <c r="G4188" s="40"/>
      <c r="H4188" s="40" t="s">
        <v>2234</v>
      </c>
      <c r="I4188" s="40"/>
      <c r="J4188" s="40" t="s">
        <v>97</v>
      </c>
      <c r="K4188" s="40" t="s">
        <v>97</v>
      </c>
      <c r="L4188" s="40" t="s">
        <v>97</v>
      </c>
    </row>
    <row r="4189" spans="1:12" x14ac:dyDescent="0.25">
      <c r="A4189" s="40" t="s">
        <v>34</v>
      </c>
      <c r="B4189" s="40" t="s">
        <v>2298</v>
      </c>
      <c r="C4189" s="40" t="s">
        <v>7115</v>
      </c>
      <c r="D4189" s="40" t="s">
        <v>2499</v>
      </c>
      <c r="E4189" s="40" t="s">
        <v>2233</v>
      </c>
      <c r="F4189" s="40">
        <v>0</v>
      </c>
      <c r="G4189" s="40"/>
      <c r="H4189" s="40" t="s">
        <v>2234</v>
      </c>
      <c r="I4189" s="40"/>
      <c r="J4189" s="40" t="s">
        <v>97</v>
      </c>
      <c r="K4189" s="40" t="s">
        <v>97</v>
      </c>
      <c r="L4189" s="40" t="s">
        <v>97</v>
      </c>
    </row>
    <row r="4190" spans="1:12" x14ac:dyDescent="0.25">
      <c r="A4190" s="40" t="s">
        <v>34</v>
      </c>
      <c r="B4190" s="40" t="s">
        <v>2300</v>
      </c>
      <c r="C4190" s="40" t="s">
        <v>7116</v>
      </c>
      <c r="D4190" s="40" t="s">
        <v>3096</v>
      </c>
      <c r="E4190" s="40" t="s">
        <v>3096</v>
      </c>
      <c r="F4190" s="40">
        <v>1</v>
      </c>
      <c r="G4190" s="40"/>
      <c r="H4190" s="40" t="s">
        <v>2234</v>
      </c>
      <c r="I4190" s="40"/>
      <c r="J4190" s="40" t="s">
        <v>97</v>
      </c>
      <c r="K4190" s="40" t="s">
        <v>97</v>
      </c>
      <c r="L4190" s="40" t="s">
        <v>97</v>
      </c>
    </row>
    <row r="4191" spans="1:12" x14ac:dyDescent="0.25">
      <c r="A4191" s="40" t="s">
        <v>34</v>
      </c>
      <c r="B4191" s="40" t="s">
        <v>479</v>
      </c>
      <c r="C4191" s="40" t="s">
        <v>7117</v>
      </c>
      <c r="D4191" s="40" t="s">
        <v>7114</v>
      </c>
      <c r="E4191" s="40" t="s">
        <v>2233</v>
      </c>
      <c r="F4191" s="40">
        <v>0</v>
      </c>
      <c r="G4191" s="40"/>
      <c r="H4191" s="40" t="s">
        <v>2234</v>
      </c>
      <c r="I4191" s="40"/>
      <c r="J4191" s="40" t="s">
        <v>97</v>
      </c>
      <c r="K4191" s="40" t="s">
        <v>97</v>
      </c>
      <c r="L4191" s="40" t="s">
        <v>97</v>
      </c>
    </row>
    <row r="4192" spans="1:12" x14ac:dyDescent="0.25">
      <c r="A4192" s="40" t="s">
        <v>34</v>
      </c>
      <c r="B4192" s="40" t="s">
        <v>483</v>
      </c>
      <c r="C4192" s="40" t="s">
        <v>7118</v>
      </c>
      <c r="D4192" s="40" t="s">
        <v>2233</v>
      </c>
      <c r="E4192" s="40" t="s">
        <v>2233</v>
      </c>
      <c r="F4192" s="40">
        <v>1</v>
      </c>
      <c r="G4192" s="40"/>
      <c r="H4192" s="40" t="s">
        <v>2234</v>
      </c>
      <c r="I4192" s="40"/>
      <c r="J4192" s="40" t="s">
        <v>97</v>
      </c>
      <c r="K4192" s="40" t="s">
        <v>97</v>
      </c>
      <c r="L4192" s="40" t="s">
        <v>97</v>
      </c>
    </row>
    <row r="4193" spans="1:12" x14ac:dyDescent="0.25">
      <c r="A4193" s="40" t="s">
        <v>34</v>
      </c>
      <c r="B4193" s="40" t="s">
        <v>487</v>
      </c>
      <c r="C4193" s="40" t="s">
        <v>7119</v>
      </c>
      <c r="D4193" s="40" t="s">
        <v>3096</v>
      </c>
      <c r="E4193" s="40" t="s">
        <v>3096</v>
      </c>
      <c r="F4193" s="40">
        <v>1</v>
      </c>
      <c r="G4193" s="40"/>
      <c r="H4193" s="40" t="s">
        <v>2234</v>
      </c>
      <c r="I4193" s="40"/>
      <c r="J4193" s="40" t="s">
        <v>97</v>
      </c>
      <c r="K4193" s="40" t="s">
        <v>97</v>
      </c>
      <c r="L4193" s="40" t="s">
        <v>97</v>
      </c>
    </row>
    <row r="4194" spans="1:12" x14ac:dyDescent="0.25">
      <c r="A4194" s="40" t="s">
        <v>34</v>
      </c>
      <c r="B4194" s="40" t="s">
        <v>491</v>
      </c>
      <c r="C4194" s="40" t="s">
        <v>7120</v>
      </c>
      <c r="D4194" s="40" t="s">
        <v>2233</v>
      </c>
      <c r="E4194" s="40" t="s">
        <v>2233</v>
      </c>
      <c r="F4194" s="40">
        <v>1</v>
      </c>
      <c r="G4194" s="40"/>
      <c r="H4194" s="40" t="s">
        <v>2234</v>
      </c>
      <c r="I4194" s="40"/>
      <c r="J4194" s="40" t="s">
        <v>97</v>
      </c>
      <c r="K4194" s="40" t="s">
        <v>97</v>
      </c>
      <c r="L4194" s="40" t="s">
        <v>97</v>
      </c>
    </row>
    <row r="4195" spans="1:12" x14ac:dyDescent="0.25">
      <c r="A4195" s="40" t="s">
        <v>34</v>
      </c>
      <c r="B4195" s="40" t="s">
        <v>494</v>
      </c>
      <c r="C4195" s="40" t="s">
        <v>7121</v>
      </c>
      <c r="D4195" s="40" t="s">
        <v>1598</v>
      </c>
      <c r="E4195" s="40" t="s">
        <v>7122</v>
      </c>
      <c r="F4195" s="40">
        <v>0</v>
      </c>
      <c r="G4195" s="40"/>
      <c r="H4195" s="40" t="s">
        <v>2234</v>
      </c>
      <c r="I4195" s="40"/>
      <c r="J4195" s="40" t="s">
        <v>97</v>
      </c>
      <c r="K4195" s="40" t="s">
        <v>97</v>
      </c>
      <c r="L4195" s="40" t="s">
        <v>97</v>
      </c>
    </row>
    <row r="4196" spans="1:12" x14ac:dyDescent="0.25">
      <c r="A4196" s="40" t="s">
        <v>34</v>
      </c>
      <c r="B4196" s="40" t="s">
        <v>496</v>
      </c>
      <c r="C4196" s="40" t="s">
        <v>7123</v>
      </c>
      <c r="D4196" s="40" t="s">
        <v>7124</v>
      </c>
      <c r="E4196" s="40" t="s">
        <v>7124</v>
      </c>
      <c r="F4196" s="40">
        <v>1</v>
      </c>
      <c r="G4196" s="40"/>
      <c r="H4196" s="40" t="s">
        <v>2234</v>
      </c>
      <c r="I4196" s="40"/>
      <c r="J4196" s="40">
        <v>1</v>
      </c>
      <c r="K4196" s="40">
        <v>1</v>
      </c>
      <c r="L4196" s="40" t="s">
        <v>97</v>
      </c>
    </row>
    <row r="4197" spans="1:12" x14ac:dyDescent="0.25">
      <c r="A4197" s="40" t="s">
        <v>34</v>
      </c>
      <c r="B4197" s="40" t="s">
        <v>1297</v>
      </c>
      <c r="C4197" s="40" t="s">
        <v>7125</v>
      </c>
      <c r="D4197" s="40" t="s">
        <v>2281</v>
      </c>
      <c r="E4197" s="40" t="s">
        <v>3096</v>
      </c>
      <c r="F4197" s="40">
        <v>0</v>
      </c>
      <c r="G4197" s="40"/>
      <c r="H4197" s="40" t="s">
        <v>2234</v>
      </c>
      <c r="I4197" s="40"/>
      <c r="J4197" s="40" t="s">
        <v>97</v>
      </c>
      <c r="K4197" s="40" t="s">
        <v>97</v>
      </c>
      <c r="L4197" s="40" t="s">
        <v>97</v>
      </c>
    </row>
    <row r="4198" spans="1:12" x14ac:dyDescent="0.25">
      <c r="A4198" s="40" t="s">
        <v>34</v>
      </c>
      <c r="B4198" s="40" t="s">
        <v>1300</v>
      </c>
      <c r="C4198" s="40" t="s">
        <v>7126</v>
      </c>
      <c r="D4198" s="40" t="s">
        <v>2281</v>
      </c>
      <c r="E4198" s="40" t="s">
        <v>3096</v>
      </c>
      <c r="F4198" s="40">
        <v>0</v>
      </c>
      <c r="G4198" s="40"/>
      <c r="H4198" s="40" t="s">
        <v>2234</v>
      </c>
      <c r="I4198" s="40"/>
      <c r="J4198" s="40" t="s">
        <v>97</v>
      </c>
      <c r="K4198" s="40" t="s">
        <v>97</v>
      </c>
      <c r="L4198" s="40" t="s">
        <v>97</v>
      </c>
    </row>
    <row r="4199" spans="1:12" x14ac:dyDescent="0.25">
      <c r="A4199" s="40" t="s">
        <v>34</v>
      </c>
      <c r="B4199" s="40" t="s">
        <v>1302</v>
      </c>
      <c r="C4199" s="40" t="s">
        <v>7127</v>
      </c>
      <c r="D4199" s="40" t="s">
        <v>2281</v>
      </c>
      <c r="E4199" s="40" t="s">
        <v>3096</v>
      </c>
      <c r="F4199" s="40">
        <v>0</v>
      </c>
      <c r="G4199" s="40"/>
      <c r="H4199" s="40" t="s">
        <v>2234</v>
      </c>
      <c r="I4199" s="40"/>
      <c r="J4199" s="40" t="s">
        <v>97</v>
      </c>
      <c r="K4199" s="40" t="s">
        <v>97</v>
      </c>
      <c r="L4199" s="40" t="s">
        <v>97</v>
      </c>
    </row>
    <row r="4200" spans="1:12" x14ac:dyDescent="0.25">
      <c r="A4200" s="40" t="s">
        <v>34</v>
      </c>
      <c r="B4200" s="40" t="s">
        <v>1304</v>
      </c>
      <c r="C4200" s="40" t="s">
        <v>7128</v>
      </c>
      <c r="D4200" s="40" t="s">
        <v>2281</v>
      </c>
      <c r="E4200" s="40" t="s">
        <v>3096</v>
      </c>
      <c r="F4200" s="40">
        <v>0</v>
      </c>
      <c r="G4200" s="40"/>
      <c r="H4200" s="40" t="s">
        <v>2234</v>
      </c>
      <c r="I4200" s="40"/>
      <c r="J4200" s="40" t="s">
        <v>97</v>
      </c>
      <c r="K4200" s="40" t="s">
        <v>97</v>
      </c>
      <c r="L4200" s="40" t="s">
        <v>97</v>
      </c>
    </row>
    <row r="4201" spans="1:12" x14ac:dyDescent="0.25">
      <c r="A4201" s="40" t="s">
        <v>34</v>
      </c>
      <c r="B4201" s="40" t="s">
        <v>1307</v>
      </c>
      <c r="C4201" s="40" t="s">
        <v>7129</v>
      </c>
      <c r="D4201" s="40" t="s">
        <v>2281</v>
      </c>
      <c r="E4201" s="40" t="s">
        <v>3096</v>
      </c>
      <c r="F4201" s="40">
        <v>0</v>
      </c>
      <c r="G4201" s="40"/>
      <c r="H4201" s="40" t="s">
        <v>2234</v>
      </c>
      <c r="I4201" s="40"/>
      <c r="J4201" s="40" t="s">
        <v>97</v>
      </c>
      <c r="K4201" s="40" t="s">
        <v>97</v>
      </c>
      <c r="L4201" s="40" t="s">
        <v>97</v>
      </c>
    </row>
    <row r="4202" spans="1:12" x14ac:dyDescent="0.25">
      <c r="A4202" s="40" t="s">
        <v>34</v>
      </c>
      <c r="B4202" s="40" t="s">
        <v>1309</v>
      </c>
      <c r="C4202" s="40" t="s">
        <v>7130</v>
      </c>
      <c r="D4202" s="40" t="s">
        <v>2281</v>
      </c>
      <c r="E4202" s="40" t="s">
        <v>3096</v>
      </c>
      <c r="F4202" s="40">
        <v>0</v>
      </c>
      <c r="G4202" s="40"/>
      <c r="H4202" s="40" t="s">
        <v>2234</v>
      </c>
      <c r="I4202" s="40"/>
      <c r="J4202" s="40" t="s">
        <v>97</v>
      </c>
      <c r="K4202" s="40" t="s">
        <v>97</v>
      </c>
      <c r="L4202" s="40" t="s">
        <v>97</v>
      </c>
    </row>
    <row r="4203" spans="1:12" x14ac:dyDescent="0.25">
      <c r="A4203" s="40" t="s">
        <v>34</v>
      </c>
      <c r="B4203" s="40" t="s">
        <v>2311</v>
      </c>
      <c r="C4203" s="40" t="s">
        <v>7131</v>
      </c>
      <c r="D4203" s="40" t="s">
        <v>2281</v>
      </c>
      <c r="E4203" s="40" t="s">
        <v>3096</v>
      </c>
      <c r="F4203" s="40">
        <v>0</v>
      </c>
      <c r="G4203" s="40"/>
      <c r="H4203" s="40" t="s">
        <v>2234</v>
      </c>
      <c r="I4203" s="40"/>
      <c r="J4203" s="40" t="s">
        <v>97</v>
      </c>
      <c r="K4203" s="40" t="s">
        <v>97</v>
      </c>
      <c r="L4203" s="40" t="s">
        <v>97</v>
      </c>
    </row>
    <row r="4204" spans="1:12" x14ac:dyDescent="0.25">
      <c r="A4204" s="40" t="s">
        <v>34</v>
      </c>
      <c r="B4204" s="40" t="s">
        <v>498</v>
      </c>
      <c r="C4204" s="40" t="s">
        <v>7132</v>
      </c>
      <c r="D4204" s="40" t="s">
        <v>2281</v>
      </c>
      <c r="E4204" s="40" t="s">
        <v>3096</v>
      </c>
      <c r="F4204" s="40">
        <v>0</v>
      </c>
      <c r="G4204" s="40"/>
      <c r="H4204" s="40" t="s">
        <v>2234</v>
      </c>
      <c r="I4204" s="40"/>
      <c r="J4204" s="40" t="s">
        <v>97</v>
      </c>
      <c r="K4204" s="40" t="s">
        <v>97</v>
      </c>
      <c r="L4204" s="40" t="s">
        <v>97</v>
      </c>
    </row>
    <row r="4205" spans="1:12" x14ac:dyDescent="0.25">
      <c r="A4205" s="40" t="s">
        <v>34</v>
      </c>
      <c r="B4205" s="40" t="s">
        <v>500</v>
      </c>
      <c r="C4205" s="40" t="s">
        <v>7133</v>
      </c>
      <c r="D4205" s="40" t="s">
        <v>2281</v>
      </c>
      <c r="E4205" s="40" t="s">
        <v>3096</v>
      </c>
      <c r="F4205" s="40">
        <v>0</v>
      </c>
      <c r="G4205" s="40"/>
      <c r="H4205" s="40" t="s">
        <v>2234</v>
      </c>
      <c r="I4205" s="40"/>
      <c r="J4205" s="40" t="s">
        <v>97</v>
      </c>
      <c r="K4205" s="40" t="s">
        <v>97</v>
      </c>
      <c r="L4205" s="40" t="s">
        <v>97</v>
      </c>
    </row>
    <row r="4206" spans="1:12" x14ac:dyDescent="0.25">
      <c r="A4206" s="40" t="s">
        <v>34</v>
      </c>
      <c r="B4206" s="40" t="s">
        <v>2239</v>
      </c>
      <c r="C4206" s="40" t="s">
        <v>7134</v>
      </c>
      <c r="D4206" s="40" t="s">
        <v>2281</v>
      </c>
      <c r="E4206" s="40" t="s">
        <v>3096</v>
      </c>
      <c r="F4206" s="40">
        <v>0</v>
      </c>
      <c r="G4206" s="40"/>
      <c r="H4206" s="40" t="s">
        <v>2234</v>
      </c>
      <c r="I4206" s="40"/>
      <c r="J4206" s="40" t="s">
        <v>97</v>
      </c>
      <c r="K4206" s="40" t="s">
        <v>97</v>
      </c>
      <c r="L4206" s="40" t="s">
        <v>97</v>
      </c>
    </row>
    <row r="4207" spans="1:12" x14ac:dyDescent="0.25">
      <c r="A4207" s="40" t="s">
        <v>34</v>
      </c>
      <c r="B4207" s="40" t="s">
        <v>1316</v>
      </c>
      <c r="C4207" s="40" t="s">
        <v>7135</v>
      </c>
      <c r="D4207" s="40" t="s">
        <v>2281</v>
      </c>
      <c r="E4207" s="40" t="s">
        <v>3096</v>
      </c>
      <c r="F4207" s="40">
        <v>0</v>
      </c>
      <c r="G4207" s="40"/>
      <c r="H4207" s="40" t="s">
        <v>2234</v>
      </c>
      <c r="I4207" s="40"/>
      <c r="J4207" s="40" t="s">
        <v>97</v>
      </c>
      <c r="K4207" s="40" t="s">
        <v>97</v>
      </c>
      <c r="L4207" s="40" t="s">
        <v>97</v>
      </c>
    </row>
    <row r="4208" spans="1:12" x14ac:dyDescent="0.25">
      <c r="A4208" s="40" t="s">
        <v>34</v>
      </c>
      <c r="B4208" s="40" t="s">
        <v>502</v>
      </c>
      <c r="C4208" s="40" t="s">
        <v>7136</v>
      </c>
      <c r="D4208" s="40" t="s">
        <v>2281</v>
      </c>
      <c r="E4208" s="40" t="s">
        <v>3096</v>
      </c>
      <c r="F4208" s="40">
        <v>0</v>
      </c>
      <c r="G4208" s="40"/>
      <c r="H4208" s="40" t="s">
        <v>2234</v>
      </c>
      <c r="I4208" s="40"/>
      <c r="J4208" s="40" t="s">
        <v>97</v>
      </c>
      <c r="K4208" s="40" t="s">
        <v>97</v>
      </c>
      <c r="L4208" s="40" t="s">
        <v>97</v>
      </c>
    </row>
    <row r="4209" spans="1:12" x14ac:dyDescent="0.25">
      <c r="A4209" s="40" t="s">
        <v>34</v>
      </c>
      <c r="B4209" s="40" t="s">
        <v>506</v>
      </c>
      <c r="C4209" s="40" t="s">
        <v>7137</v>
      </c>
      <c r="D4209" s="40" t="s">
        <v>2281</v>
      </c>
      <c r="E4209" s="40" t="s">
        <v>3096</v>
      </c>
      <c r="F4209" s="40">
        <v>0</v>
      </c>
      <c r="G4209" s="40"/>
      <c r="H4209" s="40" t="s">
        <v>2234</v>
      </c>
      <c r="I4209" s="40"/>
      <c r="J4209" s="40" t="s">
        <v>97</v>
      </c>
      <c r="K4209" s="40" t="s">
        <v>97</v>
      </c>
      <c r="L4209" s="40" t="s">
        <v>97</v>
      </c>
    </row>
    <row r="4210" spans="1:12" x14ac:dyDescent="0.25">
      <c r="A4210" s="40" t="s">
        <v>34</v>
      </c>
      <c r="B4210" s="40" t="s">
        <v>510</v>
      </c>
      <c r="C4210" s="40" t="s">
        <v>7138</v>
      </c>
      <c r="D4210" s="40" t="s">
        <v>2281</v>
      </c>
      <c r="E4210" s="40" t="s">
        <v>3096</v>
      </c>
      <c r="F4210" s="40">
        <v>0</v>
      </c>
      <c r="G4210" s="40"/>
      <c r="H4210" s="40" t="s">
        <v>2234</v>
      </c>
      <c r="I4210" s="40"/>
      <c r="J4210" s="40" t="s">
        <v>97</v>
      </c>
      <c r="K4210" s="40" t="s">
        <v>97</v>
      </c>
      <c r="L4210" s="40" t="s">
        <v>97</v>
      </c>
    </row>
    <row r="4211" spans="1:12" x14ac:dyDescent="0.25">
      <c r="A4211" s="40" t="s">
        <v>34</v>
      </c>
      <c r="B4211" s="40" t="s">
        <v>514</v>
      </c>
      <c r="C4211" s="40" t="s">
        <v>7139</v>
      </c>
      <c r="D4211" s="40" t="s">
        <v>2281</v>
      </c>
      <c r="E4211" s="40" t="s">
        <v>3096</v>
      </c>
      <c r="F4211" s="40">
        <v>0</v>
      </c>
      <c r="G4211" s="40"/>
      <c r="H4211" s="40" t="s">
        <v>2234</v>
      </c>
      <c r="I4211" s="40"/>
      <c r="J4211" s="40" t="s">
        <v>97</v>
      </c>
      <c r="K4211" s="40" t="s">
        <v>97</v>
      </c>
      <c r="L4211" s="40" t="s">
        <v>97</v>
      </c>
    </row>
    <row r="4212" spans="1:12" x14ac:dyDescent="0.25">
      <c r="A4212" s="40" t="s">
        <v>34</v>
      </c>
      <c r="B4212" s="40" t="s">
        <v>518</v>
      </c>
      <c r="C4212" s="40" t="s">
        <v>7140</v>
      </c>
      <c r="D4212" s="40" t="s">
        <v>2281</v>
      </c>
      <c r="E4212" s="40" t="s">
        <v>3096</v>
      </c>
      <c r="F4212" s="40">
        <v>0</v>
      </c>
      <c r="G4212" s="40"/>
      <c r="H4212" s="40" t="s">
        <v>2234</v>
      </c>
      <c r="I4212" s="40"/>
      <c r="J4212" s="40" t="s">
        <v>97</v>
      </c>
      <c r="K4212" s="40" t="s">
        <v>97</v>
      </c>
      <c r="L4212" s="40" t="s">
        <v>97</v>
      </c>
    </row>
    <row r="4213" spans="1:12" x14ac:dyDescent="0.25">
      <c r="A4213" s="40" t="s">
        <v>34</v>
      </c>
      <c r="B4213" s="40" t="s">
        <v>521</v>
      </c>
      <c r="C4213" s="40" t="s">
        <v>7141</v>
      </c>
      <c r="D4213" s="40" t="s">
        <v>2281</v>
      </c>
      <c r="E4213" s="40" t="s">
        <v>3096</v>
      </c>
      <c r="F4213" s="40">
        <v>0</v>
      </c>
      <c r="G4213" s="40"/>
      <c r="H4213" s="40" t="s">
        <v>2234</v>
      </c>
      <c r="I4213" s="40"/>
      <c r="J4213" s="40" t="s">
        <v>97</v>
      </c>
      <c r="K4213" s="40" t="s">
        <v>97</v>
      </c>
      <c r="L4213" s="40" t="s">
        <v>97</v>
      </c>
    </row>
    <row r="4214" spans="1:12" x14ac:dyDescent="0.25">
      <c r="A4214" s="40" t="s">
        <v>34</v>
      </c>
      <c r="B4214" s="40" t="s">
        <v>523</v>
      </c>
      <c r="C4214" s="40" t="s">
        <v>7142</v>
      </c>
      <c r="D4214" s="40" t="s">
        <v>2281</v>
      </c>
      <c r="E4214" s="40" t="s">
        <v>3096</v>
      </c>
      <c r="F4214" s="40">
        <v>0</v>
      </c>
      <c r="G4214" s="40"/>
      <c r="H4214" s="40" t="s">
        <v>2234</v>
      </c>
      <c r="I4214" s="40"/>
      <c r="J4214" s="40" t="s">
        <v>97</v>
      </c>
      <c r="K4214" s="40" t="s">
        <v>97</v>
      </c>
      <c r="L4214" s="40" t="s">
        <v>97</v>
      </c>
    </row>
    <row r="4215" spans="1:12" x14ac:dyDescent="0.25">
      <c r="A4215" s="40" t="s">
        <v>34</v>
      </c>
      <c r="B4215" s="40" t="s">
        <v>525</v>
      </c>
      <c r="C4215" s="40" t="s">
        <v>7143</v>
      </c>
      <c r="D4215" s="40" t="s">
        <v>2281</v>
      </c>
      <c r="E4215" s="40" t="s">
        <v>3096</v>
      </c>
      <c r="F4215" s="40">
        <v>0</v>
      </c>
      <c r="G4215" s="40"/>
      <c r="H4215" s="40" t="s">
        <v>2234</v>
      </c>
      <c r="I4215" s="40"/>
      <c r="J4215" s="40" t="s">
        <v>97</v>
      </c>
      <c r="K4215" s="40" t="s">
        <v>97</v>
      </c>
      <c r="L4215" s="40" t="s">
        <v>97</v>
      </c>
    </row>
    <row r="4216" spans="1:12" x14ac:dyDescent="0.25">
      <c r="A4216" s="40" t="s">
        <v>34</v>
      </c>
      <c r="B4216" s="40" t="s">
        <v>527</v>
      </c>
      <c r="C4216" s="40" t="s">
        <v>7144</v>
      </c>
      <c r="D4216" s="40" t="s">
        <v>2281</v>
      </c>
      <c r="E4216" s="40" t="s">
        <v>3096</v>
      </c>
      <c r="F4216" s="40">
        <v>0</v>
      </c>
      <c r="G4216" s="40"/>
      <c r="H4216" s="40" t="s">
        <v>2234</v>
      </c>
      <c r="I4216" s="40"/>
      <c r="J4216" s="40" t="s">
        <v>97</v>
      </c>
      <c r="K4216" s="40" t="s">
        <v>97</v>
      </c>
      <c r="L4216" s="40" t="s">
        <v>97</v>
      </c>
    </row>
    <row r="4217" spans="1:12" x14ac:dyDescent="0.25">
      <c r="A4217" s="40" t="s">
        <v>34</v>
      </c>
      <c r="B4217" s="40" t="s">
        <v>529</v>
      </c>
      <c r="C4217" s="40" t="s">
        <v>7145</v>
      </c>
      <c r="D4217" s="40" t="s">
        <v>2281</v>
      </c>
      <c r="E4217" s="40" t="s">
        <v>3096</v>
      </c>
      <c r="F4217" s="40">
        <v>0</v>
      </c>
      <c r="G4217" s="40"/>
      <c r="H4217" s="40" t="s">
        <v>2234</v>
      </c>
      <c r="I4217" s="40"/>
      <c r="J4217" s="40" t="s">
        <v>97</v>
      </c>
      <c r="K4217" s="40" t="s">
        <v>97</v>
      </c>
      <c r="L4217" s="40" t="s">
        <v>97</v>
      </c>
    </row>
    <row r="4218" spans="1:12" x14ac:dyDescent="0.25">
      <c r="A4218" s="40" t="s">
        <v>34</v>
      </c>
      <c r="B4218" s="40" t="s">
        <v>531</v>
      </c>
      <c r="C4218" s="40" t="s">
        <v>7146</v>
      </c>
      <c r="D4218" s="40" t="s">
        <v>2233</v>
      </c>
      <c r="E4218" s="40" t="s">
        <v>2233</v>
      </c>
      <c r="F4218" s="40">
        <v>1</v>
      </c>
      <c r="G4218" s="40"/>
      <c r="H4218" s="40" t="s">
        <v>2234</v>
      </c>
      <c r="I4218" s="40"/>
      <c r="J4218" s="40" t="s">
        <v>97</v>
      </c>
      <c r="K4218" s="40" t="s">
        <v>97</v>
      </c>
      <c r="L4218" s="40" t="s">
        <v>97</v>
      </c>
    </row>
    <row r="4219" spans="1:12" x14ac:dyDescent="0.25">
      <c r="A4219" s="40" t="s">
        <v>34</v>
      </c>
      <c r="B4219" s="40" t="s">
        <v>533</v>
      </c>
      <c r="C4219" s="40" t="s">
        <v>7147</v>
      </c>
      <c r="D4219" s="40" t="s">
        <v>1598</v>
      </c>
      <c r="E4219" s="40" t="s">
        <v>7122</v>
      </c>
      <c r="F4219" s="40">
        <v>0</v>
      </c>
      <c r="G4219" s="40"/>
      <c r="H4219" s="40" t="s">
        <v>2234</v>
      </c>
      <c r="I4219" s="40"/>
      <c r="J4219" s="40" t="s">
        <v>97</v>
      </c>
      <c r="K4219" s="40" t="s">
        <v>97</v>
      </c>
      <c r="L4219" s="40" t="s">
        <v>97</v>
      </c>
    </row>
    <row r="4220" spans="1:12" x14ac:dyDescent="0.25">
      <c r="A4220" s="40" t="s">
        <v>34</v>
      </c>
      <c r="B4220" s="40" t="s">
        <v>535</v>
      </c>
      <c r="C4220" s="40" t="s">
        <v>7148</v>
      </c>
      <c r="D4220" s="40" t="s">
        <v>7124</v>
      </c>
      <c r="E4220" s="40" t="s">
        <v>7124</v>
      </c>
      <c r="F4220" s="40">
        <v>1</v>
      </c>
      <c r="G4220" s="40"/>
      <c r="H4220" s="40" t="s">
        <v>2234</v>
      </c>
      <c r="I4220" s="40"/>
      <c r="J4220" s="40">
        <v>1</v>
      </c>
      <c r="K4220" s="40">
        <v>1</v>
      </c>
      <c r="L4220" s="40" t="s">
        <v>97</v>
      </c>
    </row>
    <row r="4221" spans="1:12" x14ac:dyDescent="0.25">
      <c r="A4221" s="40" t="s">
        <v>34</v>
      </c>
      <c r="B4221" s="40" t="s">
        <v>537</v>
      </c>
      <c r="C4221" s="40" t="s">
        <v>7149</v>
      </c>
      <c r="D4221" s="40" t="s">
        <v>2281</v>
      </c>
      <c r="E4221" s="40" t="s">
        <v>3096</v>
      </c>
      <c r="F4221" s="40">
        <v>0</v>
      </c>
      <c r="G4221" s="40"/>
      <c r="H4221" s="40" t="s">
        <v>2234</v>
      </c>
      <c r="I4221" s="40"/>
      <c r="J4221" s="40" t="s">
        <v>97</v>
      </c>
      <c r="K4221" s="40" t="s">
        <v>97</v>
      </c>
      <c r="L4221" s="40" t="s">
        <v>97</v>
      </c>
    </row>
    <row r="4222" spans="1:12" x14ac:dyDescent="0.25">
      <c r="A4222" s="40" t="s">
        <v>34</v>
      </c>
      <c r="B4222" s="40" t="s">
        <v>540</v>
      </c>
      <c r="C4222" s="40" t="s">
        <v>7150</v>
      </c>
      <c r="D4222" s="40" t="s">
        <v>2281</v>
      </c>
      <c r="E4222" s="40" t="s">
        <v>3096</v>
      </c>
      <c r="F4222" s="40">
        <v>0</v>
      </c>
      <c r="G4222" s="40"/>
      <c r="H4222" s="40" t="s">
        <v>2234</v>
      </c>
      <c r="I4222" s="40"/>
      <c r="J4222" s="40" t="s">
        <v>97</v>
      </c>
      <c r="K4222" s="40" t="s">
        <v>97</v>
      </c>
      <c r="L4222" s="40" t="s">
        <v>97</v>
      </c>
    </row>
    <row r="4223" spans="1:12" x14ac:dyDescent="0.25">
      <c r="A4223" s="40" t="s">
        <v>34</v>
      </c>
      <c r="B4223" s="40" t="s">
        <v>542</v>
      </c>
      <c r="C4223" s="40" t="s">
        <v>7151</v>
      </c>
      <c r="D4223" s="40" t="s">
        <v>2281</v>
      </c>
      <c r="E4223" s="40" t="s">
        <v>3096</v>
      </c>
      <c r="F4223" s="40">
        <v>0</v>
      </c>
      <c r="G4223" s="40"/>
      <c r="H4223" s="40" t="s">
        <v>2234</v>
      </c>
      <c r="I4223" s="40"/>
      <c r="J4223" s="40" t="s">
        <v>97</v>
      </c>
      <c r="K4223" s="40" t="s">
        <v>97</v>
      </c>
      <c r="L4223" s="40" t="s">
        <v>97</v>
      </c>
    </row>
    <row r="4224" spans="1:12" x14ac:dyDescent="0.25">
      <c r="A4224" s="40" t="s">
        <v>34</v>
      </c>
      <c r="B4224" s="40" t="s">
        <v>544</v>
      </c>
      <c r="C4224" s="40" t="s">
        <v>7152</v>
      </c>
      <c r="D4224" s="40" t="s">
        <v>2281</v>
      </c>
      <c r="E4224" s="40" t="s">
        <v>3096</v>
      </c>
      <c r="F4224" s="40">
        <v>0</v>
      </c>
      <c r="G4224" s="40"/>
      <c r="H4224" s="40" t="s">
        <v>2234</v>
      </c>
      <c r="I4224" s="40"/>
      <c r="J4224" s="40" t="s">
        <v>97</v>
      </c>
      <c r="K4224" s="40" t="s">
        <v>97</v>
      </c>
      <c r="L4224" s="40" t="s">
        <v>97</v>
      </c>
    </row>
    <row r="4225" spans="1:12" x14ac:dyDescent="0.25">
      <c r="A4225" s="40" t="s">
        <v>34</v>
      </c>
      <c r="B4225" s="40" t="s">
        <v>1337</v>
      </c>
      <c r="C4225" s="40" t="s">
        <v>7153</v>
      </c>
      <c r="D4225" s="40" t="s">
        <v>2281</v>
      </c>
      <c r="E4225" s="40" t="s">
        <v>3096</v>
      </c>
      <c r="F4225" s="40">
        <v>0</v>
      </c>
      <c r="G4225" s="40"/>
      <c r="H4225" s="40" t="s">
        <v>2234</v>
      </c>
      <c r="I4225" s="40"/>
      <c r="J4225" s="40" t="s">
        <v>97</v>
      </c>
      <c r="K4225" s="40" t="s">
        <v>97</v>
      </c>
      <c r="L4225" s="40" t="s">
        <v>97</v>
      </c>
    </row>
    <row r="4226" spans="1:12" x14ac:dyDescent="0.25">
      <c r="A4226" s="40" t="s">
        <v>34</v>
      </c>
      <c r="B4226" s="40" t="s">
        <v>548</v>
      </c>
      <c r="C4226" s="40" t="s">
        <v>7154</v>
      </c>
      <c r="D4226" s="40" t="s">
        <v>2281</v>
      </c>
      <c r="E4226" s="40" t="s">
        <v>3096</v>
      </c>
      <c r="F4226" s="40">
        <v>0</v>
      </c>
      <c r="G4226" s="40"/>
      <c r="H4226" s="40" t="s">
        <v>2234</v>
      </c>
      <c r="I4226" s="40"/>
      <c r="J4226" s="40" t="s">
        <v>97</v>
      </c>
      <c r="K4226" s="40" t="s">
        <v>97</v>
      </c>
      <c r="L4226" s="40" t="s">
        <v>97</v>
      </c>
    </row>
    <row r="4227" spans="1:12" x14ac:dyDescent="0.25">
      <c r="A4227" s="40" t="s">
        <v>34</v>
      </c>
      <c r="B4227" s="40" t="s">
        <v>3177</v>
      </c>
      <c r="C4227" s="40" t="s">
        <v>7155</v>
      </c>
      <c r="D4227" s="40" t="s">
        <v>2281</v>
      </c>
      <c r="E4227" s="40" t="s">
        <v>3096</v>
      </c>
      <c r="F4227" s="40">
        <v>0</v>
      </c>
      <c r="G4227" s="40"/>
      <c r="H4227" s="40" t="s">
        <v>2234</v>
      </c>
      <c r="I4227" s="40"/>
      <c r="J4227" s="40" t="s">
        <v>97</v>
      </c>
      <c r="K4227" s="40" t="s">
        <v>97</v>
      </c>
      <c r="L4227" s="40" t="s">
        <v>97</v>
      </c>
    </row>
    <row r="4228" spans="1:12" x14ac:dyDescent="0.25">
      <c r="A4228" s="40" t="s">
        <v>34</v>
      </c>
      <c r="B4228" s="40" t="s">
        <v>1339</v>
      </c>
      <c r="C4228" s="40" t="s">
        <v>7156</v>
      </c>
      <c r="D4228" s="40" t="s">
        <v>2281</v>
      </c>
      <c r="E4228" s="40" t="s">
        <v>3096</v>
      </c>
      <c r="F4228" s="40">
        <v>0</v>
      </c>
      <c r="G4228" s="40"/>
      <c r="H4228" s="40" t="s">
        <v>2234</v>
      </c>
      <c r="I4228" s="40"/>
      <c r="J4228" s="40" t="s">
        <v>97</v>
      </c>
      <c r="K4228" s="40" t="s">
        <v>97</v>
      </c>
      <c r="L4228" s="40" t="s">
        <v>97</v>
      </c>
    </row>
    <row r="4229" spans="1:12" x14ac:dyDescent="0.25">
      <c r="A4229" s="40" t="s">
        <v>34</v>
      </c>
      <c r="B4229" s="40" t="s">
        <v>1341</v>
      </c>
      <c r="C4229" s="40" t="s">
        <v>7157</v>
      </c>
      <c r="D4229" s="40" t="s">
        <v>2281</v>
      </c>
      <c r="E4229" s="40" t="s">
        <v>3096</v>
      </c>
      <c r="F4229" s="40">
        <v>0</v>
      </c>
      <c r="G4229" s="40"/>
      <c r="H4229" s="40" t="s">
        <v>2234</v>
      </c>
      <c r="I4229" s="40"/>
      <c r="J4229" s="40" t="s">
        <v>97</v>
      </c>
      <c r="K4229" s="40" t="s">
        <v>97</v>
      </c>
      <c r="L4229" s="40" t="s">
        <v>97</v>
      </c>
    </row>
    <row r="4230" spans="1:12" x14ac:dyDescent="0.25">
      <c r="A4230" s="40" t="s">
        <v>34</v>
      </c>
      <c r="B4230" s="40" t="s">
        <v>1343</v>
      </c>
      <c r="C4230" s="40" t="s">
        <v>7158</v>
      </c>
      <c r="D4230" s="40" t="s">
        <v>2281</v>
      </c>
      <c r="E4230" s="40" t="s">
        <v>3096</v>
      </c>
      <c r="F4230" s="40">
        <v>0</v>
      </c>
      <c r="G4230" s="40"/>
      <c r="H4230" s="40" t="s">
        <v>2234</v>
      </c>
      <c r="I4230" s="40"/>
      <c r="J4230" s="40" t="s">
        <v>97</v>
      </c>
      <c r="K4230" s="40" t="s">
        <v>97</v>
      </c>
      <c r="L4230" s="40" t="s">
        <v>97</v>
      </c>
    </row>
    <row r="4231" spans="1:12" x14ac:dyDescent="0.25">
      <c r="A4231" s="40" t="s">
        <v>34</v>
      </c>
      <c r="B4231" s="40" t="s">
        <v>6134</v>
      </c>
      <c r="C4231" s="40" t="s">
        <v>7159</v>
      </c>
      <c r="D4231" s="40" t="s">
        <v>2281</v>
      </c>
      <c r="E4231" s="40" t="s">
        <v>3096</v>
      </c>
      <c r="F4231" s="40">
        <v>0</v>
      </c>
      <c r="G4231" s="40"/>
      <c r="H4231" s="40" t="s">
        <v>2234</v>
      </c>
      <c r="I4231" s="40"/>
      <c r="J4231" s="40" t="s">
        <v>97</v>
      </c>
      <c r="K4231" s="40" t="s">
        <v>97</v>
      </c>
      <c r="L4231" s="40" t="s">
        <v>97</v>
      </c>
    </row>
    <row r="4232" spans="1:12" x14ac:dyDescent="0.25">
      <c r="A4232" s="40" t="s">
        <v>34</v>
      </c>
      <c r="B4232" s="40" t="s">
        <v>550</v>
      </c>
      <c r="C4232" s="40" t="s">
        <v>7160</v>
      </c>
      <c r="D4232" s="40" t="s">
        <v>2281</v>
      </c>
      <c r="E4232" s="40" t="s">
        <v>3096</v>
      </c>
      <c r="F4232" s="40">
        <v>0</v>
      </c>
      <c r="G4232" s="40"/>
      <c r="H4232" s="40" t="s">
        <v>2234</v>
      </c>
      <c r="I4232" s="40"/>
      <c r="J4232" s="40" t="s">
        <v>97</v>
      </c>
      <c r="K4232" s="40" t="s">
        <v>97</v>
      </c>
      <c r="L4232" s="40" t="s">
        <v>97</v>
      </c>
    </row>
    <row r="4233" spans="1:12" x14ac:dyDescent="0.25">
      <c r="A4233" s="40" t="s">
        <v>34</v>
      </c>
      <c r="B4233" s="40" t="s">
        <v>553</v>
      </c>
      <c r="C4233" s="40" t="s">
        <v>7161</v>
      </c>
      <c r="D4233" s="40" t="s">
        <v>2281</v>
      </c>
      <c r="E4233" s="40" t="s">
        <v>3096</v>
      </c>
      <c r="F4233" s="40">
        <v>0</v>
      </c>
      <c r="G4233" s="40"/>
      <c r="H4233" s="40" t="s">
        <v>2234</v>
      </c>
      <c r="I4233" s="40"/>
      <c r="J4233" s="40" t="s">
        <v>97</v>
      </c>
      <c r="K4233" s="40" t="s">
        <v>97</v>
      </c>
      <c r="L4233" s="40" t="s">
        <v>97</v>
      </c>
    </row>
    <row r="4234" spans="1:12" x14ac:dyDescent="0.25">
      <c r="A4234" s="40" t="s">
        <v>34</v>
      </c>
      <c r="B4234" s="40" t="s">
        <v>555</v>
      </c>
      <c r="C4234" s="40" t="s">
        <v>7162</v>
      </c>
      <c r="D4234" s="40" t="s">
        <v>2281</v>
      </c>
      <c r="E4234" s="40" t="s">
        <v>3096</v>
      </c>
      <c r="F4234" s="40">
        <v>0</v>
      </c>
      <c r="G4234" s="40"/>
      <c r="H4234" s="40" t="s">
        <v>2234</v>
      </c>
      <c r="I4234" s="40"/>
      <c r="J4234" s="40" t="s">
        <v>97</v>
      </c>
      <c r="K4234" s="40" t="s">
        <v>97</v>
      </c>
      <c r="L4234" s="40" t="s">
        <v>97</v>
      </c>
    </row>
    <row r="4235" spans="1:12" x14ac:dyDescent="0.25">
      <c r="A4235" s="40" t="s">
        <v>34</v>
      </c>
      <c r="B4235" s="40" t="s">
        <v>558</v>
      </c>
      <c r="C4235" s="40" t="s">
        <v>7163</v>
      </c>
      <c r="D4235" s="40" t="s">
        <v>2233</v>
      </c>
      <c r="E4235" s="40" t="s">
        <v>2233</v>
      </c>
      <c r="F4235" s="40">
        <v>1</v>
      </c>
      <c r="G4235" s="40"/>
      <c r="H4235" s="40" t="s">
        <v>2234</v>
      </c>
      <c r="I4235" s="40"/>
      <c r="J4235" s="40" t="s">
        <v>97</v>
      </c>
      <c r="K4235" s="40" t="s">
        <v>97</v>
      </c>
      <c r="L4235" s="40" t="s">
        <v>97</v>
      </c>
    </row>
    <row r="4236" spans="1:12" x14ac:dyDescent="0.25">
      <c r="A4236" s="40" t="s">
        <v>34</v>
      </c>
      <c r="B4236" s="40" t="s">
        <v>561</v>
      </c>
      <c r="C4236" s="40" t="s">
        <v>7164</v>
      </c>
      <c r="D4236" s="40" t="s">
        <v>1598</v>
      </c>
      <c r="E4236" s="40" t="s">
        <v>7122</v>
      </c>
      <c r="F4236" s="40">
        <v>0</v>
      </c>
      <c r="G4236" s="40"/>
      <c r="H4236" s="40" t="s">
        <v>2234</v>
      </c>
      <c r="I4236" s="40"/>
      <c r="J4236" s="40" t="s">
        <v>97</v>
      </c>
      <c r="K4236" s="40" t="s">
        <v>97</v>
      </c>
      <c r="L4236" s="40" t="s">
        <v>97</v>
      </c>
    </row>
    <row r="4237" spans="1:12" x14ac:dyDescent="0.25">
      <c r="A4237" s="40" t="s">
        <v>34</v>
      </c>
      <c r="B4237" s="40" t="s">
        <v>2416</v>
      </c>
      <c r="C4237" s="40" t="s">
        <v>7165</v>
      </c>
      <c r="D4237" s="40" t="s">
        <v>7124</v>
      </c>
      <c r="E4237" s="40" t="s">
        <v>7124</v>
      </c>
      <c r="F4237" s="40">
        <v>1</v>
      </c>
      <c r="G4237" s="40"/>
      <c r="H4237" s="40" t="s">
        <v>2234</v>
      </c>
      <c r="I4237" s="40"/>
      <c r="J4237" s="40">
        <v>1</v>
      </c>
      <c r="K4237" s="40">
        <v>1</v>
      </c>
      <c r="L4237" s="40" t="s">
        <v>97</v>
      </c>
    </row>
    <row r="4238" spans="1:12" x14ac:dyDescent="0.25">
      <c r="A4238" s="40" t="s">
        <v>34</v>
      </c>
      <c r="B4238" s="40" t="s">
        <v>1345</v>
      </c>
      <c r="C4238" s="40" t="s">
        <v>295</v>
      </c>
      <c r="D4238" s="40" t="s">
        <v>2281</v>
      </c>
      <c r="E4238" s="40" t="s">
        <v>3096</v>
      </c>
      <c r="F4238" s="40">
        <v>0</v>
      </c>
      <c r="G4238" s="40"/>
      <c r="H4238" s="40" t="s">
        <v>2234</v>
      </c>
      <c r="I4238" s="40"/>
      <c r="J4238" s="40" t="s">
        <v>97</v>
      </c>
      <c r="K4238" s="40" t="s">
        <v>97</v>
      </c>
      <c r="L4238" s="40" t="s">
        <v>97</v>
      </c>
    </row>
    <row r="4239" spans="1:12" x14ac:dyDescent="0.25">
      <c r="A4239" s="40" t="s">
        <v>34</v>
      </c>
      <c r="B4239" s="40" t="s">
        <v>1347</v>
      </c>
      <c r="C4239" s="40" t="s">
        <v>7166</v>
      </c>
      <c r="D4239" s="40" t="s">
        <v>2281</v>
      </c>
      <c r="E4239" s="40" t="s">
        <v>3096</v>
      </c>
      <c r="F4239" s="40">
        <v>0</v>
      </c>
      <c r="G4239" s="40"/>
      <c r="H4239" s="40" t="s">
        <v>2234</v>
      </c>
      <c r="I4239" s="40"/>
      <c r="J4239" s="40" t="s">
        <v>97</v>
      </c>
      <c r="K4239" s="40" t="s">
        <v>97</v>
      </c>
      <c r="L4239" s="40" t="s">
        <v>97</v>
      </c>
    </row>
    <row r="4240" spans="1:12" x14ac:dyDescent="0.25">
      <c r="A4240" s="40" t="s">
        <v>34</v>
      </c>
      <c r="B4240" s="40" t="s">
        <v>1349</v>
      </c>
      <c r="C4240" s="40" t="s">
        <v>7167</v>
      </c>
      <c r="D4240" s="40" t="s">
        <v>2233</v>
      </c>
      <c r="E4240" s="40" t="s">
        <v>2233</v>
      </c>
      <c r="F4240" s="40">
        <v>1</v>
      </c>
      <c r="G4240" s="40"/>
      <c r="H4240" s="40" t="s">
        <v>2234</v>
      </c>
      <c r="I4240" s="40"/>
      <c r="J4240" s="40" t="s">
        <v>97</v>
      </c>
      <c r="K4240" s="40" t="s">
        <v>97</v>
      </c>
      <c r="L4240" s="40" t="s">
        <v>97</v>
      </c>
    </row>
    <row r="4241" spans="1:12" x14ac:dyDescent="0.25">
      <c r="A4241" s="40" t="s">
        <v>34</v>
      </c>
      <c r="B4241" s="40" t="s">
        <v>2252</v>
      </c>
      <c r="C4241" s="40" t="s">
        <v>7168</v>
      </c>
      <c r="D4241" s="40" t="s">
        <v>2281</v>
      </c>
      <c r="E4241" s="40" t="s">
        <v>3096</v>
      </c>
      <c r="F4241" s="40">
        <v>0</v>
      </c>
      <c r="G4241" s="40"/>
      <c r="H4241" s="40" t="s">
        <v>2234</v>
      </c>
      <c r="I4241" s="40"/>
      <c r="J4241" s="40" t="s">
        <v>97</v>
      </c>
      <c r="K4241" s="40" t="s">
        <v>97</v>
      </c>
      <c r="L4241" s="40" t="s">
        <v>97</v>
      </c>
    </row>
    <row r="4242" spans="1:12" x14ac:dyDescent="0.25">
      <c r="A4242" s="40" t="s">
        <v>34</v>
      </c>
      <c r="B4242" s="40" t="s">
        <v>2254</v>
      </c>
      <c r="C4242" s="40" t="s">
        <v>7169</v>
      </c>
      <c r="D4242" s="40" t="s">
        <v>2281</v>
      </c>
      <c r="E4242" s="40" t="s">
        <v>3096</v>
      </c>
      <c r="F4242" s="40">
        <v>0</v>
      </c>
      <c r="G4242" s="40"/>
      <c r="H4242" s="40" t="s">
        <v>2234</v>
      </c>
      <c r="I4242" s="40"/>
      <c r="J4242" s="40" t="s">
        <v>97</v>
      </c>
      <c r="K4242" s="40" t="s">
        <v>97</v>
      </c>
      <c r="L4242" s="40" t="s">
        <v>97</v>
      </c>
    </row>
    <row r="4243" spans="1:12" x14ac:dyDescent="0.25">
      <c r="A4243" s="40" t="s">
        <v>34</v>
      </c>
      <c r="B4243" s="40" t="s">
        <v>2256</v>
      </c>
      <c r="C4243" s="40" t="s">
        <v>7170</v>
      </c>
      <c r="D4243" s="40" t="s">
        <v>2233</v>
      </c>
      <c r="E4243" s="40" t="s">
        <v>2233</v>
      </c>
      <c r="F4243" s="40">
        <v>1</v>
      </c>
      <c r="G4243" s="40"/>
      <c r="H4243" s="40" t="s">
        <v>2234</v>
      </c>
      <c r="I4243" s="40"/>
      <c r="J4243" s="40" t="s">
        <v>97</v>
      </c>
      <c r="K4243" s="40" t="s">
        <v>97</v>
      </c>
      <c r="L4243" s="40" t="s">
        <v>97</v>
      </c>
    </row>
    <row r="4244" spans="1:12" x14ac:dyDescent="0.25">
      <c r="A4244" s="40" t="s">
        <v>34</v>
      </c>
      <c r="B4244" s="40" t="s">
        <v>565</v>
      </c>
      <c r="C4244" s="40" t="s">
        <v>7171</v>
      </c>
      <c r="D4244" s="40" t="s">
        <v>2281</v>
      </c>
      <c r="E4244" s="40" t="s">
        <v>3096</v>
      </c>
      <c r="F4244" s="40">
        <v>0</v>
      </c>
      <c r="G4244" s="40"/>
      <c r="H4244" s="40" t="s">
        <v>2234</v>
      </c>
      <c r="I4244" s="40"/>
      <c r="J4244" s="40" t="s">
        <v>97</v>
      </c>
      <c r="K4244" s="40" t="s">
        <v>97</v>
      </c>
      <c r="L4244" s="40" t="s">
        <v>97</v>
      </c>
    </row>
    <row r="4245" spans="1:12" x14ac:dyDescent="0.25">
      <c r="A4245" s="40" t="s">
        <v>34</v>
      </c>
      <c r="B4245" s="40" t="s">
        <v>567</v>
      </c>
      <c r="C4245" s="40" t="s">
        <v>7172</v>
      </c>
      <c r="D4245" s="40" t="s">
        <v>2233</v>
      </c>
      <c r="E4245" s="40" t="s">
        <v>2233</v>
      </c>
      <c r="F4245" s="40">
        <v>1</v>
      </c>
      <c r="G4245" s="40"/>
      <c r="H4245" s="40" t="s">
        <v>2234</v>
      </c>
      <c r="I4245" s="40"/>
      <c r="J4245" s="40" t="s">
        <v>97</v>
      </c>
      <c r="K4245" s="40" t="s">
        <v>97</v>
      </c>
      <c r="L4245" s="40" t="s">
        <v>97</v>
      </c>
    </row>
    <row r="4246" spans="1:12" x14ac:dyDescent="0.25">
      <c r="A4246" s="40" t="s">
        <v>34</v>
      </c>
      <c r="B4246" s="40" t="s">
        <v>570</v>
      </c>
      <c r="C4246" s="40" t="s">
        <v>7173</v>
      </c>
      <c r="D4246" s="40" t="s">
        <v>2281</v>
      </c>
      <c r="E4246" s="40" t="s">
        <v>3096</v>
      </c>
      <c r="F4246" s="40">
        <v>0</v>
      </c>
      <c r="G4246" s="40"/>
      <c r="H4246" s="40" t="s">
        <v>2234</v>
      </c>
      <c r="I4246" s="40"/>
      <c r="J4246" s="40" t="s">
        <v>97</v>
      </c>
      <c r="K4246" s="40" t="s">
        <v>97</v>
      </c>
      <c r="L4246" s="40" t="s">
        <v>97</v>
      </c>
    </row>
    <row r="4247" spans="1:12" x14ac:dyDescent="0.25">
      <c r="A4247" s="40" t="s">
        <v>34</v>
      </c>
      <c r="B4247" s="40" t="s">
        <v>574</v>
      </c>
      <c r="C4247" s="40" t="s">
        <v>7174</v>
      </c>
      <c r="D4247" s="40" t="s">
        <v>3096</v>
      </c>
      <c r="E4247" s="40" t="s">
        <v>3096</v>
      </c>
      <c r="F4247" s="40">
        <v>1</v>
      </c>
      <c r="G4247" s="40"/>
      <c r="H4247" s="40" t="s">
        <v>2234</v>
      </c>
      <c r="I4247" s="40"/>
      <c r="J4247" s="40" t="s">
        <v>97</v>
      </c>
      <c r="K4247" s="40" t="s">
        <v>97</v>
      </c>
      <c r="L4247" s="40" t="s">
        <v>97</v>
      </c>
    </row>
    <row r="4248" spans="1:12" x14ac:dyDescent="0.25">
      <c r="A4248" s="40" t="s">
        <v>34</v>
      </c>
      <c r="B4248" s="40" t="s">
        <v>3118</v>
      </c>
      <c r="C4248" s="40" t="s">
        <v>7175</v>
      </c>
      <c r="D4248" s="40" t="s">
        <v>2281</v>
      </c>
      <c r="E4248" s="40" t="s">
        <v>3096</v>
      </c>
      <c r="F4248" s="40">
        <v>0</v>
      </c>
      <c r="G4248" s="40"/>
      <c r="H4248" s="40" t="s">
        <v>2234</v>
      </c>
      <c r="I4248" s="40"/>
      <c r="J4248" s="40" t="s">
        <v>97</v>
      </c>
      <c r="K4248" s="40" t="s">
        <v>97</v>
      </c>
      <c r="L4248" s="40" t="s">
        <v>97</v>
      </c>
    </row>
    <row r="4249" spans="1:12" x14ac:dyDescent="0.25">
      <c r="A4249" s="40" t="s">
        <v>19</v>
      </c>
      <c r="B4249" s="40" t="s">
        <v>2233</v>
      </c>
      <c r="C4249" s="40" t="s">
        <v>7176</v>
      </c>
      <c r="D4249" s="40" t="s">
        <v>7177</v>
      </c>
      <c r="E4249" s="40" t="s">
        <v>7177</v>
      </c>
      <c r="F4249" s="40">
        <v>1</v>
      </c>
      <c r="G4249" s="40"/>
      <c r="H4249" s="40" t="s">
        <v>97</v>
      </c>
      <c r="I4249" s="40"/>
      <c r="J4249" s="40" t="s">
        <v>97</v>
      </c>
      <c r="K4249" s="40" t="s">
        <v>97</v>
      </c>
      <c r="L4249" s="40" t="s">
        <v>97</v>
      </c>
    </row>
    <row r="4250" spans="1:12" x14ac:dyDescent="0.25">
      <c r="A4250" s="40" t="s">
        <v>19</v>
      </c>
      <c r="B4250" s="40" t="s">
        <v>2298</v>
      </c>
      <c r="C4250" s="40" t="s">
        <v>7178</v>
      </c>
      <c r="D4250" s="40" t="s">
        <v>2233</v>
      </c>
      <c r="E4250" s="40" t="s">
        <v>2233</v>
      </c>
      <c r="F4250" s="40">
        <v>1</v>
      </c>
      <c r="G4250" s="40"/>
      <c r="H4250" s="40" t="s">
        <v>2234</v>
      </c>
      <c r="I4250" s="40"/>
      <c r="J4250" s="40" t="s">
        <v>97</v>
      </c>
      <c r="K4250" s="40" t="s">
        <v>97</v>
      </c>
      <c r="L4250" s="40" t="s">
        <v>97</v>
      </c>
    </row>
    <row r="4251" spans="1:12" x14ac:dyDescent="0.25">
      <c r="A4251" s="40" t="s">
        <v>19</v>
      </c>
      <c r="B4251" s="40" t="s">
        <v>2300</v>
      </c>
      <c r="C4251" s="40" t="s">
        <v>7179</v>
      </c>
      <c r="D4251" s="40" t="s">
        <v>2233</v>
      </c>
      <c r="E4251" s="40" t="s">
        <v>2233</v>
      </c>
      <c r="F4251" s="40">
        <v>1</v>
      </c>
      <c r="G4251" s="40"/>
      <c r="H4251" s="40" t="s">
        <v>2234</v>
      </c>
      <c r="I4251" s="40"/>
      <c r="J4251" s="40" t="s">
        <v>97</v>
      </c>
      <c r="K4251" s="40" t="s">
        <v>97</v>
      </c>
      <c r="L4251" s="40" t="s">
        <v>97</v>
      </c>
    </row>
    <row r="4252" spans="1:12" x14ac:dyDescent="0.25">
      <c r="A4252" s="40" t="s">
        <v>19</v>
      </c>
      <c r="B4252" s="40" t="s">
        <v>479</v>
      </c>
      <c r="C4252" s="40" t="s">
        <v>7180</v>
      </c>
      <c r="D4252" s="40" t="s">
        <v>2233</v>
      </c>
      <c r="E4252" s="40" t="s">
        <v>2233</v>
      </c>
      <c r="F4252" s="40">
        <v>1</v>
      </c>
      <c r="G4252" s="40"/>
      <c r="H4252" s="40" t="s">
        <v>2234</v>
      </c>
      <c r="I4252" s="40"/>
      <c r="J4252" s="40" t="s">
        <v>97</v>
      </c>
      <c r="K4252" s="40" t="s">
        <v>97</v>
      </c>
      <c r="L4252" s="40" t="s">
        <v>97</v>
      </c>
    </row>
    <row r="4253" spans="1:12" x14ac:dyDescent="0.25">
      <c r="A4253" s="40" t="s">
        <v>19</v>
      </c>
      <c r="B4253" s="40" t="s">
        <v>483</v>
      </c>
      <c r="C4253" s="40" t="s">
        <v>7181</v>
      </c>
      <c r="D4253" s="40" t="s">
        <v>7182</v>
      </c>
      <c r="E4253" s="40" t="s">
        <v>2233</v>
      </c>
      <c r="F4253" s="40">
        <v>0</v>
      </c>
      <c r="G4253" s="40"/>
      <c r="H4253" s="40" t="s">
        <v>2234</v>
      </c>
      <c r="I4253" s="40"/>
      <c r="J4253" s="40" t="s">
        <v>97</v>
      </c>
      <c r="K4253" s="40" t="s">
        <v>97</v>
      </c>
      <c r="L4253" s="40" t="s">
        <v>97</v>
      </c>
    </row>
    <row r="4254" spans="1:12" x14ac:dyDescent="0.25">
      <c r="A4254" s="40" t="s">
        <v>19</v>
      </c>
      <c r="B4254" s="40" t="s">
        <v>487</v>
      </c>
      <c r="C4254" s="40" t="s">
        <v>7183</v>
      </c>
      <c r="D4254" s="40" t="s">
        <v>7182</v>
      </c>
      <c r="E4254" s="40" t="s">
        <v>2233</v>
      </c>
      <c r="F4254" s="40">
        <v>0</v>
      </c>
      <c r="G4254" s="40"/>
      <c r="H4254" s="40" t="s">
        <v>2234</v>
      </c>
      <c r="I4254" s="40"/>
      <c r="J4254" s="40" t="s">
        <v>97</v>
      </c>
      <c r="K4254" s="40" t="s">
        <v>97</v>
      </c>
      <c r="L4254" s="40" t="s">
        <v>97</v>
      </c>
    </row>
    <row r="4255" spans="1:12" x14ac:dyDescent="0.25">
      <c r="A4255" s="40" t="s">
        <v>19</v>
      </c>
      <c r="B4255" s="40" t="s">
        <v>491</v>
      </c>
      <c r="C4255" s="40" t="s">
        <v>7184</v>
      </c>
      <c r="D4255" s="40" t="s">
        <v>7182</v>
      </c>
      <c r="E4255" s="40" t="s">
        <v>2233</v>
      </c>
      <c r="F4255" s="40">
        <v>0</v>
      </c>
      <c r="G4255" s="40"/>
      <c r="H4255" s="40" t="s">
        <v>2234</v>
      </c>
      <c r="I4255" s="40"/>
      <c r="J4255" s="40" t="s">
        <v>97</v>
      </c>
      <c r="K4255" s="40" t="s">
        <v>97</v>
      </c>
      <c r="L4255" s="40" t="s">
        <v>97</v>
      </c>
    </row>
    <row r="4256" spans="1:12" x14ac:dyDescent="0.25">
      <c r="A4256" s="40" t="s">
        <v>19</v>
      </c>
      <c r="B4256" s="40" t="s">
        <v>494</v>
      </c>
      <c r="C4256" s="40" t="s">
        <v>7185</v>
      </c>
      <c r="D4256" s="40" t="s">
        <v>3048</v>
      </c>
      <c r="E4256" s="40" t="s">
        <v>2233</v>
      </c>
      <c r="F4256" s="40">
        <v>0</v>
      </c>
      <c r="G4256" s="40"/>
      <c r="H4256" s="40" t="s">
        <v>2234</v>
      </c>
      <c r="I4256" s="40"/>
      <c r="J4256" s="40" t="s">
        <v>97</v>
      </c>
      <c r="K4256" s="40" t="s">
        <v>97</v>
      </c>
      <c r="L4256" s="40" t="s">
        <v>97</v>
      </c>
    </row>
    <row r="4257" spans="1:12" x14ac:dyDescent="0.25">
      <c r="A4257" s="40" t="s">
        <v>19</v>
      </c>
      <c r="B4257" s="40" t="s">
        <v>496</v>
      </c>
      <c r="C4257" s="40" t="s">
        <v>7186</v>
      </c>
      <c r="D4257" s="40" t="s">
        <v>7187</v>
      </c>
      <c r="E4257" s="40" t="s">
        <v>2233</v>
      </c>
      <c r="F4257" s="40">
        <v>0</v>
      </c>
      <c r="G4257" s="40"/>
      <c r="H4257" s="40" t="s">
        <v>2234</v>
      </c>
      <c r="I4257" s="40"/>
      <c r="J4257" s="40" t="s">
        <v>97</v>
      </c>
      <c r="K4257" s="40" t="s">
        <v>97</v>
      </c>
      <c r="L4257" s="40" t="s">
        <v>97</v>
      </c>
    </row>
    <row r="4258" spans="1:12" x14ac:dyDescent="0.25">
      <c r="A4258" s="40" t="s">
        <v>19</v>
      </c>
      <c r="B4258" s="40" t="s">
        <v>1297</v>
      </c>
      <c r="C4258" s="40" t="s">
        <v>7188</v>
      </c>
      <c r="D4258" s="40" t="s">
        <v>2233</v>
      </c>
      <c r="E4258" s="40" t="s">
        <v>2233</v>
      </c>
      <c r="F4258" s="40">
        <v>1</v>
      </c>
      <c r="G4258" s="40"/>
      <c r="H4258" s="40" t="s">
        <v>97</v>
      </c>
      <c r="I4258" s="40"/>
      <c r="J4258" s="40" t="s">
        <v>97</v>
      </c>
      <c r="K4258" s="40">
        <v>2</v>
      </c>
      <c r="L4258" s="40" t="s">
        <v>97</v>
      </c>
    </row>
    <row r="4259" spans="1:12" x14ac:dyDescent="0.25">
      <c r="A4259" s="40" t="s">
        <v>19</v>
      </c>
      <c r="B4259" s="40" t="s">
        <v>1300</v>
      </c>
      <c r="C4259" s="40" t="s">
        <v>7189</v>
      </c>
      <c r="D4259" s="40" t="s">
        <v>7190</v>
      </c>
      <c r="E4259" s="40" t="s">
        <v>2233</v>
      </c>
      <c r="F4259" s="40">
        <v>0</v>
      </c>
      <c r="G4259" s="40"/>
      <c r="H4259" s="40" t="s">
        <v>2234</v>
      </c>
      <c r="I4259" s="40"/>
      <c r="J4259" s="40" t="s">
        <v>97</v>
      </c>
      <c r="K4259" s="40" t="s">
        <v>97</v>
      </c>
      <c r="L4259" s="40" t="s">
        <v>97</v>
      </c>
    </row>
    <row r="4260" spans="1:12" x14ac:dyDescent="0.25">
      <c r="A4260" s="40" t="s">
        <v>19</v>
      </c>
      <c r="B4260" s="40" t="s">
        <v>1302</v>
      </c>
      <c r="C4260" s="40" t="s">
        <v>7191</v>
      </c>
      <c r="D4260" s="40" t="s">
        <v>2233</v>
      </c>
      <c r="E4260" s="40" t="s">
        <v>2233</v>
      </c>
      <c r="F4260" s="40">
        <v>1</v>
      </c>
      <c r="G4260" s="40"/>
      <c r="H4260" s="40" t="s">
        <v>97</v>
      </c>
      <c r="I4260" s="40"/>
      <c r="J4260" s="40" t="s">
        <v>97</v>
      </c>
      <c r="K4260" s="40">
        <v>2</v>
      </c>
      <c r="L4260" s="40" t="s">
        <v>97</v>
      </c>
    </row>
    <row r="4261" spans="1:12" x14ac:dyDescent="0.25">
      <c r="A4261" s="40" t="s">
        <v>19</v>
      </c>
      <c r="B4261" s="40" t="s">
        <v>1304</v>
      </c>
      <c r="C4261" s="40" t="s">
        <v>7192</v>
      </c>
      <c r="D4261" s="40" t="s">
        <v>7193</v>
      </c>
      <c r="E4261" s="40" t="s">
        <v>2233</v>
      </c>
      <c r="F4261" s="40">
        <v>0</v>
      </c>
      <c r="G4261" s="40"/>
      <c r="H4261" s="40" t="s">
        <v>2234</v>
      </c>
      <c r="I4261" s="40"/>
      <c r="J4261" s="40" t="s">
        <v>97</v>
      </c>
      <c r="K4261" s="40" t="s">
        <v>97</v>
      </c>
      <c r="L4261" s="40" t="s">
        <v>97</v>
      </c>
    </row>
    <row r="4262" spans="1:12" x14ac:dyDescent="0.25">
      <c r="A4262" s="40" t="s">
        <v>19</v>
      </c>
      <c r="B4262" s="40" t="s">
        <v>1307</v>
      </c>
      <c r="C4262" s="40" t="s">
        <v>7194</v>
      </c>
      <c r="D4262" s="40" t="s">
        <v>2233</v>
      </c>
      <c r="E4262" s="40" t="s">
        <v>2233</v>
      </c>
      <c r="F4262" s="40">
        <v>1</v>
      </c>
      <c r="G4262" s="40"/>
      <c r="H4262" s="40" t="s">
        <v>97</v>
      </c>
      <c r="I4262" s="40"/>
      <c r="J4262" s="40" t="s">
        <v>97</v>
      </c>
      <c r="K4262" s="40">
        <v>2</v>
      </c>
      <c r="L4262" s="40" t="s">
        <v>97</v>
      </c>
    </row>
    <row r="4263" spans="1:12" x14ac:dyDescent="0.25">
      <c r="A4263" s="40" t="s">
        <v>19</v>
      </c>
      <c r="B4263" s="40" t="s">
        <v>1309</v>
      </c>
      <c r="C4263" s="40" t="s">
        <v>7195</v>
      </c>
      <c r="D4263" s="40" t="s">
        <v>7196</v>
      </c>
      <c r="E4263" s="40" t="s">
        <v>2233</v>
      </c>
      <c r="F4263" s="40">
        <v>0</v>
      </c>
      <c r="G4263" s="40"/>
      <c r="H4263" s="40" t="s">
        <v>2234</v>
      </c>
      <c r="I4263" s="40"/>
      <c r="J4263" s="40" t="s">
        <v>97</v>
      </c>
      <c r="K4263" s="40" t="s">
        <v>97</v>
      </c>
      <c r="L4263" s="40" t="s">
        <v>97</v>
      </c>
    </row>
    <row r="4264" spans="1:12" x14ac:dyDescent="0.25">
      <c r="A4264" s="40" t="s">
        <v>19</v>
      </c>
      <c r="B4264" s="40" t="s">
        <v>2311</v>
      </c>
      <c r="C4264" s="40" t="s">
        <v>7197</v>
      </c>
      <c r="D4264" s="40" t="s">
        <v>2233</v>
      </c>
      <c r="E4264" s="40" t="s">
        <v>2233</v>
      </c>
      <c r="F4264" s="40">
        <v>1</v>
      </c>
      <c r="G4264" s="40"/>
      <c r="H4264" s="40" t="s">
        <v>97</v>
      </c>
      <c r="I4264" s="40"/>
      <c r="J4264" s="40" t="s">
        <v>97</v>
      </c>
      <c r="K4264" s="40">
        <v>2</v>
      </c>
      <c r="L4264" s="40" t="s">
        <v>97</v>
      </c>
    </row>
    <row r="4265" spans="1:12" x14ac:dyDescent="0.25">
      <c r="A4265" s="40" t="s">
        <v>19</v>
      </c>
      <c r="B4265" s="40" t="s">
        <v>498</v>
      </c>
      <c r="C4265" s="40" t="s">
        <v>7198</v>
      </c>
      <c r="D4265" s="40" t="s">
        <v>7199</v>
      </c>
      <c r="E4265" s="40" t="s">
        <v>2233</v>
      </c>
      <c r="F4265" s="40">
        <v>0</v>
      </c>
      <c r="G4265" s="40"/>
      <c r="H4265" s="40" t="s">
        <v>2234</v>
      </c>
      <c r="I4265" s="40"/>
      <c r="J4265" s="40" t="s">
        <v>97</v>
      </c>
      <c r="K4265" s="40" t="s">
        <v>97</v>
      </c>
      <c r="L4265" s="40" t="s">
        <v>97</v>
      </c>
    </row>
    <row r="4266" spans="1:12" x14ac:dyDescent="0.25">
      <c r="A4266" s="40" t="s">
        <v>19</v>
      </c>
      <c r="B4266" s="40" t="s">
        <v>500</v>
      </c>
      <c r="C4266" s="40" t="s">
        <v>7200</v>
      </c>
      <c r="D4266" s="40" t="s">
        <v>2233</v>
      </c>
      <c r="E4266" s="40" t="s">
        <v>2233</v>
      </c>
      <c r="F4266" s="40">
        <v>1</v>
      </c>
      <c r="G4266" s="40"/>
      <c r="H4266" s="40" t="s">
        <v>97</v>
      </c>
      <c r="I4266" s="40"/>
      <c r="J4266" s="40" t="s">
        <v>97</v>
      </c>
      <c r="K4266" s="40">
        <v>2</v>
      </c>
      <c r="L4266" s="40" t="s">
        <v>97</v>
      </c>
    </row>
    <row r="4267" spans="1:12" x14ac:dyDescent="0.25">
      <c r="A4267" s="40" t="s">
        <v>19</v>
      </c>
      <c r="B4267" s="40" t="s">
        <v>2239</v>
      </c>
      <c r="C4267" s="40" t="s">
        <v>7201</v>
      </c>
      <c r="D4267" s="40" t="s">
        <v>7193</v>
      </c>
      <c r="E4267" s="40" t="s">
        <v>2233</v>
      </c>
      <c r="F4267" s="40">
        <v>0</v>
      </c>
      <c r="G4267" s="40"/>
      <c r="H4267" s="40" t="s">
        <v>2234</v>
      </c>
      <c r="I4267" s="40"/>
      <c r="J4267" s="40" t="s">
        <v>97</v>
      </c>
      <c r="K4267" s="40" t="s">
        <v>97</v>
      </c>
      <c r="L4267" s="40" t="s">
        <v>97</v>
      </c>
    </row>
    <row r="4268" spans="1:12" x14ac:dyDescent="0.25">
      <c r="A4268" s="40" t="s">
        <v>19</v>
      </c>
      <c r="B4268" s="40" t="s">
        <v>1316</v>
      </c>
      <c r="C4268" s="40" t="s">
        <v>7202</v>
      </c>
      <c r="D4268" s="40" t="s">
        <v>2233</v>
      </c>
      <c r="E4268" s="40" t="s">
        <v>2233</v>
      </c>
      <c r="F4268" s="40">
        <v>1</v>
      </c>
      <c r="G4268" s="40"/>
      <c r="H4268" s="40" t="s">
        <v>97</v>
      </c>
      <c r="I4268" s="40"/>
      <c r="J4268" s="40" t="s">
        <v>97</v>
      </c>
      <c r="K4268" s="40">
        <v>2</v>
      </c>
      <c r="L4268" s="40" t="s">
        <v>97</v>
      </c>
    </row>
    <row r="4269" spans="1:12" x14ac:dyDescent="0.25">
      <c r="A4269" s="40" t="s">
        <v>19</v>
      </c>
      <c r="B4269" s="40" t="s">
        <v>502</v>
      </c>
      <c r="C4269" s="40" t="s">
        <v>7203</v>
      </c>
      <c r="D4269" s="40" t="s">
        <v>7204</v>
      </c>
      <c r="E4269" s="40" t="s">
        <v>2233</v>
      </c>
      <c r="F4269" s="40">
        <v>0</v>
      </c>
      <c r="G4269" s="40"/>
      <c r="H4269" s="40" t="s">
        <v>2234</v>
      </c>
      <c r="I4269" s="40"/>
      <c r="J4269" s="40" t="s">
        <v>97</v>
      </c>
      <c r="K4269" s="40" t="s">
        <v>97</v>
      </c>
      <c r="L4269" s="40" t="s">
        <v>97</v>
      </c>
    </row>
    <row r="4270" spans="1:12" x14ac:dyDescent="0.25">
      <c r="A4270" s="40" t="s">
        <v>19</v>
      </c>
      <c r="B4270" s="40" t="s">
        <v>506</v>
      </c>
      <c r="C4270" s="40" t="s">
        <v>7205</v>
      </c>
      <c r="D4270" s="40" t="s">
        <v>2233</v>
      </c>
      <c r="E4270" s="40" t="s">
        <v>2233</v>
      </c>
      <c r="F4270" s="40">
        <v>1</v>
      </c>
      <c r="G4270" s="40"/>
      <c r="H4270" s="40" t="s">
        <v>97</v>
      </c>
      <c r="I4270" s="40"/>
      <c r="J4270" s="40" t="s">
        <v>97</v>
      </c>
      <c r="K4270" s="40">
        <v>2</v>
      </c>
      <c r="L4270" s="40" t="s">
        <v>97</v>
      </c>
    </row>
    <row r="4271" spans="1:12" x14ac:dyDescent="0.25">
      <c r="A4271" s="40" t="s">
        <v>19</v>
      </c>
      <c r="B4271" s="40" t="s">
        <v>510</v>
      </c>
      <c r="C4271" s="40" t="s">
        <v>7206</v>
      </c>
      <c r="D4271" s="40" t="s">
        <v>7207</v>
      </c>
      <c r="E4271" s="40" t="s">
        <v>2233</v>
      </c>
      <c r="F4271" s="40">
        <v>0</v>
      </c>
      <c r="G4271" s="40"/>
      <c r="H4271" s="40" t="s">
        <v>2234</v>
      </c>
      <c r="I4271" s="40"/>
      <c r="J4271" s="40" t="s">
        <v>97</v>
      </c>
      <c r="K4271" s="40" t="s">
        <v>97</v>
      </c>
      <c r="L4271" s="40" t="s">
        <v>97</v>
      </c>
    </row>
    <row r="4272" spans="1:12" x14ac:dyDescent="0.25">
      <c r="A4272" s="40" t="s">
        <v>19</v>
      </c>
      <c r="B4272" s="40" t="s">
        <v>514</v>
      </c>
      <c r="C4272" s="40" t="s">
        <v>7208</v>
      </c>
      <c r="D4272" s="40" t="s">
        <v>2233</v>
      </c>
      <c r="E4272" s="40" t="s">
        <v>2233</v>
      </c>
      <c r="F4272" s="40">
        <v>1</v>
      </c>
      <c r="G4272" s="40"/>
      <c r="H4272" s="40" t="s">
        <v>97</v>
      </c>
      <c r="I4272" s="40"/>
      <c r="J4272" s="40" t="s">
        <v>97</v>
      </c>
      <c r="K4272" s="40">
        <v>2</v>
      </c>
      <c r="L4272" s="40" t="s">
        <v>97</v>
      </c>
    </row>
    <row r="4273" spans="1:12" x14ac:dyDescent="0.25">
      <c r="A4273" s="40" t="s">
        <v>19</v>
      </c>
      <c r="B4273" s="40" t="s">
        <v>518</v>
      </c>
      <c r="C4273" s="40" t="s">
        <v>7209</v>
      </c>
      <c r="D4273" s="40" t="s">
        <v>2281</v>
      </c>
      <c r="E4273" s="40" t="s">
        <v>2233</v>
      </c>
      <c r="F4273" s="40">
        <v>0</v>
      </c>
      <c r="G4273" s="40"/>
      <c r="H4273" s="40" t="s">
        <v>2234</v>
      </c>
      <c r="I4273" s="40"/>
      <c r="J4273" s="40" t="s">
        <v>97</v>
      </c>
      <c r="K4273" s="40" t="s">
        <v>97</v>
      </c>
      <c r="L4273" s="40" t="s">
        <v>97</v>
      </c>
    </row>
    <row r="4274" spans="1:12" x14ac:dyDescent="0.25">
      <c r="A4274" s="40" t="s">
        <v>19</v>
      </c>
      <c r="B4274" s="40" t="s">
        <v>521</v>
      </c>
      <c r="C4274" s="40" t="s">
        <v>7210</v>
      </c>
      <c r="D4274" s="40" t="s">
        <v>965</v>
      </c>
      <c r="E4274" s="40" t="s">
        <v>2233</v>
      </c>
      <c r="F4274" s="40">
        <v>0</v>
      </c>
      <c r="G4274" s="40"/>
      <c r="H4274" s="40" t="s">
        <v>2234</v>
      </c>
      <c r="I4274" s="40"/>
      <c r="J4274" s="40" t="s">
        <v>97</v>
      </c>
      <c r="K4274" s="40" t="s">
        <v>97</v>
      </c>
      <c r="L4274" s="40" t="s">
        <v>97</v>
      </c>
    </row>
    <row r="4275" spans="1:12" x14ac:dyDescent="0.25">
      <c r="A4275" s="40" t="s">
        <v>19</v>
      </c>
      <c r="B4275" s="40" t="s">
        <v>523</v>
      </c>
      <c r="C4275" s="40" t="s">
        <v>7211</v>
      </c>
      <c r="D4275" s="40" t="s">
        <v>965</v>
      </c>
      <c r="E4275" s="40" t="s">
        <v>2233</v>
      </c>
      <c r="F4275" s="40">
        <v>0</v>
      </c>
      <c r="G4275" s="40"/>
      <c r="H4275" s="40" t="s">
        <v>2234</v>
      </c>
      <c r="I4275" s="40"/>
      <c r="J4275" s="40" t="s">
        <v>97</v>
      </c>
      <c r="K4275" s="40" t="s">
        <v>97</v>
      </c>
      <c r="L4275" s="40" t="s">
        <v>97</v>
      </c>
    </row>
    <row r="4276" spans="1:12" x14ac:dyDescent="0.25">
      <c r="A4276" s="40" t="s">
        <v>19</v>
      </c>
      <c r="B4276" s="40" t="s">
        <v>525</v>
      </c>
      <c r="C4276" s="40" t="s">
        <v>7212</v>
      </c>
      <c r="D4276" s="40" t="s">
        <v>965</v>
      </c>
      <c r="E4276" s="40" t="s">
        <v>2233</v>
      </c>
      <c r="F4276" s="40">
        <v>0</v>
      </c>
      <c r="G4276" s="40"/>
      <c r="H4276" s="40" t="s">
        <v>2234</v>
      </c>
      <c r="I4276" s="40"/>
      <c r="J4276" s="40" t="s">
        <v>97</v>
      </c>
      <c r="K4276" s="40" t="s">
        <v>97</v>
      </c>
      <c r="L4276" s="40" t="s">
        <v>97</v>
      </c>
    </row>
    <row r="4277" spans="1:12" x14ac:dyDescent="0.25">
      <c r="A4277" s="40" t="s">
        <v>19</v>
      </c>
      <c r="B4277" s="40" t="s">
        <v>527</v>
      </c>
      <c r="C4277" s="40" t="s">
        <v>7213</v>
      </c>
      <c r="D4277" s="40" t="s">
        <v>965</v>
      </c>
      <c r="E4277" s="40" t="s">
        <v>2233</v>
      </c>
      <c r="F4277" s="40">
        <v>0</v>
      </c>
      <c r="G4277" s="40"/>
      <c r="H4277" s="40" t="s">
        <v>2234</v>
      </c>
      <c r="I4277" s="40"/>
      <c r="J4277" s="40" t="s">
        <v>97</v>
      </c>
      <c r="K4277" s="40" t="s">
        <v>97</v>
      </c>
      <c r="L4277" s="40" t="s">
        <v>97</v>
      </c>
    </row>
    <row r="4278" spans="1:12" x14ac:dyDescent="0.25">
      <c r="A4278" s="40" t="s">
        <v>19</v>
      </c>
      <c r="B4278" s="40" t="s">
        <v>529</v>
      </c>
      <c r="C4278" s="40" t="s">
        <v>7214</v>
      </c>
      <c r="D4278" s="40" t="s">
        <v>2233</v>
      </c>
      <c r="E4278" s="40" t="s">
        <v>2233</v>
      </c>
      <c r="F4278" s="40">
        <v>1</v>
      </c>
      <c r="G4278" s="40"/>
      <c r="H4278" s="40" t="s">
        <v>2234</v>
      </c>
      <c r="I4278" s="40"/>
      <c r="J4278" s="40" t="s">
        <v>97</v>
      </c>
      <c r="K4278" s="40" t="s">
        <v>97</v>
      </c>
      <c r="L4278" s="40" t="s">
        <v>97</v>
      </c>
    </row>
    <row r="4279" spans="1:12" x14ac:dyDescent="0.25">
      <c r="A4279" s="40" t="s">
        <v>19</v>
      </c>
      <c r="B4279" s="40" t="s">
        <v>531</v>
      </c>
      <c r="C4279" s="40" t="s">
        <v>7215</v>
      </c>
      <c r="D4279" s="40" t="s">
        <v>6070</v>
      </c>
      <c r="E4279" s="40" t="s">
        <v>2233</v>
      </c>
      <c r="F4279" s="40">
        <v>0</v>
      </c>
      <c r="G4279" s="40"/>
      <c r="H4279" s="40" t="s">
        <v>2234</v>
      </c>
      <c r="I4279" s="40"/>
      <c r="J4279" s="40" t="s">
        <v>97</v>
      </c>
      <c r="K4279" s="40" t="s">
        <v>97</v>
      </c>
      <c r="L4279" s="40" t="s">
        <v>97</v>
      </c>
    </row>
    <row r="4280" spans="1:12" x14ac:dyDescent="0.25">
      <c r="A4280" s="40" t="s">
        <v>19</v>
      </c>
      <c r="B4280" s="40" t="s">
        <v>533</v>
      </c>
      <c r="C4280" s="40" t="s">
        <v>7216</v>
      </c>
      <c r="D4280" s="40" t="s">
        <v>2233</v>
      </c>
      <c r="E4280" s="40" t="s">
        <v>2233</v>
      </c>
      <c r="F4280" s="40">
        <v>1</v>
      </c>
      <c r="G4280" s="40"/>
      <c r="H4280" s="40" t="s">
        <v>2234</v>
      </c>
      <c r="I4280" s="40"/>
      <c r="J4280" s="40" t="s">
        <v>97</v>
      </c>
      <c r="K4280" s="40" t="s">
        <v>97</v>
      </c>
      <c r="L4280" s="40" t="s">
        <v>97</v>
      </c>
    </row>
    <row r="4281" spans="1:12" x14ac:dyDescent="0.25">
      <c r="A4281" s="40" t="s">
        <v>19</v>
      </c>
      <c r="B4281" s="40" t="s">
        <v>535</v>
      </c>
      <c r="C4281" s="40" t="s">
        <v>7217</v>
      </c>
      <c r="D4281" s="40" t="s">
        <v>483</v>
      </c>
      <c r="E4281" s="40" t="s">
        <v>483</v>
      </c>
      <c r="F4281" s="40">
        <v>1</v>
      </c>
      <c r="G4281" s="40"/>
      <c r="H4281" s="40" t="s">
        <v>97</v>
      </c>
      <c r="I4281" s="40"/>
      <c r="J4281" s="40" t="s">
        <v>97</v>
      </c>
      <c r="K4281" s="40" t="s">
        <v>97</v>
      </c>
      <c r="L4281" s="40" t="s">
        <v>97</v>
      </c>
    </row>
    <row r="4282" spans="1:12" x14ac:dyDescent="0.25">
      <c r="A4282" s="40" t="s">
        <v>19</v>
      </c>
      <c r="B4282" s="40" t="s">
        <v>537</v>
      </c>
      <c r="C4282" s="40" t="s">
        <v>7218</v>
      </c>
      <c r="D4282" s="40" t="s">
        <v>2233</v>
      </c>
      <c r="E4282" s="40" t="s">
        <v>2233</v>
      </c>
      <c r="F4282" s="40">
        <v>1</v>
      </c>
      <c r="G4282" s="40"/>
      <c r="H4282" s="40" t="s">
        <v>2234</v>
      </c>
      <c r="I4282" s="40"/>
      <c r="J4282" s="40" t="s">
        <v>97</v>
      </c>
      <c r="K4282" s="40" t="s">
        <v>97</v>
      </c>
      <c r="L4282" s="40" t="s">
        <v>97</v>
      </c>
    </row>
    <row r="4283" spans="1:12" x14ac:dyDescent="0.25">
      <c r="A4283" s="40" t="s">
        <v>19</v>
      </c>
      <c r="B4283" s="40" t="s">
        <v>540</v>
      </c>
      <c r="C4283" s="40" t="s">
        <v>7219</v>
      </c>
      <c r="D4283" s="40" t="s">
        <v>2233</v>
      </c>
      <c r="E4283" s="40" t="s">
        <v>2233</v>
      </c>
      <c r="F4283" s="40">
        <v>1</v>
      </c>
      <c r="G4283" s="40"/>
      <c r="H4283" s="40" t="s">
        <v>2234</v>
      </c>
      <c r="I4283" s="40"/>
      <c r="J4283" s="40" t="s">
        <v>97</v>
      </c>
      <c r="K4283" s="40" t="s">
        <v>97</v>
      </c>
      <c r="L4283" s="40" t="s">
        <v>97</v>
      </c>
    </row>
    <row r="4284" spans="1:12" x14ac:dyDescent="0.25">
      <c r="A4284" s="40" t="s">
        <v>19</v>
      </c>
      <c r="B4284" s="40" t="s">
        <v>542</v>
      </c>
      <c r="C4284" s="40" t="s">
        <v>7220</v>
      </c>
      <c r="D4284" s="40" t="s">
        <v>2233</v>
      </c>
      <c r="E4284" s="40" t="s">
        <v>2233</v>
      </c>
      <c r="F4284" s="40">
        <v>1</v>
      </c>
      <c r="G4284" s="40"/>
      <c r="H4284" s="40" t="s">
        <v>2234</v>
      </c>
      <c r="I4284" s="40"/>
      <c r="J4284" s="40" t="s">
        <v>97</v>
      </c>
      <c r="K4284" s="40" t="s">
        <v>97</v>
      </c>
      <c r="L4284" s="40" t="s">
        <v>97</v>
      </c>
    </row>
    <row r="4285" spans="1:12" x14ac:dyDescent="0.25">
      <c r="A4285" s="40" t="s">
        <v>19</v>
      </c>
      <c r="B4285" s="40" t="s">
        <v>544</v>
      </c>
      <c r="C4285" s="40" t="s">
        <v>7221</v>
      </c>
      <c r="D4285" s="40" t="s">
        <v>2233</v>
      </c>
      <c r="E4285" s="40" t="s">
        <v>2233</v>
      </c>
      <c r="F4285" s="40">
        <v>1</v>
      </c>
      <c r="G4285" s="40"/>
      <c r="H4285" s="40" t="s">
        <v>97</v>
      </c>
      <c r="I4285" s="40"/>
      <c r="J4285" s="40" t="s">
        <v>97</v>
      </c>
      <c r="K4285" s="40" t="s">
        <v>97</v>
      </c>
      <c r="L4285" s="40" t="s">
        <v>97</v>
      </c>
    </row>
    <row r="4286" spans="1:12" x14ac:dyDescent="0.25">
      <c r="A4286" s="40" t="s">
        <v>19</v>
      </c>
      <c r="B4286" s="40" t="s">
        <v>1337</v>
      </c>
      <c r="C4286" s="40" t="s">
        <v>7222</v>
      </c>
      <c r="D4286" s="40" t="s">
        <v>2233</v>
      </c>
      <c r="E4286" s="40" t="s">
        <v>2233</v>
      </c>
      <c r="F4286" s="40">
        <v>1</v>
      </c>
      <c r="G4286" s="40"/>
      <c r="H4286" s="40" t="s">
        <v>2234</v>
      </c>
      <c r="I4286" s="40"/>
      <c r="J4286" s="40" t="s">
        <v>97</v>
      </c>
      <c r="K4286" s="40" t="s">
        <v>97</v>
      </c>
      <c r="L4286" s="40" t="s">
        <v>97</v>
      </c>
    </row>
    <row r="4287" spans="1:12" x14ac:dyDescent="0.25">
      <c r="A4287" s="40" t="s">
        <v>19</v>
      </c>
      <c r="B4287" s="40" t="s">
        <v>548</v>
      </c>
      <c r="C4287" s="40" t="s">
        <v>7223</v>
      </c>
      <c r="D4287" s="40" t="s">
        <v>2248</v>
      </c>
      <c r="E4287" s="40" t="s">
        <v>2233</v>
      </c>
      <c r="F4287" s="40">
        <v>0</v>
      </c>
      <c r="G4287" s="40"/>
      <c r="H4287" s="40" t="s">
        <v>2234</v>
      </c>
      <c r="I4287" s="40"/>
      <c r="J4287" s="40" t="s">
        <v>97</v>
      </c>
      <c r="K4287" s="40" t="s">
        <v>97</v>
      </c>
      <c r="L4287" s="40" t="s">
        <v>97</v>
      </c>
    </row>
    <row r="4288" spans="1:12" x14ac:dyDescent="0.25">
      <c r="A4288" s="40" t="s">
        <v>19</v>
      </c>
      <c r="B4288" s="40" t="s">
        <v>3177</v>
      </c>
      <c r="C4288" s="40" t="s">
        <v>7224</v>
      </c>
      <c r="D4288" s="40" t="s">
        <v>2233</v>
      </c>
      <c r="E4288" s="40" t="s">
        <v>2233</v>
      </c>
      <c r="F4288" s="40">
        <v>1</v>
      </c>
      <c r="G4288" s="40"/>
      <c r="H4288" s="40" t="s">
        <v>2234</v>
      </c>
      <c r="I4288" s="40"/>
      <c r="J4288" s="40" t="s">
        <v>97</v>
      </c>
      <c r="K4288" s="40" t="s">
        <v>97</v>
      </c>
      <c r="L4288" s="40" t="s">
        <v>97</v>
      </c>
    </row>
    <row r="4289" spans="1:12" x14ac:dyDescent="0.25">
      <c r="A4289" s="40" t="s">
        <v>19</v>
      </c>
      <c r="B4289" s="40" t="s">
        <v>1339</v>
      </c>
      <c r="C4289" s="40" t="s">
        <v>7225</v>
      </c>
      <c r="D4289" s="40" t="s">
        <v>7226</v>
      </c>
      <c r="E4289" s="40" t="s">
        <v>7227</v>
      </c>
      <c r="F4289" s="40">
        <v>0</v>
      </c>
      <c r="G4289" s="40"/>
      <c r="H4289" s="40" t="s">
        <v>97</v>
      </c>
      <c r="I4289" s="40"/>
      <c r="J4289" s="40" t="s">
        <v>97</v>
      </c>
      <c r="K4289" s="40" t="s">
        <v>97</v>
      </c>
      <c r="L4289" s="40" t="s">
        <v>97</v>
      </c>
    </row>
    <row r="4290" spans="1:12" x14ac:dyDescent="0.25">
      <c r="A4290" s="40" t="s">
        <v>19</v>
      </c>
      <c r="B4290" s="40" t="s">
        <v>1341</v>
      </c>
      <c r="C4290" s="40" t="s">
        <v>7228</v>
      </c>
      <c r="D4290" s="40" t="s">
        <v>7229</v>
      </c>
      <c r="E4290" s="40" t="s">
        <v>7230</v>
      </c>
      <c r="F4290" s="40">
        <v>0</v>
      </c>
      <c r="G4290" s="40"/>
      <c r="H4290" s="40" t="s">
        <v>97</v>
      </c>
      <c r="I4290" s="40"/>
      <c r="J4290" s="40" t="s">
        <v>97</v>
      </c>
      <c r="K4290" s="40" t="s">
        <v>97</v>
      </c>
      <c r="L4290" s="40" t="s">
        <v>97</v>
      </c>
    </row>
    <row r="4291" spans="1:12" x14ac:dyDescent="0.25">
      <c r="A4291" s="40" t="s">
        <v>19</v>
      </c>
      <c r="B4291" s="40" t="s">
        <v>1343</v>
      </c>
      <c r="C4291" s="40" t="s">
        <v>7231</v>
      </c>
      <c r="D4291" s="40" t="s">
        <v>676</v>
      </c>
      <c r="E4291" s="40" t="s">
        <v>7232</v>
      </c>
      <c r="F4291" s="40">
        <v>0</v>
      </c>
      <c r="G4291" s="40"/>
      <c r="H4291" s="40" t="s">
        <v>97</v>
      </c>
      <c r="I4291" s="40"/>
      <c r="J4291" s="40" t="s">
        <v>97</v>
      </c>
      <c r="K4291" s="40" t="s">
        <v>97</v>
      </c>
      <c r="L4291" s="40" t="s">
        <v>97</v>
      </c>
    </row>
    <row r="4292" spans="1:12" x14ac:dyDescent="0.25">
      <c r="A4292" s="40" t="s">
        <v>19</v>
      </c>
      <c r="B4292" s="40" t="s">
        <v>6134</v>
      </c>
      <c r="C4292" s="40" t="s">
        <v>7233</v>
      </c>
      <c r="D4292" s="40" t="s">
        <v>2248</v>
      </c>
      <c r="E4292" s="40" t="s">
        <v>7234</v>
      </c>
      <c r="F4292" s="40">
        <v>0</v>
      </c>
      <c r="G4292" s="40"/>
      <c r="H4292" s="40" t="s">
        <v>97</v>
      </c>
      <c r="I4292" s="40"/>
      <c r="J4292" s="40" t="s">
        <v>97</v>
      </c>
      <c r="K4292" s="40" t="s">
        <v>97</v>
      </c>
      <c r="L4292" s="40" t="s">
        <v>97</v>
      </c>
    </row>
    <row r="4293" spans="1:12" x14ac:dyDescent="0.25">
      <c r="A4293" s="40" t="s">
        <v>19</v>
      </c>
      <c r="B4293" s="40" t="s">
        <v>550</v>
      </c>
      <c r="C4293" s="40" t="s">
        <v>7235</v>
      </c>
      <c r="D4293" s="40" t="s">
        <v>2233</v>
      </c>
      <c r="E4293" s="40" t="s">
        <v>2233</v>
      </c>
      <c r="F4293" s="40">
        <v>1</v>
      </c>
      <c r="G4293" s="40"/>
      <c r="H4293" s="40" t="s">
        <v>97</v>
      </c>
      <c r="I4293" s="40"/>
      <c r="J4293" s="40">
        <v>1</v>
      </c>
      <c r="K4293" s="40">
        <v>1</v>
      </c>
      <c r="L4293" s="40" t="s">
        <v>97</v>
      </c>
    </row>
    <row r="4294" spans="1:12" x14ac:dyDescent="0.25">
      <c r="A4294" s="40" t="s">
        <v>19</v>
      </c>
      <c r="B4294" s="40" t="s">
        <v>553</v>
      </c>
      <c r="C4294" s="40" t="s">
        <v>7236</v>
      </c>
      <c r="D4294" s="40" t="s">
        <v>2233</v>
      </c>
      <c r="E4294" s="40" t="s">
        <v>2233</v>
      </c>
      <c r="F4294" s="40">
        <v>1</v>
      </c>
      <c r="G4294" s="40"/>
      <c r="H4294" s="40" t="s">
        <v>97</v>
      </c>
      <c r="I4294" s="40"/>
      <c r="J4294" s="40">
        <v>1</v>
      </c>
      <c r="K4294" s="40">
        <v>1</v>
      </c>
      <c r="L4294" s="40" t="s">
        <v>97</v>
      </c>
    </row>
    <row r="4295" spans="1:12" x14ac:dyDescent="0.25">
      <c r="A4295" s="40" t="s">
        <v>19</v>
      </c>
      <c r="B4295" s="40" t="s">
        <v>555</v>
      </c>
      <c r="C4295" s="40" t="s">
        <v>7237</v>
      </c>
      <c r="D4295" s="40" t="s">
        <v>2233</v>
      </c>
      <c r="E4295" s="40" t="s">
        <v>2233</v>
      </c>
      <c r="F4295" s="40">
        <v>1</v>
      </c>
      <c r="G4295" s="40"/>
      <c r="H4295" s="40" t="s">
        <v>2234</v>
      </c>
      <c r="I4295" s="40"/>
      <c r="J4295" s="40" t="s">
        <v>97</v>
      </c>
      <c r="K4295" s="40" t="s">
        <v>97</v>
      </c>
      <c r="L4295" s="40" t="s">
        <v>97</v>
      </c>
    </row>
    <row r="4296" spans="1:12" x14ac:dyDescent="0.25">
      <c r="A4296" s="40" t="s">
        <v>19</v>
      </c>
      <c r="B4296" s="40" t="s">
        <v>558</v>
      </c>
      <c r="C4296" s="40" t="s">
        <v>7238</v>
      </c>
      <c r="D4296" s="40" t="s">
        <v>2233</v>
      </c>
      <c r="E4296" s="40" t="s">
        <v>2233</v>
      </c>
      <c r="F4296" s="40">
        <v>1</v>
      </c>
      <c r="G4296" s="40"/>
      <c r="H4296" s="40" t="s">
        <v>2234</v>
      </c>
      <c r="I4296" s="40"/>
      <c r="J4296" s="40" t="s">
        <v>97</v>
      </c>
      <c r="K4296" s="40" t="s">
        <v>97</v>
      </c>
      <c r="L4296" s="40" t="s">
        <v>97</v>
      </c>
    </row>
    <row r="4297" spans="1:12" x14ac:dyDescent="0.25">
      <c r="A4297" s="40" t="s">
        <v>19</v>
      </c>
      <c r="B4297" s="40" t="s">
        <v>561</v>
      </c>
      <c r="C4297" s="40" t="s">
        <v>7239</v>
      </c>
      <c r="D4297" s="40" t="s">
        <v>7240</v>
      </c>
      <c r="E4297" s="40" t="s">
        <v>2233</v>
      </c>
      <c r="F4297" s="40">
        <v>0</v>
      </c>
      <c r="G4297" s="40"/>
      <c r="H4297" s="40" t="s">
        <v>2234</v>
      </c>
      <c r="I4297" s="40"/>
      <c r="J4297" s="40" t="s">
        <v>97</v>
      </c>
      <c r="K4297" s="40" t="s">
        <v>97</v>
      </c>
      <c r="L4297" s="40" t="s">
        <v>97</v>
      </c>
    </row>
    <row r="4298" spans="1:12" x14ac:dyDescent="0.25">
      <c r="A4298" s="40" t="s">
        <v>19</v>
      </c>
      <c r="B4298" s="40" t="s">
        <v>2416</v>
      </c>
      <c r="C4298" s="40" t="s">
        <v>7241</v>
      </c>
      <c r="D4298" s="40" t="s">
        <v>3096</v>
      </c>
      <c r="E4298" s="40" t="s">
        <v>2233</v>
      </c>
      <c r="F4298" s="40">
        <v>0</v>
      </c>
      <c r="G4298" s="40"/>
      <c r="H4298" s="40" t="s">
        <v>2234</v>
      </c>
      <c r="I4298" s="40"/>
      <c r="J4298" s="40" t="s">
        <v>97</v>
      </c>
      <c r="K4298" s="40" t="s">
        <v>97</v>
      </c>
      <c r="L4298" s="40" t="s">
        <v>97</v>
      </c>
    </row>
    <row r="4299" spans="1:12" x14ac:dyDescent="0.25">
      <c r="A4299" s="40" t="s">
        <v>19</v>
      </c>
      <c r="B4299" s="40" t="s">
        <v>1345</v>
      </c>
      <c r="C4299" s="40" t="s">
        <v>7242</v>
      </c>
      <c r="D4299" s="40" t="s">
        <v>2233</v>
      </c>
      <c r="E4299" s="40" t="s">
        <v>2233</v>
      </c>
      <c r="F4299" s="40">
        <v>1</v>
      </c>
      <c r="G4299" s="40"/>
      <c r="H4299" s="40" t="s">
        <v>97</v>
      </c>
      <c r="I4299" s="40"/>
      <c r="J4299" s="40" t="s">
        <v>97</v>
      </c>
      <c r="K4299" s="40" t="s">
        <v>97</v>
      </c>
      <c r="L4299" s="40" t="s">
        <v>97</v>
      </c>
    </row>
    <row r="4300" spans="1:12" x14ac:dyDescent="0.25">
      <c r="A4300" s="40" t="s">
        <v>19</v>
      </c>
      <c r="B4300" s="40" t="s">
        <v>1347</v>
      </c>
      <c r="C4300" s="40" t="s">
        <v>7243</v>
      </c>
      <c r="D4300" s="40" t="s">
        <v>7240</v>
      </c>
      <c r="E4300" s="40" t="s">
        <v>2233</v>
      </c>
      <c r="F4300" s="40">
        <v>0</v>
      </c>
      <c r="G4300" s="40"/>
      <c r="H4300" s="40" t="s">
        <v>2234</v>
      </c>
      <c r="I4300" s="40"/>
      <c r="J4300" s="40" t="s">
        <v>97</v>
      </c>
      <c r="K4300" s="40" t="s">
        <v>97</v>
      </c>
      <c r="L4300" s="40" t="s">
        <v>97</v>
      </c>
    </row>
    <row r="4301" spans="1:12" x14ac:dyDescent="0.25">
      <c r="A4301" s="40" t="s">
        <v>19</v>
      </c>
      <c r="B4301" s="40" t="s">
        <v>1349</v>
      </c>
      <c r="C4301" s="40" t="s">
        <v>7244</v>
      </c>
      <c r="D4301" s="40" t="s">
        <v>7245</v>
      </c>
      <c r="E4301" s="40" t="s">
        <v>2233</v>
      </c>
      <c r="F4301" s="40">
        <v>0</v>
      </c>
      <c r="G4301" s="40"/>
      <c r="H4301" s="40" t="s">
        <v>2234</v>
      </c>
      <c r="I4301" s="40"/>
      <c r="J4301" s="40" t="s">
        <v>97</v>
      </c>
      <c r="K4301" s="40" t="s">
        <v>97</v>
      </c>
      <c r="L4301" s="40" t="s">
        <v>97</v>
      </c>
    </row>
    <row r="4302" spans="1:12" x14ac:dyDescent="0.25">
      <c r="A4302" s="40" t="s">
        <v>19</v>
      </c>
      <c r="B4302" s="40" t="s">
        <v>2252</v>
      </c>
      <c r="C4302" s="40" t="s">
        <v>7246</v>
      </c>
      <c r="D4302" s="40" t="s">
        <v>2233</v>
      </c>
      <c r="E4302" s="40" t="s">
        <v>2233</v>
      </c>
      <c r="F4302" s="40">
        <v>1</v>
      </c>
      <c r="G4302" s="40"/>
      <c r="H4302" s="40" t="s">
        <v>97</v>
      </c>
      <c r="I4302" s="40"/>
      <c r="J4302" s="40" t="s">
        <v>97</v>
      </c>
      <c r="K4302" s="40" t="s">
        <v>97</v>
      </c>
      <c r="L4302" s="40" t="s">
        <v>97</v>
      </c>
    </row>
    <row r="4303" spans="1:12" x14ac:dyDescent="0.25">
      <c r="A4303" s="40" t="s">
        <v>19</v>
      </c>
      <c r="B4303" s="40" t="s">
        <v>2254</v>
      </c>
      <c r="C4303" s="40" t="s">
        <v>7247</v>
      </c>
      <c r="D4303" s="40" t="s">
        <v>7240</v>
      </c>
      <c r="E4303" s="40" t="s">
        <v>2233</v>
      </c>
      <c r="F4303" s="40">
        <v>0</v>
      </c>
      <c r="G4303" s="40"/>
      <c r="H4303" s="40" t="s">
        <v>2234</v>
      </c>
      <c r="I4303" s="40"/>
      <c r="J4303" s="40" t="s">
        <v>97</v>
      </c>
      <c r="K4303" s="40" t="s">
        <v>97</v>
      </c>
      <c r="L4303" s="40" t="s">
        <v>97</v>
      </c>
    </row>
    <row r="4304" spans="1:12" x14ac:dyDescent="0.25">
      <c r="A4304" s="40" t="s">
        <v>19</v>
      </c>
      <c r="B4304" s="40" t="s">
        <v>2256</v>
      </c>
      <c r="C4304" s="40" t="s">
        <v>7248</v>
      </c>
      <c r="D4304" s="40" t="s">
        <v>7245</v>
      </c>
      <c r="E4304" s="40" t="s">
        <v>2233</v>
      </c>
      <c r="F4304" s="40">
        <v>0</v>
      </c>
      <c r="G4304" s="40"/>
      <c r="H4304" s="40" t="s">
        <v>2234</v>
      </c>
      <c r="I4304" s="40"/>
      <c r="J4304" s="40" t="s">
        <v>97</v>
      </c>
      <c r="K4304" s="40" t="s">
        <v>97</v>
      </c>
      <c r="L4304" s="40" t="s">
        <v>97</v>
      </c>
    </row>
    <row r="4305" spans="1:12" x14ac:dyDescent="0.25">
      <c r="A4305" s="40" t="s">
        <v>19</v>
      </c>
      <c r="B4305" s="40" t="s">
        <v>565</v>
      </c>
      <c r="C4305" s="40" t="s">
        <v>7249</v>
      </c>
      <c r="D4305" s="40" t="s">
        <v>2233</v>
      </c>
      <c r="E4305" s="40" t="s">
        <v>2233</v>
      </c>
      <c r="F4305" s="40">
        <v>1</v>
      </c>
      <c r="G4305" s="40"/>
      <c r="H4305" s="40" t="s">
        <v>97</v>
      </c>
      <c r="I4305" s="40"/>
      <c r="J4305" s="40" t="s">
        <v>97</v>
      </c>
      <c r="K4305" s="40" t="s">
        <v>97</v>
      </c>
      <c r="L4305" s="40" t="s">
        <v>97</v>
      </c>
    </row>
    <row r="4306" spans="1:12" x14ac:dyDescent="0.25">
      <c r="A4306" s="40" t="s">
        <v>19</v>
      </c>
      <c r="B4306" s="40" t="s">
        <v>567</v>
      </c>
      <c r="C4306" s="40" t="s">
        <v>7250</v>
      </c>
      <c r="D4306" s="40" t="s">
        <v>7240</v>
      </c>
      <c r="E4306" s="40" t="s">
        <v>2233</v>
      </c>
      <c r="F4306" s="40">
        <v>0</v>
      </c>
      <c r="G4306" s="40"/>
      <c r="H4306" s="40" t="s">
        <v>2234</v>
      </c>
      <c r="I4306" s="40"/>
      <c r="J4306" s="40" t="s">
        <v>97</v>
      </c>
      <c r="K4306" s="40" t="s">
        <v>97</v>
      </c>
      <c r="L4306" s="40" t="s">
        <v>97</v>
      </c>
    </row>
    <row r="4307" spans="1:12" x14ac:dyDescent="0.25">
      <c r="A4307" s="40" t="s">
        <v>19</v>
      </c>
      <c r="B4307" s="40" t="s">
        <v>570</v>
      </c>
      <c r="C4307" s="40" t="s">
        <v>7251</v>
      </c>
      <c r="D4307" s="40" t="s">
        <v>7245</v>
      </c>
      <c r="E4307" s="40" t="s">
        <v>2233</v>
      </c>
      <c r="F4307" s="40">
        <v>0</v>
      </c>
      <c r="G4307" s="40"/>
      <c r="H4307" s="40" t="s">
        <v>2234</v>
      </c>
      <c r="I4307" s="40"/>
      <c r="J4307" s="40" t="s">
        <v>97</v>
      </c>
      <c r="K4307" s="40" t="s">
        <v>97</v>
      </c>
      <c r="L4307" s="40" t="s">
        <v>97</v>
      </c>
    </row>
    <row r="4308" spans="1:12" x14ac:dyDescent="0.25">
      <c r="A4308" s="40" t="s">
        <v>19</v>
      </c>
      <c r="B4308" s="40" t="s">
        <v>574</v>
      </c>
      <c r="C4308" s="40" t="s">
        <v>7252</v>
      </c>
      <c r="D4308" s="40" t="s">
        <v>2233</v>
      </c>
      <c r="E4308" s="40" t="s">
        <v>2233</v>
      </c>
      <c r="F4308" s="40">
        <v>1</v>
      </c>
      <c r="G4308" s="40"/>
      <c r="H4308" s="40" t="s">
        <v>97</v>
      </c>
      <c r="I4308" s="40"/>
      <c r="J4308" s="40" t="s">
        <v>97</v>
      </c>
      <c r="K4308" s="40" t="s">
        <v>97</v>
      </c>
      <c r="L4308" s="40" t="s">
        <v>97</v>
      </c>
    </row>
    <row r="4309" spans="1:12" x14ac:dyDescent="0.25">
      <c r="A4309" s="40" t="s">
        <v>19</v>
      </c>
      <c r="B4309" s="40" t="s">
        <v>3118</v>
      </c>
      <c r="C4309" s="40" t="s">
        <v>7253</v>
      </c>
      <c r="D4309" s="40" t="s">
        <v>7240</v>
      </c>
      <c r="E4309" s="40" t="s">
        <v>2233</v>
      </c>
      <c r="F4309" s="40">
        <v>0</v>
      </c>
      <c r="G4309" s="40"/>
      <c r="H4309" s="40" t="s">
        <v>2234</v>
      </c>
      <c r="I4309" s="40"/>
      <c r="J4309" s="40" t="s">
        <v>97</v>
      </c>
      <c r="K4309" s="40" t="s">
        <v>97</v>
      </c>
      <c r="L4309" s="40" t="s">
        <v>97</v>
      </c>
    </row>
    <row r="4310" spans="1:12" x14ac:dyDescent="0.25">
      <c r="A4310" s="40" t="s">
        <v>19</v>
      </c>
      <c r="B4310" s="40" t="s">
        <v>3120</v>
      </c>
      <c r="C4310" s="40" t="s">
        <v>7254</v>
      </c>
      <c r="D4310" s="40" t="s">
        <v>7245</v>
      </c>
      <c r="E4310" s="40" t="s">
        <v>2233</v>
      </c>
      <c r="F4310" s="40">
        <v>0</v>
      </c>
      <c r="G4310" s="40"/>
      <c r="H4310" s="40" t="s">
        <v>2234</v>
      </c>
      <c r="I4310" s="40"/>
      <c r="J4310" s="40" t="s">
        <v>97</v>
      </c>
      <c r="K4310" s="40" t="s">
        <v>97</v>
      </c>
      <c r="L4310" s="40" t="s">
        <v>97</v>
      </c>
    </row>
    <row r="4311" spans="1:12" x14ac:dyDescent="0.25">
      <c r="A4311" s="40" t="s">
        <v>19</v>
      </c>
      <c r="B4311" s="40" t="s">
        <v>7255</v>
      </c>
      <c r="C4311" s="40" t="s">
        <v>7256</v>
      </c>
      <c r="D4311" s="40" t="s">
        <v>2233</v>
      </c>
      <c r="E4311" s="40" t="s">
        <v>2233</v>
      </c>
      <c r="F4311" s="40">
        <v>1</v>
      </c>
      <c r="G4311" s="40"/>
      <c r="H4311" s="40" t="s">
        <v>97</v>
      </c>
      <c r="I4311" s="40"/>
      <c r="J4311" s="40" t="s">
        <v>97</v>
      </c>
      <c r="K4311" s="40" t="s">
        <v>97</v>
      </c>
      <c r="L4311" s="40" t="s">
        <v>97</v>
      </c>
    </row>
    <row r="4312" spans="1:12" x14ac:dyDescent="0.25">
      <c r="A4312" s="40" t="s">
        <v>19</v>
      </c>
      <c r="B4312" s="40" t="s">
        <v>1351</v>
      </c>
      <c r="C4312" s="40" t="s">
        <v>7257</v>
      </c>
      <c r="D4312" s="40" t="s">
        <v>2233</v>
      </c>
      <c r="E4312" s="40" t="s">
        <v>2233</v>
      </c>
      <c r="F4312" s="40">
        <v>1</v>
      </c>
      <c r="G4312" s="40"/>
      <c r="H4312" s="40" t="s">
        <v>2234</v>
      </c>
      <c r="I4312" s="40"/>
      <c r="J4312" s="40" t="s">
        <v>97</v>
      </c>
      <c r="K4312" s="40" t="s">
        <v>97</v>
      </c>
      <c r="L4312" s="40" t="s">
        <v>97</v>
      </c>
    </row>
    <row r="4313" spans="1:12" x14ac:dyDescent="0.25">
      <c r="A4313" s="40" t="s">
        <v>19</v>
      </c>
      <c r="B4313" s="40" t="s">
        <v>577</v>
      </c>
      <c r="C4313" s="40" t="s">
        <v>7258</v>
      </c>
      <c r="D4313" s="40" t="s">
        <v>2233</v>
      </c>
      <c r="E4313" s="40" t="s">
        <v>2233</v>
      </c>
      <c r="F4313" s="40">
        <v>1</v>
      </c>
      <c r="G4313" s="40"/>
      <c r="H4313" s="40" t="s">
        <v>2234</v>
      </c>
      <c r="I4313" s="40"/>
      <c r="J4313" s="40" t="s">
        <v>97</v>
      </c>
      <c r="K4313" s="40" t="s">
        <v>97</v>
      </c>
      <c r="L4313" s="40" t="s">
        <v>97</v>
      </c>
    </row>
    <row r="4314" spans="1:12" x14ac:dyDescent="0.25">
      <c r="A4314" s="40" t="s">
        <v>19</v>
      </c>
      <c r="B4314" s="40" t="s">
        <v>580</v>
      </c>
      <c r="C4314" s="40" t="s">
        <v>7259</v>
      </c>
      <c r="D4314" s="40" t="s">
        <v>2233</v>
      </c>
      <c r="E4314" s="40" t="s">
        <v>2233</v>
      </c>
      <c r="F4314" s="40">
        <v>1</v>
      </c>
      <c r="G4314" s="40"/>
      <c r="H4314" s="40" t="s">
        <v>97</v>
      </c>
      <c r="I4314" s="40"/>
      <c r="J4314" s="40" t="s">
        <v>97</v>
      </c>
      <c r="K4314" s="40" t="s">
        <v>97</v>
      </c>
      <c r="L4314" s="40" t="s">
        <v>97</v>
      </c>
    </row>
    <row r="4315" spans="1:12" x14ac:dyDescent="0.25">
      <c r="A4315" s="40" t="s">
        <v>19</v>
      </c>
      <c r="B4315" s="40" t="s">
        <v>582</v>
      </c>
      <c r="C4315" s="40" t="s">
        <v>7260</v>
      </c>
      <c r="D4315" s="40" t="s">
        <v>2233</v>
      </c>
      <c r="E4315" s="40" t="s">
        <v>2233</v>
      </c>
      <c r="F4315" s="40">
        <v>1</v>
      </c>
      <c r="G4315" s="40"/>
      <c r="H4315" s="40" t="s">
        <v>2234</v>
      </c>
      <c r="I4315" s="40"/>
      <c r="J4315" s="40" t="s">
        <v>97</v>
      </c>
      <c r="K4315" s="40" t="s">
        <v>97</v>
      </c>
      <c r="L4315" s="40" t="s">
        <v>97</v>
      </c>
    </row>
  </sheetData>
  <autoFilter ref="A10:L10" xr:uid="{00000000-0009-0000-0000-000005000000}"/>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92D050"/>
  </sheetPr>
  <dimension ref="A1:H49"/>
  <sheetViews>
    <sheetView workbookViewId="0">
      <pane ySplit="1" topLeftCell="A11" activePane="bottomLeft" state="frozen"/>
      <selection pane="bottomLeft" activeCell="C19" sqref="C19"/>
    </sheetView>
  </sheetViews>
  <sheetFormatPr defaultColWidth="9.140625" defaultRowHeight="15" x14ac:dyDescent="0.25"/>
  <cols>
    <col min="1" max="1" width="12.42578125" style="100" bestFit="1" customWidth="1"/>
    <col min="2" max="2" width="39.7109375" style="100" bestFit="1" customWidth="1"/>
    <col min="3" max="3" width="24.28515625" style="100" bestFit="1" customWidth="1"/>
    <col min="4" max="4" width="12.42578125" style="100" bestFit="1" customWidth="1"/>
    <col min="5" max="5" width="9.140625" style="100" customWidth="1"/>
    <col min="6" max="6" width="6.7109375" style="100" bestFit="1" customWidth="1"/>
    <col min="7" max="8" width="7.85546875" style="100" bestFit="1" customWidth="1"/>
    <col min="9" max="130" width="9.140625" style="100" customWidth="1"/>
    <col min="131" max="16384" width="9.140625" style="100"/>
  </cols>
  <sheetData>
    <row r="1" spans="1:8" x14ac:dyDescent="0.25">
      <c r="A1" s="41" t="s">
        <v>13</v>
      </c>
      <c r="B1" s="41" t="s">
        <v>50</v>
      </c>
      <c r="C1" s="41" t="s">
        <v>51</v>
      </c>
      <c r="D1" s="41" t="s">
        <v>52</v>
      </c>
      <c r="F1" s="97" t="s">
        <v>98</v>
      </c>
      <c r="G1" s="97" t="s">
        <v>7261</v>
      </c>
      <c r="H1" s="66" t="s">
        <v>7262</v>
      </c>
    </row>
    <row r="2" spans="1:8" s="98" customFormat="1" x14ac:dyDescent="0.25">
      <c r="A2" s="63" t="s">
        <v>44</v>
      </c>
      <c r="B2" s="63" t="s">
        <v>2526</v>
      </c>
      <c r="C2" s="98" t="str">
        <f>DEC2HEX(2^0*MOD(INPUT!C3*1000,2^F2)+2^20*MOD(INPUT!D3,2^G2)+2^28*MOD(INPUT!E3,2^H2),8)</f>
        <v>00807530</v>
      </c>
      <c r="D2" s="63" t="s">
        <v>2234</v>
      </c>
      <c r="F2" s="98">
        <v>17</v>
      </c>
      <c r="G2" s="98">
        <v>4</v>
      </c>
      <c r="H2" s="64"/>
    </row>
    <row r="3" spans="1:8" s="98" customFormat="1" x14ac:dyDescent="0.25">
      <c r="A3" s="63" t="s">
        <v>44</v>
      </c>
      <c r="B3" s="63" t="s">
        <v>2618</v>
      </c>
      <c r="C3" s="98" t="str">
        <f>DEC2HEX(2^0*MOD(INPUT!C4*1000,2^F3)+2^20*MOD(INPUT!D4,2^G3)+2^28*MOD(INPUT!E4,2^H3),8)</f>
        <v>00303A98</v>
      </c>
      <c r="D3" s="63" t="s">
        <v>2234</v>
      </c>
      <c r="F3" s="98">
        <v>16</v>
      </c>
      <c r="G3" s="98">
        <v>4</v>
      </c>
      <c r="H3" s="64"/>
    </row>
    <row r="4" spans="1:8" s="98" customFormat="1" x14ac:dyDescent="0.25">
      <c r="A4" s="63" t="s">
        <v>44</v>
      </c>
      <c r="B4" s="63" t="s">
        <v>2522</v>
      </c>
      <c r="C4" s="98" t="str">
        <f>DEC2HEX(2^0*MOD(INPUT!C5*1000,2^F4)+2^20*MOD(INPUT!D5,2^G4)+2^28*MOD(INPUT!E5,2^H4),8)</f>
        <v>00201D4C</v>
      </c>
      <c r="D4" s="63" t="s">
        <v>2234</v>
      </c>
      <c r="F4" s="98">
        <v>15</v>
      </c>
      <c r="G4" s="98">
        <v>4</v>
      </c>
      <c r="H4" s="64"/>
    </row>
    <row r="5" spans="1:8" s="98" customFormat="1" x14ac:dyDescent="0.25">
      <c r="A5" s="63" t="s">
        <v>44</v>
      </c>
      <c r="B5" s="63" t="s">
        <v>2524</v>
      </c>
      <c r="C5" s="98" t="str">
        <f>DEC2HEX(2^0*MOD(INPUT!C6*1000,2^F5)+2^20*MOD(INPUT!D6,2^G5)+2^28*MOD(INPUT!E6,2^H5),8)</f>
        <v>0010445C</v>
      </c>
      <c r="D5" s="63" t="s">
        <v>2234</v>
      </c>
      <c r="F5" s="98">
        <v>17</v>
      </c>
      <c r="G5" s="98">
        <v>4</v>
      </c>
      <c r="H5" s="64"/>
    </row>
    <row r="6" spans="1:8" s="98" customFormat="1" x14ac:dyDescent="0.25">
      <c r="A6" s="63" t="s">
        <v>44</v>
      </c>
      <c r="B6" s="63" t="s">
        <v>2615</v>
      </c>
      <c r="C6" s="98" t="str">
        <f>DEC2HEX(2^0*MOD(INPUT!C7*1000,2^F6)+2^20*MOD(INPUT!D7,2^G6)+2^28*MOD(INPUT!E7,2^H6),8)</f>
        <v>00501D4C</v>
      </c>
      <c r="D6" s="63" t="s">
        <v>2234</v>
      </c>
      <c r="F6" s="98">
        <v>15</v>
      </c>
      <c r="G6" s="98">
        <v>8</v>
      </c>
      <c r="H6" s="64"/>
    </row>
    <row r="7" spans="1:8" s="98" customFormat="1" x14ac:dyDescent="0.25">
      <c r="A7" s="63" t="s">
        <v>44</v>
      </c>
      <c r="B7" s="63" t="s">
        <v>2555</v>
      </c>
      <c r="C7" s="98" t="str">
        <f>DEC2HEX(2^0*MOD(INPUT!C8*1000,2^F7)+2^20*MOD(INPUT!D8,2^G7)+2^28*MOD(INPUT!E8,2^H7),8)</f>
        <v>00800000</v>
      </c>
      <c r="D7" s="63" t="s">
        <v>2234</v>
      </c>
      <c r="F7" s="64"/>
      <c r="G7" s="98">
        <v>5</v>
      </c>
      <c r="H7" s="64"/>
    </row>
    <row r="8" spans="1:8" s="98" customFormat="1" x14ac:dyDescent="0.25">
      <c r="A8" s="63" t="s">
        <v>44</v>
      </c>
      <c r="B8" s="63" t="s">
        <v>2541</v>
      </c>
      <c r="C8" s="98" t="str">
        <f>DEC2HEX(2^0*MOD(INPUT!C9*1000,2^F8)+2^20*MOD(INPUT!D9,2^G8)+2^28*MOD(INPUT!E9,2^H8),8)</f>
        <v>00801D4C</v>
      </c>
      <c r="D8" s="63" t="s">
        <v>2234</v>
      </c>
      <c r="F8" s="98">
        <v>15</v>
      </c>
      <c r="G8" s="98">
        <v>4</v>
      </c>
      <c r="H8" s="64"/>
    </row>
    <row r="9" spans="1:8" s="98" customFormat="1" x14ac:dyDescent="0.25">
      <c r="A9" s="63" t="s">
        <v>44</v>
      </c>
      <c r="B9" s="63" t="s">
        <v>2536</v>
      </c>
      <c r="C9" s="98" t="str">
        <f>DEC2HEX(2^0*MOD(INPUT!C10*1000,2^F9)+2^20*MOD(INPUT!D10,2^G9)+2^28*MOD(INPUT!E10,2^H9),8)</f>
        <v>10404650</v>
      </c>
      <c r="D9" s="63" t="s">
        <v>2234</v>
      </c>
      <c r="F9" s="98">
        <v>17</v>
      </c>
      <c r="G9" s="98">
        <v>4</v>
      </c>
      <c r="H9" s="63">
        <v>1</v>
      </c>
    </row>
    <row r="10" spans="1:8" s="98" customFormat="1" x14ac:dyDescent="0.25">
      <c r="A10" s="63" t="s">
        <v>44</v>
      </c>
      <c r="B10" s="63" t="s">
        <v>2539</v>
      </c>
      <c r="C10" s="98" t="str">
        <f>DEC2HEX(2^0*MOD(INPUT!C11*1000,2^F10)+2^20*MOD(INPUT!D11,2^G10)+2^28*MOD(INPUT!E11,2^H10),8)</f>
        <v>10404650</v>
      </c>
      <c r="D10" s="63" t="s">
        <v>2234</v>
      </c>
      <c r="F10" s="98">
        <v>17</v>
      </c>
      <c r="G10" s="98">
        <v>4</v>
      </c>
      <c r="H10" s="63">
        <v>1</v>
      </c>
    </row>
    <row r="11" spans="1:8" s="98" customFormat="1" x14ac:dyDescent="0.25">
      <c r="A11" s="63" t="s">
        <v>44</v>
      </c>
      <c r="B11" s="63" t="s">
        <v>2517</v>
      </c>
      <c r="C11" s="98" t="str">
        <f>DEC2HEX(2^0*MOD(INPUT!C12*1000,2^F11)+2^20*MOD(INPUT!D12,2^G11)+2^28*MOD(INPUT!E12,2^H11),8)</f>
        <v>10405208</v>
      </c>
      <c r="D11" s="63" t="s">
        <v>2234</v>
      </c>
      <c r="F11" s="98">
        <v>17</v>
      </c>
      <c r="G11" s="98">
        <v>4</v>
      </c>
      <c r="H11" s="63">
        <v>1</v>
      </c>
    </row>
    <row r="12" spans="1:8" s="98" customFormat="1" x14ac:dyDescent="0.25">
      <c r="A12" s="63" t="s">
        <v>44</v>
      </c>
      <c r="B12" s="63" t="s">
        <v>2534</v>
      </c>
      <c r="C12" s="98" t="str">
        <f>DEC2HEX(2^0*MOD(INPUT!C13*1000,2^F12)+2^20*MOD(INPUT!D13,2^G12)+2^28*MOD(INPUT!E13,2^H12),8)</f>
        <v>1030A410</v>
      </c>
      <c r="D12" s="63" t="s">
        <v>2234</v>
      </c>
      <c r="F12" s="98">
        <v>18</v>
      </c>
      <c r="G12" s="98">
        <v>4</v>
      </c>
      <c r="H12" s="63">
        <v>1</v>
      </c>
    </row>
    <row r="13" spans="1:8" s="98" customFormat="1" x14ac:dyDescent="0.25">
      <c r="A13" s="63" t="s">
        <v>44</v>
      </c>
      <c r="B13" s="63" t="s">
        <v>2519</v>
      </c>
      <c r="C13" s="98" t="str">
        <f>DEC2HEX(2^0*MOD(INPUT!C14*1000,2^F13)+2^20*MOD(INPUT!D14,2^G13)+2^28*MOD(INPUT!E14,2^H13),8)</f>
        <v>10402710</v>
      </c>
      <c r="D13" s="63" t="s">
        <v>2234</v>
      </c>
      <c r="F13" s="98">
        <v>16</v>
      </c>
      <c r="G13" s="98">
        <v>4</v>
      </c>
      <c r="H13" s="63">
        <v>1</v>
      </c>
    </row>
    <row r="14" spans="1:8" s="98" customFormat="1" x14ac:dyDescent="0.25">
      <c r="A14" s="63" t="s">
        <v>44</v>
      </c>
      <c r="B14" s="63" t="s">
        <v>2508</v>
      </c>
      <c r="C14" s="98" t="str">
        <f>DEC2HEX(2^0*MOD(INPUT!C15*1000,2^F14)+2^20*MOD(INPUT!D15,2^G14)+2^28*MOD(INPUT!E15,2^H14),8)</f>
        <v>00400000</v>
      </c>
      <c r="D14" s="63" t="s">
        <v>2234</v>
      </c>
      <c r="F14" s="65"/>
      <c r="G14" s="98">
        <v>4</v>
      </c>
      <c r="H14" s="64"/>
    </row>
    <row r="15" spans="1:8" s="98" customFormat="1" x14ac:dyDescent="0.25">
      <c r="A15" s="63" t="s">
        <v>44</v>
      </c>
      <c r="B15" s="63" t="s">
        <v>2500</v>
      </c>
      <c r="C15" s="98" t="str">
        <f>DEC2HEX(2^0*MOD(INPUT!C16*1000,2^F15)+2^20*MOD(INPUT!D16,2^G15)+2^28*MOD(INPUT!E16,2^H15),8)</f>
        <v>00109C40</v>
      </c>
      <c r="D15" s="63" t="s">
        <v>2234</v>
      </c>
      <c r="F15" s="98">
        <v>18</v>
      </c>
      <c r="G15" s="98">
        <v>4</v>
      </c>
      <c r="H15" s="64"/>
    </row>
    <row r="16" spans="1:8" s="98" customFormat="1" x14ac:dyDescent="0.25">
      <c r="A16" s="63" t="s">
        <v>44</v>
      </c>
      <c r="B16" s="63" t="s">
        <v>2562</v>
      </c>
      <c r="C16" s="98" t="str">
        <f>DEC2HEX(2^0*MOD(INPUT!C17*1000,2^F16)+2^20*MOD(INPUT!D17,2^G16)+2^28*MOD(INPUT!E17,2^H16),8)</f>
        <v>001005DC</v>
      </c>
      <c r="D16" s="63" t="s">
        <v>2234</v>
      </c>
      <c r="F16" s="98">
        <v>13</v>
      </c>
      <c r="G16" s="98">
        <v>4</v>
      </c>
      <c r="H16" s="64"/>
    </row>
    <row r="17" spans="1:8" s="98" customFormat="1" x14ac:dyDescent="0.25">
      <c r="A17" s="63" t="s">
        <v>44</v>
      </c>
      <c r="B17" s="63" t="s">
        <v>2559</v>
      </c>
      <c r="C17" s="98" t="str">
        <f>DEC2HEX(2^0*MOD(INPUT!C18*1000,2^F17)+2^20*MOD(INPUT!D18,2^G17)+2^28*MOD(INPUT!E18,2^H17),8)</f>
        <v>00100DAC</v>
      </c>
      <c r="D17" s="63" t="s">
        <v>2234</v>
      </c>
      <c r="F17" s="98">
        <v>14</v>
      </c>
      <c r="G17" s="98">
        <v>4</v>
      </c>
      <c r="H17" s="64"/>
    </row>
    <row r="18" spans="1:8" s="98" customFormat="1" x14ac:dyDescent="0.25">
      <c r="A18" s="63" t="s">
        <v>44</v>
      </c>
      <c r="B18" s="63" t="s">
        <v>2616</v>
      </c>
      <c r="C18" s="98" t="str">
        <f>DEC2HEX(2^0*MOD(INPUT!C19*1000,2^F18)+2^20*MOD(INPUT!D19,2^G18)+2^28*MOD(INPUT!E19,2^H18),8)</f>
        <v>0013D090</v>
      </c>
      <c r="D18" s="63" t="s">
        <v>2234</v>
      </c>
      <c r="F18" s="98">
        <v>20</v>
      </c>
      <c r="G18" s="98">
        <v>8</v>
      </c>
      <c r="H18" s="64"/>
    </row>
    <row r="19" spans="1:8" s="98" customFormat="1" x14ac:dyDescent="0.25">
      <c r="A19" s="63" t="s">
        <v>43</v>
      </c>
      <c r="B19" s="63" t="s">
        <v>2774</v>
      </c>
      <c r="C19" s="98" t="str">
        <f>DEC2HEX(2^0*MOD(INPUT!C20/(1000/19.2),2^F19)+2^20*MOD(INPUT!D20,2^G19)+2^28*MOD(INPUT!E20,2^H19),8)</f>
        <v>0000004A</v>
      </c>
      <c r="D19" s="63" t="s">
        <v>2318</v>
      </c>
      <c r="F19" s="98">
        <v>16</v>
      </c>
      <c r="G19" s="64"/>
      <c r="H19" s="64"/>
    </row>
    <row r="20" spans="1:8" s="98" customFormat="1" x14ac:dyDescent="0.25">
      <c r="A20" s="63" t="s">
        <v>43</v>
      </c>
      <c r="B20" s="63" t="s">
        <v>2776</v>
      </c>
      <c r="C20" s="98" t="str">
        <f>DEC2HEX(2^0*MOD(INPUT!C20/(1000/19.2),2^F19)+2^20*MOD(INPUT!D20,2^G19)+2^28*MOD(INPUT!E20,2^H19),8)</f>
        <v>0000004A</v>
      </c>
      <c r="D20" s="63" t="s">
        <v>2318</v>
      </c>
      <c r="F20" s="98">
        <v>16</v>
      </c>
      <c r="G20" s="64"/>
      <c r="H20" s="64"/>
    </row>
    <row r="21" spans="1:8" s="98" customFormat="1" x14ac:dyDescent="0.25">
      <c r="A21" s="63" t="s">
        <v>44</v>
      </c>
      <c r="B21" s="63" t="s">
        <v>2504</v>
      </c>
      <c r="C21" s="98" t="str">
        <f>DEC2HEX(2^0*MOD(INPUT!C21*1000,2^F21)+2^20*MOD(INPUT!D21,2^G21)+2^28*MOD(INPUT!E21,2^H21),8)</f>
        <v>008036B0</v>
      </c>
      <c r="D21" s="63" t="s">
        <v>2234</v>
      </c>
      <c r="F21" s="98">
        <v>16</v>
      </c>
      <c r="G21" s="98">
        <v>4</v>
      </c>
      <c r="H21" s="64"/>
    </row>
    <row r="22" spans="1:8" s="98" customFormat="1" x14ac:dyDescent="0.25">
      <c r="A22" s="63" t="s">
        <v>44</v>
      </c>
      <c r="B22" s="63" t="s">
        <v>2506</v>
      </c>
      <c r="C22" s="98" t="str">
        <f>DEC2HEX(2^0*MOD(INPUT!C22*1000,2^F22)+2^20*MOD(INPUT!D22,2^G22)+2^28*MOD(INPUT!E22,2^H22),8)</f>
        <v>00A02710</v>
      </c>
      <c r="D22" s="63" t="s">
        <v>2234</v>
      </c>
      <c r="F22" s="98">
        <v>16</v>
      </c>
      <c r="G22" s="98">
        <v>4</v>
      </c>
      <c r="H22" s="64"/>
    </row>
    <row r="23" spans="1:8" s="98" customFormat="1" x14ac:dyDescent="0.25">
      <c r="A23" s="63" t="s">
        <v>44</v>
      </c>
      <c r="B23" s="63" t="s">
        <v>2502</v>
      </c>
      <c r="C23" s="98" t="str">
        <f>DEC2HEX(2^0*MOD(INPUT!C23*1000,2^F23)+2^20*MOD(INPUT!D23,2^G23)+2^28*MOD(INPUT!E23,2^H23),8)</f>
        <v>00A036B0</v>
      </c>
      <c r="D23" s="63" t="s">
        <v>2234</v>
      </c>
      <c r="F23" s="98">
        <v>16</v>
      </c>
      <c r="G23" s="98">
        <v>4</v>
      </c>
      <c r="H23" s="64"/>
    </row>
    <row r="24" spans="1:8" s="98" customFormat="1" x14ac:dyDescent="0.25">
      <c r="A24" s="63" t="s">
        <v>44</v>
      </c>
      <c r="B24" s="63" t="s">
        <v>2574</v>
      </c>
      <c r="C24" s="98" t="str">
        <f>DEC2HEX(2^0*MOD(INPUT!C24*1000,2^F24)+2^20*MOD(INPUT!D24,2^G24)+2^28*MOD(INPUT!E24,2^H24),8)</f>
        <v>001005DC</v>
      </c>
      <c r="D24" s="63" t="s">
        <v>2234</v>
      </c>
      <c r="F24" s="98">
        <v>12</v>
      </c>
      <c r="G24" s="98">
        <v>4</v>
      </c>
      <c r="H24" s="64"/>
    </row>
    <row r="25" spans="1:8" s="98" customFormat="1" x14ac:dyDescent="0.25">
      <c r="A25" s="63" t="s">
        <v>44</v>
      </c>
      <c r="B25" s="63" t="s">
        <v>2572</v>
      </c>
      <c r="C25" s="98" t="str">
        <f>DEC2HEX(2^0*MOD(INPUT!C25*1000,2^F25)+2^20*MOD(INPUT!D25,2^G25)+2^28*MOD(INPUT!E25,2^H25),8)</f>
        <v>00100DAC</v>
      </c>
      <c r="D25" s="63" t="s">
        <v>2234</v>
      </c>
      <c r="F25" s="98">
        <v>13</v>
      </c>
      <c r="G25" s="98">
        <v>4</v>
      </c>
      <c r="H25" s="64"/>
    </row>
    <row r="26" spans="1:8" s="98" customFormat="1" x14ac:dyDescent="0.25">
      <c r="A26" s="63" t="s">
        <v>44</v>
      </c>
      <c r="B26" s="63" t="s">
        <v>2570</v>
      </c>
      <c r="C26" s="98" t="str">
        <f>DEC2HEX(2^0*MOD(INPUT!C26*1000,2^F26)+2^20*MOD(INPUT!D26,2^G26)+2^28*MOD(INPUT!E26,2^H26),8)</f>
        <v>001005DC</v>
      </c>
      <c r="D26" s="63" t="s">
        <v>2234</v>
      </c>
      <c r="F26" s="98">
        <v>12</v>
      </c>
      <c r="G26" s="98">
        <v>4</v>
      </c>
      <c r="H26" s="64"/>
    </row>
    <row r="27" spans="1:8" s="98" customFormat="1" x14ac:dyDescent="0.25">
      <c r="A27" s="63" t="s">
        <v>44</v>
      </c>
      <c r="B27" s="63" t="s">
        <v>2568</v>
      </c>
      <c r="C27" s="98" t="str">
        <f>DEC2HEX(2^0*MOD(INPUT!C27*1000,2^F27)+2^20*MOD(INPUT!D27,2^G27)+2^28*MOD(INPUT!E27,2^H27),8)</f>
        <v>00100DAC</v>
      </c>
      <c r="D27" s="63" t="s">
        <v>2234</v>
      </c>
      <c r="F27" s="98">
        <v>13</v>
      </c>
      <c r="G27" s="98">
        <v>4</v>
      </c>
      <c r="H27" s="64"/>
    </row>
    <row r="28" spans="1:8" s="98" customFormat="1" x14ac:dyDescent="0.25">
      <c r="A28" s="63" t="s">
        <v>44</v>
      </c>
      <c r="B28" s="63" t="s">
        <v>2607</v>
      </c>
      <c r="C28" s="98" t="str">
        <f>DEC2HEX(2^0*MOD(INPUT!C28*1000,2^F28)+2^20*MOD(INPUT!D28,2^G28)+2^28*MOD(INPUT!E28,2^H28),8)</f>
        <v>00401D4C</v>
      </c>
      <c r="D28" s="63" t="s">
        <v>2234</v>
      </c>
      <c r="F28" s="98">
        <v>15</v>
      </c>
      <c r="G28" s="98">
        <v>8</v>
      </c>
      <c r="H28" s="64"/>
    </row>
    <row r="29" spans="1:8" s="98" customFormat="1" x14ac:dyDescent="0.25">
      <c r="A29" s="63" t="s">
        <v>44</v>
      </c>
      <c r="B29" s="63" t="s">
        <v>2611</v>
      </c>
      <c r="C29" s="98" t="str">
        <f>DEC2HEX(2^0*MOD(INPUT!C29*1000,2^F29)+2^20*MOD(INPUT!D29,2^G29)+2^28*MOD(INPUT!E29,2^H29),8)</f>
        <v>003006D6</v>
      </c>
      <c r="D29" s="63" t="s">
        <v>2234</v>
      </c>
      <c r="F29" s="98">
        <v>13</v>
      </c>
      <c r="G29" s="98">
        <v>8</v>
      </c>
      <c r="H29" s="64"/>
    </row>
    <row r="30" spans="1:8" s="98" customFormat="1" x14ac:dyDescent="0.25">
      <c r="A30" s="63" t="s">
        <v>44</v>
      </c>
      <c r="B30" s="63" t="s">
        <v>2609</v>
      </c>
      <c r="C30" s="98" t="str">
        <f>DEC2HEX(2^0*MOD(INPUT!C30*1000,2^F30)+2^20*MOD(INPUT!D30,2^G30)+2^28*MOD(INPUT!E30,2^H30),8)</f>
        <v>00501D4C</v>
      </c>
      <c r="D30" s="63" t="s">
        <v>2234</v>
      </c>
      <c r="F30" s="98">
        <v>15</v>
      </c>
      <c r="G30" s="98">
        <v>8</v>
      </c>
      <c r="H30" s="64"/>
    </row>
    <row r="31" spans="1:8" s="98" customFormat="1" x14ac:dyDescent="0.25">
      <c r="A31" s="63" t="s">
        <v>44</v>
      </c>
      <c r="B31" s="63" t="s">
        <v>2604</v>
      </c>
      <c r="C31" s="98" t="str">
        <f>DEC2HEX(2^0*MOD(INPUT!C31*1000,2^F31)+2^20*MOD(INPUT!D31,2^G31)+2^28*MOD(INPUT!E31,2^H31),8)</f>
        <v>005006D6</v>
      </c>
      <c r="D31" s="63" t="s">
        <v>2234</v>
      </c>
      <c r="F31" s="98">
        <v>13</v>
      </c>
      <c r="G31" s="98">
        <v>8</v>
      </c>
      <c r="H31" s="64"/>
    </row>
    <row r="32" spans="1:8" s="98" customFormat="1" x14ac:dyDescent="0.25">
      <c r="A32" s="63" t="s">
        <v>44</v>
      </c>
      <c r="B32" s="63" t="s">
        <v>2612</v>
      </c>
      <c r="C32" s="98" t="str">
        <f>DEC2HEX(2^0*MOD(INPUT!C32*1000,2^F32)+2^20*MOD(INPUT!D32,2^G32)+2^28*MOD(INPUT!E32,2^H32),8)</f>
        <v>00A036B0</v>
      </c>
      <c r="D32" s="63" t="s">
        <v>2234</v>
      </c>
      <c r="F32" s="98">
        <v>16</v>
      </c>
      <c r="G32" s="98">
        <v>8</v>
      </c>
      <c r="H32" s="64"/>
    </row>
    <row r="33" spans="1:4" x14ac:dyDescent="0.25">
      <c r="A33" s="40" t="s">
        <v>37</v>
      </c>
      <c r="B33" s="40" t="s">
        <v>2471</v>
      </c>
      <c r="C33" s="63" t="str">
        <f>DEC2HEX(2^16*MOD(VLOOKUP(0,MC_POLICY_TABLE,MC_POLICY_COL_IPT,FALSE),2^12),8)</f>
        <v>00800000</v>
      </c>
      <c r="D33" s="40" t="str">
        <f>DEC2HEX(2^16*(2^12-1),8)</f>
        <v>0FFF0000</v>
      </c>
    </row>
    <row r="34" spans="1:4" x14ac:dyDescent="0.25">
      <c r="A34" s="40" t="s">
        <v>37</v>
      </c>
      <c r="B34" s="40" t="s">
        <v>2476</v>
      </c>
      <c r="C34" s="63" t="str">
        <f>DEC2HEX(2^16*MOD(VLOOKUP(1,MC_POLICY_TABLE,MC_POLICY_COL_IPT,FALSE),2^12),8)</f>
        <v>00800000</v>
      </c>
      <c r="D34" s="40" t="str">
        <f>DEC2HEX(2^16*(2^12-1),8)</f>
        <v>0FFF0000</v>
      </c>
    </row>
    <row r="35" spans="1:4" x14ac:dyDescent="0.25">
      <c r="A35" s="40" t="s">
        <v>37</v>
      </c>
      <c r="B35" s="40" t="s">
        <v>2478</v>
      </c>
      <c r="C35" s="63" t="str">
        <f>DEC2HEX(2^16*MOD(VLOOKUP(2,MC_POLICY_TABLE,MC_POLICY_COL_IPT,FALSE),2^12),8)</f>
        <v>00800000</v>
      </c>
      <c r="D35" s="40" t="str">
        <f>DEC2HEX(2^16*(2^12-1),8)</f>
        <v>0FFF0000</v>
      </c>
    </row>
    <row r="36" spans="1:4" x14ac:dyDescent="0.25">
      <c r="A36" s="40" t="s">
        <v>37</v>
      </c>
      <c r="B36" s="40" t="s">
        <v>2480</v>
      </c>
      <c r="C36" s="63" t="str">
        <f>DEC2HEX(2^16*MOD(VLOOKUP(3,MC_POLICY_TABLE,MC_POLICY_COL_IPT,FALSE),2^12),8)</f>
        <v>00800000</v>
      </c>
      <c r="D36" s="40" t="str">
        <f>DEC2HEX(2^16*(2^12-1),8)</f>
        <v>0FFF0000</v>
      </c>
    </row>
    <row r="37" spans="1:4" x14ac:dyDescent="0.25">
      <c r="A37" s="40" t="s">
        <v>46</v>
      </c>
      <c r="B37" s="40" t="s">
        <v>2250</v>
      </c>
      <c r="C37" s="63" t="str">
        <f>DEC2HEX(2^8*MOD(VLOOKUP(0,MC_POLICY_TABLE,MC_POLICY_COL_CSPD,FALSE),2^8),8)</f>
        <v>00000800</v>
      </c>
      <c r="D37" s="40" t="str">
        <f t="shared" ref="D37:D44" si="0">DEC2HEX(2^8*(2^8-1),8)</f>
        <v>0000FF00</v>
      </c>
    </row>
    <row r="38" spans="1:4" x14ac:dyDescent="0.25">
      <c r="A38" s="40" t="s">
        <v>46</v>
      </c>
      <c r="B38" s="40" t="s">
        <v>2253</v>
      </c>
      <c r="C38" s="63" t="str">
        <f>DEC2HEX(2^8*MOD(VLOOKUP(0,MC_POLICY_TABLE,MC_POLICY_COL_CSPD,FALSE),2^8),8)</f>
        <v>00000800</v>
      </c>
      <c r="D38" s="40" t="str">
        <f t="shared" si="0"/>
        <v>0000FF00</v>
      </c>
    </row>
    <row r="39" spans="1:4" x14ac:dyDescent="0.25">
      <c r="A39" s="40" t="s">
        <v>46</v>
      </c>
      <c r="B39" s="40" t="s">
        <v>2255</v>
      </c>
      <c r="C39" s="63" t="str">
        <f>DEC2HEX(2^8*MOD(VLOOKUP(1,MC_POLICY_TABLE,MC_POLICY_COL_CSPD,FALSE),2^8),8)</f>
        <v>00004000</v>
      </c>
      <c r="D39" s="40" t="str">
        <f t="shared" si="0"/>
        <v>0000FF00</v>
      </c>
    </row>
    <row r="40" spans="1:4" x14ac:dyDescent="0.25">
      <c r="A40" s="40" t="s">
        <v>46</v>
      </c>
      <c r="B40" s="40" t="s">
        <v>2257</v>
      </c>
      <c r="C40" s="63" t="str">
        <f>DEC2HEX(2^8*MOD(VLOOKUP(1,MC_POLICY_TABLE,MC_POLICY_COL_CSPD,FALSE),2^8),8)</f>
        <v>00004000</v>
      </c>
      <c r="D40" s="40" t="str">
        <f t="shared" si="0"/>
        <v>0000FF00</v>
      </c>
    </row>
    <row r="41" spans="1:4" x14ac:dyDescent="0.25">
      <c r="A41" s="40" t="s">
        <v>46</v>
      </c>
      <c r="B41" s="40" t="s">
        <v>2258</v>
      </c>
      <c r="C41" s="63" t="str">
        <f>DEC2HEX(2^8*MOD(VLOOKUP(2,MC_POLICY_TABLE,MC_POLICY_COL_CSPD,FALSE),2^8),8)</f>
        <v>00008000</v>
      </c>
      <c r="D41" s="40" t="str">
        <f t="shared" si="0"/>
        <v>0000FF00</v>
      </c>
    </row>
    <row r="42" spans="1:4" x14ac:dyDescent="0.25">
      <c r="A42" s="40" t="s">
        <v>46</v>
      </c>
      <c r="B42" s="40" t="s">
        <v>2259</v>
      </c>
      <c r="C42" s="63" t="str">
        <f>DEC2HEX(2^8*MOD(VLOOKUP(2,MC_POLICY_TABLE,MC_POLICY_COL_CSPD,FALSE),2^8),8)</f>
        <v>00008000</v>
      </c>
      <c r="D42" s="40" t="str">
        <f t="shared" si="0"/>
        <v>0000FF00</v>
      </c>
    </row>
    <row r="43" spans="1:4" x14ac:dyDescent="0.25">
      <c r="A43" s="40" t="s">
        <v>46</v>
      </c>
      <c r="B43" s="40" t="s">
        <v>2260</v>
      </c>
      <c r="C43" s="63" t="str">
        <f>DEC2HEX(2^8*MOD(VLOOKUP(3,MC_POLICY_TABLE,MC_POLICY_COL_CSPD,FALSE),2^8),8)</f>
        <v>0000FF00</v>
      </c>
      <c r="D43" s="40" t="str">
        <f t="shared" si="0"/>
        <v>0000FF00</v>
      </c>
    </row>
    <row r="44" spans="1:4" x14ac:dyDescent="0.25">
      <c r="A44" s="40" t="s">
        <v>46</v>
      </c>
      <c r="B44" s="40" t="s">
        <v>2261</v>
      </c>
      <c r="C44" s="63" t="str">
        <f>DEC2HEX(2^8*MOD(VLOOKUP(3,MC_POLICY_TABLE,MC_POLICY_COL_CSPD,FALSE),2^8),8)</f>
        <v>0000FF00</v>
      </c>
      <c r="D44" s="40" t="str">
        <f t="shared" si="0"/>
        <v>0000FF00</v>
      </c>
    </row>
    <row r="45" spans="1:4" x14ac:dyDescent="0.25">
      <c r="A45" s="40" t="s">
        <v>43</v>
      </c>
      <c r="B45" s="40" t="s">
        <v>2798</v>
      </c>
      <c r="C45" s="63" t="str">
        <f>DEC2HEX(2^0*MOD(VLOOKUP(0,MC_POLICY_TABLE,MC_POLICY_COL_ABSR,FALSE),2^16),8)</f>
        <v>00000032</v>
      </c>
      <c r="D45" s="40" t="str">
        <f>DEC2HEX(2^0*(2^16-1),8)</f>
        <v>0000FFFF</v>
      </c>
    </row>
    <row r="46" spans="1:4" x14ac:dyDescent="0.25">
      <c r="A46" s="40" t="s">
        <v>43</v>
      </c>
      <c r="B46" s="40" t="s">
        <v>2800</v>
      </c>
      <c r="C46" s="63" t="str">
        <f>DEC2HEX(2^0*MOD(VLOOKUP(1,MC_POLICY_TABLE,MC_POLICY_COL_ABSR,FALSE),2^16),8)</f>
        <v>00000032</v>
      </c>
      <c r="D46" s="40" t="str">
        <f>DEC2HEX(2^0*(2^16-1),8)</f>
        <v>0000FFFF</v>
      </c>
    </row>
    <row r="47" spans="1:4" x14ac:dyDescent="0.25">
      <c r="A47" s="40" t="s">
        <v>43</v>
      </c>
      <c r="B47" s="40" t="s">
        <v>2801</v>
      </c>
      <c r="C47" s="63" t="str">
        <f>DEC2HEX(2^0*MOD(VLOOKUP(2,MC_POLICY_TABLE,MC_POLICY_COL_ABSR,FALSE),2^16),8)</f>
        <v>00000064</v>
      </c>
      <c r="D47" s="40" t="str">
        <f>DEC2HEX(2^0*(2^16-1),8)</f>
        <v>0000FFFF</v>
      </c>
    </row>
    <row r="48" spans="1:4" x14ac:dyDescent="0.25">
      <c r="A48" s="40" t="s">
        <v>43</v>
      </c>
      <c r="B48" s="40" t="s">
        <v>2802</v>
      </c>
      <c r="C48" s="63" t="str">
        <f>DEC2HEX(2^0*MOD(VLOOKUP(3,MC_POLICY_TABLE,MC_POLICY_COL_ABSR,FALSE),2^16),8)</f>
        <v>00000064</v>
      </c>
      <c r="D48" s="40" t="str">
        <f>DEC2HEX(2^0*(2^16-1),8)</f>
        <v>0000FFFF</v>
      </c>
    </row>
    <row r="49" spans="1:4" x14ac:dyDescent="0.25">
      <c r="A49" s="40" t="s">
        <v>42</v>
      </c>
      <c r="B49" s="40" t="s">
        <v>1477</v>
      </c>
      <c r="C49" s="63" t="str">
        <f>DEC2HEX(2^0*MOD(VLOOKUP(1,S3_TABLE,S3_COL_ENTRY,FALSE),2^8)+2^8*MOD(VLOOKUP(2,S3_TABLE,S3_COL_ENTRY,FALSE),2^8),8)</f>
        <v>00000505</v>
      </c>
      <c r="D49" s="40" t="str">
        <f>DEC2HEX(2^0*(2^8-1)+2^8*(2^8-1),8)</f>
        <v>0000FFFF</v>
      </c>
    </row>
  </sheetData>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rgb="FF00B050"/>
  </sheetPr>
  <dimension ref="A1:S223"/>
  <sheetViews>
    <sheetView workbookViewId="0">
      <pane ySplit="1" topLeftCell="A19" activePane="bottomLeft" state="frozen"/>
      <selection pane="bottomLeft" activeCell="C36" sqref="C36"/>
    </sheetView>
  </sheetViews>
  <sheetFormatPr defaultColWidth="5.7109375" defaultRowHeight="15" x14ac:dyDescent="0.25"/>
  <cols>
    <col min="1" max="1" width="18.42578125" style="46" bestFit="1" customWidth="1"/>
    <col min="2" max="2" width="26.7109375" style="46" customWidth="1"/>
    <col min="3" max="3" width="39.7109375" style="46" bestFit="1" customWidth="1"/>
    <col min="4" max="4" width="10.140625" style="98" customWidth="1"/>
    <col min="5" max="19" width="10.140625" style="46" customWidth="1"/>
    <col min="20" max="217" width="5.7109375" style="46" customWidth="1"/>
    <col min="218" max="16384" width="5.7109375" style="46"/>
  </cols>
  <sheetData>
    <row r="1" spans="1:19" x14ac:dyDescent="0.25">
      <c r="A1" s="97" t="s">
        <v>13</v>
      </c>
      <c r="B1" s="97" t="s">
        <v>56</v>
      </c>
      <c r="C1" s="97" t="s">
        <v>57</v>
      </c>
      <c r="D1" s="97">
        <v>0</v>
      </c>
      <c r="E1" s="97">
        <v>1</v>
      </c>
      <c r="F1" s="97">
        <v>2</v>
      </c>
      <c r="G1" s="97">
        <v>3</v>
      </c>
      <c r="H1" s="97">
        <v>4</v>
      </c>
      <c r="I1" s="97">
        <v>5</v>
      </c>
      <c r="J1" s="97">
        <v>6</v>
      </c>
      <c r="K1" s="97">
        <v>7</v>
      </c>
      <c r="L1" s="97">
        <v>8</v>
      </c>
      <c r="M1" s="97">
        <v>9</v>
      </c>
      <c r="N1" s="97">
        <v>10</v>
      </c>
      <c r="O1" s="97">
        <v>11</v>
      </c>
      <c r="P1" s="97">
        <v>12</v>
      </c>
      <c r="Q1" s="97">
        <v>13</v>
      </c>
      <c r="R1" s="97">
        <v>14</v>
      </c>
      <c r="S1" s="97">
        <v>15</v>
      </c>
    </row>
    <row r="2" spans="1:19" x14ac:dyDescent="0.25">
      <c r="A2" s="98" t="s">
        <v>7263</v>
      </c>
      <c r="B2" s="98" t="s">
        <v>64</v>
      </c>
      <c r="C2" s="98" t="s">
        <v>7264</v>
      </c>
      <c r="D2" s="98" t="str">
        <f>DEC2HEX(STRUCT!E2,8)</f>
        <v>00000000</v>
      </c>
      <c r="E2" s="98" t="str">
        <f>DEC2HEX(STRUCT!F2,8)</f>
        <v>00000001</v>
      </c>
      <c r="F2" s="98" t="str">
        <f>DEC2HEX(STRUCT!G2,8)</f>
        <v>00000002</v>
      </c>
      <c r="G2" s="98" t="str">
        <f>DEC2HEX(STRUCT!H2,8)</f>
        <v>00000003</v>
      </c>
      <c r="H2" s="98" t="str">
        <f>DEC2HEX(STRUCT!I2,8)</f>
        <v>00000004</v>
      </c>
      <c r="I2" s="98" t="str">
        <f>DEC2HEX(STRUCT!J2,8)</f>
        <v>00000005</v>
      </c>
      <c r="J2" s="98" t="str">
        <f>DEC2HEX(STRUCT!K2,8)</f>
        <v>00000006</v>
      </c>
      <c r="K2" s="98" t="str">
        <f>DEC2HEX(STRUCT!L2,8)</f>
        <v>00000007</v>
      </c>
      <c r="L2" s="98" t="str">
        <f>DEC2HEX(STRUCT!M2,8)</f>
        <v>00000008</v>
      </c>
      <c r="M2" s="98" t="str">
        <f>DEC2HEX(STRUCT!N2,8)</f>
        <v>00000009</v>
      </c>
      <c r="N2" s="98" t="str">
        <f>DEC2HEX(STRUCT!O2,8)</f>
        <v>0000000A</v>
      </c>
      <c r="O2" s="98" t="str">
        <f>DEC2HEX(STRUCT!P2,8)</f>
        <v>0000000B</v>
      </c>
      <c r="P2" s="98"/>
      <c r="Q2" s="98"/>
      <c r="R2" s="98"/>
      <c r="S2" s="98"/>
    </row>
    <row r="3" spans="1:19" x14ac:dyDescent="0.25">
      <c r="A3" s="98" t="s">
        <v>7263</v>
      </c>
      <c r="B3" s="98" t="s">
        <v>64</v>
      </c>
      <c r="C3" s="98" t="s">
        <v>7265</v>
      </c>
      <c r="D3" s="98" t="str">
        <f>DEC2HEX(STRUCT!E3*1000,8)</f>
        <v>00000000</v>
      </c>
      <c r="E3" s="98" t="str">
        <f>DEC2HEX(STRUCT!F3*1000,8)</f>
        <v>000186A0</v>
      </c>
      <c r="F3" s="98" t="str">
        <f>DEC2HEX(STRUCT!G3*1000,8)</f>
        <v>00030D40</v>
      </c>
      <c r="G3" s="98" t="str">
        <f>DEC2HEX(STRUCT!H3*1000,8)</f>
        <v>000493E0</v>
      </c>
      <c r="H3" s="98" t="str">
        <f>DEC2HEX(STRUCT!I3*1000,8)</f>
        <v>0006E280</v>
      </c>
      <c r="I3" s="98" t="str">
        <f>DEC2HEX(STRUCT!J3*1000,8)</f>
        <v>00085980</v>
      </c>
      <c r="J3" s="98" t="str">
        <f>DEC2HEX(STRUCT!K3*1000,8)</f>
        <v>000A6680</v>
      </c>
      <c r="K3" s="98" t="str">
        <f>DEC2HEX(STRUCT!L3*1000,8)</f>
        <v>000BB800</v>
      </c>
      <c r="L3" s="98" t="str">
        <f>DEC2HEX(STRUCT!M3*1000,8)</f>
        <v>000F8700</v>
      </c>
      <c r="M3" s="98" t="str">
        <f>DEC2HEX(STRUCT!N3*1000,8)</f>
        <v>0014A780</v>
      </c>
      <c r="N3" s="98" t="str">
        <f>DEC2HEX(STRUCT!O3*1000,8)</f>
        <v>0017BB00</v>
      </c>
      <c r="O3" s="98" t="str">
        <f>DEC2HEX(STRUCT!P3*1000,8)</f>
        <v>001B8A00</v>
      </c>
      <c r="P3" s="98"/>
      <c r="Q3" s="98"/>
      <c r="R3" s="98"/>
      <c r="S3" s="98"/>
    </row>
    <row r="4" spans="1:19" x14ac:dyDescent="0.25">
      <c r="A4" s="98" t="s">
        <v>7263</v>
      </c>
      <c r="B4" s="98" t="s">
        <v>64</v>
      </c>
      <c r="C4" s="98" t="s">
        <v>7266</v>
      </c>
      <c r="D4" s="98" t="str">
        <f>DEC2HEX(ROUND(STRUCT!E4,1),8)</f>
        <v>FFFFFFFF</v>
      </c>
      <c r="E4" s="98" t="str">
        <f>DEC2HEX(ROUND(STRUCT!F4,1),8)</f>
        <v>00002710</v>
      </c>
      <c r="F4" s="98" t="str">
        <f>DEC2HEX(ROUND(STRUCT!G4,1),8)</f>
        <v>00001388</v>
      </c>
      <c r="G4" s="98" t="str">
        <f>DEC2HEX(ROUND(STRUCT!H4,1),8)</f>
        <v>00000D05</v>
      </c>
      <c r="H4" s="98" t="str">
        <f>DEC2HEX(ROUND(STRUCT!I4,1),8)</f>
        <v>000008A8</v>
      </c>
      <c r="I4" s="98" t="str">
        <f>DEC2HEX(ROUND(STRUCT!J4,1),8)</f>
        <v>00000723</v>
      </c>
      <c r="J4" s="98" t="str">
        <f>DEC2HEX(ROUND(STRUCT!K4,1),8)</f>
        <v>000005BB</v>
      </c>
      <c r="K4" s="98" t="str">
        <f>DEC2HEX(ROUND(STRUCT!L4,1),8)</f>
        <v>00000516</v>
      </c>
      <c r="L4" s="98" t="str">
        <f>DEC2HEX(ROUND(STRUCT!M4,1),8)</f>
        <v>000003D6</v>
      </c>
      <c r="M4" s="98" t="str">
        <f>DEC2HEX(ROUND(STRUCT!N4,1),8)</f>
        <v>000002E2</v>
      </c>
      <c r="N4" s="98" t="str">
        <f>DEC2HEX(ROUND(STRUCT!O4,1),8)</f>
        <v>00000283</v>
      </c>
      <c r="O4" s="98" t="str">
        <f>DEC2HEX(ROUND(STRUCT!P4,1),8)</f>
        <v>0000022A</v>
      </c>
      <c r="P4" s="98"/>
      <c r="Q4" s="98"/>
      <c r="R4" s="98"/>
      <c r="S4" s="98"/>
    </row>
    <row r="5" spans="1:19" x14ac:dyDescent="0.25">
      <c r="A5" s="98" t="s">
        <v>7263</v>
      </c>
      <c r="B5" s="98" t="s">
        <v>64</v>
      </c>
      <c r="C5" s="98" t="s">
        <v>65</v>
      </c>
      <c r="D5" s="98" t="str">
        <f>DEC2HEX(IF(STRUCT!E5,1,0),8)</f>
        <v>00000001</v>
      </c>
      <c r="E5" s="98" t="str">
        <f>DEC2HEX(IF(INPUT!H4,1,0),8)</f>
        <v>00000000</v>
      </c>
      <c r="F5" s="98" t="str">
        <f>DEC2HEX(IF(INPUT!I4,1,0),8)</f>
        <v>00000001</v>
      </c>
      <c r="G5" s="98" t="str">
        <f>DEC2HEX(IF(INPUT!J4,1,0),8)</f>
        <v>00000001</v>
      </c>
      <c r="H5" s="98" t="str">
        <f>DEC2HEX(IF(INPUT!K4,1,0),8)</f>
        <v>00000001</v>
      </c>
      <c r="I5" s="98" t="str">
        <f>DEC2HEX(IF(INPUT!L4,1,0),8)</f>
        <v>00000001</v>
      </c>
      <c r="J5" s="98" t="str">
        <f>DEC2HEX(IF(INPUT!M4,1,0),8)</f>
        <v>00000001</v>
      </c>
      <c r="K5" s="98" t="str">
        <f>DEC2HEX(IF(INPUT!N4,1,0),8)</f>
        <v>00000001</v>
      </c>
      <c r="L5" s="98" t="str">
        <f>DEC2HEX(IF(INPUT!O4,1,0),8)</f>
        <v>00000001</v>
      </c>
      <c r="M5" s="98" t="str">
        <f>DEC2HEX(IF(INPUT!P4,1,0),8)</f>
        <v>00000001</v>
      </c>
      <c r="N5" s="98" t="str">
        <f>DEC2HEX(IF(INPUT!Q4,1,0),8)</f>
        <v>00000001</v>
      </c>
      <c r="O5" s="98" t="str">
        <f>DEC2HEX(IF(INPUT!R4,1,0),8)</f>
        <v>00000001</v>
      </c>
      <c r="P5" s="98"/>
      <c r="Q5" s="98"/>
      <c r="R5" s="98"/>
      <c r="S5" s="98"/>
    </row>
    <row r="6" spans="1:19" x14ac:dyDescent="0.25">
      <c r="A6" s="98" t="s">
        <v>7263</v>
      </c>
      <c r="B6" s="98" t="s">
        <v>64</v>
      </c>
      <c r="C6" s="98" t="s">
        <v>175</v>
      </c>
      <c r="D6" s="98" t="str">
        <f>VLOOKUP(STRUCT!E6,ENUM_CLK_MODE,2,FALSE)</f>
        <v>00000000</v>
      </c>
      <c r="E6" s="98" t="str">
        <f>VLOOKUP(STRUCT!F6,ENUM_CLK_MODE,2,FALSE)</f>
        <v>00000000</v>
      </c>
      <c r="F6" s="98" t="str">
        <f>VLOOKUP(STRUCT!G6,ENUM_CLK_MODE,2,FALSE)</f>
        <v>00000000</v>
      </c>
      <c r="G6" s="98" t="str">
        <f>VLOOKUP(STRUCT!H6,ENUM_CLK_MODE,2,FALSE)</f>
        <v>00000000</v>
      </c>
      <c r="H6" s="98" t="str">
        <f>VLOOKUP(STRUCT!I6,ENUM_CLK_MODE,2,FALSE)</f>
        <v>00000000</v>
      </c>
      <c r="I6" s="98" t="str">
        <f>VLOOKUP(STRUCT!J6,ENUM_CLK_MODE,2,FALSE)</f>
        <v>00000000</v>
      </c>
      <c r="J6" s="98" t="str">
        <f>VLOOKUP(STRUCT!K6,ENUM_CLK_MODE,2,FALSE)</f>
        <v>00000001</v>
      </c>
      <c r="K6" s="98" t="str">
        <f>VLOOKUP(STRUCT!L6,ENUM_CLK_MODE,2,FALSE)</f>
        <v>00000001</v>
      </c>
      <c r="L6" s="98" t="str">
        <f>VLOOKUP(STRUCT!M6,ENUM_CLK_MODE,2,FALSE)</f>
        <v>00000001</v>
      </c>
      <c r="M6" s="98" t="str">
        <f>VLOOKUP(STRUCT!N6,ENUM_CLK_MODE,2,FALSE)</f>
        <v>00000001</v>
      </c>
      <c r="N6" s="98" t="str">
        <f>VLOOKUP(STRUCT!O6,ENUM_CLK_MODE,2,FALSE)</f>
        <v>00000001</v>
      </c>
      <c r="O6" s="98" t="str">
        <f>VLOOKUP(STRUCT!P6,ENUM_CLK_MODE,2,FALSE)</f>
        <v>00000001</v>
      </c>
      <c r="P6" s="98"/>
      <c r="Q6" s="98"/>
      <c r="R6" s="98"/>
      <c r="S6" s="98"/>
    </row>
    <row r="7" spans="1:19" x14ac:dyDescent="0.25">
      <c r="A7" s="98" t="s">
        <v>7263</v>
      </c>
      <c r="B7" s="98" t="s">
        <v>64</v>
      </c>
      <c r="C7" s="98" t="s">
        <v>70</v>
      </c>
      <c r="D7" s="98" t="str">
        <f>VLOOKUP(STRUCT!E7,ENUM_VOLTAGE_RAIL,2,FALSE)</f>
        <v>00000000</v>
      </c>
      <c r="E7" s="98" t="str">
        <f>VLOOKUP(INPUT!H5,ENUM_VOLTAGE_RAIL,2,FALSE)</f>
        <v>00000030</v>
      </c>
      <c r="F7" s="98" t="str">
        <f>VLOOKUP(INPUT!I5,ENUM_VOLTAGE_RAIL,2,FALSE)</f>
        <v>00000030</v>
      </c>
      <c r="G7" s="98" t="str">
        <f>VLOOKUP(INPUT!J5,ENUM_VOLTAGE_RAIL,2,FALSE)</f>
        <v>00000030</v>
      </c>
      <c r="H7" s="98" t="str">
        <f>VLOOKUP(INPUT!K5,ENUM_VOLTAGE_RAIL,2,FALSE)</f>
        <v>00000040</v>
      </c>
      <c r="I7" s="98" t="str">
        <f>VLOOKUP(INPUT!L5,ENUM_VOLTAGE_RAIL,2,FALSE)</f>
        <v>00000080</v>
      </c>
      <c r="J7" s="98" t="str">
        <f>VLOOKUP(INPUT!M5,ENUM_VOLTAGE_RAIL,2,FALSE)</f>
        <v>00000080</v>
      </c>
      <c r="K7" s="98" t="str">
        <f>VLOOKUP(INPUT!N5,ENUM_VOLTAGE_RAIL,2,FALSE)</f>
        <v>00000080</v>
      </c>
      <c r="L7" s="98" t="str">
        <f>VLOOKUP(INPUT!O5,ENUM_VOLTAGE_RAIL,2,FALSE)</f>
        <v>000000C0</v>
      </c>
      <c r="M7" s="98" t="str">
        <f>VLOOKUP(INPUT!P5,ENUM_VOLTAGE_RAIL,2,FALSE)</f>
        <v>00000100</v>
      </c>
      <c r="N7" s="98" t="str">
        <f>VLOOKUP(INPUT!Q5,ENUM_VOLTAGE_RAIL,2,FALSE)</f>
        <v>00000100</v>
      </c>
      <c r="O7" s="98" t="str">
        <f>VLOOKUP(INPUT!R5,ENUM_VOLTAGE_RAIL,2,FALSE)</f>
        <v>00000180</v>
      </c>
      <c r="P7" s="98"/>
      <c r="Q7" s="98"/>
      <c r="R7" s="98"/>
      <c r="S7" s="98"/>
    </row>
    <row r="8" spans="1:19" x14ac:dyDescent="0.25">
      <c r="A8" s="98" t="s">
        <v>7263</v>
      </c>
      <c r="B8" s="98" t="s">
        <v>64</v>
      </c>
      <c r="C8" s="98" t="s">
        <v>72</v>
      </c>
      <c r="D8" s="98" t="str">
        <f>VLOOKUP(STRUCT!E8,ENUM_VOLTAGE_RAIL,2,FALSE)</f>
        <v>00000000</v>
      </c>
      <c r="E8" s="98" t="str">
        <f>VLOOKUP(INPUT!H6,ENUM_VOLTAGE_RAIL,2,FALSE)</f>
        <v>00000100</v>
      </c>
      <c r="F8" s="98" t="str">
        <f>VLOOKUP(INPUT!I6,ENUM_VOLTAGE_RAIL,2,FALSE)</f>
        <v>00000100</v>
      </c>
      <c r="G8" s="98" t="str">
        <f>VLOOKUP(INPUT!J6,ENUM_VOLTAGE_RAIL,2,FALSE)</f>
        <v>00000100</v>
      </c>
      <c r="H8" s="98" t="str">
        <f>VLOOKUP(INPUT!K6,ENUM_VOLTAGE_RAIL,2,FALSE)</f>
        <v>00000100</v>
      </c>
      <c r="I8" s="98" t="str">
        <f>VLOOKUP(INPUT!L6,ENUM_VOLTAGE_RAIL,2,FALSE)</f>
        <v>00000100</v>
      </c>
      <c r="J8" s="98" t="str">
        <f>VLOOKUP(INPUT!M6,ENUM_VOLTAGE_RAIL,2,FALSE)</f>
        <v>00000100</v>
      </c>
      <c r="K8" s="98" t="str">
        <f>VLOOKUP(INPUT!N6,ENUM_VOLTAGE_RAIL,2,FALSE)</f>
        <v>00000100</v>
      </c>
      <c r="L8" s="98" t="str">
        <f>VLOOKUP(INPUT!O6,ENUM_VOLTAGE_RAIL,2,FALSE)</f>
        <v>00000100</v>
      </c>
      <c r="M8" s="98" t="str">
        <f>VLOOKUP(INPUT!P6,ENUM_VOLTAGE_RAIL,2,FALSE)</f>
        <v>00000100</v>
      </c>
      <c r="N8" s="98" t="str">
        <f>VLOOKUP(INPUT!Q6,ENUM_VOLTAGE_RAIL,2,FALSE)</f>
        <v>00000100</v>
      </c>
      <c r="O8" s="98" t="str">
        <f>VLOOKUP(INPUT!R6,ENUM_VOLTAGE_RAIL,2,FALSE)</f>
        <v>00000100</v>
      </c>
      <c r="P8" s="98"/>
      <c r="Q8" s="98"/>
      <c r="R8" s="98"/>
      <c r="S8" s="98"/>
    </row>
    <row r="9" spans="1:19" x14ac:dyDescent="0.25">
      <c r="A9" s="98" t="s">
        <v>7263</v>
      </c>
      <c r="B9" s="98" t="s">
        <v>64</v>
      </c>
      <c r="C9" s="98" t="s">
        <v>73</v>
      </c>
      <c r="D9" s="98" t="str">
        <f>VLOOKUP(STRUCT!E9,ENUM_VOLTAGE_RAIL,2,FALSE)</f>
        <v>00000000</v>
      </c>
      <c r="E9" s="98" t="str">
        <f>VLOOKUP(INPUT!H7,ENUM_VOLTAGE_RAIL,2,FALSE)</f>
        <v>00000000</v>
      </c>
      <c r="F9" s="98" t="str">
        <f>VLOOKUP(INPUT!I7,ENUM_VOLTAGE_RAIL,2,FALSE)</f>
        <v>00000000</v>
      </c>
      <c r="G9" s="98" t="str">
        <f>VLOOKUP(INPUT!J7,ENUM_VOLTAGE_RAIL,2,FALSE)</f>
        <v>00000000</v>
      </c>
      <c r="H9" s="98" t="str">
        <f>VLOOKUP(INPUT!K7,ENUM_VOLTAGE_RAIL,2,FALSE)</f>
        <v>00000000</v>
      </c>
      <c r="I9" s="98" t="str">
        <f>VLOOKUP(INPUT!L7,ENUM_VOLTAGE_RAIL,2,FALSE)</f>
        <v>00000000</v>
      </c>
      <c r="J9" s="98" t="str">
        <f>VLOOKUP(INPUT!M7,ENUM_VOLTAGE_RAIL,2,FALSE)</f>
        <v>00000000</v>
      </c>
      <c r="K9" s="98" t="str">
        <f>VLOOKUP(INPUT!N7,ENUM_VOLTAGE_RAIL,2,FALSE)</f>
        <v>00000000</v>
      </c>
      <c r="L9" s="98" t="str">
        <f>VLOOKUP(INPUT!O7,ENUM_VOLTAGE_RAIL,2,FALSE)</f>
        <v>00000000</v>
      </c>
      <c r="M9" s="98" t="str">
        <f>VLOOKUP(INPUT!P7,ENUM_VOLTAGE_RAIL,2,FALSE)</f>
        <v>00000000</v>
      </c>
      <c r="N9" s="98" t="str">
        <f>VLOOKUP(INPUT!Q7,ENUM_VOLTAGE_RAIL,2,FALSE)</f>
        <v>00000000</v>
      </c>
      <c r="O9" s="98" t="str">
        <f>VLOOKUP(INPUT!R7,ENUM_VOLTAGE_RAIL,2,FALSE)</f>
        <v>00000000</v>
      </c>
      <c r="P9" s="98"/>
      <c r="Q9" s="98"/>
      <c r="R9" s="98"/>
      <c r="S9" s="98"/>
    </row>
    <row r="10" spans="1:19" x14ac:dyDescent="0.25">
      <c r="A10" s="98" t="s">
        <v>7263</v>
      </c>
      <c r="B10" s="98" t="s">
        <v>64</v>
      </c>
      <c r="C10" s="98" t="s">
        <v>74</v>
      </c>
      <c r="D10" s="98" t="str">
        <f>DEC2HEX(STRUCT!E10,8)</f>
        <v>00000000</v>
      </c>
      <c r="E10" s="98" t="str">
        <f>DEC2HEX(STRUCT!F10,8)</f>
        <v>00000001</v>
      </c>
      <c r="F10" s="98" t="str">
        <f>DEC2HEX(STRUCT!G10,8)</f>
        <v>00000001</v>
      </c>
      <c r="G10" s="98" t="str">
        <f>DEC2HEX(STRUCT!H10,8)</f>
        <v>00000001</v>
      </c>
      <c r="H10" s="98" t="str">
        <f>DEC2HEX(STRUCT!I10,8)</f>
        <v>00000002</v>
      </c>
      <c r="I10" s="98" t="str">
        <f>DEC2HEX(STRUCT!J10,8)</f>
        <v>00000002</v>
      </c>
      <c r="J10" s="98" t="str">
        <f>DEC2HEX(STRUCT!K10,8)</f>
        <v>00000009</v>
      </c>
      <c r="K10" s="98" t="str">
        <f>DEC2HEX(STRUCT!L10,8)</f>
        <v>00000009</v>
      </c>
      <c r="L10" s="98" t="str">
        <f>DEC2HEX(STRUCT!M10,8)</f>
        <v>0000000A</v>
      </c>
      <c r="M10" s="98" t="str">
        <f>DEC2HEX(STRUCT!N10,8)</f>
        <v>0000000A</v>
      </c>
      <c r="N10" s="98" t="str">
        <f>DEC2HEX(STRUCT!O10,8)</f>
        <v>0000000A</v>
      </c>
      <c r="O10" s="98" t="str">
        <f>DEC2HEX(STRUCT!P10,8)</f>
        <v>0000000A</v>
      </c>
      <c r="P10" s="98"/>
      <c r="Q10" s="98"/>
      <c r="R10" s="98"/>
      <c r="S10" s="98"/>
    </row>
    <row r="11" spans="1:19" x14ac:dyDescent="0.25">
      <c r="A11" s="98" t="s">
        <v>7263</v>
      </c>
      <c r="B11" s="98" t="s">
        <v>64</v>
      </c>
      <c r="C11" s="98" t="s">
        <v>75</v>
      </c>
      <c r="D11" s="98" t="str">
        <f>DEC2HEX(STRUCT!E11,2)</f>
        <v>02</v>
      </c>
      <c r="E11" s="98" t="str">
        <f>DEC2HEX(STRUCT!F11,2)</f>
        <v>0A</v>
      </c>
      <c r="F11" s="98" t="str">
        <f>DEC2HEX(STRUCT!G11,2)</f>
        <v>0A</v>
      </c>
      <c r="G11" s="98" t="str">
        <f>DEC2HEX(STRUCT!H11,2)</f>
        <v>0A</v>
      </c>
      <c r="H11" s="98" t="str">
        <f>DEC2HEX(STRUCT!I11,2)</f>
        <v>0A</v>
      </c>
      <c r="I11" s="98" t="str">
        <f>DEC2HEX(STRUCT!J11,2)</f>
        <v>0A</v>
      </c>
      <c r="J11" s="98" t="str">
        <f>DEC2HEX(STRUCT!K11,2)</f>
        <v>0A</v>
      </c>
      <c r="K11" s="98" t="str">
        <f>DEC2HEX(STRUCT!L11,2)</f>
        <v>0A</v>
      </c>
      <c r="L11" s="98" t="str">
        <f>DEC2HEX(STRUCT!M11,2)</f>
        <v>0A</v>
      </c>
      <c r="M11" s="98" t="str">
        <f>DEC2HEX(STRUCT!N11,2)</f>
        <v>0A</v>
      </c>
      <c r="N11" s="98" t="str">
        <f>DEC2HEX(STRUCT!O11,2)</f>
        <v>0B</v>
      </c>
      <c r="O11" s="98" t="str">
        <f>DEC2HEX(STRUCT!P11,2)</f>
        <v>0B</v>
      </c>
      <c r="P11" s="98"/>
      <c r="Q11" s="98"/>
      <c r="R11" s="98"/>
      <c r="S11" s="98"/>
    </row>
    <row r="12" spans="1:19" x14ac:dyDescent="0.25">
      <c r="A12" s="98" t="s">
        <v>7263</v>
      </c>
      <c r="B12" s="98" t="s">
        <v>64</v>
      </c>
      <c r="C12" s="98" t="s">
        <v>76</v>
      </c>
      <c r="D12" s="98" t="str">
        <f>DEC2HEX(STRUCT!E12,2)</f>
        <v>00</v>
      </c>
      <c r="E12" s="98" t="str">
        <f>DEC2HEX(STRUCT!F12,2)</f>
        <v>02</v>
      </c>
      <c r="F12" s="98" t="str">
        <f>DEC2HEX(STRUCT!G12,2)</f>
        <v>00</v>
      </c>
      <c r="G12" s="98" t="str">
        <f>DEC2HEX(STRUCT!H12,2)</f>
        <v>01</v>
      </c>
      <c r="H12" s="98" t="str">
        <f>DEC2HEX(STRUCT!I12,2)</f>
        <v>01</v>
      </c>
      <c r="I12" s="98" t="str">
        <f>DEC2HEX(STRUCT!J12,2)</f>
        <v>01</v>
      </c>
      <c r="J12" s="98" t="str">
        <f>DEC2HEX(STRUCT!K12,2)</f>
        <v>01</v>
      </c>
      <c r="K12" s="98" t="str">
        <f>DEC2HEX(STRUCT!L12,2)</f>
        <v>01</v>
      </c>
      <c r="L12" s="98" t="str">
        <f>DEC2HEX(STRUCT!M12,2)</f>
        <v>01</v>
      </c>
      <c r="M12" s="98" t="str">
        <f>DEC2HEX(STRUCT!N12,2)</f>
        <v>01</v>
      </c>
      <c r="N12" s="98" t="str">
        <f>DEC2HEX(STRUCT!O12,2)</f>
        <v>01</v>
      </c>
      <c r="O12" s="98" t="str">
        <f>DEC2HEX(STRUCT!P12,2)</f>
        <v>01</v>
      </c>
      <c r="P12" s="98"/>
      <c r="Q12" s="98"/>
      <c r="R12" s="98"/>
      <c r="S12" s="98"/>
    </row>
    <row r="13" spans="1:19" x14ac:dyDescent="0.25">
      <c r="A13" s="98" t="s">
        <v>7263</v>
      </c>
      <c r="B13" s="98" t="s">
        <v>64</v>
      </c>
      <c r="C13" s="98" t="s">
        <v>77</v>
      </c>
      <c r="D13" s="98" t="str">
        <f>DEC2HEX(IF(STRUCT!E13,1,0),4)</f>
        <v>0000</v>
      </c>
      <c r="E13" s="98" t="str">
        <f>DEC2HEX(IF(STRUCT!F13,1,0),4)</f>
        <v>0000</v>
      </c>
      <c r="F13" s="98" t="str">
        <f>DEC2HEX(IF(STRUCT!G13,1,0),4)</f>
        <v>0000</v>
      </c>
      <c r="G13" s="98" t="str">
        <f>DEC2HEX(IF(STRUCT!H13,1,0),4)</f>
        <v>0000</v>
      </c>
      <c r="H13" s="98" t="str">
        <f>DEC2HEX(IF(STRUCT!I13,1,0),4)</f>
        <v>0000</v>
      </c>
      <c r="I13" s="98" t="str">
        <f>DEC2HEX(IF(STRUCT!J13,1,0),4)</f>
        <v>0000</v>
      </c>
      <c r="J13" s="98" t="str">
        <f>DEC2HEX(IF(STRUCT!K13,1,0),4)</f>
        <v>0000</v>
      </c>
      <c r="K13" s="98" t="str">
        <f>DEC2HEX(IF(STRUCT!L13,1,0),4)</f>
        <v>0000</v>
      </c>
      <c r="L13" s="98" t="str">
        <f>DEC2HEX(IF(STRUCT!M13,1,0),4)</f>
        <v>0000</v>
      </c>
      <c r="M13" s="98" t="str">
        <f>DEC2HEX(IF(STRUCT!N13,1,0),4)</f>
        <v>0000</v>
      </c>
      <c r="N13" s="98" t="str">
        <f>DEC2HEX(IF(STRUCT!O13,1,0),4)</f>
        <v>0000</v>
      </c>
      <c r="O13" s="98" t="str">
        <f>DEC2HEX(IF(STRUCT!P13,1,0),4)</f>
        <v>0000</v>
      </c>
      <c r="P13" s="98"/>
      <c r="Q13" s="98"/>
      <c r="R13" s="98"/>
      <c r="S13" s="98"/>
    </row>
    <row r="14" spans="1:19" x14ac:dyDescent="0.25">
      <c r="A14" s="98" t="s">
        <v>7263</v>
      </c>
      <c r="B14" s="98" t="s">
        <v>174</v>
      </c>
      <c r="C14" s="98" t="s">
        <v>7264</v>
      </c>
      <c r="D14" s="98" t="str">
        <f>DEC2HEX(STRUCT!E66,8)</f>
        <v>00000000</v>
      </c>
      <c r="E14" s="98" t="str">
        <f>DEC2HEX(STRUCT!F66,8)</f>
        <v>00000001</v>
      </c>
      <c r="F14" s="98" t="str">
        <f>DEC2HEX(STRUCT!G66,8)</f>
        <v>00000002</v>
      </c>
      <c r="G14" s="98" t="str">
        <f>DEC2HEX(STRUCT!H66,8)</f>
        <v>00000003</v>
      </c>
      <c r="H14" s="98" t="str">
        <f>DEC2HEX(STRUCT!I66,8)</f>
        <v>00000004</v>
      </c>
      <c r="I14" s="98" t="str">
        <f>DEC2HEX(STRUCT!J66,8)</f>
        <v>00000005</v>
      </c>
      <c r="J14" s="98" t="str">
        <f>DEC2HEX(STRUCT!K66,8)</f>
        <v>00000006</v>
      </c>
      <c r="K14" s="97"/>
      <c r="L14" s="98"/>
      <c r="M14" s="98"/>
      <c r="N14" s="98"/>
      <c r="O14" s="98"/>
      <c r="P14" s="98"/>
      <c r="Q14" s="98"/>
      <c r="R14" s="98"/>
      <c r="S14" s="98"/>
    </row>
    <row r="15" spans="1:19" x14ac:dyDescent="0.25">
      <c r="A15" s="98" t="s">
        <v>7263</v>
      </c>
      <c r="B15" s="98" t="s">
        <v>174</v>
      </c>
      <c r="C15" s="98" t="s">
        <v>7265</v>
      </c>
      <c r="D15" s="98" t="str">
        <f>DEC2HEX(STRUCT!E67*1000,8)</f>
        <v>00000000</v>
      </c>
      <c r="E15" s="98" t="str">
        <f>DEC2HEX(STRUCT!F67*1000,8)</f>
        <v>000249F0</v>
      </c>
      <c r="F15" s="98" t="str">
        <f>DEC2HEX(STRUCT!G67*1000,8)</f>
        <v>000493E0</v>
      </c>
      <c r="G15" s="98" t="str">
        <f>DEC2HEX(STRUCT!H67*1000,8)</f>
        <v>00071E44</v>
      </c>
      <c r="H15" s="98" t="str">
        <f>DEC2HEX(STRUCT!I67*1000,8)</f>
        <v>000927C0</v>
      </c>
      <c r="I15" s="98" t="str">
        <f>DEC2HEX(STRUCT!J67*1000,8)</f>
        <v>000C4C70</v>
      </c>
      <c r="J15" s="98" t="str">
        <f>DEC2HEX(STRUCT!K67*1000,8)</f>
        <v>000E3C88</v>
      </c>
      <c r="K15" s="98"/>
      <c r="L15" s="98"/>
      <c r="M15" s="98"/>
      <c r="N15" s="98"/>
      <c r="O15" s="98"/>
      <c r="P15" s="98"/>
      <c r="Q15" s="98"/>
      <c r="R15" s="98"/>
      <c r="S15" s="98"/>
    </row>
    <row r="16" spans="1:19" x14ac:dyDescent="0.25">
      <c r="A16" s="98" t="s">
        <v>7263</v>
      </c>
      <c r="B16" s="98" t="s">
        <v>174</v>
      </c>
      <c r="C16" s="98" t="s">
        <v>7266</v>
      </c>
      <c r="D16" s="98" t="str">
        <f>DEC2HEX(STRUCT!E68,8)</f>
        <v>FFFFFFFF</v>
      </c>
      <c r="E16" s="98" t="str">
        <f>DEC2HEX(STRUCT!F68,8)</f>
        <v>00001A0A</v>
      </c>
      <c r="F16" s="98" t="str">
        <f>DEC2HEX(STRUCT!G68,8)</f>
        <v>00000D05</v>
      </c>
      <c r="G16" s="98" t="str">
        <f>DEC2HEX(STRUCT!H68,8)</f>
        <v>0000085F</v>
      </c>
      <c r="H16" s="98" t="str">
        <f>DEC2HEX(STRUCT!I68,8)</f>
        <v>00000682</v>
      </c>
      <c r="I16" s="98" t="str">
        <f>DEC2HEX(STRUCT!J68,8)</f>
        <v>000004D8</v>
      </c>
      <c r="J16" s="98" t="str">
        <f>DEC2HEX(STRUCT!K68,8)</f>
        <v>0000042F</v>
      </c>
      <c r="K16" s="98"/>
      <c r="L16" s="98"/>
      <c r="M16" s="98"/>
      <c r="N16" s="98"/>
      <c r="O16" s="98"/>
      <c r="P16" s="98"/>
      <c r="Q16" s="98"/>
      <c r="R16" s="98"/>
      <c r="S16" s="98"/>
    </row>
    <row r="17" spans="1:19" x14ac:dyDescent="0.25">
      <c r="A17" s="98" t="s">
        <v>7263</v>
      </c>
      <c r="B17" s="98" t="s">
        <v>174</v>
      </c>
      <c r="C17" s="98" t="s">
        <v>65</v>
      </c>
      <c r="D17" s="98" t="str">
        <f>DEC2HEX(IF(STRUCT!E69,1,0),8)</f>
        <v>00000001</v>
      </c>
      <c r="E17" s="98" t="str">
        <f>DEC2HEX(IF(STRUCT!F69,1,0),8)</f>
        <v>00000001</v>
      </c>
      <c r="F17" s="98" t="str">
        <f>DEC2HEX(IF(STRUCT!G69,1,0),8)</f>
        <v>00000001</v>
      </c>
      <c r="G17" s="98" t="str">
        <f>DEC2HEX(IF(STRUCT!H69,1,0),8)</f>
        <v>00000001</v>
      </c>
      <c r="H17" s="98" t="str">
        <f>DEC2HEX(IF(STRUCT!I69,1,0),8)</f>
        <v>00000001</v>
      </c>
      <c r="I17" s="98" t="str">
        <f>DEC2HEX(IF(STRUCT!J69,1,0),8)</f>
        <v>00000001</v>
      </c>
      <c r="J17" s="98" t="str">
        <f>DEC2HEX(IF(STRUCT!K69,1,0),8)</f>
        <v>00000001</v>
      </c>
      <c r="K17" s="97"/>
      <c r="L17" s="97"/>
      <c r="M17" s="98"/>
      <c r="N17" s="98"/>
      <c r="O17" s="98"/>
      <c r="P17" s="98"/>
      <c r="Q17" s="98"/>
      <c r="R17" s="98"/>
      <c r="S17" s="98"/>
    </row>
    <row r="18" spans="1:19" x14ac:dyDescent="0.25">
      <c r="A18" s="98" t="s">
        <v>7263</v>
      </c>
      <c r="B18" s="98" t="s">
        <v>174</v>
      </c>
      <c r="C18" s="98" t="s">
        <v>175</v>
      </c>
      <c r="D18" s="98" t="str">
        <f>VLOOKUP(STRUCT!E70,ENUM_CLK_MODE,2,FALSE)</f>
        <v>000000FF</v>
      </c>
      <c r="E18" s="98" t="str">
        <f>VLOOKUP(STRUCT!F70,ENUM_CLK_MODE,2,FALSE)</f>
        <v>000000FF</v>
      </c>
      <c r="F18" s="98" t="str">
        <f>VLOOKUP(STRUCT!G70,ENUM_CLK_MODE,2,FALSE)</f>
        <v>000000FF</v>
      </c>
      <c r="G18" s="98" t="str">
        <f>VLOOKUP(STRUCT!H70,ENUM_CLK_MODE,2,FALSE)</f>
        <v>000000FF</v>
      </c>
      <c r="H18" s="98" t="str">
        <f>VLOOKUP(STRUCT!I70,ENUM_CLK_MODE,2,FALSE)</f>
        <v>000000FF</v>
      </c>
      <c r="I18" s="98" t="str">
        <f>VLOOKUP(STRUCT!J70,ENUM_CLK_MODE,2,FALSE)</f>
        <v>000000FF</v>
      </c>
      <c r="J18" s="98" t="str">
        <f>VLOOKUP(STRUCT!K70,ENUM_CLK_MODE,2,FALSE)</f>
        <v>000000FF</v>
      </c>
      <c r="K18" s="97"/>
      <c r="L18" s="97"/>
      <c r="M18" s="98"/>
      <c r="N18" s="98"/>
      <c r="O18" s="98"/>
      <c r="P18" s="98"/>
      <c r="Q18" s="98"/>
      <c r="R18" s="98"/>
      <c r="S18" s="98"/>
    </row>
    <row r="19" spans="1:19" x14ac:dyDescent="0.25">
      <c r="A19" s="98" t="s">
        <v>7263</v>
      </c>
      <c r="B19" s="98" t="s">
        <v>174</v>
      </c>
      <c r="C19" s="98" t="s">
        <v>70</v>
      </c>
      <c r="D19" s="98" t="str">
        <f>VLOOKUP(STRUCT!E71,ENUM_VOLTAGE_RAIL,2,FALSE)</f>
        <v>00000000</v>
      </c>
      <c r="E19" s="98" t="str">
        <f>VLOOKUP(STRUCT!F71,ENUM_VOLTAGE_RAIL,2,FALSE)</f>
        <v>00000030</v>
      </c>
      <c r="F19" s="98" t="str">
        <f>VLOOKUP(STRUCT!G71,ENUM_VOLTAGE_RAIL,2,FALSE)</f>
        <v>00000040</v>
      </c>
      <c r="G19" s="98" t="str">
        <f>VLOOKUP(STRUCT!H71,ENUM_VOLTAGE_RAIL,2,FALSE)</f>
        <v>00000080</v>
      </c>
      <c r="H19" s="98" t="str">
        <f>VLOOKUP(STRUCT!I71,ENUM_VOLTAGE_RAIL,2,FALSE)</f>
        <v>000000C0</v>
      </c>
      <c r="I19" s="98" t="str">
        <f>VLOOKUP(STRUCT!J71,ENUM_VOLTAGE_RAIL,2,FALSE)</f>
        <v>00000100</v>
      </c>
      <c r="J19" s="98" t="str">
        <f>VLOOKUP(STRUCT!K71,ENUM_VOLTAGE_RAIL,2,FALSE)</f>
        <v>00000180</v>
      </c>
      <c r="K19" s="97"/>
      <c r="L19" s="97"/>
      <c r="M19" s="98"/>
      <c r="N19" s="98"/>
      <c r="O19" s="98"/>
      <c r="P19" s="98"/>
      <c r="Q19" s="98"/>
      <c r="R19" s="98"/>
      <c r="S19" s="98"/>
    </row>
    <row r="20" spans="1:19" x14ac:dyDescent="0.25">
      <c r="A20" s="98" t="s">
        <v>7263</v>
      </c>
      <c r="B20" s="98" t="s">
        <v>174</v>
      </c>
      <c r="C20" s="98" t="s">
        <v>72</v>
      </c>
      <c r="D20" s="98" t="str">
        <f>VLOOKUP(STRUCT!E72,ENUM_VOLTAGE_RAIL,2,FALSE)</f>
        <v>00000000</v>
      </c>
      <c r="E20" s="98" t="str">
        <f>VLOOKUP(STRUCT!F72,ENUM_VOLTAGE_RAIL,2,FALSE)</f>
        <v>00000100</v>
      </c>
      <c r="F20" s="98" t="str">
        <f>VLOOKUP(STRUCT!G72,ENUM_VOLTAGE_RAIL,2,FALSE)</f>
        <v>00000100</v>
      </c>
      <c r="G20" s="98" t="str">
        <f>VLOOKUP(STRUCT!H72,ENUM_VOLTAGE_RAIL,2,FALSE)</f>
        <v>00000100</v>
      </c>
      <c r="H20" s="98" t="str">
        <f>VLOOKUP(STRUCT!I72,ENUM_VOLTAGE_RAIL,2,FALSE)</f>
        <v>00000100</v>
      </c>
      <c r="I20" s="98" t="str">
        <f>VLOOKUP(STRUCT!J72,ENUM_VOLTAGE_RAIL,2,FALSE)</f>
        <v>00000100</v>
      </c>
      <c r="J20" s="98" t="str">
        <f>VLOOKUP(STRUCT!K72,ENUM_VOLTAGE_RAIL,2,FALSE)</f>
        <v>00000180</v>
      </c>
      <c r="K20" s="98"/>
      <c r="L20" s="98"/>
      <c r="M20" s="98"/>
      <c r="N20" s="98"/>
      <c r="O20" s="98"/>
      <c r="P20" s="98"/>
      <c r="Q20" s="98"/>
      <c r="R20" s="98"/>
      <c r="S20" s="98"/>
    </row>
    <row r="21" spans="1:19" x14ac:dyDescent="0.25">
      <c r="A21" s="98" t="s">
        <v>7263</v>
      </c>
      <c r="B21" s="98" t="s">
        <v>174</v>
      </c>
      <c r="C21" s="98" t="s">
        <v>73</v>
      </c>
      <c r="D21" s="98" t="str">
        <f>VLOOKUP(STRUCT!E73,ENUM_VOLTAGE_RAIL,2,FALSE)</f>
        <v>00000000</v>
      </c>
      <c r="E21" s="98" t="str">
        <f>VLOOKUP(STRUCT!F73,ENUM_VOLTAGE_RAIL,2,FALSE)</f>
        <v>00000000</v>
      </c>
      <c r="F21" s="98" t="str">
        <f>VLOOKUP(STRUCT!G73,ENUM_VOLTAGE_RAIL,2,FALSE)</f>
        <v>00000000</v>
      </c>
      <c r="G21" s="98" t="str">
        <f>VLOOKUP(STRUCT!H73,ENUM_VOLTAGE_RAIL,2,FALSE)</f>
        <v>00000000</v>
      </c>
      <c r="H21" s="98" t="str">
        <f>VLOOKUP(STRUCT!I73,ENUM_VOLTAGE_RAIL,2,FALSE)</f>
        <v>00000000</v>
      </c>
      <c r="I21" s="98" t="str">
        <f>VLOOKUP(STRUCT!J73,ENUM_VOLTAGE_RAIL,2,FALSE)</f>
        <v>00000000</v>
      </c>
      <c r="J21" s="98" t="str">
        <f>VLOOKUP(STRUCT!K73,ENUM_VOLTAGE_RAIL,2,FALSE)</f>
        <v>00000000</v>
      </c>
      <c r="K21" s="98"/>
      <c r="L21" s="98"/>
      <c r="M21" s="98"/>
      <c r="N21" s="98"/>
      <c r="O21" s="98"/>
      <c r="P21" s="98"/>
      <c r="Q21" s="98"/>
      <c r="R21" s="98"/>
      <c r="S21" s="98"/>
    </row>
    <row r="22" spans="1:19" x14ac:dyDescent="0.25">
      <c r="A22" s="98" t="s">
        <v>7263</v>
      </c>
      <c r="B22" s="98" t="s">
        <v>174</v>
      </c>
      <c r="C22" s="98" t="s">
        <v>74</v>
      </c>
      <c r="D22" s="98" t="str">
        <f>DEC2HEX(STRUCT!E74,8)</f>
        <v>00000009</v>
      </c>
      <c r="E22" s="98" t="str">
        <f>DEC2HEX(STRUCT!F74,8)</f>
        <v>00000009</v>
      </c>
      <c r="F22" s="98" t="str">
        <f>DEC2HEX(STRUCT!G74,8)</f>
        <v>00000009</v>
      </c>
      <c r="G22" s="98" t="str">
        <f>DEC2HEX(STRUCT!H74,8)</f>
        <v>00000009</v>
      </c>
      <c r="H22" s="98" t="str">
        <f>DEC2HEX(STRUCT!I74,8)</f>
        <v>00000009</v>
      </c>
      <c r="I22" s="98" t="str">
        <f>DEC2HEX(STRUCT!J74,8)</f>
        <v>00000009</v>
      </c>
      <c r="J22" s="98" t="str">
        <f>DEC2HEX(STRUCT!K74,8)</f>
        <v>00000009</v>
      </c>
      <c r="K22" s="98"/>
      <c r="L22" s="98"/>
      <c r="M22" s="98"/>
      <c r="N22" s="98"/>
      <c r="O22" s="98"/>
      <c r="P22" s="98"/>
      <c r="Q22" s="98"/>
      <c r="R22" s="98"/>
      <c r="S22" s="98"/>
    </row>
    <row r="23" spans="1:19" x14ac:dyDescent="0.25">
      <c r="A23" s="98" t="s">
        <v>7263</v>
      </c>
      <c r="B23" s="98" t="s">
        <v>174</v>
      </c>
      <c r="C23" s="98" t="s">
        <v>75</v>
      </c>
      <c r="D23" s="98" t="str">
        <f>DEC2HEX(STRUCT!E75,2)</f>
        <v>01</v>
      </c>
      <c r="E23" s="98" t="str">
        <f>DEC2HEX(STRUCT!F75,2)</f>
        <v>06</v>
      </c>
      <c r="F23" s="98" t="str">
        <f>DEC2HEX(STRUCT!G75,2)</f>
        <v>06</v>
      </c>
      <c r="G23" s="98" t="str">
        <f>DEC2HEX(STRUCT!H75,2)</f>
        <v>06</v>
      </c>
      <c r="H23" s="98" t="str">
        <f>DEC2HEX(STRUCT!I75,2)</f>
        <v>06</v>
      </c>
      <c r="I23" s="98" t="str">
        <f>DEC2HEX(STRUCT!J75,2)</f>
        <v>06</v>
      </c>
      <c r="J23" s="98" t="str">
        <f>DEC2HEX(STRUCT!K75,2)</f>
        <v>06</v>
      </c>
      <c r="K23" s="97"/>
      <c r="L23" s="97"/>
      <c r="M23" s="98"/>
      <c r="N23" s="98"/>
      <c r="O23" s="98"/>
      <c r="P23" s="98"/>
      <c r="Q23" s="98"/>
      <c r="R23" s="98"/>
      <c r="S23" s="98"/>
    </row>
    <row r="24" spans="1:19" x14ac:dyDescent="0.25">
      <c r="A24" s="98" t="s">
        <v>7263</v>
      </c>
      <c r="B24" s="98" t="s">
        <v>174</v>
      </c>
      <c r="C24" s="98" t="s">
        <v>76</v>
      </c>
      <c r="D24" s="98" t="str">
        <f>DEC2HEX(STRUCT!E76,2)</f>
        <v>00</v>
      </c>
      <c r="E24" s="98" t="str">
        <f>DEC2HEX(STRUCT!F76,2)</f>
        <v>00</v>
      </c>
      <c r="F24" s="98" t="str">
        <f>DEC2HEX(STRUCT!G76,2)</f>
        <v>01</v>
      </c>
      <c r="G24" s="98" t="str">
        <f>DEC2HEX(STRUCT!H76,2)</f>
        <v>01</v>
      </c>
      <c r="H24" s="98" t="str">
        <f>DEC2HEX(STRUCT!I76,2)</f>
        <v>01</v>
      </c>
      <c r="I24" s="98" t="str">
        <f>DEC2HEX(STRUCT!J76,2)</f>
        <v>01</v>
      </c>
      <c r="J24" s="98" t="str">
        <f>DEC2HEX(STRUCT!K76,2)</f>
        <v>01</v>
      </c>
      <c r="K24" s="97"/>
      <c r="L24" s="97"/>
      <c r="M24" s="98"/>
      <c r="N24" s="98"/>
      <c r="O24" s="98"/>
      <c r="P24" s="98"/>
      <c r="Q24" s="98"/>
      <c r="R24" s="98"/>
      <c r="S24" s="98"/>
    </row>
    <row r="25" spans="1:19" x14ac:dyDescent="0.25">
      <c r="A25" s="98" t="s">
        <v>7263</v>
      </c>
      <c r="B25" s="98" t="s">
        <v>174</v>
      </c>
      <c r="C25" s="98" t="s">
        <v>77</v>
      </c>
      <c r="D25" s="98" t="str">
        <f>DEC2HEX(IF(STRUCT!E77,1,0),4)</f>
        <v>0000</v>
      </c>
      <c r="E25" s="98" t="str">
        <f>DEC2HEX(IF(STRUCT!F77,1,0),4)</f>
        <v>0000</v>
      </c>
      <c r="F25" s="98" t="str">
        <f>DEC2HEX(IF(STRUCT!G77,1,0),4)</f>
        <v>0000</v>
      </c>
      <c r="G25" s="98" t="str">
        <f>DEC2HEX(IF(STRUCT!H77,1,0),4)</f>
        <v>0000</v>
      </c>
      <c r="H25" s="98" t="str">
        <f>DEC2HEX(IF(STRUCT!I77,1,0),4)</f>
        <v>0000</v>
      </c>
      <c r="I25" s="98" t="str">
        <f>DEC2HEX(IF(STRUCT!J77,1,0),4)</f>
        <v>0000</v>
      </c>
      <c r="J25" s="98" t="str">
        <f>DEC2HEX(IF(STRUCT!K77,1,0),4)</f>
        <v>0000</v>
      </c>
      <c r="K25" s="97"/>
      <c r="L25" s="97"/>
      <c r="M25" s="98"/>
      <c r="N25" s="98"/>
      <c r="O25" s="98"/>
      <c r="P25" s="98"/>
      <c r="Q25" s="98"/>
      <c r="R25" s="98"/>
      <c r="S25" s="98"/>
    </row>
    <row r="26" spans="1:19" x14ac:dyDescent="0.25">
      <c r="A26" s="98" t="s">
        <v>7263</v>
      </c>
      <c r="B26" s="98" t="s">
        <v>306</v>
      </c>
      <c r="C26" s="98" t="s">
        <v>307</v>
      </c>
      <c r="D26" s="98" t="str">
        <f>DEC2HEX(STRUCT!E237,8)</f>
        <v>0000000C</v>
      </c>
      <c r="E26" s="98"/>
      <c r="F26" s="98"/>
      <c r="G26" s="98"/>
      <c r="H26" s="98"/>
      <c r="I26" s="98"/>
      <c r="J26" s="98"/>
      <c r="K26" s="98"/>
      <c r="L26" s="98"/>
      <c r="M26" s="98"/>
      <c r="N26" s="98"/>
      <c r="O26" s="98"/>
      <c r="P26" s="98"/>
      <c r="Q26" s="98"/>
      <c r="R26" s="98"/>
      <c r="S26" s="98"/>
    </row>
    <row r="27" spans="1:19" x14ac:dyDescent="0.25">
      <c r="A27" s="98" t="s">
        <v>7263</v>
      </c>
      <c r="B27" s="98" t="s">
        <v>7267</v>
      </c>
      <c r="C27" s="98" t="s">
        <v>7268</v>
      </c>
      <c r="D27" s="98" t="str">
        <f>DEC2HEX(ALC!Q22*1000,8)</f>
        <v>00000000</v>
      </c>
      <c r="E27" s="98" t="str">
        <f>DEC2HEX(ALC!Q21*1000,8)</f>
        <v>00000000</v>
      </c>
      <c r="F27" s="98" t="str">
        <f>DEC2HEX(ALC!Q20*1000,8)</f>
        <v>00000000</v>
      </c>
      <c r="G27" s="98" t="str">
        <f>DEC2HEX(ALC!Q19*1000,8)</f>
        <v>00000000</v>
      </c>
      <c r="H27" s="98" t="str">
        <f>DEC2HEX(ALC!Q18*1000,8)</f>
        <v>00000BD0</v>
      </c>
      <c r="I27" s="98" t="str">
        <f>DEC2HEX(ALC!Q17*1000,8)</f>
        <v>00001030</v>
      </c>
      <c r="J27" s="98" t="str">
        <f>DEC2HEX(ALC!Q16*1000,8)</f>
        <v>00001F5C</v>
      </c>
      <c r="K27" s="98" t="str">
        <f>DEC2HEX(ALC!Q15*1000,8)</f>
        <v>00002948</v>
      </c>
      <c r="L27" s="98" t="str">
        <f>DEC2HEX(ALC!Q14*1000,8)</f>
        <v>00000BD0</v>
      </c>
      <c r="M27" s="98" t="str">
        <f>DEC2HEX(ALC!Q13*1000,8)</f>
        <v>00001030</v>
      </c>
      <c r="N27" s="98" t="str">
        <f>DEC2HEX(ALC!Q12*1000,8)</f>
        <v>00001F5C</v>
      </c>
      <c r="O27" s="98" t="str">
        <f>DEC2HEX(ALC!Q11*1000,8)</f>
        <v>00002948</v>
      </c>
      <c r="P27" s="98" t="str">
        <f>DEC2HEX(ALC!Q10*1000,8)</f>
        <v>00000ACC</v>
      </c>
      <c r="Q27" s="98" t="str">
        <f>DEC2HEX(ALC!Q9*1000,8)</f>
        <v>00000F2C</v>
      </c>
      <c r="R27" s="98" t="str">
        <f>DEC2HEX(ALC!Q8*1000,8)</f>
        <v>00001E58</v>
      </c>
      <c r="S27" s="98" t="str">
        <f>DEC2HEX(ALC!Q7*1000,8)</f>
        <v>00002844</v>
      </c>
    </row>
    <row r="28" spans="1:19" x14ac:dyDescent="0.25">
      <c r="A28" s="98" t="s">
        <v>7263</v>
      </c>
      <c r="B28" s="98" t="s">
        <v>7267</v>
      </c>
      <c r="C28" s="98" t="s">
        <v>7269</v>
      </c>
      <c r="D28" s="98" t="str">
        <f>DEC2HEX(ALC!R22*1000,8)</f>
        <v>00000000</v>
      </c>
      <c r="E28" s="98" t="str">
        <f>DEC2HEX(ALC!R21*1000,8)</f>
        <v>00000000</v>
      </c>
      <c r="F28" s="98" t="str">
        <f>DEC2HEX(ALC!R20*1000,8)</f>
        <v>00000000</v>
      </c>
      <c r="G28" s="98" t="str">
        <f>DEC2HEX(ALC!R19*1000,8)</f>
        <v>00000000</v>
      </c>
      <c r="H28" s="98" t="str">
        <f>DEC2HEX(ALC!R18*1000,8)</f>
        <v>000184E6</v>
      </c>
      <c r="I28" s="98" t="str">
        <f>DEC2HEX(ALC!R17*1000,8)</f>
        <v>000184E6</v>
      </c>
      <c r="J28" s="98" t="str">
        <f>DEC2HEX(ALC!R16*1000,8)</f>
        <v>000184E6</v>
      </c>
      <c r="K28" s="98" t="str">
        <f>DEC2HEX(ALC!R15*1000,8)</f>
        <v>000184E6</v>
      </c>
      <c r="L28" s="98" t="str">
        <f>DEC2HEX(ALC!R14*1000,8)</f>
        <v>00000872</v>
      </c>
      <c r="M28" s="98" t="str">
        <f>DEC2HEX(ALC!R13*1000,8)</f>
        <v>00000872</v>
      </c>
      <c r="N28" s="98" t="str">
        <f>DEC2HEX(ALC!R12*1000,8)</f>
        <v>00000872</v>
      </c>
      <c r="O28" s="98" t="str">
        <f>DEC2HEX(ALC!R11*1000,8)</f>
        <v>00000872</v>
      </c>
      <c r="P28" s="98" t="str">
        <f>DEC2HEX(ALC!R10*1000,8)</f>
        <v>00000258</v>
      </c>
      <c r="Q28" s="98" t="str">
        <f>DEC2HEX(ALC!R9*1000,8)</f>
        <v>00000258</v>
      </c>
      <c r="R28" s="98" t="str">
        <f>DEC2HEX(ALC!R8*1000,8)</f>
        <v>00000258</v>
      </c>
      <c r="S28" s="98" t="str">
        <f>DEC2HEX(ALC!R7*1000,8)</f>
        <v>00000258</v>
      </c>
    </row>
    <row r="29" spans="1:19" x14ac:dyDescent="0.25">
      <c r="A29" s="98" t="s">
        <v>7270</v>
      </c>
      <c r="B29" s="98" t="s">
        <v>290</v>
      </c>
      <c r="C29" s="98" t="s">
        <v>97</v>
      </c>
      <c r="D29" s="98" t="str">
        <f>DEC2HEX(IF(INPUT!H10,1,0),2)</f>
        <v>01</v>
      </c>
      <c r="E29" s="97"/>
      <c r="F29" s="85"/>
      <c r="G29" s="85"/>
      <c r="H29" s="85"/>
      <c r="I29" s="85"/>
      <c r="J29" s="85"/>
      <c r="K29" s="85"/>
      <c r="L29" s="85"/>
      <c r="M29" s="85"/>
      <c r="N29" s="85"/>
      <c r="O29" s="85"/>
      <c r="P29" s="98"/>
      <c r="Q29" s="98"/>
      <c r="R29" s="98"/>
      <c r="S29" s="98"/>
    </row>
    <row r="30" spans="1:19" x14ac:dyDescent="0.25">
      <c r="A30" s="98" t="s">
        <v>7270</v>
      </c>
      <c r="B30" s="98" t="s">
        <v>290</v>
      </c>
      <c r="C30" s="98" t="s">
        <v>89</v>
      </c>
      <c r="D30" s="98" t="str">
        <f>DEC2HEX(IF(INPUT!H10,1,0),2)</f>
        <v>01</v>
      </c>
      <c r="E30" s="85"/>
      <c r="F30" s="85"/>
      <c r="G30" s="85"/>
      <c r="H30" s="85"/>
      <c r="I30" s="85"/>
      <c r="J30" s="85"/>
      <c r="K30" s="85"/>
      <c r="L30" s="85"/>
      <c r="M30" s="85"/>
      <c r="N30" s="85"/>
      <c r="O30" s="85"/>
      <c r="P30" s="97"/>
      <c r="Q30" s="97"/>
      <c r="R30" s="98"/>
      <c r="S30" s="98"/>
    </row>
    <row r="31" spans="1:19" x14ac:dyDescent="0.25">
      <c r="A31" s="98" t="s">
        <v>7270</v>
      </c>
      <c r="B31" s="98" t="s">
        <v>290</v>
      </c>
      <c r="C31" s="98" t="s">
        <v>82</v>
      </c>
      <c r="D31" s="98" t="str">
        <f>DEC2HEX(IF(INPUT!H10,1,0),2)</f>
        <v>01</v>
      </c>
      <c r="E31" s="85"/>
      <c r="F31" s="85"/>
      <c r="G31" s="85"/>
      <c r="H31" s="85"/>
      <c r="I31" s="85"/>
      <c r="J31" s="85"/>
      <c r="K31" s="85"/>
      <c r="L31" s="85"/>
      <c r="M31" s="85"/>
      <c r="N31" s="85"/>
      <c r="O31" s="85"/>
      <c r="P31" s="98"/>
      <c r="Q31" s="98"/>
      <c r="R31" s="98"/>
      <c r="S31" s="98"/>
    </row>
    <row r="32" spans="1:19" x14ac:dyDescent="0.25">
      <c r="A32" s="98" t="s">
        <v>7270</v>
      </c>
      <c r="B32" s="98" t="s">
        <v>290</v>
      </c>
      <c r="C32" s="98" t="s">
        <v>195</v>
      </c>
      <c r="D32" s="98" t="str">
        <f>DEC2HEX(IF(INPUT!H10,1,0),2)</f>
        <v>01</v>
      </c>
      <c r="E32" s="85"/>
      <c r="F32" s="85"/>
      <c r="G32" s="85"/>
      <c r="H32" s="85"/>
      <c r="I32" s="85"/>
      <c r="J32" s="85"/>
      <c r="K32" s="85"/>
      <c r="L32" s="85"/>
      <c r="M32" s="85"/>
      <c r="N32" s="85"/>
      <c r="O32" s="85"/>
      <c r="P32" s="98"/>
      <c r="Q32" s="98"/>
      <c r="R32" s="98"/>
      <c r="S32" s="98"/>
    </row>
    <row r="33" spans="1:19" x14ac:dyDescent="0.25">
      <c r="A33" s="98" t="s">
        <v>7270</v>
      </c>
      <c r="B33" s="98" t="s">
        <v>291</v>
      </c>
      <c r="C33" s="98" t="s">
        <v>292</v>
      </c>
      <c r="D33" s="98" t="str">
        <f>DEC2HEX(IF(INPUT!H11,1,0),2)</f>
        <v>01</v>
      </c>
      <c r="E33" s="85"/>
      <c r="F33" s="85"/>
      <c r="G33" s="85"/>
      <c r="H33" s="85"/>
      <c r="I33" s="85"/>
      <c r="J33" s="85"/>
      <c r="K33" s="85"/>
      <c r="L33" s="85"/>
      <c r="M33" s="85"/>
      <c r="N33" s="85"/>
      <c r="O33" s="85"/>
      <c r="P33" s="98"/>
      <c r="Q33" s="98"/>
      <c r="R33" s="98"/>
      <c r="S33" s="98"/>
    </row>
    <row r="34" spans="1:19" x14ac:dyDescent="0.25">
      <c r="A34" s="98" t="s">
        <v>7270</v>
      </c>
      <c r="B34" s="98" t="s">
        <v>291</v>
      </c>
      <c r="C34" s="98" t="s">
        <v>293</v>
      </c>
      <c r="D34" s="98" t="str">
        <f>DEC2HEX(IF(INPUT!H12,1,0),2)</f>
        <v>01</v>
      </c>
      <c r="E34" s="85"/>
      <c r="F34" s="85"/>
      <c r="G34" s="85"/>
      <c r="H34" s="85"/>
      <c r="I34" s="85"/>
      <c r="J34" s="85"/>
      <c r="K34" s="85"/>
      <c r="L34" s="85"/>
      <c r="M34" s="85"/>
      <c r="N34" s="85"/>
      <c r="O34" s="85"/>
      <c r="P34" s="98"/>
      <c r="Q34" s="98"/>
      <c r="R34" s="98"/>
      <c r="S34" s="98"/>
    </row>
    <row r="35" spans="1:19" x14ac:dyDescent="0.25">
      <c r="A35" s="98" t="s">
        <v>7270</v>
      </c>
      <c r="B35" s="98" t="s">
        <v>291</v>
      </c>
      <c r="C35" s="98" t="s">
        <v>294</v>
      </c>
      <c r="D35" s="98" t="str">
        <f>DEC2HEX(IF(INPUT!H13,1,0),2)</f>
        <v>01</v>
      </c>
      <c r="E35" s="85"/>
      <c r="F35" s="85"/>
      <c r="G35" s="85"/>
      <c r="H35" s="85"/>
      <c r="I35" s="85"/>
      <c r="J35" s="85"/>
      <c r="K35" s="85"/>
      <c r="L35" s="85"/>
      <c r="M35" s="85"/>
      <c r="N35" s="85"/>
      <c r="O35" s="85"/>
      <c r="P35" s="98"/>
      <c r="Q35" s="98"/>
      <c r="R35" s="98"/>
      <c r="S35" s="98"/>
    </row>
    <row r="36" spans="1:19" x14ac:dyDescent="0.25">
      <c r="A36" s="98" t="s">
        <v>7270</v>
      </c>
      <c r="B36" s="98" t="s">
        <v>291</v>
      </c>
      <c r="C36" s="98" t="s">
        <v>297</v>
      </c>
      <c r="D36" s="98" t="str">
        <f>DEC2HEX(IF(STRUCT!E228,1,0),2)</f>
        <v>01</v>
      </c>
      <c r="E36" s="85"/>
      <c r="F36" s="85"/>
      <c r="G36" s="85"/>
      <c r="H36" s="85"/>
      <c r="I36" s="85"/>
      <c r="J36" s="85"/>
      <c r="K36" s="85"/>
      <c r="L36" s="85"/>
      <c r="M36" s="85"/>
      <c r="N36" s="85"/>
      <c r="O36" s="85"/>
      <c r="P36" s="98"/>
      <c r="Q36" s="98"/>
      <c r="R36" s="98"/>
      <c r="S36" s="98"/>
    </row>
    <row r="37" spans="1:19" x14ac:dyDescent="0.25">
      <c r="A37" s="98" t="s">
        <v>7270</v>
      </c>
      <c r="B37" s="98" t="s">
        <v>291</v>
      </c>
      <c r="C37" s="98" t="s">
        <v>298</v>
      </c>
      <c r="D37" s="98" t="str">
        <f>DEC2HEX(IF(INPUT!H16,1,0),2)</f>
        <v>01</v>
      </c>
      <c r="E37" s="85"/>
      <c r="F37" s="85"/>
      <c r="G37" s="85"/>
      <c r="H37" s="85"/>
      <c r="I37" s="85"/>
      <c r="J37" s="85"/>
      <c r="K37" s="85"/>
      <c r="L37" s="85"/>
      <c r="M37" s="85"/>
      <c r="N37" s="85"/>
      <c r="O37" s="85"/>
      <c r="P37" s="98"/>
      <c r="Q37" s="98"/>
      <c r="R37" s="98"/>
      <c r="S37" s="98"/>
    </row>
    <row r="38" spans="1:19" x14ac:dyDescent="0.25">
      <c r="A38" s="98" t="s">
        <v>7270</v>
      </c>
      <c r="B38" s="98" t="s">
        <v>291</v>
      </c>
      <c r="C38" s="46" t="s">
        <v>299</v>
      </c>
      <c r="D38" s="98" t="str">
        <f>DEC2HEX(IF(INPUT!H17,1,0),2)</f>
        <v>00</v>
      </c>
      <c r="E38" s="85"/>
      <c r="F38" s="85"/>
      <c r="G38" s="85"/>
      <c r="H38" s="85"/>
      <c r="I38" s="85"/>
      <c r="J38" s="85"/>
      <c r="K38" s="85"/>
      <c r="L38" s="85"/>
      <c r="M38" s="85"/>
      <c r="N38" s="85"/>
      <c r="O38" s="85"/>
      <c r="P38" s="98"/>
      <c r="Q38" s="98"/>
      <c r="R38" s="98"/>
      <c r="S38" s="98"/>
    </row>
    <row r="39" spans="1:19" x14ac:dyDescent="0.25">
      <c r="A39" s="98" t="s">
        <v>7270</v>
      </c>
      <c r="B39" s="98" t="s">
        <v>291</v>
      </c>
      <c r="C39" s="98" t="s">
        <v>300</v>
      </c>
      <c r="D39" s="98" t="str">
        <f>DEC2HEX(IF(INPUT!H18,1,0),2)</f>
        <v>00</v>
      </c>
      <c r="E39" s="85"/>
      <c r="F39" s="85"/>
      <c r="G39" s="85"/>
      <c r="H39" s="85"/>
      <c r="I39" s="85"/>
      <c r="J39" s="85"/>
      <c r="K39" s="85"/>
      <c r="L39" s="85"/>
      <c r="M39" s="85"/>
      <c r="N39" s="85"/>
      <c r="O39" s="85"/>
      <c r="P39" s="98"/>
      <c r="Q39" s="98"/>
      <c r="R39" s="98"/>
      <c r="S39" s="98"/>
    </row>
    <row r="40" spans="1:19" x14ac:dyDescent="0.25">
      <c r="A40" s="98" t="s">
        <v>7270</v>
      </c>
      <c r="B40" s="98" t="s">
        <v>291</v>
      </c>
      <c r="C40" s="98" t="s">
        <v>301</v>
      </c>
      <c r="D40" s="98" t="str">
        <f>DEC2HEX(IF(INPUT!H19,1,0),2)</f>
        <v>00</v>
      </c>
      <c r="E40" s="85"/>
      <c r="F40" s="85"/>
      <c r="G40" s="85"/>
      <c r="H40" s="85"/>
      <c r="I40" s="85"/>
      <c r="J40" s="85"/>
      <c r="K40" s="85"/>
      <c r="L40" s="85"/>
      <c r="M40" s="85"/>
      <c r="N40" s="85"/>
      <c r="O40" s="85"/>
      <c r="P40" s="98"/>
      <c r="Q40" s="98"/>
      <c r="R40" s="98"/>
      <c r="S40" s="98"/>
    </row>
    <row r="41" spans="1:19" x14ac:dyDescent="0.25">
      <c r="A41" s="98" t="s">
        <v>7270</v>
      </c>
      <c r="B41" s="98" t="s">
        <v>291</v>
      </c>
      <c r="C41" s="98" t="s">
        <v>302</v>
      </c>
      <c r="D41" s="98" t="str">
        <f>DEC2HEX(STRUCT!E233,8)</f>
        <v>00000100</v>
      </c>
      <c r="E41" s="85"/>
      <c r="F41" s="85"/>
      <c r="G41" s="85"/>
      <c r="H41" s="85"/>
      <c r="I41" s="85"/>
      <c r="J41" s="85"/>
      <c r="K41" s="85"/>
      <c r="L41" s="85"/>
      <c r="M41" s="85"/>
      <c r="N41" s="85"/>
      <c r="O41" s="85"/>
      <c r="P41" s="98"/>
      <c r="Q41" s="98"/>
      <c r="R41" s="98"/>
      <c r="S41" s="98"/>
    </row>
    <row r="42" spans="1:19" x14ac:dyDescent="0.25">
      <c r="A42" s="98" t="s">
        <v>7270</v>
      </c>
      <c r="B42" s="98" t="s">
        <v>291</v>
      </c>
      <c r="C42" s="98" t="s">
        <v>303</v>
      </c>
      <c r="D42" s="98" t="str">
        <f>DEC2HEX(IF(INPUT!H14,1,0)+IF(INPUT!H15,2,0),8)</f>
        <v>00000000</v>
      </c>
      <c r="E42" s="85"/>
      <c r="F42" s="85"/>
      <c r="G42" s="85"/>
      <c r="H42" s="85"/>
      <c r="I42" s="85"/>
      <c r="J42" s="85"/>
      <c r="K42" s="85"/>
      <c r="L42" s="85"/>
      <c r="M42" s="85"/>
      <c r="N42" s="85"/>
      <c r="O42" s="85"/>
      <c r="P42" s="98"/>
      <c r="Q42" s="98"/>
      <c r="R42" s="98"/>
      <c r="S42" s="98"/>
    </row>
    <row r="43" spans="1:19" x14ac:dyDescent="0.25">
      <c r="A43" s="98" t="s">
        <v>7270</v>
      </c>
      <c r="B43" s="98" t="s">
        <v>221</v>
      </c>
      <c r="C43" s="98" t="s">
        <v>222</v>
      </c>
      <c r="D43" s="98" t="str">
        <f>DEC2HEX(STRUCT!E130,2)</f>
        <v>06</v>
      </c>
      <c r="E43" s="98" t="str">
        <f>DEC2HEX(STRUCT!F130,2)</f>
        <v>0A</v>
      </c>
      <c r="F43" s="98" t="str">
        <f>DEC2HEX(STRUCT!G130,2)</f>
        <v>0E</v>
      </c>
      <c r="G43" s="98" t="str">
        <f>DEC2HEX(STRUCT!H130,2)</f>
        <v>14</v>
      </c>
      <c r="H43" s="98" t="str">
        <f>DEC2HEX(STRUCT!I130,2)</f>
        <v>18</v>
      </c>
      <c r="I43" s="98" t="str">
        <f>DEC2HEX(STRUCT!J130,2)</f>
        <v>1C</v>
      </c>
      <c r="J43" s="98" t="str">
        <f>DEC2HEX(STRUCT!K130,2)</f>
        <v>20</v>
      </c>
      <c r="K43" s="98" t="str">
        <f>DEC2HEX(STRUCT!L130,2)</f>
        <v>24</v>
      </c>
      <c r="L43" s="97"/>
      <c r="M43" s="85"/>
      <c r="N43" s="85"/>
      <c r="O43" s="85"/>
      <c r="P43" s="98"/>
      <c r="Q43" s="98"/>
      <c r="R43" s="98"/>
      <c r="S43" s="98"/>
    </row>
    <row r="44" spans="1:19" x14ac:dyDescent="0.25">
      <c r="A44" s="98" t="s">
        <v>7270</v>
      </c>
      <c r="B44" s="98" t="s">
        <v>221</v>
      </c>
      <c r="C44" s="98" t="s">
        <v>223</v>
      </c>
      <c r="D44" s="98" t="str">
        <f>DEC2HEX(STRUCT!E131,2)</f>
        <v>06</v>
      </c>
      <c r="E44" s="98" t="str">
        <f>DEC2HEX(STRUCT!F131,2)</f>
        <v>0C</v>
      </c>
      <c r="F44" s="98" t="str">
        <f>DEC2HEX(STRUCT!G131,2)</f>
        <v>10</v>
      </c>
      <c r="G44" s="98" t="str">
        <f>DEC2HEX(STRUCT!H131,2)</f>
        <v>16</v>
      </c>
      <c r="H44" s="98" t="str">
        <f>DEC2HEX(STRUCT!I131,2)</f>
        <v>1C</v>
      </c>
      <c r="I44" s="98" t="str">
        <f>DEC2HEX(STRUCT!J131,2)</f>
        <v>20</v>
      </c>
      <c r="J44" s="98" t="str">
        <f>DEC2HEX(STRUCT!K131,2)</f>
        <v>24</v>
      </c>
      <c r="K44" s="98" t="str">
        <f>DEC2HEX(STRUCT!L131,2)</f>
        <v>28</v>
      </c>
      <c r="L44" s="85"/>
      <c r="M44" s="85"/>
      <c r="N44" s="85"/>
      <c r="O44" s="85"/>
      <c r="P44" s="98"/>
      <c r="Q44" s="98"/>
      <c r="R44" s="98"/>
      <c r="S44" s="98"/>
    </row>
    <row r="45" spans="1:19" x14ac:dyDescent="0.25">
      <c r="A45" s="98" t="s">
        <v>7270</v>
      </c>
      <c r="B45" s="98" t="s">
        <v>221</v>
      </c>
      <c r="C45" s="98" t="s">
        <v>224</v>
      </c>
      <c r="D45" s="98" t="str">
        <f>DEC2HEX(STRUCT!E132,2)</f>
        <v>06</v>
      </c>
      <c r="E45" s="98" t="str">
        <f>DEC2HEX(STRUCT!F132,2)</f>
        <v>0A</v>
      </c>
      <c r="F45" s="98" t="str">
        <f>DEC2HEX(STRUCT!G132,2)</f>
        <v>10</v>
      </c>
      <c r="G45" s="98" t="str">
        <f>DEC2HEX(STRUCT!H132,2)</f>
        <v>16</v>
      </c>
      <c r="H45" s="98" t="str">
        <f>DEC2HEX(STRUCT!I132,2)</f>
        <v>1A</v>
      </c>
      <c r="I45" s="98" t="str">
        <f>DEC2HEX(STRUCT!J132,2)</f>
        <v>20</v>
      </c>
      <c r="J45" s="98" t="str">
        <f>DEC2HEX(STRUCT!K132,2)</f>
        <v>24</v>
      </c>
      <c r="K45" s="98" t="str">
        <f>DEC2HEX(STRUCT!L132,2)</f>
        <v>28</v>
      </c>
      <c r="L45" s="85"/>
      <c r="M45" s="85"/>
      <c r="N45" s="85"/>
      <c r="O45" s="85"/>
      <c r="P45" s="98"/>
      <c r="Q45" s="98"/>
      <c r="R45" s="98"/>
      <c r="S45" s="98"/>
    </row>
    <row r="46" spans="1:19" x14ac:dyDescent="0.25">
      <c r="A46" s="98" t="s">
        <v>7270</v>
      </c>
      <c r="B46" s="98" t="s">
        <v>221</v>
      </c>
      <c r="C46" s="98" t="s">
        <v>225</v>
      </c>
      <c r="D46" s="98" t="str">
        <f>DEC2HEX(STRUCT!E133,2)</f>
        <v>06</v>
      </c>
      <c r="E46" s="98" t="str">
        <f>DEC2HEX(STRUCT!F133,2)</f>
        <v>0C</v>
      </c>
      <c r="F46" s="98" t="str">
        <f>DEC2HEX(STRUCT!G133,2)</f>
        <v>12</v>
      </c>
      <c r="G46" s="98" t="str">
        <f>DEC2HEX(STRUCT!H133,2)</f>
        <v>18</v>
      </c>
      <c r="H46" s="98" t="str">
        <f>DEC2HEX(STRUCT!I133,2)</f>
        <v>1E</v>
      </c>
      <c r="I46" s="98" t="str">
        <f>DEC2HEX(STRUCT!J133,2)</f>
        <v>24</v>
      </c>
      <c r="J46" s="98" t="str">
        <f>DEC2HEX(STRUCT!K133,2)</f>
        <v>28</v>
      </c>
      <c r="K46" s="98" t="str">
        <f>DEC2HEX(STRUCT!L133,2)</f>
        <v>2C</v>
      </c>
      <c r="L46" s="85"/>
      <c r="M46" s="85"/>
      <c r="N46" s="85"/>
      <c r="O46" s="85"/>
      <c r="P46" s="98"/>
      <c r="Q46" s="98"/>
      <c r="R46" s="98"/>
      <c r="S46" s="98"/>
    </row>
    <row r="47" spans="1:19" x14ac:dyDescent="0.25">
      <c r="A47" s="98" t="s">
        <v>7270</v>
      </c>
      <c r="B47" s="98" t="s">
        <v>221</v>
      </c>
      <c r="C47" s="98" t="s">
        <v>226</v>
      </c>
      <c r="D47" s="98" t="str">
        <f>DEC2HEX(STRUCT!E134,2)</f>
        <v>04</v>
      </c>
      <c r="E47" s="98" t="str">
        <f>DEC2HEX(STRUCT!F134,2)</f>
        <v>06</v>
      </c>
      <c r="F47" s="98" t="str">
        <f>DEC2HEX(STRUCT!G134,2)</f>
        <v>08</v>
      </c>
      <c r="G47" s="98" t="str">
        <f>DEC2HEX(STRUCT!H134,2)</f>
        <v>0A</v>
      </c>
      <c r="H47" s="98" t="str">
        <f>DEC2HEX(STRUCT!I134,2)</f>
        <v>0C</v>
      </c>
      <c r="I47" s="98" t="str">
        <f>DEC2HEX(STRUCT!J134,2)</f>
        <v>0E</v>
      </c>
      <c r="J47" s="98" t="str">
        <f>DEC2HEX(STRUCT!K134,2)</f>
        <v>10</v>
      </c>
      <c r="K47" s="98" t="str">
        <f>DEC2HEX(STRUCT!L134,2)</f>
        <v>12</v>
      </c>
      <c r="L47" s="85"/>
      <c r="M47" s="85"/>
      <c r="N47" s="85"/>
      <c r="O47" s="85"/>
      <c r="P47" s="98"/>
      <c r="Q47" s="98"/>
      <c r="R47" s="98"/>
      <c r="S47" s="98"/>
    </row>
    <row r="48" spans="1:19" x14ac:dyDescent="0.25">
      <c r="A48" s="98" t="s">
        <v>7270</v>
      </c>
      <c r="B48" s="98" t="s">
        <v>221</v>
      </c>
      <c r="C48" s="98" t="s">
        <v>227</v>
      </c>
      <c r="D48" s="98" t="str">
        <f>DEC2HEX(STRUCT!E135,2)</f>
        <v>06</v>
      </c>
      <c r="E48" s="98" t="str">
        <f>DEC2HEX(STRUCT!F135,2)</f>
        <v>0A</v>
      </c>
      <c r="F48" s="98" t="str">
        <f>DEC2HEX(STRUCT!G135,2)</f>
        <v>10</v>
      </c>
      <c r="G48" s="98" t="str">
        <f>DEC2HEX(STRUCT!H135,2)</f>
        <v>14</v>
      </c>
      <c r="H48" s="98" t="str">
        <f>DEC2HEX(STRUCT!I135,2)</f>
        <v>18</v>
      </c>
      <c r="I48" s="98" t="str">
        <f>DEC2HEX(STRUCT!J135,2)</f>
        <v>1E</v>
      </c>
      <c r="J48" s="98" t="str">
        <f>DEC2HEX(STRUCT!K135,2)</f>
        <v>22</v>
      </c>
      <c r="K48" s="98" t="str">
        <f>DEC2HEX(STRUCT!L135,2)</f>
        <v>28</v>
      </c>
      <c r="L48" s="85"/>
      <c r="M48" s="85"/>
      <c r="N48" s="85"/>
      <c r="O48" s="85"/>
      <c r="P48" s="98"/>
      <c r="Q48" s="98"/>
      <c r="R48" s="98"/>
      <c r="S48" s="98"/>
    </row>
    <row r="49" spans="1:19" x14ac:dyDescent="0.25">
      <c r="A49" s="98" t="s">
        <v>7270</v>
      </c>
      <c r="B49" s="98" t="s">
        <v>221</v>
      </c>
      <c r="C49" s="98" t="s">
        <v>228</v>
      </c>
      <c r="D49" s="98" t="str">
        <f>DEC2HEX(STRUCT!E136,2)</f>
        <v>06</v>
      </c>
      <c r="E49" s="98" t="str">
        <f>DEC2HEX(STRUCT!F136,2)</f>
        <v>0C</v>
      </c>
      <c r="F49" s="98" t="str">
        <f>DEC2HEX(STRUCT!G136,2)</f>
        <v>10</v>
      </c>
      <c r="G49" s="98" t="str">
        <f>DEC2HEX(STRUCT!H136,2)</f>
        <v>16</v>
      </c>
      <c r="H49" s="98" t="str">
        <f>DEC2HEX(STRUCT!I136,2)</f>
        <v>1C</v>
      </c>
      <c r="I49" s="98" t="str">
        <f>DEC2HEX(STRUCT!J136,2)</f>
        <v>20</v>
      </c>
      <c r="J49" s="98" t="str">
        <f>DEC2HEX(STRUCT!K136,2)</f>
        <v>26</v>
      </c>
      <c r="K49" s="98" t="str">
        <f>DEC2HEX(STRUCT!L136,2)</f>
        <v>2C</v>
      </c>
      <c r="L49" s="85"/>
      <c r="M49" s="85"/>
      <c r="N49" s="85"/>
      <c r="O49" s="85"/>
      <c r="P49" s="98"/>
      <c r="Q49" s="98"/>
      <c r="R49" s="98"/>
      <c r="S49" s="98"/>
    </row>
    <row r="50" spans="1:19" x14ac:dyDescent="0.25">
      <c r="A50" s="98" t="s">
        <v>7270</v>
      </c>
      <c r="B50" s="98" t="s">
        <v>221</v>
      </c>
      <c r="C50" s="98" t="s">
        <v>229</v>
      </c>
      <c r="D50" s="98" t="str">
        <f>DEC2HEX(STRUCT!E137,2)</f>
        <v>08</v>
      </c>
      <c r="E50" s="98" t="str">
        <f>DEC2HEX(STRUCT!F137,2)</f>
        <v>08</v>
      </c>
      <c r="F50" s="98" t="str">
        <f>DEC2HEX(STRUCT!G137,2)</f>
        <v>08</v>
      </c>
      <c r="G50" s="98" t="str">
        <f>DEC2HEX(STRUCT!H137,2)</f>
        <v>08</v>
      </c>
      <c r="H50" s="98" t="str">
        <f>DEC2HEX(STRUCT!I137,2)</f>
        <v>0A</v>
      </c>
      <c r="I50" s="98" t="str">
        <f>DEC2HEX(STRUCT!J137,2)</f>
        <v>0C</v>
      </c>
      <c r="J50" s="98" t="str">
        <f>DEC2HEX(STRUCT!K137,2)</f>
        <v>0E</v>
      </c>
      <c r="K50" s="98" t="str">
        <f>DEC2HEX(STRUCT!L137,2)</f>
        <v>10</v>
      </c>
      <c r="L50" s="85"/>
      <c r="M50" s="85"/>
      <c r="N50" s="85"/>
      <c r="O50" s="85"/>
      <c r="P50" s="98"/>
      <c r="Q50" s="98"/>
      <c r="R50" s="98"/>
      <c r="S50" s="98"/>
    </row>
    <row r="51" spans="1:19" x14ac:dyDescent="0.25">
      <c r="A51" s="98" t="s">
        <v>7270</v>
      </c>
      <c r="B51" s="98" t="s">
        <v>221</v>
      </c>
      <c r="C51" s="98" t="s">
        <v>230</v>
      </c>
      <c r="D51" s="98" t="str">
        <f>DEC2HEX(STRUCT!E138,2)</f>
        <v>04</v>
      </c>
      <c r="E51" s="98" t="str">
        <f>DEC2HEX(STRUCT!F138,2)</f>
        <v>04</v>
      </c>
      <c r="F51" s="98" t="str">
        <f>DEC2HEX(STRUCT!G138,2)</f>
        <v>04</v>
      </c>
      <c r="G51" s="98" t="str">
        <f>DEC2HEX(STRUCT!H138,2)</f>
        <v>04</v>
      </c>
      <c r="H51" s="98" t="str">
        <f>DEC2HEX(STRUCT!I138,2)</f>
        <v>04</v>
      </c>
      <c r="I51" s="98" t="str">
        <f>DEC2HEX(STRUCT!J138,2)</f>
        <v>06</v>
      </c>
      <c r="J51" s="98" t="str">
        <f>DEC2HEX(STRUCT!K138,2)</f>
        <v>06</v>
      </c>
      <c r="K51" s="98" t="str">
        <f>DEC2HEX(STRUCT!L138,2)</f>
        <v>08</v>
      </c>
      <c r="L51" s="85"/>
      <c r="M51" s="85"/>
      <c r="N51" s="85"/>
      <c r="O51" s="85"/>
      <c r="P51" s="98"/>
      <c r="Q51" s="98"/>
      <c r="R51" s="98"/>
      <c r="S51" s="98"/>
    </row>
    <row r="52" spans="1:19" x14ac:dyDescent="0.25">
      <c r="A52" s="98" t="s">
        <v>7270</v>
      </c>
      <c r="B52" s="98" t="s">
        <v>221</v>
      </c>
      <c r="C52" s="98" t="s">
        <v>231</v>
      </c>
      <c r="D52" s="98" t="str">
        <f>DEC2HEX(STRUCT!E139,2)</f>
        <v>14</v>
      </c>
      <c r="E52" s="98" t="str">
        <f>DEC2HEX(STRUCT!F139,2)</f>
        <v>14</v>
      </c>
      <c r="F52" s="98" t="str">
        <f>DEC2HEX(STRUCT!G139,2)</f>
        <v>14</v>
      </c>
      <c r="G52" s="98" t="str">
        <f>DEC2HEX(STRUCT!H139,2)</f>
        <v>14</v>
      </c>
      <c r="H52" s="98" t="str">
        <f>DEC2HEX(STRUCT!I139,2)</f>
        <v>16</v>
      </c>
      <c r="I52" s="98" t="str">
        <f>DEC2HEX(STRUCT!J139,2)</f>
        <v>18</v>
      </c>
      <c r="J52" s="98" t="str">
        <f>DEC2HEX(STRUCT!K139,2)</f>
        <v>1A</v>
      </c>
      <c r="K52" s="98" t="str">
        <f>DEC2HEX(STRUCT!L139,2)</f>
        <v>1C</v>
      </c>
      <c r="L52" s="85"/>
      <c r="M52" s="85"/>
      <c r="N52" s="85"/>
      <c r="O52" s="85"/>
      <c r="P52" s="98"/>
      <c r="Q52" s="98"/>
      <c r="R52" s="98"/>
      <c r="S52" s="98"/>
    </row>
    <row r="53" spans="1:19" x14ac:dyDescent="0.25">
      <c r="A53" s="98" t="s">
        <v>7270</v>
      </c>
      <c r="B53" s="98" t="s">
        <v>221</v>
      </c>
      <c r="C53" s="98" t="s">
        <v>232</v>
      </c>
      <c r="D53" s="98" t="str">
        <f>DEC2HEX(HEX2DEC(STRUCT!E140),2)</f>
        <v>00</v>
      </c>
      <c r="E53" s="98" t="str">
        <f>DEC2HEX(HEX2DEC(STRUCT!F140),2)</f>
        <v>09</v>
      </c>
      <c r="F53" s="98" t="str">
        <f>DEC2HEX(HEX2DEC(STRUCT!G140),2)</f>
        <v>12</v>
      </c>
      <c r="G53" s="98" t="str">
        <f>DEC2HEX(HEX2DEC(STRUCT!H140),2)</f>
        <v>1B</v>
      </c>
      <c r="H53" s="98" t="str">
        <f>DEC2HEX(HEX2DEC(STRUCT!I140),2)</f>
        <v>24</v>
      </c>
      <c r="I53" s="98" t="str">
        <f>DEC2HEX(HEX2DEC(STRUCT!J140),2)</f>
        <v>2D</v>
      </c>
      <c r="J53" s="98" t="str">
        <f>DEC2HEX(HEX2DEC(STRUCT!K140),2)</f>
        <v>36</v>
      </c>
      <c r="K53" s="98" t="str">
        <f>DEC2HEX(HEX2DEC(STRUCT!L140),2)</f>
        <v>3F</v>
      </c>
      <c r="L53" s="85"/>
      <c r="M53" s="85"/>
      <c r="N53" s="85"/>
      <c r="O53" s="85"/>
      <c r="P53" s="98"/>
      <c r="Q53" s="98"/>
      <c r="R53" s="98"/>
      <c r="S53" s="98"/>
    </row>
    <row r="54" spans="1:19" x14ac:dyDescent="0.25">
      <c r="A54" s="98" t="s">
        <v>7270</v>
      </c>
      <c r="B54" s="98" t="s">
        <v>221</v>
      </c>
      <c r="C54" s="98" t="s">
        <v>7271</v>
      </c>
      <c r="D54" s="98" t="str">
        <f t="shared" ref="D54:K54" si="0">DEC2HEX(0,2)</f>
        <v>00</v>
      </c>
      <c r="E54" s="98" t="str">
        <f t="shared" si="0"/>
        <v>00</v>
      </c>
      <c r="F54" s="98" t="str">
        <f t="shared" si="0"/>
        <v>00</v>
      </c>
      <c r="G54" s="98" t="str">
        <f t="shared" si="0"/>
        <v>00</v>
      </c>
      <c r="H54" s="98" t="str">
        <f t="shared" si="0"/>
        <v>00</v>
      </c>
      <c r="I54" s="98" t="str">
        <f t="shared" si="0"/>
        <v>00</v>
      </c>
      <c r="J54" s="98" t="str">
        <f t="shared" si="0"/>
        <v>00</v>
      </c>
      <c r="K54" s="98" t="str">
        <f t="shared" si="0"/>
        <v>00</v>
      </c>
      <c r="L54" s="85"/>
      <c r="M54" s="85"/>
      <c r="N54" s="85"/>
      <c r="O54" s="85"/>
      <c r="P54" s="98"/>
      <c r="Q54" s="98"/>
      <c r="R54" s="98"/>
      <c r="S54" s="98"/>
    </row>
    <row r="55" spans="1:19" x14ac:dyDescent="0.25">
      <c r="A55" s="98" t="s">
        <v>7270</v>
      </c>
      <c r="B55" s="98" t="s">
        <v>221</v>
      </c>
      <c r="C55" s="98" t="s">
        <v>241</v>
      </c>
      <c r="D55" s="98" t="str">
        <f>DEC2HEX(ROUNDDOWN(STRUCT!E141,1),8)</f>
        <v>00000EAF</v>
      </c>
      <c r="E55" s="98" t="str">
        <f>DEC2HEX(ROUNDDOWN(STRUCT!F141,1),8)</f>
        <v>00000754</v>
      </c>
      <c r="F55" s="98" t="str">
        <f>DEC2HEX(ROUNDDOWN(STRUCT!G141,1),8)</f>
        <v>000004E2</v>
      </c>
      <c r="G55" s="98" t="str">
        <f>DEC2HEX(ROUNDDOWN(STRUCT!H141,1),8)</f>
        <v>000003AA</v>
      </c>
      <c r="H55" s="98" t="str">
        <f>DEC2HEX(ROUNDDOWN(STRUCT!I141,1),8)</f>
        <v>000002EE</v>
      </c>
      <c r="I55" s="98" t="str">
        <f>DEC2HEX(ROUNDDOWN(STRUCT!J141,1),8)</f>
        <v>00000271</v>
      </c>
      <c r="J55" s="98" t="str">
        <f>DEC2HEX(ROUNDDOWN(STRUCT!K141,1),8)</f>
        <v>00000217</v>
      </c>
      <c r="K55" s="98" t="str">
        <f>DEC2HEX(ROUNDDOWN(STRUCT!L141,1),8)</f>
        <v>000001D4</v>
      </c>
      <c r="L55" s="85"/>
      <c r="M55" s="85"/>
      <c r="N55" s="85"/>
      <c r="O55" s="85"/>
      <c r="P55" s="98"/>
      <c r="Q55" s="98"/>
      <c r="R55" s="98"/>
      <c r="S55" s="98"/>
    </row>
    <row r="56" spans="1:19" x14ac:dyDescent="0.25">
      <c r="A56" s="98" t="s">
        <v>7270</v>
      </c>
      <c r="B56" s="98" t="s">
        <v>242</v>
      </c>
      <c r="C56" s="98" t="s">
        <v>243</v>
      </c>
      <c r="D56" s="98" t="str">
        <f>DEC2HEX(STRUCT!E144,2)</f>
        <v>00</v>
      </c>
      <c r="E56" s="98" t="str">
        <f>DEC2HEX(STRUCT!F144,2)</f>
        <v>00</v>
      </c>
      <c r="F56" s="98" t="str">
        <f>DEC2HEX(STRUCT!G144,2)</f>
        <v>00</v>
      </c>
      <c r="G56" s="98" t="str">
        <f>DEC2HEX(STRUCT!H144,2)</f>
        <v>00</v>
      </c>
      <c r="H56" s="98" t="str">
        <f>DEC2HEX(STRUCT!I144,2)</f>
        <v>00</v>
      </c>
      <c r="I56" s="98" t="str">
        <f>DEC2HEX(STRUCT!J144,2)</f>
        <v>00</v>
      </c>
      <c r="J56" s="98"/>
      <c r="K56" s="98"/>
      <c r="L56" s="98"/>
      <c r="M56" s="98"/>
      <c r="N56" s="98"/>
      <c r="O56" s="85"/>
      <c r="P56" s="98"/>
      <c r="Q56" s="98"/>
      <c r="R56" s="98"/>
      <c r="S56" s="98"/>
    </row>
    <row r="57" spans="1:19" x14ac:dyDescent="0.25">
      <c r="A57" s="98" t="s">
        <v>7270</v>
      </c>
      <c r="B57" s="98" t="s">
        <v>242</v>
      </c>
      <c r="C57" s="98" t="s">
        <v>244</v>
      </c>
      <c r="D57" s="98" t="str">
        <f>DEC2HEX(STRUCT!E145,2)</f>
        <v>00</v>
      </c>
      <c r="E57" s="98" t="str">
        <f>DEC2HEX(STRUCT!F145,2)</f>
        <v>00</v>
      </c>
      <c r="F57" s="98" t="str">
        <f>DEC2HEX(STRUCT!G145,2)</f>
        <v>00</v>
      </c>
      <c r="G57" s="98" t="str">
        <f>DEC2HEX(STRUCT!H145,2)</f>
        <v>01</v>
      </c>
      <c r="H57" s="98" t="str">
        <f>DEC2HEX(STRUCT!I145,2)</f>
        <v>01</v>
      </c>
      <c r="I57" s="98" t="str">
        <f>DEC2HEX(STRUCT!J145,2)</f>
        <v>01</v>
      </c>
      <c r="J57" s="98"/>
      <c r="K57" s="98"/>
      <c r="L57" s="98"/>
      <c r="M57" s="98"/>
      <c r="N57" s="98"/>
      <c r="O57" s="85"/>
      <c r="P57" s="98"/>
      <c r="Q57" s="98"/>
      <c r="R57" s="98"/>
      <c r="S57" s="98"/>
    </row>
    <row r="58" spans="1:19" x14ac:dyDescent="0.25">
      <c r="A58" s="98" t="s">
        <v>7270</v>
      </c>
      <c r="B58" s="98" t="s">
        <v>242</v>
      </c>
      <c r="C58" s="98" t="s">
        <v>245</v>
      </c>
      <c r="D58" s="98" t="str">
        <f>DEC2HEX(STRUCT!E146,2)</f>
        <v>00</v>
      </c>
      <c r="E58" s="98" t="str">
        <f>DEC2HEX(STRUCT!F146,2)</f>
        <v>00</v>
      </c>
      <c r="F58" s="98" t="str">
        <f>DEC2HEX(STRUCT!G146,2)</f>
        <v>00</v>
      </c>
      <c r="G58" s="98" t="str">
        <f>DEC2HEX(STRUCT!H146,2)</f>
        <v>01</v>
      </c>
      <c r="H58" s="98" t="str">
        <f>DEC2HEX(STRUCT!I146,2)</f>
        <v>01</v>
      </c>
      <c r="I58" s="98" t="str">
        <f>DEC2HEX(STRUCT!J146,2)</f>
        <v>01</v>
      </c>
      <c r="J58" s="98"/>
      <c r="K58" s="98"/>
      <c r="L58" s="98"/>
      <c r="M58" s="98"/>
      <c r="N58" s="98"/>
      <c r="O58" s="85"/>
      <c r="P58" s="98"/>
      <c r="Q58" s="98"/>
      <c r="R58" s="98"/>
      <c r="S58" s="98"/>
    </row>
    <row r="59" spans="1:19" x14ac:dyDescent="0.25">
      <c r="A59" s="98" t="s">
        <v>7270</v>
      </c>
      <c r="B59" s="98" t="s">
        <v>242</v>
      </c>
      <c r="C59" s="98" t="s">
        <v>246</v>
      </c>
      <c r="D59" s="98" t="str">
        <f>DEC2HEX(STRUCT!E147,2)</f>
        <v>01</v>
      </c>
      <c r="E59" s="98" t="str">
        <f>DEC2HEX(STRUCT!F147,2)</f>
        <v>01</v>
      </c>
      <c r="F59" s="98" t="str">
        <f>DEC2HEX(STRUCT!G147,2)</f>
        <v>01</v>
      </c>
      <c r="G59" s="98" t="str">
        <f>DEC2HEX(STRUCT!H147,2)</f>
        <v>01</v>
      </c>
      <c r="H59" s="98" t="str">
        <f>DEC2HEX(STRUCT!I147,2)</f>
        <v>01</v>
      </c>
      <c r="I59" s="98" t="str">
        <f>DEC2HEX(STRUCT!J147,2)</f>
        <v>01</v>
      </c>
      <c r="J59" s="98"/>
      <c r="K59" s="98"/>
      <c r="L59" s="98"/>
      <c r="M59" s="98"/>
      <c r="N59" s="98"/>
      <c r="O59" s="85"/>
      <c r="P59" s="98"/>
      <c r="Q59" s="98"/>
      <c r="R59" s="98"/>
      <c r="S59" s="98"/>
    </row>
    <row r="60" spans="1:19" x14ac:dyDescent="0.25">
      <c r="A60" s="98" t="s">
        <v>7270</v>
      </c>
      <c r="B60" s="98" t="s">
        <v>242</v>
      </c>
      <c r="C60" s="98" t="s">
        <v>247</v>
      </c>
      <c r="D60" s="98" t="str">
        <f>DEC2HEX(STRUCT!E148,2)</f>
        <v>00</v>
      </c>
      <c r="E60" s="98" t="str">
        <f>DEC2HEX(STRUCT!F148,2)</f>
        <v>00</v>
      </c>
      <c r="F60" s="98" t="str">
        <f>DEC2HEX(STRUCT!G148,2)</f>
        <v>00</v>
      </c>
      <c r="G60" s="98" t="str">
        <f>DEC2HEX(STRUCT!H148,2)</f>
        <v>00</v>
      </c>
      <c r="H60" s="98" t="str">
        <f>DEC2HEX(STRUCT!I148,2)</f>
        <v>01</v>
      </c>
      <c r="I60" s="98" t="str">
        <f>DEC2HEX(STRUCT!J148,2)</f>
        <v>01</v>
      </c>
      <c r="J60" s="98"/>
      <c r="K60" s="98"/>
      <c r="L60" s="98"/>
      <c r="M60" s="98"/>
      <c r="N60" s="98"/>
      <c r="O60" s="85"/>
      <c r="P60" s="98"/>
      <c r="Q60" s="98"/>
      <c r="R60" s="98"/>
      <c r="S60" s="98"/>
    </row>
    <row r="61" spans="1:19" x14ac:dyDescent="0.25">
      <c r="A61" s="98" t="s">
        <v>7270</v>
      </c>
      <c r="B61" s="98" t="s">
        <v>242</v>
      </c>
      <c r="C61" s="98" t="s">
        <v>248</v>
      </c>
      <c r="D61" s="98" t="str">
        <f>DEC2HEX(STRUCT!E149,2)</f>
        <v>00</v>
      </c>
      <c r="E61" s="98" t="str">
        <f>DEC2HEX(STRUCT!F149,2)</f>
        <v>00</v>
      </c>
      <c r="F61" s="98" t="str">
        <f>DEC2HEX(STRUCT!G149,2)</f>
        <v>00</v>
      </c>
      <c r="G61" s="98" t="str">
        <f>DEC2HEX(STRUCT!H149,2)</f>
        <v>00</v>
      </c>
      <c r="H61" s="98" t="str">
        <f>DEC2HEX(STRUCT!I149,2)</f>
        <v>00</v>
      </c>
      <c r="I61" s="98" t="str">
        <f>DEC2HEX(STRUCT!J149,2)</f>
        <v>00</v>
      </c>
      <c r="J61" s="98"/>
      <c r="K61" s="98"/>
      <c r="L61" s="98"/>
      <c r="M61" s="98"/>
      <c r="N61" s="98"/>
      <c r="O61" s="85"/>
      <c r="P61" s="98"/>
      <c r="Q61" s="98"/>
      <c r="R61" s="98"/>
      <c r="S61" s="98"/>
    </row>
    <row r="62" spans="1:19" x14ac:dyDescent="0.25">
      <c r="A62" s="98" t="s">
        <v>7270</v>
      </c>
      <c r="B62" s="98" t="s">
        <v>242</v>
      </c>
      <c r="C62" s="98" t="s">
        <v>249</v>
      </c>
      <c r="D62" s="98" t="str">
        <f>DEC2HEX(HEX2DEC(STRUCT!E150),2)</f>
        <v>B0</v>
      </c>
      <c r="E62" s="98" t="str">
        <f>DEC2HEX(HEX2DEC(STRUCT!F150),2)</f>
        <v>B0</v>
      </c>
      <c r="F62" s="98" t="str">
        <f>DEC2HEX(HEX2DEC(STRUCT!G150),2)</f>
        <v>B0</v>
      </c>
      <c r="G62" s="98" t="str">
        <f>DEC2HEX(HEX2DEC(STRUCT!H150),2)</f>
        <v>B0</v>
      </c>
      <c r="H62" s="98" t="str">
        <f>DEC2HEX(HEX2DEC(STRUCT!I150),2)</f>
        <v>B0</v>
      </c>
      <c r="I62" s="98" t="str">
        <f>DEC2HEX(HEX2DEC(STRUCT!J150),2)</f>
        <v>B2</v>
      </c>
      <c r="J62" s="98"/>
      <c r="K62" s="98"/>
      <c r="L62" s="98"/>
      <c r="M62" s="98"/>
      <c r="N62" s="98"/>
      <c r="O62" s="85"/>
      <c r="P62" s="98"/>
      <c r="Q62" s="98"/>
      <c r="R62" s="98"/>
      <c r="S62" s="98"/>
    </row>
    <row r="63" spans="1:19" x14ac:dyDescent="0.25">
      <c r="A63" s="98" t="s">
        <v>7270</v>
      </c>
      <c r="B63" s="98" t="s">
        <v>242</v>
      </c>
      <c r="C63" s="98" t="s">
        <v>252</v>
      </c>
      <c r="D63" s="98" t="str">
        <f>DEC2HEX(HEX2DEC(STRUCT!E151),2)</f>
        <v>00</v>
      </c>
      <c r="E63" s="98" t="str">
        <f>DEC2HEX(HEX2DEC(STRUCT!F151),2)</f>
        <v>00</v>
      </c>
      <c r="F63" s="98" t="str">
        <f>DEC2HEX(HEX2DEC(STRUCT!G151),2)</f>
        <v>00</v>
      </c>
      <c r="G63" s="98" t="str">
        <f>DEC2HEX(HEX2DEC(STRUCT!H151),2)</f>
        <v>33</v>
      </c>
      <c r="H63" s="98" t="str">
        <f>DEC2HEX(HEX2DEC(STRUCT!I151),2)</f>
        <v>33</v>
      </c>
      <c r="I63" s="98" t="str">
        <f>DEC2HEX(HEX2DEC(STRUCT!J151),2)</f>
        <v>33</v>
      </c>
      <c r="J63" s="98"/>
      <c r="K63" s="98"/>
      <c r="L63" s="98"/>
      <c r="M63" s="85"/>
      <c r="N63" s="85"/>
      <c r="O63" s="85"/>
      <c r="P63" s="98"/>
      <c r="Q63" s="98"/>
      <c r="R63" s="98"/>
      <c r="S63" s="98"/>
    </row>
    <row r="64" spans="1:19" x14ac:dyDescent="0.25">
      <c r="A64" s="98" t="s">
        <v>7270</v>
      </c>
      <c r="B64" s="98" t="s">
        <v>242</v>
      </c>
      <c r="C64" s="98" t="s">
        <v>241</v>
      </c>
      <c r="D64" s="85" t="str">
        <f>DEC2HEX(ROUNDDOWN(STRUCT!E152,1),8)</f>
        <v>000009C4</v>
      </c>
      <c r="E64" s="85" t="str">
        <f>DEC2HEX(ROUNDDOWN(STRUCT!F152,1),8)</f>
        <v>00000535</v>
      </c>
      <c r="F64" s="85" t="str">
        <f>DEC2HEX(ROUNDDOWN(STRUCT!G152,1),8)</f>
        <v>000003E8</v>
      </c>
      <c r="G64" s="85" t="str">
        <f>DEC2HEX(ROUNDDOWN(STRUCT!H152,1),8)</f>
        <v>00000304</v>
      </c>
      <c r="H64" s="85" t="str">
        <f>DEC2HEX(ROUNDDOWN(STRUCT!I152,1),8)</f>
        <v>0000027C</v>
      </c>
      <c r="I64" s="85" t="str">
        <f>DEC2HEX(ROUNDDOWN(STRUCT!J152,1),8)</f>
        <v>00000211</v>
      </c>
      <c r="J64" s="85"/>
      <c r="K64" s="85"/>
      <c r="L64" s="85"/>
      <c r="M64" s="85"/>
      <c r="N64" s="85"/>
      <c r="O64" s="85"/>
      <c r="P64" s="98"/>
      <c r="Q64" s="98"/>
      <c r="R64" s="98"/>
      <c r="S64" s="98"/>
    </row>
    <row r="65" spans="1:19" x14ac:dyDescent="0.25">
      <c r="A65" s="98" t="s">
        <v>7270</v>
      </c>
      <c r="B65" s="98" t="s">
        <v>59</v>
      </c>
      <c r="C65" s="98" t="s">
        <v>60</v>
      </c>
      <c r="D65" s="98" t="str">
        <f>DEC2HEX(STRUCT!E2,8)</f>
        <v>00000000</v>
      </c>
      <c r="E65" s="98" t="str">
        <f>DEC2HEX(STRUCT!F2,8)</f>
        <v>00000001</v>
      </c>
      <c r="F65" s="98" t="str">
        <f>DEC2HEX(STRUCT!G2,8)</f>
        <v>00000002</v>
      </c>
      <c r="G65" s="98" t="str">
        <f>DEC2HEX(STRUCT!H2,8)</f>
        <v>00000003</v>
      </c>
      <c r="H65" s="98" t="str">
        <f>DEC2HEX(STRUCT!I2,8)</f>
        <v>00000004</v>
      </c>
      <c r="I65" s="98" t="str">
        <f>DEC2HEX(STRUCT!J2,8)</f>
        <v>00000005</v>
      </c>
      <c r="J65" s="98" t="str">
        <f>DEC2HEX(STRUCT!K2,8)</f>
        <v>00000006</v>
      </c>
      <c r="K65" s="98" t="str">
        <f>DEC2HEX(STRUCT!L2,8)</f>
        <v>00000007</v>
      </c>
      <c r="L65" s="98" t="str">
        <f>DEC2HEX(STRUCT!M2,8)</f>
        <v>00000008</v>
      </c>
      <c r="M65" s="98" t="str">
        <f>DEC2HEX(STRUCT!N2,8)</f>
        <v>00000009</v>
      </c>
      <c r="N65" s="98" t="str">
        <f>DEC2HEX(STRUCT!O2,8)</f>
        <v>0000000A</v>
      </c>
      <c r="O65" s="98" t="str">
        <f>DEC2HEX(STRUCT!P2,8)</f>
        <v>0000000B</v>
      </c>
      <c r="P65" s="98"/>
      <c r="Q65" s="98"/>
      <c r="R65" s="98"/>
      <c r="S65" s="98"/>
    </row>
    <row r="66" spans="1:19" x14ac:dyDescent="0.25">
      <c r="A66" s="98" t="s">
        <v>7270</v>
      </c>
      <c r="B66" s="98" t="s">
        <v>59</v>
      </c>
      <c r="C66" s="98" t="s">
        <v>61</v>
      </c>
      <c r="D66" s="98" t="str">
        <f>DEC2HEX(STRUCT!E3*1000,8)</f>
        <v>00000000</v>
      </c>
      <c r="E66" s="98" t="str">
        <f>DEC2HEX(STRUCT!F3*1000,8)</f>
        <v>000186A0</v>
      </c>
      <c r="F66" s="98" t="str">
        <f>DEC2HEX(STRUCT!G3*1000,8)</f>
        <v>00030D40</v>
      </c>
      <c r="G66" s="98" t="str">
        <f>DEC2HEX(STRUCT!H3*1000,8)</f>
        <v>000493E0</v>
      </c>
      <c r="H66" s="98" t="str">
        <f>DEC2HEX(STRUCT!I3*1000,8)</f>
        <v>0006E280</v>
      </c>
      <c r="I66" s="98" t="str">
        <f>DEC2HEX(STRUCT!J3*1000,8)</f>
        <v>00085980</v>
      </c>
      <c r="J66" s="98" t="str">
        <f>DEC2HEX(STRUCT!K3*1000,8)</f>
        <v>000A6680</v>
      </c>
      <c r="K66" s="98" t="str">
        <f>DEC2HEX(STRUCT!L3*1000,8)</f>
        <v>000BB800</v>
      </c>
      <c r="L66" s="98" t="str">
        <f>DEC2HEX(STRUCT!M3*1000,8)</f>
        <v>000F8700</v>
      </c>
      <c r="M66" s="98" t="str">
        <f>DEC2HEX(STRUCT!N3*1000,8)</f>
        <v>0014A780</v>
      </c>
      <c r="N66" s="98" t="str">
        <f>DEC2HEX(STRUCT!O3*1000,8)</f>
        <v>0017BB00</v>
      </c>
      <c r="O66" s="98" t="str">
        <f>DEC2HEX(STRUCT!P3*1000,8)</f>
        <v>001B8A00</v>
      </c>
      <c r="P66" s="98"/>
      <c r="Q66" s="98"/>
      <c r="R66" s="98"/>
      <c r="S66" s="98"/>
    </row>
    <row r="67" spans="1:19" x14ac:dyDescent="0.25">
      <c r="A67" s="98" t="s">
        <v>7270</v>
      </c>
      <c r="B67" s="98" t="s">
        <v>59</v>
      </c>
      <c r="C67" s="98" t="s">
        <v>67</v>
      </c>
      <c r="D67" s="98" t="str">
        <f>VLOOKUP(STRUCT!E6,ENUM_CLK_MODE,2,FALSE)</f>
        <v>00000000</v>
      </c>
      <c r="E67" s="98" t="str">
        <f>VLOOKUP(STRUCT!F6,ENUM_CLK_MODE,2,FALSE)</f>
        <v>00000000</v>
      </c>
      <c r="F67" s="98" t="str">
        <f>VLOOKUP(STRUCT!G6,ENUM_CLK_MODE,2,FALSE)</f>
        <v>00000000</v>
      </c>
      <c r="G67" s="98" t="str">
        <f>VLOOKUP(STRUCT!H6,ENUM_CLK_MODE,2,FALSE)</f>
        <v>00000000</v>
      </c>
      <c r="H67" s="98" t="str">
        <f>VLOOKUP(STRUCT!I6,ENUM_CLK_MODE,2,FALSE)</f>
        <v>00000000</v>
      </c>
      <c r="I67" s="98" t="str">
        <f>VLOOKUP(STRUCT!J6,ENUM_CLK_MODE,2,FALSE)</f>
        <v>00000000</v>
      </c>
      <c r="J67" s="98" t="str">
        <f>VLOOKUP(STRUCT!K6,ENUM_CLK_MODE,2,FALSE)</f>
        <v>00000001</v>
      </c>
      <c r="K67" s="98" t="str">
        <f>VLOOKUP(STRUCT!L6,ENUM_CLK_MODE,2,FALSE)</f>
        <v>00000001</v>
      </c>
      <c r="L67" s="98" t="str">
        <f>VLOOKUP(STRUCT!M6,ENUM_CLK_MODE,2,FALSE)</f>
        <v>00000001</v>
      </c>
      <c r="M67" s="98" t="str">
        <f>VLOOKUP(STRUCT!N6,ENUM_CLK_MODE,2,FALSE)</f>
        <v>00000001</v>
      </c>
      <c r="N67" s="98" t="str">
        <f>VLOOKUP(STRUCT!O6,ENUM_CLK_MODE,2,FALSE)</f>
        <v>00000001</v>
      </c>
      <c r="O67" s="98" t="str">
        <f>VLOOKUP(STRUCT!P6,ENUM_CLK_MODE,2,FALSE)</f>
        <v>00000001</v>
      </c>
      <c r="P67" s="98"/>
      <c r="Q67" s="98"/>
      <c r="R67" s="98"/>
      <c r="S67" s="98"/>
    </row>
    <row r="68" spans="1:19" x14ac:dyDescent="0.25">
      <c r="A68" s="98" t="s">
        <v>7270</v>
      </c>
      <c r="B68" s="98" t="s">
        <v>59</v>
      </c>
      <c r="C68" s="98" t="s">
        <v>63</v>
      </c>
      <c r="D68" s="98" t="str">
        <f>DEC2HEX(STRUCT!E4,8)</f>
        <v>FFFFFFFF</v>
      </c>
      <c r="E68" s="98" t="str">
        <f>DEC2HEX(STRUCT!F4,8)</f>
        <v>00002710</v>
      </c>
      <c r="F68" s="98" t="str">
        <f>DEC2HEX(STRUCT!G4,8)</f>
        <v>00001388</v>
      </c>
      <c r="G68" s="98" t="str">
        <f>DEC2HEX(STRUCT!H4,8)</f>
        <v>00000D05</v>
      </c>
      <c r="H68" s="98" t="str">
        <f>DEC2HEX(STRUCT!I4,8)</f>
        <v>000008A8</v>
      </c>
      <c r="I68" s="98" t="str">
        <f>DEC2HEX(STRUCT!J4,8)</f>
        <v>00000723</v>
      </c>
      <c r="J68" s="98" t="str">
        <f>DEC2HEX(STRUCT!K4,8)</f>
        <v>000005BB</v>
      </c>
      <c r="K68" s="98" t="str">
        <f>DEC2HEX(STRUCT!L4,8)</f>
        <v>00000516</v>
      </c>
      <c r="L68" s="98" t="str">
        <f>DEC2HEX(STRUCT!M4,8)</f>
        <v>000003D6</v>
      </c>
      <c r="M68" s="98" t="str">
        <f>DEC2HEX(STRUCT!N4,8)</f>
        <v>000002E2</v>
      </c>
      <c r="N68" s="98" t="str">
        <f>DEC2HEX(STRUCT!O4,8)</f>
        <v>00000283</v>
      </c>
      <c r="O68" s="98" t="str">
        <f>DEC2HEX(STRUCT!P4,8)</f>
        <v>0000022A</v>
      </c>
      <c r="P68" s="98"/>
      <c r="Q68" s="98"/>
      <c r="R68" s="98"/>
      <c r="S68" s="98"/>
    </row>
    <row r="69" spans="1:19" x14ac:dyDescent="0.25">
      <c r="A69" s="98" t="s">
        <v>7270</v>
      </c>
      <c r="B69" s="98" t="s">
        <v>80</v>
      </c>
      <c r="C69" s="98" t="s">
        <v>81</v>
      </c>
      <c r="D69" s="98" t="str">
        <f>DEC2HEX(2^24*MOD(STRUCT!E14,2^8)+2^16*MOD(STRUCT!E15,2^8)+2^8*MOD(STRUCT!E16,2^8)+2^0*MOD(STRUCT!E17,2^8),8)</f>
        <v>00000000</v>
      </c>
      <c r="E69" s="98" t="str">
        <f>DEC2HEX(2^24*MOD(STRUCT!F14,2^8)+2^16*MOD(STRUCT!F15,2^8)+2^8*MOD(STRUCT!F16,2^8)+2^0*MOD(STRUCT!F17,2^8),8)</f>
        <v>00000000</v>
      </c>
      <c r="F69" s="98" t="str">
        <f>DEC2HEX(2^24*MOD(STRUCT!G14,2^8)+2^16*MOD(STRUCT!G15,2^8)+2^8*MOD(STRUCT!G16,2^8)+2^0*MOD(STRUCT!G17,2^8),8)</f>
        <v>00000000</v>
      </c>
      <c r="G69" s="98" t="str">
        <f>DEC2HEX(2^24*MOD(STRUCT!H14,2^8)+2^16*MOD(STRUCT!H15,2^8)+2^8*MOD(STRUCT!H16,2^8)+2^0*MOD(STRUCT!H17,2^8),8)</f>
        <v>00000000</v>
      </c>
      <c r="H69" s="98" t="str">
        <f>DEC2HEX(2^24*MOD(STRUCT!I14,2^8)+2^16*MOD(STRUCT!I15,2^8)+2^8*MOD(STRUCT!I16,2^8)+2^0*MOD(STRUCT!I17,2^8),8)</f>
        <v>00000000</v>
      </c>
      <c r="I69" s="98" t="str">
        <f>DEC2HEX(2^24*MOD(STRUCT!J14,2^8)+2^16*MOD(STRUCT!J15,2^8)+2^8*MOD(STRUCT!J16,2^8)+2^0*MOD(STRUCT!J17,2^8),8)</f>
        <v>00000000</v>
      </c>
      <c r="J69" s="98" t="str">
        <f>DEC2HEX(2^24*MOD(STRUCT!K14,2^8)+2^16*MOD(STRUCT!K15,2^8)+2^8*MOD(STRUCT!K16,2^8)+2^0*MOD(STRUCT!K17,2^8),8)</f>
        <v>00000000</v>
      </c>
      <c r="K69" s="98" t="str">
        <f>DEC2HEX(2^24*MOD(STRUCT!L14,2^8)+2^16*MOD(STRUCT!L15,2^8)+2^8*MOD(STRUCT!L16,2^8)+2^0*MOD(STRUCT!L17,2^8),8)</f>
        <v>00000000</v>
      </c>
      <c r="L69" s="98" t="str">
        <f>DEC2HEX(2^24*MOD(STRUCT!M14,2^8)+2^16*MOD(STRUCT!M15,2^8)+2^8*MOD(STRUCT!M16,2^8)+2^0*MOD(STRUCT!M17,2^8),8)</f>
        <v>020A0906</v>
      </c>
      <c r="M69" s="98" t="str">
        <f>DEC2HEX(2^24*MOD(STRUCT!N14,2^8)+2^16*MOD(STRUCT!N15,2^8)+2^8*MOD(STRUCT!N16,2^8)+2^0*MOD(STRUCT!N17,2^8),8)</f>
        <v>02090806</v>
      </c>
      <c r="N69" s="98" t="str">
        <f>DEC2HEX(2^24*MOD(STRUCT!O14,2^8)+2^16*MOD(STRUCT!O15,2^8)+2^8*MOD(STRUCT!O16,2^8)+2^0*MOD(STRUCT!O17,2^8),8)</f>
        <v>02090706</v>
      </c>
      <c r="O69" s="98" t="str">
        <f>DEC2HEX(2^24*MOD(STRUCT!P14,2^8)+2^16*MOD(STRUCT!P15,2^8)+2^8*MOD(STRUCT!P16,2^8)+2^0*MOD(STRUCT!P17,2^8),8)</f>
        <v>02070606</v>
      </c>
      <c r="P69" s="98"/>
      <c r="Q69" s="98"/>
      <c r="R69" s="98"/>
      <c r="S69" s="98"/>
    </row>
    <row r="70" spans="1:19" x14ac:dyDescent="0.25">
      <c r="A70" s="98" t="s">
        <v>7270</v>
      </c>
      <c r="B70" s="98" t="s">
        <v>80</v>
      </c>
      <c r="C70" s="98" t="s">
        <v>88</v>
      </c>
      <c r="D70" s="98" t="str">
        <f>DEC2HEX(2^24*MOD(STRUCT!E18,2^8)+2^16*MOD(STRUCT!E19,2^8)+2^8*MOD(STRUCT!E20,2^8)+2^0*MOD(STRUCT!E21,2^8),8)</f>
        <v>00000000</v>
      </c>
      <c r="E70" s="98" t="str">
        <f>DEC2HEX(2^24*MOD(STRUCT!F18,2^8)+2^16*MOD(STRUCT!F19,2^8)+2^8*MOD(STRUCT!F20,2^8)+2^0*MOD(STRUCT!F21,2^8),8)</f>
        <v>00000000</v>
      </c>
      <c r="F70" s="98" t="str">
        <f>DEC2HEX(2^24*MOD(STRUCT!G18,2^8)+2^16*MOD(STRUCT!G19,2^8)+2^8*MOD(STRUCT!G20,2^8)+2^0*MOD(STRUCT!G21,2^8),8)</f>
        <v>00000000</v>
      </c>
      <c r="G70" s="98" t="str">
        <f>DEC2HEX(2^24*MOD(STRUCT!H18,2^8)+2^16*MOD(STRUCT!H19,2^8)+2^8*MOD(STRUCT!H20,2^8)+2^0*MOD(STRUCT!H21,2^8),8)</f>
        <v>00000000</v>
      </c>
      <c r="H70" s="98" t="str">
        <f>DEC2HEX(2^24*MOD(STRUCT!I18,2^8)+2^16*MOD(STRUCT!I19,2^8)+2^8*MOD(STRUCT!I20,2^8)+2^0*MOD(STRUCT!I21,2^8),8)</f>
        <v>00000000</v>
      </c>
      <c r="I70" s="98" t="str">
        <f>DEC2HEX(2^24*MOD(STRUCT!J18,2^8)+2^16*MOD(STRUCT!J19,2^8)+2^8*MOD(STRUCT!J20,2^8)+2^0*MOD(STRUCT!J21,2^8),8)</f>
        <v>00000000</v>
      </c>
      <c r="J70" s="98" t="str">
        <f>DEC2HEX(2^24*MOD(STRUCT!K18,2^8)+2^16*MOD(STRUCT!K19,2^8)+2^8*MOD(STRUCT!K20,2^8)+2^0*MOD(STRUCT!K21,2^8),8)</f>
        <v>00000000</v>
      </c>
      <c r="K70" s="98" t="str">
        <f>DEC2HEX(2^24*MOD(STRUCT!L18,2^8)+2^16*MOD(STRUCT!L19,2^8)+2^8*MOD(STRUCT!L20,2^8)+2^0*MOD(STRUCT!L21,2^8),8)</f>
        <v>00000000</v>
      </c>
      <c r="L70" s="98" t="str">
        <f>DEC2HEX(2^24*MOD(STRUCT!M18,2^8)+2^16*MOD(STRUCT!M19,2^8)+2^8*MOD(STRUCT!M20,2^8)+2^0*MOD(STRUCT!M21,2^8),8)</f>
        <v>010A0006</v>
      </c>
      <c r="M70" s="98" t="str">
        <f>DEC2HEX(2^24*MOD(STRUCT!N18,2^8)+2^16*MOD(STRUCT!N19,2^8)+2^8*MOD(STRUCT!N20,2^8)+2^0*MOD(STRUCT!N21,2^8),8)</f>
        <v>01090006</v>
      </c>
      <c r="N70" s="98" t="str">
        <f>DEC2HEX(2^24*MOD(STRUCT!O18,2^8)+2^16*MOD(STRUCT!O19,2^8)+2^8*MOD(STRUCT!O20,2^8)+2^0*MOD(STRUCT!O21,2^8),8)</f>
        <v>01090006</v>
      </c>
      <c r="O70" s="98" t="str">
        <f>DEC2HEX(2^24*MOD(STRUCT!P18,2^8)+2^16*MOD(STRUCT!P19,2^8)+2^8*MOD(STRUCT!P20,2^8)+2^0*MOD(STRUCT!P21,2^8),8)</f>
        <v>01070006</v>
      </c>
      <c r="P70" s="98"/>
      <c r="Q70" s="98"/>
      <c r="R70" s="98"/>
      <c r="S70" s="98"/>
    </row>
    <row r="71" spans="1:19" x14ac:dyDescent="0.25">
      <c r="A71" s="98" t="s">
        <v>7270</v>
      </c>
      <c r="B71" s="98" t="s">
        <v>96</v>
      </c>
      <c r="C71" s="98" t="s">
        <v>97</v>
      </c>
      <c r="D71" s="98" t="str">
        <f>DEC2HEX(2^20*MOD(STRUCT!E22,2^8)+2^0*MOD(STRUCT!E23,2^14),8)</f>
        <v>00000000</v>
      </c>
      <c r="E71" s="98" t="str">
        <f>DEC2HEX(2^20*MOD(STRUCT!F22,2^8)+2^0*MOD(STRUCT!F23,2^14),8)</f>
        <v>00100000</v>
      </c>
      <c r="F71" s="98" t="str">
        <f>DEC2HEX(2^20*MOD(STRUCT!G22,2^8)+2^0*MOD(STRUCT!G23,2^14),8)</f>
        <v>00100000</v>
      </c>
      <c r="G71" s="98" t="str">
        <f>DEC2HEX(2^20*MOD(STRUCT!H22,2^8)+2^0*MOD(STRUCT!H23,2^14),8)</f>
        <v>00100000</v>
      </c>
      <c r="H71" s="98" t="str">
        <f>DEC2HEX(2^20*MOD(STRUCT!I22,2^8)+2^0*MOD(STRUCT!I23,2^14),8)</f>
        <v>00100000</v>
      </c>
      <c r="I71" s="98" t="str">
        <f>DEC2HEX(2^20*MOD(STRUCT!J22,2^8)+2^0*MOD(STRUCT!J23,2^14),8)</f>
        <v>00100000</v>
      </c>
      <c r="J71" s="98" t="str">
        <f>DEC2HEX(2^20*MOD(STRUCT!K22,2^8)+2^0*MOD(STRUCT!K23,2^14),8)</f>
        <v>00100000</v>
      </c>
      <c r="K71" s="98" t="str">
        <f>DEC2HEX(2^20*MOD(STRUCT!L22,2^8)+2^0*MOD(STRUCT!L23,2^14),8)</f>
        <v>00100000</v>
      </c>
      <c r="L71" s="98" t="str">
        <f>DEC2HEX(2^20*MOD(STRUCT!M22,2^8)+2^0*MOD(STRUCT!M23,2^14),8)</f>
        <v>00400000</v>
      </c>
      <c r="M71" s="98" t="str">
        <f>DEC2HEX(2^20*MOD(STRUCT!N22,2^8)+2^0*MOD(STRUCT!N23,2^14),8)</f>
        <v>00400000</v>
      </c>
      <c r="N71" s="98" t="str">
        <f>DEC2HEX(2^20*MOD(STRUCT!O22,2^8)+2^0*MOD(STRUCT!O23,2^14),8)</f>
        <v>00400000</v>
      </c>
      <c r="O71" s="98" t="str">
        <f>DEC2HEX(2^20*MOD(STRUCT!P22,2^8)+2^0*MOD(STRUCT!P23,2^14),8)</f>
        <v>00400000</v>
      </c>
      <c r="P71" s="98"/>
      <c r="Q71" s="98"/>
      <c r="R71" s="98"/>
      <c r="S71" s="98"/>
    </row>
    <row r="72" spans="1:19" x14ac:dyDescent="0.25">
      <c r="A72" s="98" t="s">
        <v>7270</v>
      </c>
      <c r="B72" s="98" t="s">
        <v>96</v>
      </c>
      <c r="C72" s="98" t="s">
        <v>89</v>
      </c>
      <c r="D72" s="98" t="str">
        <f>DEC2HEX(2^20*MOD(STRUCT!E24,2^8)+2^0*MOD(STRUCT!E25,2^14),8)</f>
        <v>00000000</v>
      </c>
      <c r="E72" s="98" t="str">
        <f>DEC2HEX(2^20*MOD(STRUCT!F24,2^8)+2^0*MOD(STRUCT!F25,2^14),8)</f>
        <v>00100000</v>
      </c>
      <c r="F72" s="98" t="str">
        <f>DEC2HEX(2^20*MOD(STRUCT!G24,2^8)+2^0*MOD(STRUCT!G25,2^14),8)</f>
        <v>00100000</v>
      </c>
      <c r="G72" s="98" t="str">
        <f>DEC2HEX(2^20*MOD(STRUCT!H24,2^8)+2^0*MOD(STRUCT!H25,2^14),8)</f>
        <v>00100000</v>
      </c>
      <c r="H72" s="98" t="str">
        <f>DEC2HEX(2^20*MOD(STRUCT!I24,2^8)+2^0*MOD(STRUCT!I25,2^14),8)</f>
        <v>00100000</v>
      </c>
      <c r="I72" s="98" t="str">
        <f>DEC2HEX(2^20*MOD(STRUCT!J24,2^8)+2^0*MOD(STRUCT!J25,2^14),8)</f>
        <v>00100000</v>
      </c>
      <c r="J72" s="98" t="str">
        <f>DEC2HEX(2^20*MOD(STRUCT!K24,2^8)+2^0*MOD(STRUCT!K25,2^14),8)</f>
        <v>00100000</v>
      </c>
      <c r="K72" s="98" t="str">
        <f>DEC2HEX(2^20*MOD(STRUCT!L24,2^8)+2^0*MOD(STRUCT!L25,2^14),8)</f>
        <v>00100000</v>
      </c>
      <c r="L72" s="98" t="str">
        <f>DEC2HEX(2^20*MOD(STRUCT!M24,2^8)+2^0*MOD(STRUCT!M25,2^14),8)</f>
        <v>00400000</v>
      </c>
      <c r="M72" s="98" t="str">
        <f>DEC2HEX(2^20*MOD(STRUCT!N24,2^8)+2^0*MOD(STRUCT!N25,2^14),8)</f>
        <v>00400000</v>
      </c>
      <c r="N72" s="98" t="str">
        <f>DEC2HEX(2^20*MOD(STRUCT!O24,2^8)+2^0*MOD(STRUCT!O25,2^14),8)</f>
        <v>00400000</v>
      </c>
      <c r="O72" s="98" t="str">
        <f>DEC2HEX(2^20*MOD(STRUCT!P24,2^8)+2^0*MOD(STRUCT!P25,2^14),8)</f>
        <v>00400000</v>
      </c>
      <c r="P72" s="98"/>
      <c r="Q72" s="98"/>
      <c r="R72" s="98"/>
      <c r="S72" s="98"/>
    </row>
    <row r="73" spans="1:19" x14ac:dyDescent="0.25">
      <c r="A73" s="98" t="s">
        <v>7270</v>
      </c>
      <c r="B73" s="98" t="s">
        <v>101</v>
      </c>
      <c r="C73" s="98" t="s">
        <v>97</v>
      </c>
      <c r="D73" s="98" t="str">
        <f>DEC2HEX(2^20*MOD(STRUCT!E26,2^8)+2^0*MOD(STRUCT!E27,2^14),8)</f>
        <v>00000000</v>
      </c>
      <c r="E73" s="98" t="str">
        <f>DEC2HEX(2^20*MOD(STRUCT!F26,2^8)+2^0*MOD(STRUCT!F27,2^14),8)</f>
        <v>00300000</v>
      </c>
      <c r="F73" s="98" t="str">
        <f>DEC2HEX(2^20*MOD(STRUCT!G26,2^8)+2^0*MOD(STRUCT!G27,2^14),8)</f>
        <v>00300000</v>
      </c>
      <c r="G73" s="98" t="str">
        <f>DEC2HEX(2^20*MOD(STRUCT!H26,2^8)+2^0*MOD(STRUCT!H27,2^14),8)</f>
        <v>00300000</v>
      </c>
      <c r="H73" s="98" t="str">
        <f>DEC2HEX(2^20*MOD(STRUCT!I26,2^8)+2^0*MOD(STRUCT!I27,2^14),8)</f>
        <v>00300000</v>
      </c>
      <c r="I73" s="98" t="str">
        <f>DEC2HEX(2^20*MOD(STRUCT!J26,2^8)+2^0*MOD(STRUCT!J27,2^14),8)</f>
        <v>00300000</v>
      </c>
      <c r="J73" s="98" t="str">
        <f>DEC2HEX(2^20*MOD(STRUCT!K26,2^8)+2^0*MOD(STRUCT!K27,2^14),8)</f>
        <v>00300000</v>
      </c>
      <c r="K73" s="98" t="str">
        <f>DEC2HEX(2^20*MOD(STRUCT!L26,2^8)+2^0*MOD(STRUCT!L27,2^14),8)</f>
        <v>00300000</v>
      </c>
      <c r="L73" s="98" t="str">
        <f>DEC2HEX(2^20*MOD(STRUCT!M26,2^8)+2^0*MOD(STRUCT!M27,2^14),8)</f>
        <v>00300000</v>
      </c>
      <c r="M73" s="98" t="str">
        <f>DEC2HEX(2^20*MOD(STRUCT!N26,2^8)+2^0*MOD(STRUCT!N27,2^14),8)</f>
        <v>00300000</v>
      </c>
      <c r="N73" s="98" t="str">
        <f>DEC2HEX(2^20*MOD(STRUCT!O26,2^8)+2^0*MOD(STRUCT!O27,2^14),8)</f>
        <v>00300000</v>
      </c>
      <c r="O73" s="98" t="str">
        <f>DEC2HEX(2^20*MOD(STRUCT!P26,2^8)+2^0*MOD(STRUCT!P27,2^14),8)</f>
        <v>00300000</v>
      </c>
      <c r="P73" s="98"/>
      <c r="Q73" s="98"/>
      <c r="R73" s="98"/>
      <c r="S73" s="98"/>
    </row>
    <row r="74" spans="1:19" x14ac:dyDescent="0.25">
      <c r="A74" s="98" t="s">
        <v>7270</v>
      </c>
      <c r="B74" s="98" t="s">
        <v>101</v>
      </c>
      <c r="C74" s="98" t="s">
        <v>89</v>
      </c>
      <c r="D74" s="98" t="str">
        <f>DEC2HEX(2^20*MOD(STRUCT!E28,2^8)+2^0*MOD(STRUCT!E29,2^14),8)</f>
        <v>00000000</v>
      </c>
      <c r="E74" s="98" t="str">
        <f>DEC2HEX(2^20*MOD(STRUCT!F28,2^8)+2^0*MOD(STRUCT!F29,2^14),8)</f>
        <v>00300000</v>
      </c>
      <c r="F74" s="98" t="str">
        <f>DEC2HEX(2^20*MOD(STRUCT!G28,2^8)+2^0*MOD(STRUCT!G29,2^14),8)</f>
        <v>00300000</v>
      </c>
      <c r="G74" s="98" t="str">
        <f>DEC2HEX(2^20*MOD(STRUCT!H28,2^8)+2^0*MOD(STRUCT!H29,2^14),8)</f>
        <v>00300000</v>
      </c>
      <c r="H74" s="98" t="str">
        <f>DEC2HEX(2^20*MOD(STRUCT!I28,2^8)+2^0*MOD(STRUCT!I29,2^14),8)</f>
        <v>00300000</v>
      </c>
      <c r="I74" s="98" t="str">
        <f>DEC2HEX(2^20*MOD(STRUCT!J28,2^8)+2^0*MOD(STRUCT!J29,2^14),8)</f>
        <v>00300000</v>
      </c>
      <c r="J74" s="98" t="str">
        <f>DEC2HEX(2^20*MOD(STRUCT!K28,2^8)+2^0*MOD(STRUCT!K29,2^14),8)</f>
        <v>00300000</v>
      </c>
      <c r="K74" s="98" t="str">
        <f>DEC2HEX(2^20*MOD(STRUCT!L28,2^8)+2^0*MOD(STRUCT!L29,2^14),8)</f>
        <v>00300000</v>
      </c>
      <c r="L74" s="98" t="str">
        <f>DEC2HEX(2^20*MOD(STRUCT!M28,2^8)+2^0*MOD(STRUCT!M29,2^14),8)</f>
        <v>00300000</v>
      </c>
      <c r="M74" s="98" t="str">
        <f>DEC2HEX(2^20*MOD(STRUCT!N28,2^8)+2^0*MOD(STRUCT!N29,2^14),8)</f>
        <v>00300000</v>
      </c>
      <c r="N74" s="98" t="str">
        <f>DEC2HEX(2^20*MOD(STRUCT!O28,2^8)+2^0*MOD(STRUCT!O29,2^14),8)</f>
        <v>00300000</v>
      </c>
      <c r="O74" s="98" t="str">
        <f>DEC2HEX(2^20*MOD(STRUCT!P28,2^8)+2^0*MOD(STRUCT!P29,2^14),8)</f>
        <v>00300000</v>
      </c>
      <c r="P74" s="98"/>
      <c r="Q74" s="98"/>
      <c r="R74" s="98"/>
      <c r="S74" s="98"/>
    </row>
    <row r="75" spans="1:19" x14ac:dyDescent="0.25">
      <c r="A75" s="98" t="s">
        <v>7270</v>
      </c>
      <c r="B75" s="98" t="s">
        <v>105</v>
      </c>
      <c r="C75" s="98" t="s">
        <v>106</v>
      </c>
      <c r="D75" s="98" t="str">
        <f>DEC2HEX(MOD(STRUCT!E30,2^8),2)</f>
        <v>00</v>
      </c>
      <c r="E75" s="98" t="str">
        <f>DEC2HEX(MOD(STRUCT!F30,2^8),2)</f>
        <v>00</v>
      </c>
      <c r="F75" s="98" t="str">
        <f>DEC2HEX(MOD(STRUCT!G30,2^8),2)</f>
        <v>00</v>
      </c>
      <c r="G75" s="98" t="str">
        <f>DEC2HEX(MOD(STRUCT!H30,2^8),2)</f>
        <v>00</v>
      </c>
      <c r="H75" s="98" t="str">
        <f>DEC2HEX(MOD(STRUCT!I30,2^8),2)</f>
        <v>00</v>
      </c>
      <c r="I75" s="98" t="str">
        <f>DEC2HEX(MOD(STRUCT!J30,2^8),2)</f>
        <v>00</v>
      </c>
      <c r="J75" s="98" t="str">
        <f>DEC2HEX(MOD(STRUCT!K30,2^8),2)</f>
        <v>00</v>
      </c>
      <c r="K75" s="98" t="str">
        <f>DEC2HEX(MOD(STRUCT!L30,2^8),2)</f>
        <v>00</v>
      </c>
      <c r="L75" s="98" t="str">
        <f>DEC2HEX(MOD(STRUCT!M30,2^8),2)</f>
        <v>00</v>
      </c>
      <c r="M75" s="98" t="str">
        <f>DEC2HEX(MOD(STRUCT!N30,2^8),2)</f>
        <v>00</v>
      </c>
      <c r="N75" s="98" t="str">
        <f>DEC2HEX(MOD(STRUCT!O30,2^8),2)</f>
        <v>00</v>
      </c>
      <c r="O75" s="98" t="str">
        <f>DEC2HEX(MOD(STRUCT!P30,2^8),2)</f>
        <v>00</v>
      </c>
      <c r="P75" s="98"/>
      <c r="Q75" s="98"/>
      <c r="R75" s="98"/>
      <c r="S75" s="98"/>
    </row>
    <row r="76" spans="1:19" x14ac:dyDescent="0.25">
      <c r="A76" s="98" t="s">
        <v>7270</v>
      </c>
      <c r="B76" s="98" t="s">
        <v>105</v>
      </c>
      <c r="C76" s="98" t="s">
        <v>108</v>
      </c>
      <c r="D76" s="98" t="str">
        <f>DEC2HEX(MOD(STRUCT!E31,2^8),2)</f>
        <v>00</v>
      </c>
      <c r="E76" s="98" t="str">
        <f>DEC2HEX(MOD(STRUCT!F31,2^8),2)</f>
        <v>00</v>
      </c>
      <c r="F76" s="98" t="str">
        <f>DEC2HEX(MOD(STRUCT!G31,2^8),2)</f>
        <v>00</v>
      </c>
      <c r="G76" s="98" t="str">
        <f>DEC2HEX(MOD(STRUCT!H31,2^8),2)</f>
        <v>00</v>
      </c>
      <c r="H76" s="98" t="str">
        <f>DEC2HEX(MOD(STRUCT!I31,2^8),2)</f>
        <v>00</v>
      </c>
      <c r="I76" s="98" t="str">
        <f>DEC2HEX(MOD(STRUCT!J31,2^8),2)</f>
        <v>00</v>
      </c>
      <c r="J76" s="98" t="str">
        <f>DEC2HEX(MOD(STRUCT!K31,2^8),2)</f>
        <v>00</v>
      </c>
      <c r="K76" s="98" t="str">
        <f>DEC2HEX(MOD(STRUCT!L31,2^8),2)</f>
        <v>00</v>
      </c>
      <c r="L76" s="98" t="str">
        <f>DEC2HEX(MOD(STRUCT!M31,2^8),2)</f>
        <v>00</v>
      </c>
      <c r="M76" s="98" t="str">
        <f>DEC2HEX(MOD(STRUCT!N31,2^8),2)</f>
        <v>00</v>
      </c>
      <c r="N76" s="98" t="str">
        <f>DEC2HEX(MOD(STRUCT!O31,2^8),2)</f>
        <v>00</v>
      </c>
      <c r="O76" s="98" t="str">
        <f>DEC2HEX(MOD(STRUCT!P31,2^8),2)</f>
        <v>00</v>
      </c>
      <c r="P76" s="98"/>
      <c r="Q76" s="98"/>
      <c r="R76" s="98"/>
      <c r="S76" s="98"/>
    </row>
    <row r="77" spans="1:19" x14ac:dyDescent="0.25">
      <c r="A77" s="98" t="s">
        <v>7270</v>
      </c>
      <c r="B77" s="98" t="s">
        <v>105</v>
      </c>
      <c r="C77" s="98" t="s">
        <v>110</v>
      </c>
      <c r="D77" s="98" t="str">
        <f>DEC2HEX(MOD(STRUCT!E32,2^8),2)</f>
        <v>00</v>
      </c>
      <c r="E77" s="98" t="str">
        <f>DEC2HEX(MOD(STRUCT!F32,2^8),2)</f>
        <v>00</v>
      </c>
      <c r="F77" s="98" t="str">
        <f>DEC2HEX(MOD(STRUCT!G32,2^8),2)</f>
        <v>00</v>
      </c>
      <c r="G77" s="98" t="str">
        <f>DEC2HEX(MOD(STRUCT!H32,2^8),2)</f>
        <v>00</v>
      </c>
      <c r="H77" s="98" t="str">
        <f>DEC2HEX(MOD(STRUCT!I32,2^8),2)</f>
        <v>00</v>
      </c>
      <c r="I77" s="98" t="str">
        <f>DEC2HEX(MOD(STRUCT!J32,2^8),2)</f>
        <v>00</v>
      </c>
      <c r="J77" s="98" t="str">
        <f>DEC2HEX(MOD(STRUCT!K32,2^8),2)</f>
        <v>1D</v>
      </c>
      <c r="K77" s="98" t="str">
        <f>DEC2HEX(MOD(STRUCT!L32,2^8),2)</f>
        <v>1D</v>
      </c>
      <c r="L77" s="98" t="str">
        <f>DEC2HEX(MOD(STRUCT!M32,2^8),2)</f>
        <v>1D</v>
      </c>
      <c r="M77" s="98" t="str">
        <f>DEC2HEX(MOD(STRUCT!N32,2^8),2)</f>
        <v>1D</v>
      </c>
      <c r="N77" s="98" t="str">
        <f>DEC2HEX(MOD(STRUCT!O32,2^8),2)</f>
        <v>1D</v>
      </c>
      <c r="O77" s="98" t="str">
        <f>DEC2HEX(MOD(STRUCT!P32,2^8),2)</f>
        <v>1D</v>
      </c>
      <c r="P77" s="98"/>
      <c r="Q77" s="98"/>
      <c r="R77" s="98"/>
      <c r="S77" s="98"/>
    </row>
    <row r="78" spans="1:19" x14ac:dyDescent="0.25">
      <c r="A78" s="98" t="s">
        <v>7270</v>
      </c>
      <c r="B78" s="98" t="s">
        <v>105</v>
      </c>
      <c r="C78" s="98" t="s">
        <v>113</v>
      </c>
      <c r="D78" s="98" t="str">
        <f>DEC2HEX(MOD(STRUCT!E33,2^8),2)</f>
        <v>00</v>
      </c>
      <c r="E78" s="98" t="str">
        <f>DEC2HEX(MOD(STRUCT!F33,2^8),2)</f>
        <v>00</v>
      </c>
      <c r="F78" s="98" t="str">
        <f>DEC2HEX(MOD(STRUCT!G33,2^8),2)</f>
        <v>00</v>
      </c>
      <c r="G78" s="98" t="str">
        <f>DEC2HEX(MOD(STRUCT!H33,2^8),2)</f>
        <v>00</v>
      </c>
      <c r="H78" s="98" t="str">
        <f>DEC2HEX(MOD(STRUCT!I33,2^8),2)</f>
        <v>00</v>
      </c>
      <c r="I78" s="98" t="str">
        <f>DEC2HEX(MOD(STRUCT!J33,2^8),2)</f>
        <v>00</v>
      </c>
      <c r="J78" s="98" t="str">
        <f>DEC2HEX(MOD(STRUCT!K33,2^8),2)</f>
        <v>1D</v>
      </c>
      <c r="K78" s="98" t="str">
        <f>DEC2HEX(MOD(STRUCT!L33,2^8),2)</f>
        <v>1D</v>
      </c>
      <c r="L78" s="98" t="str">
        <f>DEC2HEX(MOD(STRUCT!M33,2^8),2)</f>
        <v>1D</v>
      </c>
      <c r="M78" s="98" t="str">
        <f>DEC2HEX(MOD(STRUCT!N33,2^8),2)</f>
        <v>1D</v>
      </c>
      <c r="N78" s="98" t="str">
        <f>DEC2HEX(MOD(STRUCT!O33,2^8),2)</f>
        <v>1D</v>
      </c>
      <c r="O78" s="98" t="str">
        <f>DEC2HEX(MOD(STRUCT!P33,2^8),2)</f>
        <v>1D</v>
      </c>
      <c r="P78" s="98"/>
      <c r="Q78" s="98"/>
      <c r="R78" s="98"/>
      <c r="S78" s="98"/>
    </row>
    <row r="79" spans="1:19" x14ac:dyDescent="0.25">
      <c r="A79" s="98" t="s">
        <v>7270</v>
      </c>
      <c r="B79" s="98" t="s">
        <v>105</v>
      </c>
      <c r="C79" s="98" t="s">
        <v>115</v>
      </c>
      <c r="D79" s="98" t="str">
        <f>DEC2HEX(MOD(STRUCT!E34,2^8),2)</f>
        <v>00</v>
      </c>
      <c r="E79" s="98" t="str">
        <f>DEC2HEX(MOD(STRUCT!F34,2^8),2)</f>
        <v>00</v>
      </c>
      <c r="F79" s="98" t="str">
        <f>DEC2HEX(MOD(STRUCT!G34,2^8),2)</f>
        <v>00</v>
      </c>
      <c r="G79" s="98" t="str">
        <f>DEC2HEX(MOD(STRUCT!H34,2^8),2)</f>
        <v>00</v>
      </c>
      <c r="H79" s="98" t="str">
        <f>DEC2HEX(MOD(STRUCT!I34,2^8),2)</f>
        <v>00</v>
      </c>
      <c r="I79" s="98" t="str">
        <f>DEC2HEX(MOD(STRUCT!J34,2^8),2)</f>
        <v>00</v>
      </c>
      <c r="J79" s="98" t="str">
        <f>DEC2HEX(MOD(STRUCT!K34,2^8),2)</f>
        <v>00</v>
      </c>
      <c r="K79" s="98" t="str">
        <f>DEC2HEX(MOD(STRUCT!L34,2^8),2)</f>
        <v>00</v>
      </c>
      <c r="L79" s="98" t="str">
        <f>DEC2HEX(MOD(STRUCT!M34,2^8),2)</f>
        <v>00</v>
      </c>
      <c r="M79" s="98" t="str">
        <f>DEC2HEX(MOD(STRUCT!N34,2^8),2)</f>
        <v>00</v>
      </c>
      <c r="N79" s="98" t="str">
        <f>DEC2HEX(MOD(STRUCT!O34,2^8),2)</f>
        <v>00</v>
      </c>
      <c r="O79" s="98" t="str">
        <f>DEC2HEX(MOD(STRUCT!P34,2^8),2)</f>
        <v>00</v>
      </c>
      <c r="P79" s="98"/>
      <c r="Q79" s="98"/>
      <c r="R79" s="98"/>
      <c r="S79" s="98"/>
    </row>
    <row r="80" spans="1:19" x14ac:dyDescent="0.25">
      <c r="A80" s="98" t="s">
        <v>7270</v>
      </c>
      <c r="B80" s="98" t="s">
        <v>105</v>
      </c>
      <c r="C80" s="98" t="s">
        <v>117</v>
      </c>
      <c r="D80" s="98" t="str">
        <f>DEC2HEX(MOD(STRUCT!E35,2^8),2)</f>
        <v>00</v>
      </c>
      <c r="E80" s="98" t="str">
        <f>DEC2HEX(MOD(STRUCT!F35,2^8),2)</f>
        <v>00</v>
      </c>
      <c r="F80" s="98" t="str">
        <f>DEC2HEX(MOD(STRUCT!G35,2^8),2)</f>
        <v>00</v>
      </c>
      <c r="G80" s="98" t="str">
        <f>DEC2HEX(MOD(STRUCT!H35,2^8),2)</f>
        <v>00</v>
      </c>
      <c r="H80" s="98" t="str">
        <f>DEC2HEX(MOD(STRUCT!I35,2^8),2)</f>
        <v>00</v>
      </c>
      <c r="I80" s="98" t="str">
        <f>DEC2HEX(MOD(STRUCT!J35,2^8),2)</f>
        <v>00</v>
      </c>
      <c r="J80" s="98" t="str">
        <f>DEC2HEX(MOD(STRUCT!K35,2^8),2)</f>
        <v>00</v>
      </c>
      <c r="K80" s="98" t="str">
        <f>DEC2HEX(MOD(STRUCT!L35,2^8),2)</f>
        <v>00</v>
      </c>
      <c r="L80" s="98" t="str">
        <f>DEC2HEX(MOD(STRUCT!M35,2^8),2)</f>
        <v>00</v>
      </c>
      <c r="M80" s="98" t="str">
        <f>DEC2HEX(MOD(STRUCT!N35,2^8),2)</f>
        <v>00</v>
      </c>
      <c r="N80" s="98" t="str">
        <f>DEC2HEX(MOD(STRUCT!O35,2^8),2)</f>
        <v>00</v>
      </c>
      <c r="O80" s="98" t="str">
        <f>DEC2HEX(MOD(STRUCT!P35,2^8),2)</f>
        <v>00</v>
      </c>
      <c r="P80" s="98"/>
      <c r="Q80" s="98"/>
      <c r="R80" s="98"/>
      <c r="S80" s="98"/>
    </row>
    <row r="81" spans="1:19" x14ac:dyDescent="0.25">
      <c r="A81" s="98" t="s">
        <v>7270</v>
      </c>
      <c r="B81" s="98" t="s">
        <v>105</v>
      </c>
      <c r="C81" s="98" t="s">
        <v>119</v>
      </c>
      <c r="D81" s="98" t="str">
        <f>DEC2HEX(MOD(STRUCT!E36,2^8),2)</f>
        <v>00</v>
      </c>
      <c r="E81" s="98" t="str">
        <f>DEC2HEX(MOD(STRUCT!F36,2^8),2)</f>
        <v>00</v>
      </c>
      <c r="F81" s="98" t="str">
        <f>DEC2HEX(MOD(STRUCT!G36,2^8),2)</f>
        <v>00</v>
      </c>
      <c r="G81" s="98" t="str">
        <f>DEC2HEX(MOD(STRUCT!H36,2^8),2)</f>
        <v>00</v>
      </c>
      <c r="H81" s="98" t="str">
        <f>DEC2HEX(MOD(STRUCT!I36,2^8),2)</f>
        <v>00</v>
      </c>
      <c r="I81" s="98" t="str">
        <f>DEC2HEX(MOD(STRUCT!J36,2^8),2)</f>
        <v>00</v>
      </c>
      <c r="J81" s="98" t="str">
        <f>DEC2HEX(MOD(STRUCT!K36,2^8),2)</f>
        <v>00</v>
      </c>
      <c r="K81" s="98" t="str">
        <f>DEC2HEX(MOD(STRUCT!L36,2^8),2)</f>
        <v>00</v>
      </c>
      <c r="L81" s="98" t="str">
        <f>DEC2HEX(MOD(STRUCT!M36,2^8),2)</f>
        <v>00</v>
      </c>
      <c r="M81" s="98" t="str">
        <f>DEC2HEX(MOD(STRUCT!N36,2^8),2)</f>
        <v>00</v>
      </c>
      <c r="N81" s="98" t="str">
        <f>DEC2HEX(MOD(STRUCT!O36,2^8),2)</f>
        <v>00</v>
      </c>
      <c r="O81" s="98" t="str">
        <f>DEC2HEX(MOD(STRUCT!P36,2^8),2)</f>
        <v>00</v>
      </c>
      <c r="P81" s="98"/>
      <c r="Q81" s="98"/>
      <c r="R81" s="98"/>
      <c r="S81" s="98"/>
    </row>
    <row r="82" spans="1:19" x14ac:dyDescent="0.25">
      <c r="A82" s="98" t="s">
        <v>7270</v>
      </c>
      <c r="B82" s="98" t="s">
        <v>105</v>
      </c>
      <c r="C82" s="98" t="s">
        <v>121</v>
      </c>
      <c r="D82" s="98" t="str">
        <f>DEC2HEX(MOD(STRUCT!E37,2^8),2)</f>
        <v>00</v>
      </c>
      <c r="E82" s="98" t="str">
        <f>DEC2HEX(MOD(STRUCT!F37,2^8),2)</f>
        <v>00</v>
      </c>
      <c r="F82" s="98" t="str">
        <f>DEC2HEX(MOD(STRUCT!G37,2^8),2)</f>
        <v>00</v>
      </c>
      <c r="G82" s="98" t="str">
        <f>DEC2HEX(MOD(STRUCT!H37,2^8),2)</f>
        <v>00</v>
      </c>
      <c r="H82" s="98" t="str">
        <f>DEC2HEX(MOD(STRUCT!I37,2^8),2)</f>
        <v>00</v>
      </c>
      <c r="I82" s="98" t="str">
        <f>DEC2HEX(MOD(STRUCT!J37,2^8),2)</f>
        <v>00</v>
      </c>
      <c r="J82" s="98" t="str">
        <f>DEC2HEX(MOD(STRUCT!K37,2^8),2)</f>
        <v>00</v>
      </c>
      <c r="K82" s="98" t="str">
        <f>DEC2HEX(MOD(STRUCT!L37,2^8),2)</f>
        <v>00</v>
      </c>
      <c r="L82" s="98" t="str">
        <f>DEC2HEX(MOD(STRUCT!M37,2^8),2)</f>
        <v>00</v>
      </c>
      <c r="M82" s="98" t="str">
        <f>DEC2HEX(MOD(STRUCT!N37,2^8),2)</f>
        <v>00</v>
      </c>
      <c r="N82" s="98" t="str">
        <f>DEC2HEX(MOD(STRUCT!O37,2^8),2)</f>
        <v>00</v>
      </c>
      <c r="O82" s="98" t="str">
        <f>DEC2HEX(MOD(STRUCT!P37,2^8),2)</f>
        <v>00</v>
      </c>
      <c r="P82" s="98"/>
      <c r="Q82" s="98"/>
      <c r="R82" s="98"/>
      <c r="S82" s="98"/>
    </row>
    <row r="83" spans="1:19" x14ac:dyDescent="0.25">
      <c r="A83" s="98" t="s">
        <v>7270</v>
      </c>
      <c r="B83" s="98" t="s">
        <v>105</v>
      </c>
      <c r="C83" s="98" t="s">
        <v>123</v>
      </c>
      <c r="D83" s="98" t="str">
        <f>DEC2HEX(MOD(STRUCT!E38,2^8),2)</f>
        <v>00</v>
      </c>
      <c r="E83" s="98" t="str">
        <f>DEC2HEX(MOD(STRUCT!F38,2^8),2)</f>
        <v>00</v>
      </c>
      <c r="F83" s="98" t="str">
        <f>DEC2HEX(MOD(STRUCT!G38,2^8),2)</f>
        <v>00</v>
      </c>
      <c r="G83" s="98" t="str">
        <f>DEC2HEX(MOD(STRUCT!H38,2^8),2)</f>
        <v>00</v>
      </c>
      <c r="H83" s="98" t="str">
        <f>DEC2HEX(MOD(STRUCT!I38,2^8),2)</f>
        <v>00</v>
      </c>
      <c r="I83" s="98" t="str">
        <f>DEC2HEX(MOD(STRUCT!J38,2^8),2)</f>
        <v>00</v>
      </c>
      <c r="J83" s="98" t="str">
        <f>DEC2HEX(MOD(STRUCT!K38,2^8),2)</f>
        <v>3E</v>
      </c>
      <c r="K83" s="98" t="str">
        <f>DEC2HEX(MOD(STRUCT!L38,2^8),2)</f>
        <v>3E</v>
      </c>
      <c r="L83" s="98" t="str">
        <f>DEC2HEX(MOD(STRUCT!M38,2^8),2)</f>
        <v>3E</v>
      </c>
      <c r="M83" s="98" t="str">
        <f>DEC2HEX(MOD(STRUCT!N38,2^8),2)</f>
        <v>3E</v>
      </c>
      <c r="N83" s="98" t="str">
        <f>DEC2HEX(MOD(STRUCT!O38,2^8),2)</f>
        <v>3E</v>
      </c>
      <c r="O83" s="98" t="str">
        <f>DEC2HEX(MOD(STRUCT!P38,2^8),2)</f>
        <v>3E</v>
      </c>
      <c r="P83" s="98"/>
      <c r="Q83" s="98"/>
      <c r="R83" s="98"/>
      <c r="S83" s="98"/>
    </row>
    <row r="84" spans="1:19" x14ac:dyDescent="0.25">
      <c r="A84" s="98" t="s">
        <v>7270</v>
      </c>
      <c r="B84" s="98" t="s">
        <v>105</v>
      </c>
      <c r="C84" s="98" t="s">
        <v>126</v>
      </c>
      <c r="D84" s="98" t="str">
        <f>DEC2HEX(MOD(STRUCT!E39,2^8),2)</f>
        <v>00</v>
      </c>
      <c r="E84" s="98" t="str">
        <f>DEC2HEX(MOD(STRUCT!F39,2^8),2)</f>
        <v>00</v>
      </c>
      <c r="F84" s="98" t="str">
        <f>DEC2HEX(MOD(STRUCT!G39,2^8),2)</f>
        <v>00</v>
      </c>
      <c r="G84" s="98" t="str">
        <f>DEC2HEX(MOD(STRUCT!H39,2^8),2)</f>
        <v>00</v>
      </c>
      <c r="H84" s="98" t="str">
        <f>DEC2HEX(MOD(STRUCT!I39,2^8),2)</f>
        <v>00</v>
      </c>
      <c r="I84" s="98" t="str">
        <f>DEC2HEX(MOD(STRUCT!J39,2^8),2)</f>
        <v>00</v>
      </c>
      <c r="J84" s="98" t="str">
        <f>DEC2HEX(MOD(STRUCT!K39,2^8),2)</f>
        <v>00</v>
      </c>
      <c r="K84" s="98" t="str">
        <f>DEC2HEX(MOD(STRUCT!L39,2^8),2)</f>
        <v>00</v>
      </c>
      <c r="L84" s="98" t="str">
        <f>DEC2HEX(MOD(STRUCT!M39,2^8),2)</f>
        <v>00</v>
      </c>
      <c r="M84" s="98" t="str">
        <f>DEC2HEX(MOD(STRUCT!N39,2^8),2)</f>
        <v>00</v>
      </c>
      <c r="N84" s="98" t="str">
        <f>DEC2HEX(MOD(STRUCT!O39,2^8),2)</f>
        <v>00</v>
      </c>
      <c r="O84" s="98" t="str">
        <f>DEC2HEX(MOD(STRUCT!P39,2^8),2)</f>
        <v>00</v>
      </c>
      <c r="P84" s="98"/>
      <c r="Q84" s="98"/>
      <c r="R84" s="98"/>
      <c r="S84" s="98"/>
    </row>
    <row r="85" spans="1:19" x14ac:dyDescent="0.25">
      <c r="A85" s="98" t="s">
        <v>7270</v>
      </c>
      <c r="B85" s="98" t="s">
        <v>105</v>
      </c>
      <c r="C85" s="98" t="s">
        <v>128</v>
      </c>
      <c r="D85" s="98" t="str">
        <f>DEC2HEX(MOD(STRUCT!E40,2^8),2)</f>
        <v>00</v>
      </c>
      <c r="E85" s="98" t="str">
        <f>DEC2HEX(MOD(STRUCT!F40,2^8),2)</f>
        <v>00</v>
      </c>
      <c r="F85" s="98" t="str">
        <f>DEC2HEX(MOD(STRUCT!G40,2^8),2)</f>
        <v>00</v>
      </c>
      <c r="G85" s="98" t="str">
        <f>DEC2HEX(MOD(STRUCT!H40,2^8),2)</f>
        <v>00</v>
      </c>
      <c r="H85" s="98" t="str">
        <f>DEC2HEX(MOD(STRUCT!I40,2^8),2)</f>
        <v>00</v>
      </c>
      <c r="I85" s="98" t="str">
        <f>DEC2HEX(MOD(STRUCT!J40,2^8),2)</f>
        <v>00</v>
      </c>
      <c r="J85" s="98" t="str">
        <f>DEC2HEX(MOD(STRUCT!K40,2^8),2)</f>
        <v>00</v>
      </c>
      <c r="K85" s="98" t="str">
        <f>DEC2HEX(MOD(STRUCT!L40,2^8),2)</f>
        <v>00</v>
      </c>
      <c r="L85" s="98" t="str">
        <f>DEC2HEX(MOD(STRUCT!M40,2^8),2)</f>
        <v>00</v>
      </c>
      <c r="M85" s="98" t="str">
        <f>DEC2HEX(MOD(STRUCT!N40,2^8),2)</f>
        <v>00</v>
      </c>
      <c r="N85" s="98" t="str">
        <f>DEC2HEX(MOD(STRUCT!O40,2^8),2)</f>
        <v>00</v>
      </c>
      <c r="O85" s="98" t="str">
        <f>DEC2HEX(MOD(STRUCT!P40,2^8),2)</f>
        <v>00</v>
      </c>
      <c r="P85" s="98"/>
      <c r="Q85" s="98"/>
      <c r="R85" s="98"/>
      <c r="S85" s="98"/>
    </row>
    <row r="86" spans="1:19" x14ac:dyDescent="0.25">
      <c r="A86" s="98" t="s">
        <v>7270</v>
      </c>
      <c r="B86" s="98" t="s">
        <v>105</v>
      </c>
      <c r="C86" s="98" t="s">
        <v>130</v>
      </c>
      <c r="D86" s="98" t="str">
        <f>DEC2HEX(MOD(STRUCT!E41,2^8),2)</f>
        <v>00</v>
      </c>
      <c r="E86" s="98" t="str">
        <f>DEC2HEX(MOD(STRUCT!F41,2^8),2)</f>
        <v>00</v>
      </c>
      <c r="F86" s="98" t="str">
        <f>DEC2HEX(MOD(STRUCT!G41,2^8),2)</f>
        <v>00</v>
      </c>
      <c r="G86" s="98" t="str">
        <f>DEC2HEX(MOD(STRUCT!H41,2^8),2)</f>
        <v>00</v>
      </c>
      <c r="H86" s="98" t="str">
        <f>DEC2HEX(MOD(STRUCT!I41,2^8),2)</f>
        <v>00</v>
      </c>
      <c r="I86" s="98" t="str">
        <f>DEC2HEX(MOD(STRUCT!J41,2^8),2)</f>
        <v>00</v>
      </c>
      <c r="J86" s="98" t="str">
        <f>DEC2HEX(MOD(STRUCT!K41,2^8),2)</f>
        <v>1D</v>
      </c>
      <c r="K86" s="98" t="str">
        <f>DEC2HEX(MOD(STRUCT!L41,2^8),2)</f>
        <v>1D</v>
      </c>
      <c r="L86" s="98" t="str">
        <f>DEC2HEX(MOD(STRUCT!M41,2^8),2)</f>
        <v>1D</v>
      </c>
      <c r="M86" s="98" t="str">
        <f>DEC2HEX(MOD(STRUCT!N41,2^8),2)</f>
        <v>1D</v>
      </c>
      <c r="N86" s="98" t="str">
        <f>DEC2HEX(MOD(STRUCT!O41,2^8),2)</f>
        <v>1D</v>
      </c>
      <c r="O86" s="98" t="str">
        <f>DEC2HEX(MOD(STRUCT!P41,2^8),2)</f>
        <v>1D</v>
      </c>
      <c r="P86" s="98"/>
      <c r="Q86" s="98"/>
      <c r="R86" s="98"/>
      <c r="S86" s="98"/>
    </row>
    <row r="87" spans="1:19" x14ac:dyDescent="0.25">
      <c r="A87" s="98" t="s">
        <v>7270</v>
      </c>
      <c r="B87" s="98" t="s">
        <v>105</v>
      </c>
      <c r="C87" s="98" t="s">
        <v>132</v>
      </c>
      <c r="D87" s="98" t="str">
        <f>DEC2HEX(MOD(STRUCT!E42,2^8),2)</f>
        <v>00</v>
      </c>
      <c r="E87" s="98" t="str">
        <f>DEC2HEX(MOD(STRUCT!F42,2^8),2)</f>
        <v>00</v>
      </c>
      <c r="F87" s="98" t="str">
        <f>DEC2HEX(MOD(STRUCT!G42,2^8),2)</f>
        <v>00</v>
      </c>
      <c r="G87" s="98" t="str">
        <f>DEC2HEX(MOD(STRUCT!H42,2^8),2)</f>
        <v>00</v>
      </c>
      <c r="H87" s="98" t="str">
        <f>DEC2HEX(MOD(STRUCT!I42,2^8),2)</f>
        <v>00</v>
      </c>
      <c r="I87" s="98" t="str">
        <f>DEC2HEX(MOD(STRUCT!J42,2^8),2)</f>
        <v>00</v>
      </c>
      <c r="J87" s="98" t="str">
        <f>DEC2HEX(MOD(STRUCT!K42,2^8),2)</f>
        <v>3E</v>
      </c>
      <c r="K87" s="98" t="str">
        <f>DEC2HEX(MOD(STRUCT!L42,2^8),2)</f>
        <v>3E</v>
      </c>
      <c r="L87" s="98" t="str">
        <f>DEC2HEX(MOD(STRUCT!M42,2^8),2)</f>
        <v>3E</v>
      </c>
      <c r="M87" s="98" t="str">
        <f>DEC2HEX(MOD(STRUCT!N42,2^8),2)</f>
        <v>3E</v>
      </c>
      <c r="N87" s="98" t="str">
        <f>DEC2HEX(MOD(STRUCT!O42,2^8),2)</f>
        <v>3E</v>
      </c>
      <c r="O87" s="98" t="str">
        <f>DEC2HEX(MOD(STRUCT!P42,2^8),2)</f>
        <v>3E</v>
      </c>
      <c r="P87" s="98"/>
      <c r="Q87" s="98"/>
      <c r="R87" s="98"/>
      <c r="S87" s="98"/>
    </row>
    <row r="88" spans="1:19" x14ac:dyDescent="0.25">
      <c r="A88" s="98" t="s">
        <v>7270</v>
      </c>
      <c r="B88" s="98" t="s">
        <v>105</v>
      </c>
      <c r="C88" s="98" t="s">
        <v>134</v>
      </c>
      <c r="D88" s="98" t="str">
        <f>DEC2HEX(MOD(STRUCT!E43,2^8),2)</f>
        <v>00</v>
      </c>
      <c r="E88" s="98" t="str">
        <f>DEC2HEX(MOD(STRUCT!F43,2^8),2)</f>
        <v>00</v>
      </c>
      <c r="F88" s="98" t="str">
        <f>DEC2HEX(MOD(STRUCT!G43,2^8),2)</f>
        <v>00</v>
      </c>
      <c r="G88" s="98" t="str">
        <f>DEC2HEX(MOD(STRUCT!H43,2^8),2)</f>
        <v>00</v>
      </c>
      <c r="H88" s="98" t="str">
        <f>DEC2HEX(MOD(STRUCT!I43,2^8),2)</f>
        <v>00</v>
      </c>
      <c r="I88" s="98" t="str">
        <f>DEC2HEX(MOD(STRUCT!J43,2^8),2)</f>
        <v>00</v>
      </c>
      <c r="J88" s="98" t="str">
        <f>DEC2HEX(MOD(STRUCT!K43,2^8),2)</f>
        <v>00</v>
      </c>
      <c r="K88" s="98" t="str">
        <f>DEC2HEX(MOD(STRUCT!L43,2^8),2)</f>
        <v>00</v>
      </c>
      <c r="L88" s="98" t="str">
        <f>DEC2HEX(MOD(STRUCT!M43,2^8),2)</f>
        <v>00</v>
      </c>
      <c r="M88" s="98" t="str">
        <f>DEC2HEX(MOD(STRUCT!N43,2^8),2)</f>
        <v>00</v>
      </c>
      <c r="N88" s="98" t="str">
        <f>DEC2HEX(MOD(STRUCT!O43,2^8),2)</f>
        <v>00</v>
      </c>
      <c r="O88" s="98" t="str">
        <f>DEC2HEX(MOD(STRUCT!P43,2^8),2)</f>
        <v>00</v>
      </c>
      <c r="P88" s="98"/>
      <c r="Q88" s="98"/>
      <c r="R88" s="98"/>
      <c r="S88" s="98"/>
    </row>
    <row r="89" spans="1:19" x14ac:dyDescent="0.25">
      <c r="A89" s="98" t="s">
        <v>7270</v>
      </c>
      <c r="B89" s="98" t="s">
        <v>105</v>
      </c>
      <c r="C89" s="98" t="s">
        <v>136</v>
      </c>
      <c r="D89" s="98" t="str">
        <f>DEC2HEX(MOD(STRUCT!E44,2^8),2)</f>
        <v>00</v>
      </c>
      <c r="E89" s="98" t="str">
        <f>DEC2HEX(MOD(STRUCT!F44,2^8),2)</f>
        <v>00</v>
      </c>
      <c r="F89" s="98" t="str">
        <f>DEC2HEX(MOD(STRUCT!G44,2^8),2)</f>
        <v>00</v>
      </c>
      <c r="G89" s="98" t="str">
        <f>DEC2HEX(MOD(STRUCT!H44,2^8),2)</f>
        <v>00</v>
      </c>
      <c r="H89" s="98" t="str">
        <f>DEC2HEX(MOD(STRUCT!I44,2^8),2)</f>
        <v>00</v>
      </c>
      <c r="I89" s="98" t="str">
        <f>DEC2HEX(MOD(STRUCT!J44,2^8),2)</f>
        <v>00</v>
      </c>
      <c r="J89" s="98" t="str">
        <f>DEC2HEX(MOD(STRUCT!K44,2^8),2)</f>
        <v>1D</v>
      </c>
      <c r="K89" s="98" t="str">
        <f>DEC2HEX(MOD(STRUCT!L44,2^8),2)</f>
        <v>1D</v>
      </c>
      <c r="L89" s="98" t="str">
        <f>DEC2HEX(MOD(STRUCT!M44,2^8),2)</f>
        <v>1D</v>
      </c>
      <c r="M89" s="98" t="str">
        <f>DEC2HEX(MOD(STRUCT!N44,2^8),2)</f>
        <v>1D</v>
      </c>
      <c r="N89" s="98" t="str">
        <f>DEC2HEX(MOD(STRUCT!O44,2^8),2)</f>
        <v>1D</v>
      </c>
      <c r="O89" s="98" t="str">
        <f>DEC2HEX(MOD(STRUCT!P44,2^8),2)</f>
        <v>1D</v>
      </c>
      <c r="P89" s="98"/>
      <c r="Q89" s="98"/>
      <c r="R89" s="98"/>
      <c r="S89" s="98"/>
    </row>
    <row r="90" spans="1:19" x14ac:dyDescent="0.25">
      <c r="A90" s="98" t="s">
        <v>7270</v>
      </c>
      <c r="B90" s="98" t="s">
        <v>105</v>
      </c>
      <c r="C90" s="98" t="s">
        <v>138</v>
      </c>
      <c r="D90" s="98" t="str">
        <f>DEC2HEX(MOD(STRUCT!E45,2^8),2)</f>
        <v>00</v>
      </c>
      <c r="E90" s="98" t="str">
        <f>DEC2HEX(MOD(STRUCT!F45,2^8),2)</f>
        <v>00</v>
      </c>
      <c r="F90" s="98" t="str">
        <f>DEC2HEX(MOD(STRUCT!G45,2^8),2)</f>
        <v>00</v>
      </c>
      <c r="G90" s="98" t="str">
        <f>DEC2HEX(MOD(STRUCT!H45,2^8),2)</f>
        <v>00</v>
      </c>
      <c r="H90" s="98" t="str">
        <f>DEC2HEX(MOD(STRUCT!I45,2^8),2)</f>
        <v>00</v>
      </c>
      <c r="I90" s="98" t="str">
        <f>DEC2HEX(MOD(STRUCT!J45,2^8),2)</f>
        <v>00</v>
      </c>
      <c r="J90" s="98" t="str">
        <f>DEC2HEX(MOD(STRUCT!K45,2^8),2)</f>
        <v>00</v>
      </c>
      <c r="K90" s="98" t="str">
        <f>DEC2HEX(MOD(STRUCT!L45,2^8),2)</f>
        <v>00</v>
      </c>
      <c r="L90" s="98" t="str">
        <f>DEC2HEX(MOD(STRUCT!M45,2^8),2)</f>
        <v>00</v>
      </c>
      <c r="M90" s="98" t="str">
        <f>DEC2HEX(MOD(STRUCT!N45,2^8),2)</f>
        <v>00</v>
      </c>
      <c r="N90" s="98" t="str">
        <f>DEC2HEX(MOD(STRUCT!O45,2^8),2)</f>
        <v>00</v>
      </c>
      <c r="O90" s="98" t="str">
        <f>DEC2HEX(MOD(STRUCT!P45,2^8),2)</f>
        <v>00</v>
      </c>
      <c r="P90" s="98"/>
      <c r="Q90" s="98"/>
      <c r="R90" s="98"/>
      <c r="S90" s="98"/>
    </row>
    <row r="91" spans="1:19" x14ac:dyDescent="0.25">
      <c r="A91" s="98" t="s">
        <v>7270</v>
      </c>
      <c r="B91" s="98" t="s">
        <v>141</v>
      </c>
      <c r="C91" s="98" t="s">
        <v>106</v>
      </c>
      <c r="D91" s="98" t="str">
        <f>DEC2HEX(MOD(STRUCT!E46,2^1),2)</f>
        <v>00</v>
      </c>
      <c r="E91" s="98" t="str">
        <f>DEC2HEX(MOD(STRUCT!F46,2^1),2)</f>
        <v>01</v>
      </c>
      <c r="F91" s="98" t="str">
        <f>DEC2HEX(MOD(STRUCT!G46,2^1),2)</f>
        <v>01</v>
      </c>
      <c r="G91" s="98" t="str">
        <f>DEC2HEX(MOD(STRUCT!H46,2^1),2)</f>
        <v>01</v>
      </c>
      <c r="H91" s="98" t="str">
        <f>DEC2HEX(MOD(STRUCT!I46,2^1),2)</f>
        <v>01</v>
      </c>
      <c r="I91" s="98" t="str">
        <f>DEC2HEX(MOD(STRUCT!J46,2^1),2)</f>
        <v>01</v>
      </c>
      <c r="J91" s="98" t="str">
        <f>DEC2HEX(MOD(STRUCT!K46,2^1),2)</f>
        <v>01</v>
      </c>
      <c r="K91" s="98" t="str">
        <f>DEC2HEX(MOD(STRUCT!L46,2^1),2)</f>
        <v>01</v>
      </c>
      <c r="L91" s="98" t="str">
        <f>DEC2HEX(MOD(STRUCT!M46,2^1),2)</f>
        <v>01</v>
      </c>
      <c r="M91" s="98" t="str">
        <f>DEC2HEX(MOD(STRUCT!N46,2^1),2)</f>
        <v>01</v>
      </c>
      <c r="N91" s="98" t="str">
        <f>DEC2HEX(MOD(STRUCT!O46,2^1),2)</f>
        <v>01</v>
      </c>
      <c r="O91" s="98" t="str">
        <f>DEC2HEX(MOD(STRUCT!P46,2^1),2)</f>
        <v>01</v>
      </c>
      <c r="P91" s="98"/>
      <c r="Q91" s="98"/>
      <c r="R91" s="98"/>
      <c r="S91" s="98"/>
    </row>
    <row r="92" spans="1:19" x14ac:dyDescent="0.25">
      <c r="A92" s="98" t="s">
        <v>7270</v>
      </c>
      <c r="B92" s="98" t="s">
        <v>141</v>
      </c>
      <c r="C92" s="98" t="s">
        <v>108</v>
      </c>
      <c r="D92" s="98" t="str">
        <f>DEC2HEX(MOD(STRUCT!E47,2^1),2)</f>
        <v>00</v>
      </c>
      <c r="E92" s="98" t="str">
        <f>DEC2HEX(MOD(STRUCT!F47,2^1),2)</f>
        <v>00</v>
      </c>
      <c r="F92" s="98" t="str">
        <f>DEC2HEX(MOD(STRUCT!G47,2^1),2)</f>
        <v>00</v>
      </c>
      <c r="G92" s="98" t="str">
        <f>DEC2HEX(MOD(STRUCT!H47,2^1),2)</f>
        <v>00</v>
      </c>
      <c r="H92" s="98" t="str">
        <f>DEC2HEX(MOD(STRUCT!I47,2^1),2)</f>
        <v>00</v>
      </c>
      <c r="I92" s="98" t="str">
        <f>DEC2HEX(MOD(STRUCT!J47,2^1),2)</f>
        <v>00</v>
      </c>
      <c r="J92" s="98" t="str">
        <f>DEC2HEX(MOD(STRUCT!K47,2^1),2)</f>
        <v>00</v>
      </c>
      <c r="K92" s="98" t="str">
        <f>DEC2HEX(MOD(STRUCT!L47,2^1),2)</f>
        <v>00</v>
      </c>
      <c r="L92" s="98" t="str">
        <f>DEC2HEX(MOD(STRUCT!M47,2^1),2)</f>
        <v>00</v>
      </c>
      <c r="M92" s="98" t="str">
        <f>DEC2HEX(MOD(STRUCT!N47,2^1),2)</f>
        <v>00</v>
      </c>
      <c r="N92" s="98" t="str">
        <f>DEC2HEX(MOD(STRUCT!O47,2^1),2)</f>
        <v>00</v>
      </c>
      <c r="O92" s="98" t="str">
        <f>DEC2HEX(MOD(STRUCT!P47,2^1),2)</f>
        <v>00</v>
      </c>
      <c r="P92" s="98"/>
      <c r="Q92" s="98"/>
      <c r="R92" s="98"/>
      <c r="S92" s="98"/>
    </row>
    <row r="93" spans="1:19" x14ac:dyDescent="0.25">
      <c r="A93" s="98" t="s">
        <v>7270</v>
      </c>
      <c r="B93" s="98" t="s">
        <v>141</v>
      </c>
      <c r="C93" s="98" t="s">
        <v>110</v>
      </c>
      <c r="D93" s="98" t="str">
        <f>DEC2HEX(MOD(STRUCT!E48,2^1),2)</f>
        <v>00</v>
      </c>
      <c r="E93" s="98" t="str">
        <f>DEC2HEX(MOD(STRUCT!F48,2^1),2)</f>
        <v>00</v>
      </c>
      <c r="F93" s="98" t="str">
        <f>DEC2HEX(MOD(STRUCT!G48,2^1),2)</f>
        <v>00</v>
      </c>
      <c r="G93" s="98" t="str">
        <f>DEC2HEX(MOD(STRUCT!H48,2^1),2)</f>
        <v>00</v>
      </c>
      <c r="H93" s="98" t="str">
        <f>DEC2HEX(MOD(STRUCT!I48,2^1),2)</f>
        <v>00</v>
      </c>
      <c r="I93" s="98" t="str">
        <f>DEC2HEX(MOD(STRUCT!J48,2^1),2)</f>
        <v>00</v>
      </c>
      <c r="J93" s="98" t="str">
        <f>DEC2HEX(MOD(STRUCT!K48,2^1),2)</f>
        <v>01</v>
      </c>
      <c r="K93" s="98" t="str">
        <f>DEC2HEX(MOD(STRUCT!L48,2^1),2)</f>
        <v>01</v>
      </c>
      <c r="L93" s="98" t="str">
        <f>DEC2HEX(MOD(STRUCT!M48,2^1),2)</f>
        <v>01</v>
      </c>
      <c r="M93" s="98" t="str">
        <f>DEC2HEX(MOD(STRUCT!N48,2^1),2)</f>
        <v>01</v>
      </c>
      <c r="N93" s="98" t="str">
        <f>DEC2HEX(MOD(STRUCT!O48,2^1),2)</f>
        <v>01</v>
      </c>
      <c r="O93" s="98" t="str">
        <f>DEC2HEX(MOD(STRUCT!P48,2^1),2)</f>
        <v>01</v>
      </c>
      <c r="P93" s="98"/>
      <c r="Q93" s="98"/>
      <c r="R93" s="98"/>
      <c r="S93" s="98"/>
    </row>
    <row r="94" spans="1:19" x14ac:dyDescent="0.25">
      <c r="A94" s="98" t="s">
        <v>7270</v>
      </c>
      <c r="B94" s="98" t="s">
        <v>141</v>
      </c>
      <c r="C94" s="98" t="s">
        <v>113</v>
      </c>
      <c r="D94" s="98" t="str">
        <f>DEC2HEX(MOD(STRUCT!E49,2^1),2)</f>
        <v>00</v>
      </c>
      <c r="E94" s="98" t="str">
        <f>DEC2HEX(MOD(STRUCT!F49,2^1),2)</f>
        <v>01</v>
      </c>
      <c r="F94" s="98" t="str">
        <f>DEC2HEX(MOD(STRUCT!G49,2^1),2)</f>
        <v>01</v>
      </c>
      <c r="G94" s="98" t="str">
        <f>DEC2HEX(MOD(STRUCT!H49,2^1),2)</f>
        <v>01</v>
      </c>
      <c r="H94" s="98" t="str">
        <f>DEC2HEX(MOD(STRUCT!I49,2^1),2)</f>
        <v>01</v>
      </c>
      <c r="I94" s="98" t="str">
        <f>DEC2HEX(MOD(STRUCT!J49,2^1),2)</f>
        <v>01</v>
      </c>
      <c r="J94" s="98" t="str">
        <f>DEC2HEX(MOD(STRUCT!K49,2^1),2)</f>
        <v>01</v>
      </c>
      <c r="K94" s="98" t="str">
        <f>DEC2HEX(MOD(STRUCT!L49,2^1),2)</f>
        <v>01</v>
      </c>
      <c r="L94" s="98" t="str">
        <f>DEC2HEX(MOD(STRUCT!M49,2^1),2)</f>
        <v>01</v>
      </c>
      <c r="M94" s="98" t="str">
        <f>DEC2HEX(MOD(STRUCT!N49,2^1),2)</f>
        <v>01</v>
      </c>
      <c r="N94" s="98" t="str">
        <f>DEC2HEX(MOD(STRUCT!O49,2^1),2)</f>
        <v>01</v>
      </c>
      <c r="O94" s="98" t="str">
        <f>DEC2HEX(MOD(STRUCT!P49,2^1),2)</f>
        <v>01</v>
      </c>
      <c r="P94" s="98"/>
      <c r="Q94" s="98"/>
      <c r="R94" s="98"/>
      <c r="S94" s="98"/>
    </row>
    <row r="95" spans="1:19" x14ac:dyDescent="0.25">
      <c r="A95" s="98" t="s">
        <v>7270</v>
      </c>
      <c r="B95" s="98" t="s">
        <v>141</v>
      </c>
      <c r="C95" s="98" t="s">
        <v>115</v>
      </c>
      <c r="D95" s="98" t="str">
        <f>DEC2HEX(MOD(STRUCT!E50,2^1),2)</f>
        <v>00</v>
      </c>
      <c r="E95" s="98" t="str">
        <f>DEC2HEX(MOD(STRUCT!F50,2^1),2)</f>
        <v>01</v>
      </c>
      <c r="F95" s="98" t="str">
        <f>DEC2HEX(MOD(STRUCT!G50,2^1),2)</f>
        <v>01</v>
      </c>
      <c r="G95" s="98" t="str">
        <f>DEC2HEX(MOD(STRUCT!H50,2^1),2)</f>
        <v>01</v>
      </c>
      <c r="H95" s="98" t="str">
        <f>DEC2HEX(MOD(STRUCT!I50,2^1),2)</f>
        <v>01</v>
      </c>
      <c r="I95" s="98" t="str">
        <f>DEC2HEX(MOD(STRUCT!J50,2^1),2)</f>
        <v>01</v>
      </c>
      <c r="J95" s="98" t="str">
        <f>DEC2HEX(MOD(STRUCT!K50,2^1),2)</f>
        <v>01</v>
      </c>
      <c r="K95" s="98" t="str">
        <f>DEC2HEX(MOD(STRUCT!L50,2^1),2)</f>
        <v>01</v>
      </c>
      <c r="L95" s="98" t="str">
        <f>DEC2HEX(MOD(STRUCT!M50,2^1),2)</f>
        <v>01</v>
      </c>
      <c r="M95" s="98" t="str">
        <f>DEC2HEX(MOD(STRUCT!N50,2^1),2)</f>
        <v>01</v>
      </c>
      <c r="N95" s="98" t="str">
        <f>DEC2HEX(MOD(STRUCT!O50,2^1),2)</f>
        <v>01</v>
      </c>
      <c r="O95" s="98" t="str">
        <f>DEC2HEX(MOD(STRUCT!P50,2^1),2)</f>
        <v>01</v>
      </c>
      <c r="P95" s="98"/>
      <c r="Q95" s="98"/>
      <c r="R95" s="98"/>
      <c r="S95" s="98"/>
    </row>
    <row r="96" spans="1:19" x14ac:dyDescent="0.25">
      <c r="A96" s="98" t="s">
        <v>7270</v>
      </c>
      <c r="B96" s="98" t="s">
        <v>141</v>
      </c>
      <c r="C96" s="98" t="s">
        <v>117</v>
      </c>
      <c r="D96" s="98" t="str">
        <f>DEC2HEX(MOD(STRUCT!E51,2^1),2)</f>
        <v>00</v>
      </c>
      <c r="E96" s="98" t="str">
        <f>DEC2HEX(MOD(STRUCT!F51,2^1),2)</f>
        <v>00</v>
      </c>
      <c r="F96" s="98" t="str">
        <f>DEC2HEX(MOD(STRUCT!G51,2^1),2)</f>
        <v>00</v>
      </c>
      <c r="G96" s="98" t="str">
        <f>DEC2HEX(MOD(STRUCT!H51,2^1),2)</f>
        <v>00</v>
      </c>
      <c r="H96" s="98" t="str">
        <f>DEC2HEX(MOD(STRUCT!I51,2^1),2)</f>
        <v>00</v>
      </c>
      <c r="I96" s="98" t="str">
        <f>DEC2HEX(MOD(STRUCT!J51,2^1),2)</f>
        <v>00</v>
      </c>
      <c r="J96" s="98" t="str">
        <f>DEC2HEX(MOD(STRUCT!K51,2^1),2)</f>
        <v>00</v>
      </c>
      <c r="K96" s="98" t="str">
        <f>DEC2HEX(MOD(STRUCT!L51,2^1),2)</f>
        <v>00</v>
      </c>
      <c r="L96" s="98" t="str">
        <f>DEC2HEX(MOD(STRUCT!M51,2^1),2)</f>
        <v>00</v>
      </c>
      <c r="M96" s="98" t="str">
        <f>DEC2HEX(MOD(STRUCT!N51,2^1),2)</f>
        <v>00</v>
      </c>
      <c r="N96" s="98" t="str">
        <f>DEC2HEX(MOD(STRUCT!O51,2^1),2)</f>
        <v>00</v>
      </c>
      <c r="O96" s="98" t="str">
        <f>DEC2HEX(MOD(STRUCT!P51,2^1),2)</f>
        <v>00</v>
      </c>
      <c r="P96" s="98"/>
      <c r="Q96" s="98"/>
      <c r="R96" s="98"/>
      <c r="S96" s="98"/>
    </row>
    <row r="97" spans="1:19" x14ac:dyDescent="0.25">
      <c r="A97" s="98" t="s">
        <v>7270</v>
      </c>
      <c r="B97" s="98" t="s">
        <v>141</v>
      </c>
      <c r="C97" s="98" t="s">
        <v>119</v>
      </c>
      <c r="D97" s="98" t="str">
        <f>DEC2HEX(MOD(STRUCT!E52,2^1),2)</f>
        <v>00</v>
      </c>
      <c r="E97" s="98" t="str">
        <f>DEC2HEX(MOD(STRUCT!F52,2^1),2)</f>
        <v>00</v>
      </c>
      <c r="F97" s="98" t="str">
        <f>DEC2HEX(MOD(STRUCT!G52,2^1),2)</f>
        <v>00</v>
      </c>
      <c r="G97" s="98" t="str">
        <f>DEC2HEX(MOD(STRUCT!H52,2^1),2)</f>
        <v>00</v>
      </c>
      <c r="H97" s="98" t="str">
        <f>DEC2HEX(MOD(STRUCT!I52,2^1),2)</f>
        <v>00</v>
      </c>
      <c r="I97" s="98" t="str">
        <f>DEC2HEX(MOD(STRUCT!J52,2^1),2)</f>
        <v>00</v>
      </c>
      <c r="J97" s="98" t="str">
        <f>DEC2HEX(MOD(STRUCT!K52,2^1),2)</f>
        <v>00</v>
      </c>
      <c r="K97" s="98" t="str">
        <f>DEC2HEX(MOD(STRUCT!L52,2^1),2)</f>
        <v>00</v>
      </c>
      <c r="L97" s="98" t="str">
        <f>DEC2HEX(MOD(STRUCT!M52,2^1),2)</f>
        <v>00</v>
      </c>
      <c r="M97" s="98" t="str">
        <f>DEC2HEX(MOD(STRUCT!N52,2^1),2)</f>
        <v>00</v>
      </c>
      <c r="N97" s="98" t="str">
        <f>DEC2HEX(MOD(STRUCT!O52,2^1),2)</f>
        <v>00</v>
      </c>
      <c r="O97" s="98" t="str">
        <f>DEC2HEX(MOD(STRUCT!P52,2^1),2)</f>
        <v>00</v>
      </c>
      <c r="P97" s="98"/>
      <c r="Q97" s="98"/>
      <c r="R97" s="98"/>
      <c r="S97" s="98"/>
    </row>
    <row r="98" spans="1:19" x14ac:dyDescent="0.25">
      <c r="A98" s="98" t="s">
        <v>7270</v>
      </c>
      <c r="B98" s="98" t="s">
        <v>141</v>
      </c>
      <c r="C98" s="98" t="s">
        <v>121</v>
      </c>
      <c r="D98" s="98" t="str">
        <f>DEC2HEX(MOD(STRUCT!E53,2^1),2)</f>
        <v>00</v>
      </c>
      <c r="E98" s="98" t="str">
        <f>DEC2HEX(MOD(STRUCT!F53,2^1),2)</f>
        <v>00</v>
      </c>
      <c r="F98" s="98" t="str">
        <f>DEC2HEX(MOD(STRUCT!G53,2^1),2)</f>
        <v>00</v>
      </c>
      <c r="G98" s="98" t="str">
        <f>DEC2HEX(MOD(STRUCT!H53,2^1),2)</f>
        <v>00</v>
      </c>
      <c r="H98" s="98" t="str">
        <f>DEC2HEX(MOD(STRUCT!I53,2^1),2)</f>
        <v>00</v>
      </c>
      <c r="I98" s="98" t="str">
        <f>DEC2HEX(MOD(STRUCT!J53,2^1),2)</f>
        <v>00</v>
      </c>
      <c r="J98" s="98" t="str">
        <f>DEC2HEX(MOD(STRUCT!K53,2^1),2)</f>
        <v>00</v>
      </c>
      <c r="K98" s="98" t="str">
        <f>DEC2HEX(MOD(STRUCT!L53,2^1),2)</f>
        <v>00</v>
      </c>
      <c r="L98" s="98" t="str">
        <f>DEC2HEX(MOD(STRUCT!M53,2^1),2)</f>
        <v>00</v>
      </c>
      <c r="M98" s="98" t="str">
        <f>DEC2HEX(MOD(STRUCT!N53,2^1),2)</f>
        <v>00</v>
      </c>
      <c r="N98" s="98" t="str">
        <f>DEC2HEX(MOD(STRUCT!O53,2^1),2)</f>
        <v>00</v>
      </c>
      <c r="O98" s="98" t="str">
        <f>DEC2HEX(MOD(STRUCT!P53,2^1),2)</f>
        <v>00</v>
      </c>
      <c r="P98" s="98"/>
      <c r="Q98" s="98"/>
      <c r="R98" s="98"/>
      <c r="S98" s="98"/>
    </row>
    <row r="99" spans="1:19" x14ac:dyDescent="0.25">
      <c r="A99" s="98" t="s">
        <v>7270</v>
      </c>
      <c r="B99" s="98" t="s">
        <v>141</v>
      </c>
      <c r="C99" s="98" t="s">
        <v>123</v>
      </c>
      <c r="D99" s="98" t="str">
        <f>DEC2HEX(MOD(STRUCT!E54,2^1),2)</f>
        <v>00</v>
      </c>
      <c r="E99" s="98" t="str">
        <f>DEC2HEX(MOD(STRUCT!F54,2^1),2)</f>
        <v>01</v>
      </c>
      <c r="F99" s="98" t="str">
        <f>DEC2HEX(MOD(STRUCT!G54,2^1),2)</f>
        <v>01</v>
      </c>
      <c r="G99" s="98" t="str">
        <f>DEC2HEX(MOD(STRUCT!H54,2^1),2)</f>
        <v>01</v>
      </c>
      <c r="H99" s="98" t="str">
        <f>DEC2HEX(MOD(STRUCT!I54,2^1),2)</f>
        <v>01</v>
      </c>
      <c r="I99" s="98" t="str">
        <f>DEC2HEX(MOD(STRUCT!J54,2^1),2)</f>
        <v>01</v>
      </c>
      <c r="J99" s="98" t="str">
        <f>DEC2HEX(MOD(STRUCT!K54,2^1),2)</f>
        <v>01</v>
      </c>
      <c r="K99" s="98" t="str">
        <f>DEC2HEX(MOD(STRUCT!L54,2^1),2)</f>
        <v>01</v>
      </c>
      <c r="L99" s="98" t="str">
        <f>DEC2HEX(MOD(STRUCT!M54,2^1),2)</f>
        <v>01</v>
      </c>
      <c r="M99" s="98" t="str">
        <f>DEC2HEX(MOD(STRUCT!N54,2^1),2)</f>
        <v>01</v>
      </c>
      <c r="N99" s="98" t="str">
        <f>DEC2HEX(MOD(STRUCT!O54,2^1),2)</f>
        <v>01</v>
      </c>
      <c r="O99" s="98" t="str">
        <f>DEC2HEX(MOD(STRUCT!P54,2^1),2)</f>
        <v>01</v>
      </c>
      <c r="P99" s="98"/>
      <c r="Q99" s="98"/>
      <c r="R99" s="98"/>
      <c r="S99" s="98"/>
    </row>
    <row r="100" spans="1:19" x14ac:dyDescent="0.25">
      <c r="A100" s="98" t="s">
        <v>7270</v>
      </c>
      <c r="B100" s="98" t="s">
        <v>141</v>
      </c>
      <c r="C100" s="98" t="s">
        <v>126</v>
      </c>
      <c r="D100" s="98" t="str">
        <f>DEC2HEX(MOD(STRUCT!E55,2^1),2)</f>
        <v>00</v>
      </c>
      <c r="E100" s="98" t="str">
        <f>DEC2HEX(MOD(STRUCT!F55,2^1),2)</f>
        <v>00</v>
      </c>
      <c r="F100" s="98" t="str">
        <f>DEC2HEX(MOD(STRUCT!G55,2^1),2)</f>
        <v>00</v>
      </c>
      <c r="G100" s="98" t="str">
        <f>DEC2HEX(MOD(STRUCT!H55,2^1),2)</f>
        <v>00</v>
      </c>
      <c r="H100" s="98" t="str">
        <f>DEC2HEX(MOD(STRUCT!I55,2^1),2)</f>
        <v>00</v>
      </c>
      <c r="I100" s="98" t="str">
        <f>DEC2HEX(MOD(STRUCT!J55,2^1),2)</f>
        <v>00</v>
      </c>
      <c r="J100" s="98" t="str">
        <f>DEC2HEX(MOD(STRUCT!K55,2^1),2)</f>
        <v>00</v>
      </c>
      <c r="K100" s="98" t="str">
        <f>DEC2HEX(MOD(STRUCT!L55,2^1),2)</f>
        <v>00</v>
      </c>
      <c r="L100" s="98" t="str">
        <f>DEC2HEX(MOD(STRUCT!M55,2^1),2)</f>
        <v>00</v>
      </c>
      <c r="M100" s="98" t="str">
        <f>DEC2HEX(MOD(STRUCT!N55,2^1),2)</f>
        <v>00</v>
      </c>
      <c r="N100" s="98" t="str">
        <f>DEC2HEX(MOD(STRUCT!O55,2^1),2)</f>
        <v>00</v>
      </c>
      <c r="O100" s="98" t="str">
        <f>DEC2HEX(MOD(STRUCT!P55,2^1),2)</f>
        <v>00</v>
      </c>
      <c r="P100" s="98"/>
      <c r="Q100" s="98"/>
      <c r="R100" s="98"/>
      <c r="S100" s="98"/>
    </row>
    <row r="101" spans="1:19" x14ac:dyDescent="0.25">
      <c r="A101" s="98" t="s">
        <v>7270</v>
      </c>
      <c r="B101" s="98" t="s">
        <v>141</v>
      </c>
      <c r="C101" s="98" t="s">
        <v>128</v>
      </c>
      <c r="D101" s="98" t="str">
        <f>DEC2HEX(MOD(STRUCT!E56,2^1),2)</f>
        <v>00</v>
      </c>
      <c r="E101" s="98" t="str">
        <f>DEC2HEX(MOD(STRUCT!F56,2^1),2)</f>
        <v>00</v>
      </c>
      <c r="F101" s="98" t="str">
        <f>DEC2HEX(MOD(STRUCT!G56,2^1),2)</f>
        <v>00</v>
      </c>
      <c r="G101" s="98" t="str">
        <f>DEC2HEX(MOD(STRUCT!H56,2^1),2)</f>
        <v>00</v>
      </c>
      <c r="H101" s="98" t="str">
        <f>DEC2HEX(MOD(STRUCT!I56,2^1),2)</f>
        <v>00</v>
      </c>
      <c r="I101" s="98" t="str">
        <f>DEC2HEX(MOD(STRUCT!J56,2^1),2)</f>
        <v>00</v>
      </c>
      <c r="J101" s="98" t="str">
        <f>DEC2HEX(MOD(STRUCT!K56,2^1),2)</f>
        <v>01</v>
      </c>
      <c r="K101" s="98" t="str">
        <f>DEC2HEX(MOD(STRUCT!L56,2^1),2)</f>
        <v>01</v>
      </c>
      <c r="L101" s="98" t="str">
        <f>DEC2HEX(MOD(STRUCT!M56,2^1),2)</f>
        <v>01</v>
      </c>
      <c r="M101" s="98" t="str">
        <f>DEC2HEX(MOD(STRUCT!N56,2^1),2)</f>
        <v>01</v>
      </c>
      <c r="N101" s="98" t="str">
        <f>DEC2HEX(MOD(STRUCT!O56,2^1),2)</f>
        <v>01</v>
      </c>
      <c r="O101" s="98" t="str">
        <f>DEC2HEX(MOD(STRUCT!P56,2^1),2)</f>
        <v>01</v>
      </c>
      <c r="P101" s="98"/>
      <c r="Q101" s="98"/>
      <c r="R101" s="98"/>
      <c r="S101" s="98"/>
    </row>
    <row r="102" spans="1:19" x14ac:dyDescent="0.25">
      <c r="A102" s="98" t="s">
        <v>7270</v>
      </c>
      <c r="B102" s="98" t="s">
        <v>141</v>
      </c>
      <c r="C102" s="98" t="s">
        <v>130</v>
      </c>
      <c r="D102" s="98" t="str">
        <f>DEC2HEX(MOD(STRUCT!E57,2^1),2)</f>
        <v>00</v>
      </c>
      <c r="E102" s="98" t="str">
        <f>DEC2HEX(MOD(STRUCT!F57,2^1),2)</f>
        <v>00</v>
      </c>
      <c r="F102" s="98" t="str">
        <f>DEC2HEX(MOD(STRUCT!G57,2^1),2)</f>
        <v>00</v>
      </c>
      <c r="G102" s="98" t="str">
        <f>DEC2HEX(MOD(STRUCT!H57,2^1),2)</f>
        <v>00</v>
      </c>
      <c r="H102" s="98" t="str">
        <f>DEC2HEX(MOD(STRUCT!I57,2^1),2)</f>
        <v>00</v>
      </c>
      <c r="I102" s="98" t="str">
        <f>DEC2HEX(MOD(STRUCT!J57,2^1),2)</f>
        <v>00</v>
      </c>
      <c r="J102" s="98" t="str">
        <f>DEC2HEX(MOD(STRUCT!K57,2^1),2)</f>
        <v>01</v>
      </c>
      <c r="K102" s="98" t="str">
        <f>DEC2HEX(MOD(STRUCT!L57,2^1),2)</f>
        <v>01</v>
      </c>
      <c r="L102" s="98" t="str">
        <f>DEC2HEX(MOD(STRUCT!M57,2^1),2)</f>
        <v>01</v>
      </c>
      <c r="M102" s="98" t="str">
        <f>DEC2HEX(MOD(STRUCT!N57,2^1),2)</f>
        <v>01</v>
      </c>
      <c r="N102" s="98" t="str">
        <f>DEC2HEX(MOD(STRUCT!O57,2^1),2)</f>
        <v>01</v>
      </c>
      <c r="O102" s="98" t="str">
        <f>DEC2HEX(MOD(STRUCT!P57,2^1),2)</f>
        <v>01</v>
      </c>
      <c r="P102" s="98"/>
      <c r="Q102" s="98"/>
      <c r="R102" s="98"/>
      <c r="S102" s="98"/>
    </row>
    <row r="103" spans="1:19" x14ac:dyDescent="0.25">
      <c r="A103" s="98" t="s">
        <v>7270</v>
      </c>
      <c r="B103" s="98" t="s">
        <v>141</v>
      </c>
      <c r="C103" s="98" t="s">
        <v>132</v>
      </c>
      <c r="D103" s="98" t="str">
        <f>DEC2HEX(MOD(STRUCT!E58,2^1),2)</f>
        <v>00</v>
      </c>
      <c r="E103" s="98" t="str">
        <f>DEC2HEX(MOD(STRUCT!F58,2^1),2)</f>
        <v>01</v>
      </c>
      <c r="F103" s="98" t="str">
        <f>DEC2HEX(MOD(STRUCT!G58,2^1),2)</f>
        <v>01</v>
      </c>
      <c r="G103" s="98" t="str">
        <f>DEC2HEX(MOD(STRUCT!H58,2^1),2)</f>
        <v>01</v>
      </c>
      <c r="H103" s="98" t="str">
        <f>DEC2HEX(MOD(STRUCT!I58,2^1),2)</f>
        <v>01</v>
      </c>
      <c r="I103" s="98" t="str">
        <f>DEC2HEX(MOD(STRUCT!J58,2^1),2)</f>
        <v>01</v>
      </c>
      <c r="J103" s="98" t="str">
        <f>DEC2HEX(MOD(STRUCT!K58,2^1),2)</f>
        <v>01</v>
      </c>
      <c r="K103" s="98" t="str">
        <f>DEC2HEX(MOD(STRUCT!L58,2^1),2)</f>
        <v>01</v>
      </c>
      <c r="L103" s="98" t="str">
        <f>DEC2HEX(MOD(STRUCT!M58,2^1),2)</f>
        <v>01</v>
      </c>
      <c r="M103" s="98" t="str">
        <f>DEC2HEX(MOD(STRUCT!N58,2^1),2)</f>
        <v>01</v>
      </c>
      <c r="N103" s="98" t="str">
        <f>DEC2HEX(MOD(STRUCT!O58,2^1),2)</f>
        <v>01</v>
      </c>
      <c r="O103" s="98" t="str">
        <f>DEC2HEX(MOD(STRUCT!P58,2^1),2)</f>
        <v>01</v>
      </c>
      <c r="P103" s="98"/>
      <c r="Q103" s="98"/>
      <c r="R103" s="98"/>
      <c r="S103" s="98"/>
    </row>
    <row r="104" spans="1:19" x14ac:dyDescent="0.25">
      <c r="A104" s="98" t="s">
        <v>7270</v>
      </c>
      <c r="B104" s="98" t="s">
        <v>141</v>
      </c>
      <c r="C104" s="98" t="s">
        <v>134</v>
      </c>
      <c r="D104" s="98" t="str">
        <f>DEC2HEX(MOD(STRUCT!E59,2^1),2)</f>
        <v>00</v>
      </c>
      <c r="E104" s="98" t="str">
        <f>DEC2HEX(MOD(STRUCT!F59,2^1),2)</f>
        <v>00</v>
      </c>
      <c r="F104" s="98" t="str">
        <f>DEC2HEX(MOD(STRUCT!G59,2^1),2)</f>
        <v>00</v>
      </c>
      <c r="G104" s="98" t="str">
        <f>DEC2HEX(MOD(STRUCT!H59,2^1),2)</f>
        <v>00</v>
      </c>
      <c r="H104" s="98" t="str">
        <f>DEC2HEX(MOD(STRUCT!I59,2^1),2)</f>
        <v>00</v>
      </c>
      <c r="I104" s="98" t="str">
        <f>DEC2HEX(MOD(STRUCT!J59,2^1),2)</f>
        <v>00</v>
      </c>
      <c r="J104" s="98" t="str">
        <f>DEC2HEX(MOD(STRUCT!K59,2^1),2)</f>
        <v>00</v>
      </c>
      <c r="K104" s="98" t="str">
        <f>DEC2HEX(MOD(STRUCT!L59,2^1),2)</f>
        <v>00</v>
      </c>
      <c r="L104" s="98" t="str">
        <f>DEC2HEX(MOD(STRUCT!M59,2^1),2)</f>
        <v>00</v>
      </c>
      <c r="M104" s="98" t="str">
        <f>DEC2HEX(MOD(STRUCT!N59,2^1),2)</f>
        <v>00</v>
      </c>
      <c r="N104" s="98" t="str">
        <f>DEC2HEX(MOD(STRUCT!O59,2^1),2)</f>
        <v>00</v>
      </c>
      <c r="O104" s="98" t="str">
        <f>DEC2HEX(MOD(STRUCT!P59,2^1),2)</f>
        <v>00</v>
      </c>
      <c r="P104" s="98"/>
      <c r="Q104" s="98"/>
      <c r="R104" s="98"/>
      <c r="S104" s="98"/>
    </row>
    <row r="105" spans="1:19" x14ac:dyDescent="0.25">
      <c r="A105" s="98" t="s">
        <v>7270</v>
      </c>
      <c r="B105" s="98" t="s">
        <v>141</v>
      </c>
      <c r="C105" s="98" t="s">
        <v>136</v>
      </c>
      <c r="D105" s="98" t="str">
        <f>DEC2HEX(MOD(STRUCT!E60,2^1),2)</f>
        <v>00</v>
      </c>
      <c r="E105" s="98" t="str">
        <f>DEC2HEX(MOD(STRUCT!F60,2^1),2)</f>
        <v>00</v>
      </c>
      <c r="F105" s="98" t="str">
        <f>DEC2HEX(MOD(STRUCT!G60,2^1),2)</f>
        <v>00</v>
      </c>
      <c r="G105" s="98" t="str">
        <f>DEC2HEX(MOD(STRUCT!H60,2^1),2)</f>
        <v>00</v>
      </c>
      <c r="H105" s="98" t="str">
        <f>DEC2HEX(MOD(STRUCT!I60,2^1),2)</f>
        <v>00</v>
      </c>
      <c r="I105" s="98" t="str">
        <f>DEC2HEX(MOD(STRUCT!J60,2^1),2)</f>
        <v>00</v>
      </c>
      <c r="J105" s="98" t="str">
        <f>DEC2HEX(MOD(STRUCT!K60,2^1),2)</f>
        <v>01</v>
      </c>
      <c r="K105" s="98" t="str">
        <f>DEC2HEX(MOD(STRUCT!L60,2^1),2)</f>
        <v>01</v>
      </c>
      <c r="L105" s="98" t="str">
        <f>DEC2HEX(MOD(STRUCT!M60,2^1),2)</f>
        <v>01</v>
      </c>
      <c r="M105" s="98" t="str">
        <f>DEC2HEX(MOD(STRUCT!N60,2^1),2)</f>
        <v>01</v>
      </c>
      <c r="N105" s="98" t="str">
        <f>DEC2HEX(MOD(STRUCT!O60,2^1),2)</f>
        <v>01</v>
      </c>
      <c r="O105" s="98" t="str">
        <f>DEC2HEX(MOD(STRUCT!P60,2^1),2)</f>
        <v>01</v>
      </c>
      <c r="P105" s="98"/>
      <c r="Q105" s="98"/>
      <c r="R105" s="98"/>
      <c r="S105" s="98"/>
    </row>
    <row r="106" spans="1:19" x14ac:dyDescent="0.25">
      <c r="A106" s="98" t="s">
        <v>7270</v>
      </c>
      <c r="B106" s="98" t="s">
        <v>141</v>
      </c>
      <c r="C106" s="98" t="s">
        <v>138</v>
      </c>
      <c r="D106" s="98" t="str">
        <f>DEC2HEX(MOD(STRUCT!E61,2^1),2)</f>
        <v>00</v>
      </c>
      <c r="E106" s="98" t="str">
        <f>DEC2HEX(MOD(STRUCT!F61,2^1),2)</f>
        <v>01</v>
      </c>
      <c r="F106" s="98" t="str">
        <f>DEC2HEX(MOD(STRUCT!G61,2^1),2)</f>
        <v>01</v>
      </c>
      <c r="G106" s="98" t="str">
        <f>DEC2HEX(MOD(STRUCT!H61,2^1),2)</f>
        <v>01</v>
      </c>
      <c r="H106" s="98" t="str">
        <f>DEC2HEX(MOD(STRUCT!I61,2^1),2)</f>
        <v>01</v>
      </c>
      <c r="I106" s="98" t="str">
        <f>DEC2HEX(MOD(STRUCT!J61,2^1),2)</f>
        <v>01</v>
      </c>
      <c r="J106" s="98" t="str">
        <f>DEC2HEX(MOD(STRUCT!K61,2^1),2)</f>
        <v>01</v>
      </c>
      <c r="K106" s="98" t="str">
        <f>DEC2HEX(MOD(STRUCT!L61,2^1),2)</f>
        <v>01</v>
      </c>
      <c r="L106" s="98" t="str">
        <f>DEC2HEX(MOD(STRUCT!M61,2^1),2)</f>
        <v>01</v>
      </c>
      <c r="M106" s="98" t="str">
        <f>DEC2HEX(MOD(STRUCT!N61,2^1),2)</f>
        <v>01</v>
      </c>
      <c r="N106" s="98" t="str">
        <f>DEC2HEX(MOD(STRUCT!O61,2^1),2)</f>
        <v>01</v>
      </c>
      <c r="O106" s="98" t="str">
        <f>DEC2HEX(MOD(STRUCT!P61,2^1),2)</f>
        <v>01</v>
      </c>
      <c r="P106" s="98"/>
      <c r="Q106" s="98"/>
      <c r="R106" s="98"/>
      <c r="S106" s="98"/>
    </row>
    <row r="107" spans="1:19" x14ac:dyDescent="0.25">
      <c r="A107" s="98" t="s">
        <v>7270</v>
      </c>
      <c r="B107" s="98" t="s">
        <v>159</v>
      </c>
      <c r="C107" s="98" t="s">
        <v>160</v>
      </c>
      <c r="D107" s="98" t="str">
        <f>DEC2HEX(MOD(STRUCT!E62,2^8),2)</f>
        <v>00</v>
      </c>
      <c r="E107" s="98" t="str">
        <f>DEC2HEX(MOD(STRUCT!F62,2^8),2)</f>
        <v>30</v>
      </c>
      <c r="F107" s="98" t="str">
        <f>DEC2HEX(MOD(STRUCT!G62,2^8),2)</f>
        <v>30</v>
      </c>
      <c r="G107" s="98" t="str">
        <f>DEC2HEX(MOD(STRUCT!H62,2^8),2)</f>
        <v>30</v>
      </c>
      <c r="H107" s="98" t="str">
        <f>DEC2HEX(MOD(STRUCT!I62,2^8),2)</f>
        <v>30</v>
      </c>
      <c r="I107" s="98" t="str">
        <f>DEC2HEX(MOD(STRUCT!J62,2^8),2)</f>
        <v>30</v>
      </c>
      <c r="J107" s="98" t="str">
        <f>DEC2HEX(MOD(STRUCT!K62,2^8),2)</f>
        <v>30</v>
      </c>
      <c r="K107" s="98" t="str">
        <f>DEC2HEX(MOD(STRUCT!L62,2^8),2)</f>
        <v>30</v>
      </c>
      <c r="L107" s="98" t="str">
        <f>DEC2HEX(MOD(STRUCT!M62,2^8),2)</f>
        <v>30</v>
      </c>
      <c r="M107" s="98" t="str">
        <f>DEC2HEX(MOD(STRUCT!N62,2^8),2)</f>
        <v>30</v>
      </c>
      <c r="N107" s="98" t="str">
        <f>DEC2HEX(MOD(STRUCT!O62,2^8),2)</f>
        <v>30</v>
      </c>
      <c r="O107" s="98" t="str">
        <f>DEC2HEX(MOD(STRUCT!P62,2^8),2)</f>
        <v>30</v>
      </c>
      <c r="P107" s="98"/>
      <c r="Q107" s="98"/>
      <c r="R107" s="98"/>
      <c r="S107" s="98"/>
    </row>
    <row r="108" spans="1:19" x14ac:dyDescent="0.25">
      <c r="A108" s="98" t="s">
        <v>7270</v>
      </c>
      <c r="B108" s="98" t="s">
        <v>159</v>
      </c>
      <c r="C108" s="98" t="s">
        <v>162</v>
      </c>
      <c r="D108" s="98" t="str">
        <f>DEC2HEX(MOD(STRUCT!E63,2^8),2)</f>
        <v>00</v>
      </c>
      <c r="E108" s="98" t="str">
        <f>DEC2HEX(MOD(STRUCT!F63,2^8),2)</f>
        <v>30</v>
      </c>
      <c r="F108" s="98" t="str">
        <f>DEC2HEX(MOD(STRUCT!G63,2^8),2)</f>
        <v>30</v>
      </c>
      <c r="G108" s="98" t="str">
        <f>DEC2HEX(MOD(STRUCT!H63,2^8),2)</f>
        <v>30</v>
      </c>
      <c r="H108" s="98" t="str">
        <f>DEC2HEX(MOD(STRUCT!I63,2^8),2)</f>
        <v>30</v>
      </c>
      <c r="I108" s="98" t="str">
        <f>DEC2HEX(MOD(STRUCT!J63,2^8),2)</f>
        <v>30</v>
      </c>
      <c r="J108" s="98" t="str">
        <f>DEC2HEX(MOD(STRUCT!K63,2^8),2)</f>
        <v>30</v>
      </c>
      <c r="K108" s="98" t="str">
        <f>DEC2HEX(MOD(STRUCT!L63,2^8),2)</f>
        <v>30</v>
      </c>
      <c r="L108" s="98" t="str">
        <f>DEC2HEX(MOD(STRUCT!M63,2^8),2)</f>
        <v>30</v>
      </c>
      <c r="M108" s="98" t="str">
        <f>DEC2HEX(MOD(STRUCT!N63,2^8),2)</f>
        <v>30</v>
      </c>
      <c r="N108" s="98" t="str">
        <f>DEC2HEX(MOD(STRUCT!O63,2^8),2)</f>
        <v>30</v>
      </c>
      <c r="O108" s="98" t="str">
        <f>DEC2HEX(MOD(STRUCT!P63,2^8),2)</f>
        <v>30</v>
      </c>
      <c r="P108" s="98"/>
      <c r="Q108" s="98"/>
      <c r="R108" s="98"/>
      <c r="S108" s="98"/>
    </row>
    <row r="109" spans="1:19" x14ac:dyDescent="0.25">
      <c r="A109" s="98" t="s">
        <v>7270</v>
      </c>
      <c r="B109" s="98" t="s">
        <v>159</v>
      </c>
      <c r="C109" s="98" t="s">
        <v>165</v>
      </c>
      <c r="D109" s="98" t="str">
        <f>DEC2HEX(MOD(STRUCT!E64,2^8),2)</f>
        <v>00</v>
      </c>
      <c r="E109" s="98" t="str">
        <f>DEC2HEX(MOD(STRUCT!F64,2^8),2)</f>
        <v>0D</v>
      </c>
      <c r="F109" s="98" t="str">
        <f>DEC2HEX(MOD(STRUCT!G64,2^8),2)</f>
        <v>0D</v>
      </c>
      <c r="G109" s="98" t="str">
        <f>DEC2HEX(MOD(STRUCT!H64,2^8),2)</f>
        <v>0D</v>
      </c>
      <c r="H109" s="98" t="str">
        <f>DEC2HEX(MOD(STRUCT!I64,2^8),2)</f>
        <v>0D</v>
      </c>
      <c r="I109" s="98" t="str">
        <f>DEC2HEX(MOD(STRUCT!J64,2^8),2)</f>
        <v>0D</v>
      </c>
      <c r="J109" s="98" t="str">
        <f>DEC2HEX(MOD(STRUCT!K64,2^8),2)</f>
        <v>0D</v>
      </c>
      <c r="K109" s="98" t="str">
        <f>DEC2HEX(MOD(STRUCT!L64,2^8),2)</f>
        <v>0D</v>
      </c>
      <c r="L109" s="98" t="str">
        <f>DEC2HEX(MOD(STRUCT!M64,2^8),2)</f>
        <v>0D</v>
      </c>
      <c r="M109" s="98" t="str">
        <f>DEC2HEX(MOD(STRUCT!N64,2^8),2)</f>
        <v>0D</v>
      </c>
      <c r="N109" s="98" t="str">
        <f>DEC2HEX(MOD(STRUCT!O64,2^8),2)</f>
        <v>0D</v>
      </c>
      <c r="O109" s="98" t="str">
        <f>DEC2HEX(MOD(STRUCT!P64,2^8),2)</f>
        <v>0D</v>
      </c>
      <c r="P109" s="98"/>
      <c r="Q109" s="98"/>
      <c r="R109" s="98"/>
      <c r="S109" s="98"/>
    </row>
    <row r="110" spans="1:19" x14ac:dyDescent="0.25">
      <c r="A110" s="98" t="s">
        <v>7270</v>
      </c>
      <c r="B110" s="98" t="s">
        <v>159</v>
      </c>
      <c r="C110" s="98" t="s">
        <v>167</v>
      </c>
      <c r="D110" s="98" t="str">
        <f>DEC2HEX(MOD(STRUCT!E65,2^8),2)</f>
        <v>00</v>
      </c>
      <c r="E110" s="98" t="str">
        <f>DEC2HEX(MOD(STRUCT!F65,2^8),2)</f>
        <v>0D</v>
      </c>
      <c r="F110" s="98" t="str">
        <f>DEC2HEX(MOD(STRUCT!G65,2^8),2)</f>
        <v>0D</v>
      </c>
      <c r="G110" s="98" t="str">
        <f>DEC2HEX(MOD(STRUCT!H65,2^8),2)</f>
        <v>0D</v>
      </c>
      <c r="H110" s="98" t="str">
        <f>DEC2HEX(MOD(STRUCT!I65,2^8),2)</f>
        <v>0D</v>
      </c>
      <c r="I110" s="98" t="str">
        <f>DEC2HEX(MOD(STRUCT!J65,2^8),2)</f>
        <v>0D</v>
      </c>
      <c r="J110" s="98" t="str">
        <f>DEC2HEX(MOD(STRUCT!K65,2^8),2)</f>
        <v>0D</v>
      </c>
      <c r="K110" s="98" t="str">
        <f>DEC2HEX(MOD(STRUCT!L65,2^8),2)</f>
        <v>0D</v>
      </c>
      <c r="L110" s="98" t="str">
        <f>DEC2HEX(MOD(STRUCT!M65,2^8),2)</f>
        <v>0D</v>
      </c>
      <c r="M110" s="98" t="str">
        <f>DEC2HEX(MOD(STRUCT!N65,2^8),2)</f>
        <v>0D</v>
      </c>
      <c r="N110" s="98" t="str">
        <f>DEC2HEX(MOD(STRUCT!O65,2^8),2)</f>
        <v>0D</v>
      </c>
      <c r="O110" s="98" t="str">
        <f>DEC2HEX(MOD(STRUCT!P65,2^8),2)</f>
        <v>0D</v>
      </c>
      <c r="P110" s="98"/>
      <c r="Q110" s="98"/>
      <c r="R110" s="98"/>
      <c r="S110" s="98"/>
    </row>
    <row r="111" spans="1:19" x14ac:dyDescent="0.25">
      <c r="A111" s="98" t="s">
        <v>7270</v>
      </c>
      <c r="B111" s="98" t="s">
        <v>255</v>
      </c>
      <c r="C111" s="98" t="s">
        <v>97</v>
      </c>
      <c r="D111" s="98" t="str">
        <f>DEC2HEX(2^24*MOD(STRUCT!E156,2^6)+2^16*MOD(STRUCT!E155,2^6)+2^8*MOD(STRUCT!E154,2^6)+2^0*MOD(STRUCT!E153,2^6),8)</f>
        <v>0A0A0101</v>
      </c>
      <c r="E111" s="98" t="str">
        <f>DEC2HEX(2^24*MOD(STRUCT!F156,2^6)+2^16*MOD(STRUCT!F155,2^6)+2^8*MOD(STRUCT!F154,2^6)+2^0*MOD(STRUCT!F153,2^6),8)</f>
        <v>10100101</v>
      </c>
      <c r="F111" s="98"/>
      <c r="G111" s="98"/>
      <c r="H111" s="98"/>
      <c r="I111" s="98"/>
      <c r="J111" s="98"/>
      <c r="K111" s="98"/>
      <c r="L111" s="98"/>
      <c r="M111" s="98"/>
      <c r="N111" s="98"/>
      <c r="O111" s="98"/>
      <c r="P111" s="98"/>
      <c r="Q111" s="98"/>
      <c r="R111" s="98"/>
      <c r="S111" s="98"/>
    </row>
    <row r="112" spans="1:19" x14ac:dyDescent="0.25">
      <c r="A112" s="98" t="s">
        <v>7270</v>
      </c>
      <c r="B112" s="98" t="s">
        <v>255</v>
      </c>
      <c r="C112" s="98" t="s">
        <v>89</v>
      </c>
      <c r="D112" s="98" t="str">
        <f>DEC2HEX(2^24*MOD(STRUCT!E160,2^6)+2^16*MOD(STRUCT!E159,2^6)+2^8*MOD(STRUCT!E158,2^6)+2^0*MOD(STRUCT!E157,2^6),8)</f>
        <v>0A0A0101</v>
      </c>
      <c r="E112" s="98" t="str">
        <f>DEC2HEX(2^24*MOD(STRUCT!F160,2^6)+2^16*MOD(STRUCT!F159,2^6)+2^8*MOD(STRUCT!F158,2^6)+2^0*MOD(STRUCT!F157,2^6),8)</f>
        <v>10100101</v>
      </c>
      <c r="F112" s="98"/>
      <c r="G112" s="98"/>
      <c r="H112" s="98"/>
      <c r="I112" s="98"/>
      <c r="J112" s="98"/>
      <c r="K112" s="98"/>
      <c r="L112" s="98"/>
      <c r="M112" s="98"/>
      <c r="N112" s="98"/>
      <c r="O112" s="98"/>
      <c r="P112" s="98"/>
      <c r="Q112" s="98"/>
      <c r="R112" s="98"/>
      <c r="S112" s="98"/>
    </row>
    <row r="113" spans="1:19" x14ac:dyDescent="0.25">
      <c r="A113" s="98" t="s">
        <v>7270</v>
      </c>
      <c r="B113" s="98" t="s">
        <v>255</v>
      </c>
      <c r="C113" s="98" t="s">
        <v>82</v>
      </c>
      <c r="D113" s="98" t="str">
        <f>DEC2HEX(2^24*MOD(STRUCT!E164,2^6)+2^16*MOD(STRUCT!E163,2^6)+2^8*MOD(STRUCT!E162,2^6)+2^0*MOD(STRUCT!E161,2^6),8)</f>
        <v>0A0A0101</v>
      </c>
      <c r="E113" s="98" t="str">
        <f>DEC2HEX(2^24*MOD(STRUCT!F164,2^6)+2^16*MOD(STRUCT!F163,2^6)+2^8*MOD(STRUCT!F162,2^6)+2^0*MOD(STRUCT!F161,2^6),8)</f>
        <v>10100101</v>
      </c>
      <c r="F113" s="98"/>
      <c r="G113" s="98"/>
      <c r="H113" s="98"/>
      <c r="I113" s="98"/>
      <c r="J113" s="98"/>
      <c r="K113" s="98"/>
      <c r="L113" s="98"/>
      <c r="M113" s="98"/>
      <c r="N113" s="98"/>
      <c r="O113" s="98"/>
      <c r="P113" s="98"/>
      <c r="Q113" s="98"/>
      <c r="R113" s="98"/>
      <c r="S113" s="98"/>
    </row>
    <row r="114" spans="1:19" x14ac:dyDescent="0.25">
      <c r="A114" s="98" t="s">
        <v>7270</v>
      </c>
      <c r="B114" s="98" t="s">
        <v>255</v>
      </c>
      <c r="C114" s="98" t="s">
        <v>195</v>
      </c>
      <c r="D114" s="98" t="str">
        <f>DEC2HEX(2^24*MOD(STRUCT!E168,2^6)+2^16*MOD(STRUCT!E167,2^6)+2^8*MOD(STRUCT!E166,2^6)+2^0*MOD(STRUCT!E165,2^6),8)</f>
        <v>0A0A0101</v>
      </c>
      <c r="E114" s="98" t="str">
        <f>DEC2HEX(2^24*MOD(STRUCT!F168,2^6)+2^16*MOD(STRUCT!F167,2^6)+2^8*MOD(STRUCT!F166,2^6)+2^0*MOD(STRUCT!F165,2^6),8)</f>
        <v>10100101</v>
      </c>
      <c r="F114" s="98"/>
      <c r="G114" s="98"/>
      <c r="H114" s="98"/>
      <c r="I114" s="98"/>
      <c r="J114" s="98"/>
      <c r="K114" s="98"/>
      <c r="L114" s="98"/>
      <c r="M114" s="98"/>
      <c r="N114" s="98"/>
      <c r="O114" s="98"/>
      <c r="P114" s="98"/>
      <c r="Q114" s="98"/>
      <c r="R114" s="98"/>
      <c r="S114" s="98"/>
    </row>
    <row r="115" spans="1:19" x14ac:dyDescent="0.25">
      <c r="A115" s="98" t="s">
        <v>7270</v>
      </c>
      <c r="B115" s="98" t="s">
        <v>263</v>
      </c>
      <c r="C115" s="98" t="s">
        <v>97</v>
      </c>
      <c r="D115" s="98" t="str">
        <f>DEC2HEX(2^24*MOD(STRUCT!E172,2^6)+2^16*MOD(STRUCT!E171,2^6)+2^8*MOD(STRUCT!E170,2^6)+2^0*MOD(STRUCT!E169,2^6),8)</f>
        <v>0A0A0A0A</v>
      </c>
      <c r="E115" s="98" t="str">
        <f>DEC2HEX(2^24*MOD(STRUCT!F172,2^6)+2^16*MOD(STRUCT!F171,2^6)+2^8*MOD(STRUCT!F170,2^6)+2^0*MOD(STRUCT!F169,2^6),8)</f>
        <v>10101818</v>
      </c>
      <c r="F115" s="98"/>
      <c r="G115" s="98"/>
      <c r="H115" s="98"/>
      <c r="I115" s="98"/>
      <c r="J115" s="98"/>
      <c r="K115" s="98"/>
      <c r="L115" s="98"/>
      <c r="M115" s="98"/>
      <c r="N115" s="98"/>
      <c r="O115" s="98"/>
      <c r="P115" s="98"/>
      <c r="Q115" s="98"/>
      <c r="R115" s="98"/>
      <c r="S115" s="98"/>
    </row>
    <row r="116" spans="1:19" x14ac:dyDescent="0.25">
      <c r="A116" s="98" t="s">
        <v>7270</v>
      </c>
      <c r="B116" s="98" t="s">
        <v>263</v>
      </c>
      <c r="C116" s="98" t="s">
        <v>89</v>
      </c>
      <c r="D116" s="98" t="str">
        <f>DEC2HEX(2^24*MOD(STRUCT!E176,2^6)+2^16*MOD(STRUCT!E175,2^6)+2^8*MOD(STRUCT!E174,2^6)+2^0*MOD(STRUCT!E173,2^6),8)</f>
        <v>0A0A0A0A</v>
      </c>
      <c r="E116" s="98" t="str">
        <f>DEC2HEX(2^24*MOD(STRUCT!F176,2^6)+2^16*MOD(STRUCT!F175,2^6)+2^8*MOD(STRUCT!F174,2^6)+2^0*MOD(STRUCT!F173,2^6),8)</f>
        <v>10101818</v>
      </c>
      <c r="F116" s="98"/>
      <c r="G116" s="98"/>
      <c r="H116" s="98"/>
      <c r="I116" s="98"/>
      <c r="J116" s="98"/>
      <c r="K116" s="98"/>
      <c r="L116" s="98"/>
      <c r="M116" s="98"/>
      <c r="N116" s="98"/>
      <c r="O116" s="98"/>
      <c r="P116" s="98"/>
      <c r="Q116" s="98"/>
      <c r="R116" s="98"/>
      <c r="S116" s="98"/>
    </row>
    <row r="117" spans="1:19" x14ac:dyDescent="0.25">
      <c r="A117" s="98" t="s">
        <v>7270</v>
      </c>
      <c r="B117" s="98" t="s">
        <v>263</v>
      </c>
      <c r="C117" s="98" t="s">
        <v>82</v>
      </c>
      <c r="D117" s="98" t="str">
        <f>DEC2HEX(2^24*MOD(STRUCT!E180,2^6)+2^16*MOD(STRUCT!E179,2^6)+2^8*MOD(STRUCT!E178,2^6)+2^0*MOD(STRUCT!E177,2^6),8)</f>
        <v>0A0A0A0A</v>
      </c>
      <c r="E117" s="98" t="str">
        <f>DEC2HEX(2^24*MOD(STRUCT!F180,2^6)+2^16*MOD(STRUCT!F179,2^6)+2^8*MOD(STRUCT!F178,2^6)+2^0*MOD(STRUCT!F177,2^6),8)</f>
        <v>10101818</v>
      </c>
      <c r="F117" s="98"/>
      <c r="G117" s="98"/>
      <c r="H117" s="98"/>
      <c r="I117" s="98"/>
      <c r="J117" s="98"/>
      <c r="K117" s="98"/>
      <c r="L117" s="98"/>
      <c r="M117" s="98"/>
      <c r="N117" s="98"/>
      <c r="O117" s="98"/>
      <c r="P117" s="98"/>
      <c r="Q117" s="98"/>
      <c r="R117" s="98"/>
      <c r="S117" s="98"/>
    </row>
    <row r="118" spans="1:19" x14ac:dyDescent="0.25">
      <c r="A118" s="98" t="s">
        <v>7270</v>
      </c>
      <c r="B118" s="98" t="s">
        <v>263</v>
      </c>
      <c r="C118" s="98" t="s">
        <v>195</v>
      </c>
      <c r="D118" s="98" t="str">
        <f>DEC2HEX(2^24*MOD(STRUCT!E184,2^6)+2^16*MOD(STRUCT!E183,2^6)+2^8*MOD(STRUCT!E182,2^6)+2^0*MOD(STRUCT!E181,2^6),8)</f>
        <v>0A0A0A0A</v>
      </c>
      <c r="E118" s="98" t="str">
        <f>DEC2HEX(2^24*MOD(STRUCT!F184,2^6)+2^16*MOD(STRUCT!F183,2^6)+2^8*MOD(STRUCT!F182,2^6)+2^0*MOD(STRUCT!F181,2^6),8)</f>
        <v>10101818</v>
      </c>
      <c r="F118" s="98"/>
      <c r="G118" s="98"/>
      <c r="H118" s="98"/>
      <c r="I118" s="98"/>
      <c r="J118" s="98"/>
      <c r="K118" s="98"/>
      <c r="L118" s="98"/>
      <c r="M118" s="98"/>
      <c r="N118" s="98"/>
      <c r="O118" s="98"/>
      <c r="P118" s="98"/>
      <c r="Q118" s="98"/>
      <c r="R118" s="98"/>
      <c r="S118" s="98"/>
    </row>
    <row r="119" spans="1:19" x14ac:dyDescent="0.25">
      <c r="A119" s="98" t="s">
        <v>7270</v>
      </c>
      <c r="B119" s="98" t="s">
        <v>269</v>
      </c>
      <c r="C119" s="98" t="s">
        <v>106</v>
      </c>
      <c r="D119" s="98" t="str">
        <f>DEC2HEX(2^24*MOD(STRUCT!E189,2^8)+2^16*MOD(STRUCT!E190,2^8)+2^8*MOD(STRUCT!E191,2^8)+2^0*MOD(STRUCT!E192,2^8),8)</f>
        <v>9D9D9D9D</v>
      </c>
      <c r="E119" s="98" t="str">
        <f>DEC2HEX(2^24*MOD(STRUCT!F189,2^8)+2^16*MOD(STRUCT!F190,2^8)+2^8*MOD(STRUCT!F191,2^8)+2^0*MOD(STRUCT!F192,2^8),8)</f>
        <v>9D9D9D9D</v>
      </c>
      <c r="F119" s="98"/>
      <c r="G119" s="98"/>
      <c r="H119" s="98"/>
      <c r="I119" s="98"/>
      <c r="J119" s="98"/>
      <c r="K119" s="98"/>
      <c r="L119" s="98"/>
      <c r="M119" s="98"/>
      <c r="N119" s="98"/>
      <c r="O119" s="98"/>
      <c r="P119" s="98"/>
      <c r="Q119" s="98"/>
      <c r="R119" s="98"/>
      <c r="S119" s="98"/>
    </row>
    <row r="120" spans="1:19" x14ac:dyDescent="0.25">
      <c r="A120" s="98" t="s">
        <v>7270</v>
      </c>
      <c r="B120" s="98" t="s">
        <v>269</v>
      </c>
      <c r="C120" s="98" t="s">
        <v>108</v>
      </c>
      <c r="D120" s="98" t="str">
        <f>DEC2HEX(2^24*MOD(STRUCT!E185,2^8)+2^16*MOD(STRUCT!E186,2^8)+2^8*MOD(STRUCT!E187,2^8)+2^0*MOD(STRUCT!E188,2^8),8)</f>
        <v>019D9D9D</v>
      </c>
      <c r="E120" s="98" t="str">
        <f>DEC2HEX(2^24*MOD(STRUCT!F185,2^8)+2^16*MOD(STRUCT!F186,2^8)+2^8*MOD(STRUCT!F187,2^8)+2^0*MOD(STRUCT!F188,2^8),8)</f>
        <v>019D9D9D</v>
      </c>
      <c r="F120" s="98"/>
      <c r="G120" s="98"/>
      <c r="H120" s="98"/>
      <c r="I120" s="98"/>
      <c r="J120" s="98"/>
      <c r="K120" s="98"/>
      <c r="L120" s="98"/>
      <c r="M120" s="98"/>
      <c r="N120" s="98"/>
      <c r="O120" s="98"/>
      <c r="P120" s="98"/>
      <c r="Q120" s="98"/>
      <c r="R120" s="98"/>
      <c r="S120" s="98"/>
    </row>
    <row r="121" spans="1:19" x14ac:dyDescent="0.25">
      <c r="A121" s="98" t="s">
        <v>7270</v>
      </c>
      <c r="B121" s="98" t="s">
        <v>269</v>
      </c>
      <c r="C121" s="98" t="s">
        <v>115</v>
      </c>
      <c r="D121" s="98" t="str">
        <f>DEC2HEX(2^24*MOD(STRUCT!E197,2^8)+2^16*MOD(STRUCT!E198,2^8)+2^8*MOD(STRUCT!E199,2^8)+2^0*MOD(STRUCT!E200,2^8),8)</f>
        <v>9D9D9D9D</v>
      </c>
      <c r="E121" s="98" t="str">
        <f>DEC2HEX(2^24*MOD(STRUCT!F197,2^8)+2^16*MOD(STRUCT!F198,2^8)+2^8*MOD(STRUCT!F199,2^8)+2^0*MOD(STRUCT!F200,2^8),8)</f>
        <v>9D9D9D9D</v>
      </c>
      <c r="F121" s="98"/>
      <c r="G121" s="98"/>
      <c r="H121" s="98"/>
      <c r="I121" s="98"/>
      <c r="J121" s="98"/>
      <c r="K121" s="98"/>
      <c r="L121" s="98"/>
      <c r="M121" s="98"/>
      <c r="N121" s="98"/>
      <c r="O121" s="98"/>
      <c r="P121" s="98"/>
      <c r="Q121" s="98"/>
      <c r="R121" s="98"/>
      <c r="S121" s="98"/>
    </row>
    <row r="122" spans="1:19" x14ac:dyDescent="0.25">
      <c r="A122" s="98" t="s">
        <v>7270</v>
      </c>
      <c r="B122" s="98" t="s">
        <v>269</v>
      </c>
      <c r="C122" s="98" t="s">
        <v>117</v>
      </c>
      <c r="D122" s="98" t="str">
        <f>DEC2HEX(2^24*MOD(STRUCT!E193,2^8)+2^16*MOD(STRUCT!E194,2^8)+2^8*MOD(STRUCT!E195,2^8)+2^0*MOD(STRUCT!E196,2^8),8)</f>
        <v>019D9D9D</v>
      </c>
      <c r="E122" s="98" t="str">
        <f>DEC2HEX(2^24*MOD(STRUCT!F193,2^8)+2^16*MOD(STRUCT!F194,2^8)+2^8*MOD(STRUCT!F195,2^8)+2^0*MOD(STRUCT!F196,2^8),8)</f>
        <v>019D9D9D</v>
      </c>
      <c r="F122" s="98"/>
      <c r="G122" s="98"/>
      <c r="H122" s="98"/>
      <c r="I122" s="98"/>
      <c r="J122" s="98"/>
      <c r="K122" s="98"/>
      <c r="L122" s="98"/>
      <c r="M122" s="98"/>
      <c r="N122" s="98"/>
      <c r="O122" s="98"/>
      <c r="P122" s="98"/>
      <c r="Q122" s="98"/>
      <c r="R122" s="98"/>
      <c r="S122" s="98"/>
    </row>
    <row r="123" spans="1:19" x14ac:dyDescent="0.25">
      <c r="A123" s="98" t="s">
        <v>7270</v>
      </c>
      <c r="B123" s="98" t="s">
        <v>269</v>
      </c>
      <c r="C123" s="98" t="s">
        <v>123</v>
      </c>
      <c r="D123" s="98" t="str">
        <f>DEC2HEX(2^24*MOD(STRUCT!E205,2^8)+2^16*MOD(STRUCT!E206,2^8)+2^8*MOD(STRUCT!E207,2^8)+2^0*MOD(STRUCT!E208,2^8),8)</f>
        <v>9D9D9D9D</v>
      </c>
      <c r="E123" s="98" t="str">
        <f>DEC2HEX(2^24*MOD(STRUCT!F205,2^8)+2^16*MOD(STRUCT!F206,2^8)+2^8*MOD(STRUCT!F207,2^8)+2^0*MOD(STRUCT!F208,2^8),8)</f>
        <v>9D9D9D9D</v>
      </c>
      <c r="F123" s="98"/>
      <c r="G123" s="98"/>
      <c r="H123" s="98"/>
      <c r="I123" s="98"/>
      <c r="J123" s="98"/>
      <c r="K123" s="98"/>
      <c r="L123" s="98"/>
      <c r="M123" s="98"/>
      <c r="N123" s="98"/>
      <c r="O123" s="98"/>
      <c r="P123" s="98"/>
      <c r="Q123" s="98"/>
      <c r="R123" s="98"/>
      <c r="S123" s="98"/>
    </row>
    <row r="124" spans="1:19" x14ac:dyDescent="0.25">
      <c r="A124" s="98" t="s">
        <v>7270</v>
      </c>
      <c r="B124" s="98" t="s">
        <v>269</v>
      </c>
      <c r="C124" s="98" t="s">
        <v>126</v>
      </c>
      <c r="D124" s="98" t="str">
        <f>DEC2HEX(2^24*MOD(STRUCT!E201,2^8)+2^16*MOD(STRUCT!E202,2^8)+2^8*MOD(STRUCT!E203,2^8)+2^0*MOD(STRUCT!E204,2^8),8)</f>
        <v>019D9D9D</v>
      </c>
      <c r="E124" s="98" t="str">
        <f>DEC2HEX(2^24*MOD(STRUCT!F201,2^8)+2^16*MOD(STRUCT!F202,2^8)+2^8*MOD(STRUCT!F203,2^8)+2^0*MOD(STRUCT!F204,2^8),8)</f>
        <v>019D9D9D</v>
      </c>
      <c r="F124" s="98"/>
      <c r="G124" s="98"/>
      <c r="H124" s="98"/>
      <c r="I124" s="98"/>
      <c r="J124" s="98"/>
      <c r="K124" s="98"/>
      <c r="L124" s="98"/>
      <c r="M124" s="98"/>
      <c r="N124" s="98"/>
      <c r="O124" s="98"/>
      <c r="P124" s="98"/>
      <c r="Q124" s="98"/>
      <c r="R124" s="98"/>
      <c r="S124" s="98"/>
    </row>
    <row r="125" spans="1:19" x14ac:dyDescent="0.25">
      <c r="A125" s="98" t="s">
        <v>7270</v>
      </c>
      <c r="B125" s="98" t="s">
        <v>269</v>
      </c>
      <c r="C125" s="98" t="s">
        <v>132</v>
      </c>
      <c r="D125" s="98" t="str">
        <f>DEC2HEX(2^24*MOD(STRUCT!E213,2^8)+2^16*MOD(STRUCT!E214,2^8)+2^8*MOD(STRUCT!E215,2^8)+2^0*MOD(STRUCT!E216,2^8),8)</f>
        <v>9D9D9D9D</v>
      </c>
      <c r="E125" s="98" t="str">
        <f>DEC2HEX(2^24*MOD(STRUCT!F213,2^8)+2^16*MOD(STRUCT!F214,2^8)+2^8*MOD(STRUCT!F215,2^8)+2^0*MOD(STRUCT!F216,2^8),8)</f>
        <v>9D9D9D9D</v>
      </c>
      <c r="F125" s="98"/>
      <c r="G125" s="98"/>
      <c r="H125" s="98"/>
      <c r="I125" s="98"/>
      <c r="J125" s="98"/>
      <c r="K125" s="98"/>
      <c r="L125" s="98"/>
      <c r="M125" s="98"/>
      <c r="N125" s="98"/>
      <c r="O125" s="98"/>
      <c r="P125" s="98"/>
      <c r="Q125" s="98"/>
      <c r="R125" s="98"/>
      <c r="S125" s="98"/>
    </row>
    <row r="126" spans="1:19" x14ac:dyDescent="0.25">
      <c r="A126" s="98" t="s">
        <v>7270</v>
      </c>
      <c r="B126" s="98" t="s">
        <v>269</v>
      </c>
      <c r="C126" s="98" t="s">
        <v>134</v>
      </c>
      <c r="D126" s="98" t="str">
        <f>DEC2HEX(2^24*MOD(STRUCT!E209,2^8)+2^16*MOD(STRUCT!E210,2^8)+2^8*MOD(STRUCT!E211,2^8)+2^0*MOD(STRUCT!E212,2^8),8)</f>
        <v>019D9D9D</v>
      </c>
      <c r="E126" s="98" t="str">
        <f>DEC2HEX(2^24*MOD(STRUCT!F209,2^8)+2^16*MOD(STRUCT!F210,2^8)+2^8*MOD(STRUCT!F211,2^8)+2^0*MOD(STRUCT!F212,2^8),8)</f>
        <v>019D9D9D</v>
      </c>
      <c r="F126" s="98"/>
      <c r="G126" s="98"/>
      <c r="H126" s="98"/>
      <c r="I126" s="98"/>
      <c r="J126" s="98"/>
      <c r="K126" s="98"/>
      <c r="L126" s="98"/>
      <c r="M126" s="98"/>
      <c r="N126" s="98"/>
      <c r="O126" s="98"/>
      <c r="P126" s="98"/>
      <c r="Q126" s="98"/>
      <c r="R126" s="98"/>
      <c r="S126" s="98"/>
    </row>
    <row r="127" spans="1:19" x14ac:dyDescent="0.25">
      <c r="A127" s="98" t="s">
        <v>7270</v>
      </c>
      <c r="B127" s="98" t="s">
        <v>7272</v>
      </c>
      <c r="C127" s="98" t="s">
        <v>97</v>
      </c>
      <c r="D127" s="98" t="str">
        <f>DEC2HEX(STRUCT!E217,2)</f>
        <v>00</v>
      </c>
      <c r="E127" s="98" t="str">
        <f>DEC2HEX(STRUCT!F217,2)</f>
        <v>00</v>
      </c>
      <c r="F127" s="98"/>
      <c r="G127" s="98"/>
      <c r="H127" s="98"/>
      <c r="I127" s="98"/>
      <c r="J127" s="98"/>
      <c r="K127" s="98"/>
      <c r="L127" s="98"/>
      <c r="M127" s="98"/>
      <c r="N127" s="98"/>
      <c r="O127" s="98"/>
      <c r="P127" s="98"/>
      <c r="Q127" s="98"/>
      <c r="R127" s="98"/>
      <c r="S127" s="98"/>
    </row>
    <row r="128" spans="1:19" x14ac:dyDescent="0.25">
      <c r="A128" s="98" t="s">
        <v>7270</v>
      </c>
      <c r="B128" s="98" t="s">
        <v>7272</v>
      </c>
      <c r="C128" s="98" t="s">
        <v>89</v>
      </c>
      <c r="D128" s="98" t="str">
        <f>DEC2HEX(STRUCT!E218,2)</f>
        <v>00</v>
      </c>
      <c r="E128" s="98" t="str">
        <f>DEC2HEX(STRUCT!F218,2)</f>
        <v>00</v>
      </c>
      <c r="F128" s="98"/>
      <c r="G128" s="98"/>
      <c r="H128" s="98"/>
      <c r="I128" s="98"/>
      <c r="J128" s="98"/>
      <c r="K128" s="98"/>
      <c r="L128" s="98"/>
      <c r="M128" s="98"/>
      <c r="N128" s="98"/>
      <c r="O128" s="98"/>
      <c r="P128" s="98"/>
      <c r="Q128" s="98"/>
      <c r="R128" s="98"/>
      <c r="S128" s="98"/>
    </row>
    <row r="129" spans="1:19" x14ac:dyDescent="0.25">
      <c r="A129" s="98" t="s">
        <v>7270</v>
      </c>
      <c r="B129" s="98" t="s">
        <v>7272</v>
      </c>
      <c r="C129" s="98" t="s">
        <v>82</v>
      </c>
      <c r="D129" s="98" t="str">
        <f>DEC2HEX(STRUCT!E219,2)</f>
        <v>00</v>
      </c>
      <c r="E129" s="98" t="str">
        <f>DEC2HEX(STRUCT!F219,2)</f>
        <v>00</v>
      </c>
      <c r="F129" s="98"/>
      <c r="G129" s="98"/>
      <c r="H129" s="98"/>
      <c r="I129" s="98"/>
      <c r="J129" s="98"/>
      <c r="K129" s="98"/>
      <c r="L129" s="98"/>
      <c r="M129" s="98"/>
      <c r="N129" s="98"/>
      <c r="O129" s="98"/>
      <c r="P129" s="98"/>
      <c r="Q129" s="98"/>
      <c r="R129" s="98"/>
      <c r="S129" s="98"/>
    </row>
    <row r="130" spans="1:19" x14ac:dyDescent="0.25">
      <c r="A130" s="98" t="s">
        <v>7270</v>
      </c>
      <c r="B130" s="98" t="s">
        <v>7272</v>
      </c>
      <c r="C130" s="98" t="s">
        <v>195</v>
      </c>
      <c r="D130" s="98" t="str">
        <f>DEC2HEX(STRUCT!E220,2)</f>
        <v>00</v>
      </c>
      <c r="E130" s="98" t="str">
        <f>DEC2HEX(STRUCT!F220,2)</f>
        <v>00</v>
      </c>
      <c r="F130" s="98"/>
      <c r="G130" s="98"/>
      <c r="H130" s="98"/>
      <c r="I130" s="98"/>
      <c r="J130" s="98"/>
      <c r="K130" s="98"/>
      <c r="L130" s="98"/>
      <c r="M130" s="98"/>
      <c r="N130" s="98"/>
      <c r="O130" s="98"/>
      <c r="P130" s="98"/>
      <c r="Q130" s="98"/>
      <c r="R130" s="98"/>
      <c r="S130" s="98"/>
    </row>
    <row r="131" spans="1:19" x14ac:dyDescent="0.25">
      <c r="A131" s="98" t="s">
        <v>7270</v>
      </c>
      <c r="B131" s="98" t="s">
        <v>168</v>
      </c>
      <c r="C131" s="98" t="s">
        <v>60</v>
      </c>
      <c r="D131" s="98" t="str">
        <f>DEC2HEX(STRUCT!E66,8)</f>
        <v>00000000</v>
      </c>
      <c r="E131" s="98" t="str">
        <f>DEC2HEX(STRUCT!F66,8)</f>
        <v>00000001</v>
      </c>
      <c r="F131" s="98" t="str">
        <f>DEC2HEX(STRUCT!G66,8)</f>
        <v>00000002</v>
      </c>
      <c r="G131" s="98" t="str">
        <f>DEC2HEX(STRUCT!H66,8)</f>
        <v>00000003</v>
      </c>
      <c r="H131" s="98" t="str">
        <f>DEC2HEX(STRUCT!I66,8)</f>
        <v>00000004</v>
      </c>
      <c r="I131" s="98" t="str">
        <f>DEC2HEX(STRUCT!J66,8)</f>
        <v>00000005</v>
      </c>
      <c r="J131" s="98" t="str">
        <f>DEC2HEX(STRUCT!K66,8)</f>
        <v>00000006</v>
      </c>
      <c r="K131" s="98"/>
      <c r="L131" s="98"/>
      <c r="M131" s="98"/>
      <c r="N131" s="98"/>
      <c r="O131" s="98"/>
      <c r="P131" s="98"/>
      <c r="Q131" s="98"/>
      <c r="R131" s="98"/>
      <c r="S131" s="98"/>
    </row>
    <row r="132" spans="1:19" x14ac:dyDescent="0.25">
      <c r="A132" s="98" t="s">
        <v>7270</v>
      </c>
      <c r="B132" s="98" t="s">
        <v>168</v>
      </c>
      <c r="C132" s="98" t="s">
        <v>61</v>
      </c>
      <c r="D132" s="98" t="str">
        <f>DEC2HEX(STRUCT!E67*1000,8)</f>
        <v>00000000</v>
      </c>
      <c r="E132" s="98" t="str">
        <f>DEC2HEX(STRUCT!F67*1000,8)</f>
        <v>000249F0</v>
      </c>
      <c r="F132" s="98" t="str">
        <f>DEC2HEX(STRUCT!G67*1000,8)</f>
        <v>000493E0</v>
      </c>
      <c r="G132" s="98" t="str">
        <f>DEC2HEX(STRUCT!H67*1000,8)</f>
        <v>00071E44</v>
      </c>
      <c r="H132" s="98" t="str">
        <f>DEC2HEX(STRUCT!I67*1000,8)</f>
        <v>000927C0</v>
      </c>
      <c r="I132" s="98" t="str">
        <f>DEC2HEX(STRUCT!J67*1000,8)</f>
        <v>000C4C70</v>
      </c>
      <c r="J132" s="98" t="str">
        <f>DEC2HEX(STRUCT!K67*1000,8)</f>
        <v>000E3C88</v>
      </c>
      <c r="K132" s="98"/>
      <c r="L132" s="98"/>
      <c r="M132" s="98"/>
      <c r="N132" s="98"/>
      <c r="O132" s="98"/>
      <c r="P132" s="98"/>
      <c r="Q132" s="98"/>
      <c r="R132" s="98"/>
      <c r="S132" s="98"/>
    </row>
    <row r="133" spans="1:19" x14ac:dyDescent="0.25">
      <c r="A133" s="98" t="s">
        <v>7270</v>
      </c>
      <c r="B133" s="98" t="s">
        <v>168</v>
      </c>
      <c r="C133" s="98" t="s">
        <v>173</v>
      </c>
      <c r="D133" s="98" t="str">
        <f>DEC2HEX(STRUCT!E68,8)</f>
        <v>FFFFFFFF</v>
      </c>
      <c r="E133" s="98" t="str">
        <f>DEC2HEX(STRUCT!F68,8)</f>
        <v>00001A0A</v>
      </c>
      <c r="F133" s="98" t="str">
        <f>DEC2HEX(STRUCT!G68,8)</f>
        <v>00000D05</v>
      </c>
      <c r="G133" s="98" t="str">
        <f>DEC2HEX(STRUCT!H68,8)</f>
        <v>0000085F</v>
      </c>
      <c r="H133" s="98" t="str">
        <f>DEC2HEX(STRUCT!I68,8)</f>
        <v>00000682</v>
      </c>
      <c r="I133" s="98" t="str">
        <f>DEC2HEX(STRUCT!J68,8)</f>
        <v>000004D8</v>
      </c>
      <c r="J133" s="98" t="str">
        <f>DEC2HEX(STRUCT!K68,8)</f>
        <v>0000042F</v>
      </c>
      <c r="K133" s="98"/>
      <c r="L133" s="98"/>
      <c r="M133" s="98"/>
      <c r="N133" s="98"/>
      <c r="O133" s="98"/>
      <c r="P133" s="98"/>
      <c r="Q133" s="98"/>
      <c r="R133" s="98"/>
      <c r="S133" s="98"/>
    </row>
    <row r="134" spans="1:19" x14ac:dyDescent="0.25">
      <c r="A134" s="98" t="s">
        <v>7270</v>
      </c>
      <c r="B134" s="98" t="s">
        <v>183</v>
      </c>
      <c r="C134" s="98" t="s">
        <v>97</v>
      </c>
      <c r="D134" s="98" t="str">
        <f>DEC2HEX(2^24*MOD(STRUCT!E78,2^8)+2^16*MOD(STRUCT!E79,2^8)+2^8*MOD(STRUCT!E80,2^8)+2^0*MOD(STRUCT!E81,2^8),8)</f>
        <v>01034301</v>
      </c>
      <c r="E134" s="98" t="str">
        <f>DEC2HEX(2^24*MOD(STRUCT!F78,2^8)+2^16*MOD(STRUCT!F79,2^8)+2^8*MOD(STRUCT!F80,2^8)+2^0*MOD(STRUCT!F81,2^8),8)</f>
        <v>01034301</v>
      </c>
      <c r="F134" s="98" t="str">
        <f>DEC2HEX(2^24*MOD(STRUCT!G78,2^8)+2^16*MOD(STRUCT!G79,2^8)+2^8*MOD(STRUCT!G80,2^8)+2^0*MOD(STRUCT!G81,2^8),8)</f>
        <v>02065001</v>
      </c>
      <c r="G134" s="98" t="str">
        <f>DEC2HEX(2^24*MOD(STRUCT!H78,2^8)+2^16*MOD(STRUCT!H79,2^8)+2^8*MOD(STRUCT!H80,2^8)+2^0*MOD(STRUCT!H81,2^8),8)</f>
        <v>03094F01</v>
      </c>
      <c r="H134" s="98" t="str">
        <f>DEC2HEX(2^24*MOD(STRUCT!I78,2^8)+2^16*MOD(STRUCT!I79,2^8)+2^8*MOD(STRUCT!I80,2^8)+2^0*MOD(STRUCT!I81,2^8),8)</f>
        <v>030B4F01</v>
      </c>
      <c r="I134" s="98" t="str">
        <f>DEC2HEX(2^24*MOD(STRUCT!J78,2^8)+2^16*MOD(STRUCT!J79,2^8)+2^8*MOD(STRUCT!J80,2^8)+2^0*MOD(STRUCT!J81,2^8),8)</f>
        <v>030C4601</v>
      </c>
      <c r="J134" s="98" t="str">
        <f>DEC2HEX(2^24*MOD(STRUCT!K78,2^8)+2^16*MOD(STRUCT!K79,2^8)+2^8*MOD(STRUCT!K80,2^8)+2^0*MOD(STRUCT!K81,2^8),8)</f>
        <v>040E3E01</v>
      </c>
      <c r="K134" s="98"/>
      <c r="L134" s="98"/>
      <c r="M134" s="98"/>
      <c r="N134" s="98"/>
      <c r="O134" s="98"/>
      <c r="P134" s="98"/>
      <c r="Q134" s="98"/>
      <c r="R134" s="98"/>
      <c r="S134" s="98"/>
    </row>
    <row r="135" spans="1:19" x14ac:dyDescent="0.25">
      <c r="A135" s="98" t="s">
        <v>7270</v>
      </c>
      <c r="B135" s="98" t="s">
        <v>183</v>
      </c>
      <c r="C135" s="98" t="s">
        <v>89</v>
      </c>
      <c r="D135" s="98" t="str">
        <f>DEC2HEX(2^24*MOD(STRUCT!E82,2^8)+2^16*MOD(STRUCT!E83,2^8)+2^8*MOD(STRUCT!E84,2^8)+2^0*MOD(STRUCT!E85,2^8),8)</f>
        <v>00000003</v>
      </c>
      <c r="E135" s="98" t="str">
        <f>DEC2HEX(2^24*MOD(STRUCT!F82,2^8)+2^16*MOD(STRUCT!F83,2^8)+2^8*MOD(STRUCT!F84,2^8)+2^0*MOD(STRUCT!F85,2^8),8)</f>
        <v>00000003</v>
      </c>
      <c r="F135" s="98" t="str">
        <f>DEC2HEX(2^24*MOD(STRUCT!G82,2^8)+2^16*MOD(STRUCT!G83,2^8)+2^8*MOD(STRUCT!G84,2^8)+2^0*MOD(STRUCT!G85,2^8),8)</f>
        <v>00000006</v>
      </c>
      <c r="G135" s="98" t="str">
        <f>DEC2HEX(2^24*MOD(STRUCT!H82,2^8)+2^16*MOD(STRUCT!H83,2^8)+2^8*MOD(STRUCT!H84,2^8)+2^0*MOD(STRUCT!H85,2^8),8)</f>
        <v>00000009</v>
      </c>
      <c r="H135" s="98" t="str">
        <f>DEC2HEX(2^24*MOD(STRUCT!I82,2^8)+2^16*MOD(STRUCT!I83,2^8)+2^8*MOD(STRUCT!I84,2^8)+2^0*MOD(STRUCT!I85,2^8),8)</f>
        <v>0000000B</v>
      </c>
      <c r="I135" s="98" t="str">
        <f>DEC2HEX(2^24*MOD(STRUCT!J82,2^8)+2^16*MOD(STRUCT!J83,2^8)+2^8*MOD(STRUCT!J84,2^8)+2^0*MOD(STRUCT!J85,2^8),8)</f>
        <v>0000000C</v>
      </c>
      <c r="J135" s="98" t="str">
        <f>DEC2HEX(2^24*MOD(STRUCT!K82,2^8)+2^16*MOD(STRUCT!K83,2^8)+2^8*MOD(STRUCT!K84,2^8)+2^0*MOD(STRUCT!K85,2^8),8)</f>
        <v>0000000E</v>
      </c>
      <c r="K135" s="98"/>
      <c r="L135" s="98"/>
      <c r="M135" s="98"/>
      <c r="N135" s="98"/>
      <c r="O135" s="98"/>
      <c r="P135" s="98"/>
      <c r="Q135" s="98"/>
      <c r="R135" s="98"/>
      <c r="S135" s="98"/>
    </row>
    <row r="136" spans="1:19" x14ac:dyDescent="0.25">
      <c r="A136" s="98" t="s">
        <v>7270</v>
      </c>
      <c r="B136" s="98" t="s">
        <v>183</v>
      </c>
      <c r="C136" s="98" t="s">
        <v>82</v>
      </c>
      <c r="D136" s="98" t="str">
        <f>DEC2HEX(2^0*MOD(STRUCT!E86,2^8),8)</f>
        <v>0000005F</v>
      </c>
      <c r="E136" s="98" t="str">
        <f>DEC2HEX(2^0*MOD(STRUCT!F86,2^8),8)</f>
        <v>0000005F</v>
      </c>
      <c r="F136" s="98" t="str">
        <f>DEC2HEX(2^0*MOD(STRUCT!G86,2^8),8)</f>
        <v>00000072</v>
      </c>
      <c r="G136" s="98" t="str">
        <f>DEC2HEX(2^0*MOD(STRUCT!H86,2^8),8)</f>
        <v>00000072</v>
      </c>
      <c r="H136" s="98" t="str">
        <f>DEC2HEX(2^0*MOD(STRUCT!I86,2^8),8)</f>
        <v>00000072</v>
      </c>
      <c r="I136" s="98" t="str">
        <f>DEC2HEX(2^0*MOD(STRUCT!J86,2^8),8)</f>
        <v>00000066</v>
      </c>
      <c r="J136" s="98" t="str">
        <f>DEC2HEX(2^0*MOD(STRUCT!K86,2^8),8)</f>
        <v>0000005B</v>
      </c>
      <c r="K136" s="98"/>
      <c r="L136" s="98"/>
      <c r="M136" s="98"/>
      <c r="N136" s="98"/>
      <c r="O136" s="98"/>
      <c r="P136" s="98"/>
      <c r="Q136" s="98"/>
      <c r="R136" s="98"/>
      <c r="S136" s="98"/>
    </row>
    <row r="137" spans="1:19" x14ac:dyDescent="0.25">
      <c r="A137" s="98" t="s">
        <v>7270</v>
      </c>
      <c r="B137" s="98" t="s">
        <v>183</v>
      </c>
      <c r="C137" s="98" t="s">
        <v>195</v>
      </c>
      <c r="D137" s="98" t="str">
        <f>DEC2HEX(2^24*MOD(STRUCT!E87,2^8)+2^16*MOD(STRUCT!E88,2^8)+2^8*MOD(STRUCT!E89,2^8)+2^0*MOD(STRUCT!E90,2^8),8)</f>
        <v>01030601</v>
      </c>
      <c r="E137" s="98" t="str">
        <f>DEC2HEX(2^24*MOD(STRUCT!F87,2^8)+2^16*MOD(STRUCT!F88,2^8)+2^8*MOD(STRUCT!F89,2^8)+2^0*MOD(STRUCT!F90,2^8),8)</f>
        <v>01030601</v>
      </c>
      <c r="F137" s="98" t="str">
        <f>DEC2HEX(2^24*MOD(STRUCT!G87,2^8)+2^16*MOD(STRUCT!G88,2^8)+2^8*MOD(STRUCT!G89,2^8)+2^0*MOD(STRUCT!G90,2^8),8)</f>
        <v>02060B01</v>
      </c>
      <c r="G137" s="98" t="str">
        <f>DEC2HEX(2^24*MOD(STRUCT!H87,2^8)+2^16*MOD(STRUCT!H88,2^8)+2^8*MOD(STRUCT!H89,2^8)+2^0*MOD(STRUCT!H90,2^8),8)</f>
        <v>03091001</v>
      </c>
      <c r="H137" s="98" t="str">
        <f>DEC2HEX(2^24*MOD(STRUCT!I87,2^8)+2^16*MOD(STRUCT!I88,2^8)+2^8*MOD(STRUCT!I89,2^8)+2^0*MOD(STRUCT!I90,2^8),8)</f>
        <v>030B1401</v>
      </c>
      <c r="I137" s="98" t="str">
        <f>DEC2HEX(2^24*MOD(STRUCT!J87,2^8)+2^16*MOD(STRUCT!J88,2^8)+2^8*MOD(STRUCT!J89,2^8)+2^0*MOD(STRUCT!J90,2^8),8)</f>
        <v>030C1601</v>
      </c>
      <c r="J137" s="98" t="str">
        <f>DEC2HEX(2^24*MOD(STRUCT!K87,2^8)+2^16*MOD(STRUCT!K88,2^8)+2^8*MOD(STRUCT!K89,2^8)+2^0*MOD(STRUCT!K90,2^8),8)</f>
        <v>040E1A01</v>
      </c>
      <c r="K137" s="98"/>
      <c r="L137" s="98"/>
      <c r="M137" s="98"/>
      <c r="N137" s="98"/>
      <c r="O137" s="98"/>
      <c r="P137" s="98"/>
      <c r="Q137" s="98"/>
      <c r="R137" s="98"/>
      <c r="S137" s="98"/>
    </row>
    <row r="138" spans="1:19" x14ac:dyDescent="0.25">
      <c r="A138" s="98" t="s">
        <v>7270</v>
      </c>
      <c r="B138" s="98" t="s">
        <v>183</v>
      </c>
      <c r="C138" s="98" t="s">
        <v>337</v>
      </c>
      <c r="D138" s="98" t="str">
        <f>DEC2HEX(2^24*MOD(STRUCT!E91,2^8)+2^16*MOD(STRUCT!E92,2^8)+2^8*MOD(STRUCT!E93,2^8)+2^0*MOD(STRUCT!E94,2^8),8)</f>
        <v>00000003</v>
      </c>
      <c r="E138" s="98" t="str">
        <f>DEC2HEX(2^24*MOD(STRUCT!F91,2^8)+2^16*MOD(STRUCT!F92,2^8)+2^8*MOD(STRUCT!F93,2^8)+2^0*MOD(STRUCT!F94,2^8),8)</f>
        <v>00000003</v>
      </c>
      <c r="F138" s="98" t="str">
        <f>DEC2HEX(2^24*MOD(STRUCT!G91,2^8)+2^16*MOD(STRUCT!G92,2^8)+2^8*MOD(STRUCT!G93,2^8)+2^0*MOD(STRUCT!G94,2^8),8)</f>
        <v>00000006</v>
      </c>
      <c r="G138" s="98" t="str">
        <f>DEC2HEX(2^24*MOD(STRUCT!H91,2^8)+2^16*MOD(STRUCT!H92,2^8)+2^8*MOD(STRUCT!H93,2^8)+2^0*MOD(STRUCT!H94,2^8),8)</f>
        <v>00000009</v>
      </c>
      <c r="H138" s="98" t="str">
        <f>DEC2HEX(2^24*MOD(STRUCT!I91,2^8)+2^16*MOD(STRUCT!I92,2^8)+2^8*MOD(STRUCT!I93,2^8)+2^0*MOD(STRUCT!I94,2^8),8)</f>
        <v>0000000B</v>
      </c>
      <c r="I138" s="98" t="str">
        <f>DEC2HEX(2^24*MOD(STRUCT!J91,2^8)+2^16*MOD(STRUCT!J92,2^8)+2^8*MOD(STRUCT!J93,2^8)+2^0*MOD(STRUCT!J94,2^8),8)</f>
        <v>0000000C</v>
      </c>
      <c r="J138" s="98" t="str">
        <f>DEC2HEX(2^24*MOD(STRUCT!K91,2^8)+2^16*MOD(STRUCT!K92,2^8)+2^8*MOD(STRUCT!K93,2^8)+2^0*MOD(STRUCT!K94,2^8),8)</f>
        <v>0000000E</v>
      </c>
      <c r="K138" s="98"/>
      <c r="L138" s="98"/>
      <c r="M138" s="98"/>
      <c r="N138" s="98"/>
      <c r="O138" s="98"/>
      <c r="P138" s="98"/>
      <c r="Q138" s="98"/>
      <c r="R138" s="98"/>
      <c r="S138" s="98"/>
    </row>
    <row r="139" spans="1:19" x14ac:dyDescent="0.25">
      <c r="A139" s="98" t="s">
        <v>7270</v>
      </c>
      <c r="B139" s="98" t="s">
        <v>183</v>
      </c>
      <c r="C139" s="98" t="s">
        <v>314</v>
      </c>
      <c r="D139" s="98" t="str">
        <f>DEC2HEX(2^0*MOD(STRUCT!E95,2^8),8)</f>
        <v>00000009</v>
      </c>
      <c r="E139" s="98" t="str">
        <f>DEC2HEX(2^0*MOD(STRUCT!F95,2^8),8)</f>
        <v>00000009</v>
      </c>
      <c r="F139" s="98" t="str">
        <f>DEC2HEX(2^0*MOD(STRUCT!G95,2^8),8)</f>
        <v>00000012</v>
      </c>
      <c r="G139" s="98" t="str">
        <f>DEC2HEX(2^0*MOD(STRUCT!H95,2^8),8)</f>
        <v>00000019</v>
      </c>
      <c r="H139" s="98" t="str">
        <f>DEC2HEX(2^0*MOD(STRUCT!I95,2^8),8)</f>
        <v>0000001F</v>
      </c>
      <c r="I139" s="98" t="str">
        <f>DEC2HEX(2^0*MOD(STRUCT!J95,2^8),8)</f>
        <v>00000023</v>
      </c>
      <c r="J139" s="98" t="str">
        <f>DEC2HEX(2^0*MOD(STRUCT!K95,2^8),8)</f>
        <v>00000028</v>
      </c>
      <c r="K139" s="98"/>
      <c r="L139" s="98"/>
      <c r="M139" s="98"/>
      <c r="N139" s="98"/>
      <c r="O139" s="98"/>
      <c r="P139" s="98"/>
      <c r="Q139" s="98"/>
      <c r="R139" s="98"/>
      <c r="S139" s="98"/>
    </row>
    <row r="140" spans="1:19" x14ac:dyDescent="0.25">
      <c r="A140" s="98" t="s">
        <v>7270</v>
      </c>
      <c r="B140" s="98" t="s">
        <v>200</v>
      </c>
      <c r="C140" s="98" t="s">
        <v>97</v>
      </c>
      <c r="D140" s="98" t="str">
        <f>DEC2HEX(2^16*MOD(STRUCT!E96,2^8)+2^8*MOD(STRUCT!E97,2^8)+2^0*MOD(STRUCT!E98,2^8),8)</f>
        <v>00042404</v>
      </c>
      <c r="E140" s="98" t="str">
        <f>DEC2HEX(2^16*MOD(STRUCT!F96,2^8)+2^8*MOD(STRUCT!F97,2^8)+2^0*MOD(STRUCT!F98,2^8),8)</f>
        <v>00042404</v>
      </c>
      <c r="F140" s="98"/>
      <c r="G140" s="98"/>
      <c r="H140" s="98"/>
      <c r="I140" s="98"/>
      <c r="J140" s="98"/>
      <c r="K140" s="98"/>
      <c r="L140" s="98"/>
      <c r="M140" s="98"/>
      <c r="N140" s="98"/>
      <c r="O140" s="98"/>
      <c r="P140" s="98"/>
      <c r="Q140" s="98"/>
      <c r="R140" s="98"/>
      <c r="S140" s="98"/>
    </row>
    <row r="141" spans="1:19" x14ac:dyDescent="0.25">
      <c r="A141" s="98" t="s">
        <v>7270</v>
      </c>
      <c r="B141" s="98" t="s">
        <v>200</v>
      </c>
      <c r="C141" s="98" t="s">
        <v>89</v>
      </c>
      <c r="D141" s="98" t="str">
        <f>DEC2HEX(2^24*MOD(STRUCT!E99,2^8)+2^16*MOD(STRUCT!E100,2^8)+2^8*MOD(STRUCT!E101,2^8)+2^0*MOD(STRUCT!E102,2^8),8)</f>
        <v>201C0004</v>
      </c>
      <c r="E141" s="98" t="str">
        <f>DEC2HEX(2^24*MOD(STRUCT!F99,2^8)+2^16*MOD(STRUCT!F100,2^8)+2^8*MOD(STRUCT!F101,2^8)+2^0*MOD(STRUCT!F102,2^8),8)</f>
        <v>201C0004</v>
      </c>
      <c r="F141" s="98"/>
      <c r="G141" s="98"/>
      <c r="H141" s="98"/>
      <c r="I141" s="98"/>
      <c r="J141" s="98"/>
      <c r="K141" s="98"/>
      <c r="L141" s="98"/>
      <c r="M141" s="98"/>
      <c r="N141" s="98"/>
      <c r="O141" s="98"/>
      <c r="P141" s="98"/>
      <c r="Q141" s="98"/>
      <c r="R141" s="98"/>
      <c r="S141" s="98"/>
    </row>
    <row r="142" spans="1:19" x14ac:dyDescent="0.25">
      <c r="A142" s="98" t="s">
        <v>7270</v>
      </c>
      <c r="B142" s="98" t="s">
        <v>200</v>
      </c>
      <c r="C142" s="98" t="s">
        <v>82</v>
      </c>
      <c r="D142" s="98" t="str">
        <f>DEC2HEX(2^0*MOD(STRUCT!E103,2^8),8)</f>
        <v>00000008</v>
      </c>
      <c r="E142" s="98" t="str">
        <f>DEC2HEX(2^0*MOD(STRUCT!F103,2^8),8)</f>
        <v>00000008</v>
      </c>
      <c r="F142" s="98"/>
      <c r="G142" s="98"/>
      <c r="H142" s="98"/>
      <c r="I142" s="98"/>
      <c r="J142" s="98"/>
      <c r="K142" s="98"/>
      <c r="L142" s="98"/>
      <c r="M142" s="98"/>
      <c r="N142" s="98"/>
      <c r="O142" s="98"/>
      <c r="P142" s="98"/>
      <c r="Q142" s="98"/>
      <c r="R142" s="98"/>
      <c r="S142" s="98"/>
    </row>
    <row r="143" spans="1:19" x14ac:dyDescent="0.25">
      <c r="A143" s="98" t="s">
        <v>7270</v>
      </c>
      <c r="B143" s="98" t="s">
        <v>210</v>
      </c>
      <c r="C143" s="98" t="s">
        <v>97</v>
      </c>
      <c r="D143" s="98" t="str">
        <f>DEC2HEX(2^16*MOD(STRUCT!E104,2^8)+2^8*MOD(STRUCT!E105,2^8)+2^0*MOD(STRUCT!E106,2^8),8)</f>
        <v>00042404</v>
      </c>
      <c r="E143" s="98" t="str">
        <f>DEC2HEX(2^16*MOD(STRUCT!F104,2^8)+2^8*MOD(STRUCT!F105,2^8)+2^0*MOD(STRUCT!F106,2^8),8)</f>
        <v>00042404</v>
      </c>
      <c r="F143" s="98"/>
      <c r="G143" s="98"/>
      <c r="H143" s="98"/>
      <c r="I143" s="98"/>
      <c r="J143" s="98"/>
      <c r="K143" s="98"/>
      <c r="L143" s="98"/>
      <c r="M143" s="98"/>
      <c r="N143" s="98"/>
      <c r="O143" s="98"/>
      <c r="P143" s="98"/>
      <c r="Q143" s="98"/>
      <c r="R143" s="98"/>
      <c r="S143" s="98"/>
    </row>
    <row r="144" spans="1:19" x14ac:dyDescent="0.25">
      <c r="A144" s="98" t="s">
        <v>7270</v>
      </c>
      <c r="B144" s="98" t="s">
        <v>210</v>
      </c>
      <c r="C144" s="98" t="s">
        <v>89</v>
      </c>
      <c r="D144" s="98" t="str">
        <f>DEC2HEX(2^24*MOD(STRUCT!E107,2^8)+2^16*MOD(STRUCT!E108,2^8)+2^8*MOD(STRUCT!E109,2^8)+2^0*MOD(STRUCT!E110,2^8),8)</f>
        <v>201C0004</v>
      </c>
      <c r="E144" s="98" t="str">
        <f>DEC2HEX(2^24*MOD(STRUCT!F107,2^8)+2^16*MOD(STRUCT!F108,2^8)+2^8*MOD(STRUCT!F109,2^8)+2^0*MOD(STRUCT!F110,2^8),8)</f>
        <v>201C0004</v>
      </c>
      <c r="F144" s="98"/>
      <c r="G144" s="98"/>
      <c r="H144" s="98"/>
      <c r="I144" s="98"/>
      <c r="J144" s="98"/>
      <c r="K144" s="98"/>
      <c r="L144" s="98"/>
      <c r="M144" s="98"/>
      <c r="N144" s="98"/>
      <c r="O144" s="98"/>
      <c r="P144" s="98"/>
      <c r="Q144" s="98"/>
      <c r="R144" s="98"/>
      <c r="S144" s="98"/>
    </row>
    <row r="145" spans="1:19" x14ac:dyDescent="0.25">
      <c r="A145" s="98" t="s">
        <v>7270</v>
      </c>
      <c r="B145" s="98" t="s">
        <v>210</v>
      </c>
      <c r="C145" s="98" t="s">
        <v>82</v>
      </c>
      <c r="D145" s="98" t="str">
        <f>DEC2HEX(2^0*MOD(STRUCT!E111,2^8),8)</f>
        <v>00000008</v>
      </c>
      <c r="E145" s="98" t="str">
        <f>DEC2HEX(2^0*MOD(STRUCT!F111,2^8),8)</f>
        <v>00000008</v>
      </c>
      <c r="F145" s="98"/>
      <c r="G145" s="98"/>
      <c r="H145" s="98"/>
      <c r="I145" s="98"/>
      <c r="J145" s="98"/>
      <c r="K145" s="98"/>
      <c r="L145" s="98"/>
      <c r="M145" s="98"/>
      <c r="N145" s="98"/>
      <c r="O145" s="98"/>
      <c r="P145" s="98"/>
      <c r="Q145" s="98"/>
      <c r="R145" s="98"/>
      <c r="S145" s="98"/>
    </row>
    <row r="146" spans="1:19" x14ac:dyDescent="0.25">
      <c r="A146" s="98" t="s">
        <v>7270</v>
      </c>
      <c r="B146" s="98" t="s">
        <v>214</v>
      </c>
      <c r="C146" s="98" t="s">
        <v>97</v>
      </c>
      <c r="D146" s="98" t="str">
        <f>DEC2HEX(2^16*MOD(STRUCT!E112,2^8)+2^8*MOD(STRUCT!E113,2^8)+2^0*MOD(STRUCT!E114,2^8),8)</f>
        <v>00042404</v>
      </c>
      <c r="E146" s="98" t="str">
        <f>DEC2HEX(2^16*MOD(STRUCT!F112,2^8)+2^8*MOD(STRUCT!F113,2^8)+2^0*MOD(STRUCT!F114,2^8),8)</f>
        <v>00042404</v>
      </c>
      <c r="F146" s="98"/>
      <c r="G146" s="98"/>
      <c r="H146" s="98"/>
      <c r="I146" s="98"/>
      <c r="J146" s="98"/>
      <c r="K146" s="98"/>
      <c r="L146" s="98"/>
      <c r="M146" s="98"/>
      <c r="N146" s="98"/>
      <c r="O146" s="98"/>
      <c r="P146" s="98"/>
      <c r="Q146" s="98"/>
      <c r="R146" s="98"/>
      <c r="S146" s="98"/>
    </row>
    <row r="147" spans="1:19" x14ac:dyDescent="0.25">
      <c r="A147" s="98" t="s">
        <v>7270</v>
      </c>
      <c r="B147" s="98" t="s">
        <v>214</v>
      </c>
      <c r="C147" s="98" t="s">
        <v>89</v>
      </c>
      <c r="D147" s="98" t="str">
        <f>DEC2HEX(2^24*MOD(STRUCT!E115,2^8)+2^16*MOD(STRUCT!E116,2^8)+2^8*MOD(STRUCT!E117,2^8)+2^0*MOD(STRUCT!E118,2^8),8)</f>
        <v>201C0004</v>
      </c>
      <c r="E147" s="98" t="str">
        <f>DEC2HEX(2^24*MOD(STRUCT!F115,2^8)+2^16*MOD(STRUCT!F116,2^8)+2^8*MOD(STRUCT!F117,2^8)+2^0*MOD(STRUCT!F118,2^8),8)</f>
        <v>201C0004</v>
      </c>
      <c r="F147" s="98"/>
      <c r="G147" s="98"/>
      <c r="H147" s="98"/>
      <c r="I147" s="98"/>
      <c r="J147" s="98"/>
      <c r="K147" s="98"/>
      <c r="L147" s="98"/>
      <c r="M147" s="98"/>
      <c r="N147" s="98"/>
      <c r="O147" s="98"/>
      <c r="P147" s="98"/>
      <c r="Q147" s="98"/>
      <c r="R147" s="98"/>
      <c r="S147" s="98"/>
    </row>
    <row r="148" spans="1:19" x14ac:dyDescent="0.25">
      <c r="A148" s="98" t="s">
        <v>7270</v>
      </c>
      <c r="B148" s="98" t="s">
        <v>214</v>
      </c>
      <c r="C148" s="98" t="s">
        <v>82</v>
      </c>
      <c r="D148" s="98" t="str">
        <f>DEC2HEX(2^0*MOD(STRUCT!E119,2^8),8)</f>
        <v>00000008</v>
      </c>
      <c r="E148" s="98" t="str">
        <f>DEC2HEX(2^0*MOD(STRUCT!F119,2^8),8)</f>
        <v>00000008</v>
      </c>
      <c r="F148" s="98"/>
      <c r="G148" s="98"/>
      <c r="H148" s="98"/>
      <c r="I148" s="98"/>
      <c r="J148" s="98"/>
      <c r="K148" s="98"/>
      <c r="L148" s="98"/>
      <c r="M148" s="98"/>
      <c r="N148" s="98"/>
      <c r="O148" s="98"/>
      <c r="P148" s="98"/>
      <c r="Q148" s="98"/>
      <c r="R148" s="98"/>
      <c r="S148" s="98"/>
    </row>
    <row r="149" spans="1:19" x14ac:dyDescent="0.25">
      <c r="A149" s="98" t="s">
        <v>7270</v>
      </c>
      <c r="B149" s="98" t="s">
        <v>218</v>
      </c>
      <c r="C149" s="98" t="s">
        <v>97</v>
      </c>
      <c r="D149" s="98" t="str">
        <f>DEC2HEX(2^16*MOD(STRUCT!E120,2^8)+2^8*MOD(STRUCT!E121,2^8)+2^0*MOD(STRUCT!E122,2^8),8)</f>
        <v>00042404</v>
      </c>
      <c r="E149" s="98" t="str">
        <f>DEC2HEX(2^16*MOD(STRUCT!F120,2^8)+2^8*MOD(STRUCT!F121,2^8)+2^0*MOD(STRUCT!F122,2^8),8)</f>
        <v>00042404</v>
      </c>
      <c r="F149" s="98"/>
      <c r="G149" s="98"/>
      <c r="H149" s="98"/>
      <c r="I149" s="98"/>
      <c r="J149" s="98"/>
      <c r="K149" s="98"/>
      <c r="L149" s="98"/>
      <c r="M149" s="98"/>
      <c r="N149" s="98"/>
      <c r="O149" s="98"/>
      <c r="P149" s="98"/>
      <c r="Q149" s="98"/>
      <c r="R149" s="98"/>
      <c r="S149" s="98"/>
    </row>
    <row r="150" spans="1:19" x14ac:dyDescent="0.25">
      <c r="A150" s="98" t="s">
        <v>7270</v>
      </c>
      <c r="B150" s="98" t="s">
        <v>218</v>
      </c>
      <c r="C150" s="98" t="s">
        <v>89</v>
      </c>
      <c r="D150" s="98" t="str">
        <f>DEC2HEX(2^24*MOD(STRUCT!E123,2^8)+2^16*MOD(STRUCT!E124,2^8)+2^8*MOD(STRUCT!E125,2^8)+2^0*MOD(STRUCT!E126,2^8),8)</f>
        <v>201C0004</v>
      </c>
      <c r="E150" s="98" t="str">
        <f>DEC2HEX(2^24*MOD(STRUCT!F123,2^8)+2^16*MOD(STRUCT!F124,2^8)+2^8*MOD(STRUCT!F125,2^8)+2^0*MOD(STRUCT!F126,2^8),8)</f>
        <v>201C0004</v>
      </c>
      <c r="F150" s="98"/>
      <c r="G150" s="98"/>
      <c r="H150" s="98"/>
      <c r="I150" s="98"/>
      <c r="J150" s="98"/>
      <c r="K150" s="98"/>
      <c r="L150" s="98"/>
      <c r="M150" s="98"/>
      <c r="N150" s="98"/>
      <c r="O150" s="98"/>
      <c r="P150" s="98"/>
      <c r="Q150" s="98"/>
      <c r="R150" s="98"/>
      <c r="S150" s="98"/>
    </row>
    <row r="151" spans="1:19" x14ac:dyDescent="0.25">
      <c r="A151" s="98" t="s">
        <v>7270</v>
      </c>
      <c r="B151" s="98" t="s">
        <v>218</v>
      </c>
      <c r="C151" s="98" t="s">
        <v>82</v>
      </c>
      <c r="D151" s="98" t="str">
        <f>DEC2HEX(2^0*MOD(STRUCT!E127,2^8),8)</f>
        <v>00000008</v>
      </c>
      <c r="E151" s="98" t="str">
        <f>DEC2HEX(2^0*MOD(STRUCT!F127,2^8),8)</f>
        <v>00000008</v>
      </c>
      <c r="F151" s="98"/>
      <c r="G151" s="98"/>
      <c r="H151" s="98"/>
      <c r="I151" s="98"/>
      <c r="J151" s="98"/>
      <c r="K151" s="98"/>
      <c r="L151" s="98"/>
      <c r="M151" s="98"/>
      <c r="N151" s="98"/>
      <c r="O151" s="98"/>
      <c r="P151" s="98"/>
      <c r="Q151" s="98"/>
      <c r="R151" s="98"/>
      <c r="S151" s="98"/>
    </row>
    <row r="152" spans="1:19" x14ac:dyDescent="0.25">
      <c r="A152" s="98" t="s">
        <v>7270</v>
      </c>
      <c r="B152" s="98" t="s">
        <v>291</v>
      </c>
      <c r="C152" s="98" t="s">
        <v>304</v>
      </c>
      <c r="D152" s="98" t="str">
        <f>DEC2HEX(STRUCT!E235,8)</f>
        <v>0000000C</v>
      </c>
      <c r="E152" s="85"/>
      <c r="F152" s="85"/>
      <c r="G152" s="85"/>
      <c r="H152" s="85"/>
      <c r="I152" s="85"/>
      <c r="J152" s="98"/>
      <c r="K152" s="98"/>
      <c r="L152" s="98"/>
      <c r="M152" s="98"/>
      <c r="N152" s="98"/>
      <c r="O152" s="98"/>
      <c r="P152" s="98"/>
      <c r="Q152" s="98"/>
      <c r="R152" s="98"/>
      <c r="S152" s="98"/>
    </row>
    <row r="153" spans="1:19" x14ac:dyDescent="0.25">
      <c r="A153" s="98" t="s">
        <v>7270</v>
      </c>
      <c r="B153" s="98" t="s">
        <v>291</v>
      </c>
      <c r="C153" s="98" t="s">
        <v>305</v>
      </c>
      <c r="D153" s="98" t="str">
        <f>DEC2HEX(STRUCT!E236,8)</f>
        <v>001B8A00</v>
      </c>
      <c r="E153" s="85"/>
      <c r="F153" s="98"/>
      <c r="G153" s="85"/>
      <c r="H153" s="85"/>
      <c r="I153" s="85"/>
      <c r="J153" s="98"/>
      <c r="K153" s="98"/>
      <c r="L153" s="98"/>
      <c r="M153" s="98"/>
      <c r="N153" s="98"/>
      <c r="O153" s="98"/>
      <c r="P153" s="98"/>
      <c r="Q153" s="98"/>
      <c r="R153" s="98"/>
      <c r="S153" s="98"/>
    </row>
    <row r="154" spans="1:19" x14ac:dyDescent="0.25">
      <c r="A154" s="46" t="s">
        <v>7273</v>
      </c>
      <c r="B154" s="46" t="s">
        <v>308</v>
      </c>
      <c r="C154" s="46" t="s">
        <v>310</v>
      </c>
      <c r="D154" s="98" t="str">
        <f>DEC2HEX(STRUCT!E238,2)</f>
        <v>00</v>
      </c>
    </row>
    <row r="155" spans="1:19" x14ac:dyDescent="0.25">
      <c r="A155" s="46" t="s">
        <v>7273</v>
      </c>
      <c r="B155" s="46" t="s">
        <v>311</v>
      </c>
      <c r="C155" s="46" t="s">
        <v>310</v>
      </c>
      <c r="D155" s="98" t="str">
        <f>DEC2HEX(STRUCT!E239,2)</f>
        <v>08</v>
      </c>
    </row>
    <row r="156" spans="1:19" x14ac:dyDescent="0.25">
      <c r="A156" s="46" t="s">
        <v>7273</v>
      </c>
      <c r="B156" s="46" t="s">
        <v>313</v>
      </c>
      <c r="C156" s="46" t="s">
        <v>310</v>
      </c>
      <c r="D156" s="98" t="str">
        <f>DEC2HEX(STRUCT!E240,2)</f>
        <v>05</v>
      </c>
    </row>
    <row r="157" spans="1:19" x14ac:dyDescent="0.25">
      <c r="A157" s="46" t="s">
        <v>7273</v>
      </c>
      <c r="B157" s="46" t="s">
        <v>313</v>
      </c>
      <c r="C157" s="46" t="s">
        <v>315</v>
      </c>
      <c r="D157" s="98" t="str">
        <f>DEC2HEX(STRUCT!E241,2)</f>
        <v>00</v>
      </c>
    </row>
    <row r="158" spans="1:19" x14ac:dyDescent="0.25">
      <c r="A158" s="46" t="s">
        <v>7273</v>
      </c>
      <c r="B158" s="46" t="s">
        <v>313</v>
      </c>
      <c r="C158" s="46" t="s">
        <v>316</v>
      </c>
      <c r="D158" s="98" t="str">
        <f>DEC2HEX(STRUCT!E242,2)</f>
        <v>00</v>
      </c>
    </row>
    <row r="159" spans="1:19" x14ac:dyDescent="0.25">
      <c r="A159" s="46" t="s">
        <v>7273</v>
      </c>
      <c r="B159" s="46" t="s">
        <v>313</v>
      </c>
      <c r="C159" s="46" t="s">
        <v>317</v>
      </c>
      <c r="D159" s="98" t="str">
        <f>DEC2HEX(STRUCT!E243,2)</f>
        <v>50</v>
      </c>
    </row>
    <row r="160" spans="1:19" x14ac:dyDescent="0.25">
      <c r="A160" s="46" t="s">
        <v>7273</v>
      </c>
      <c r="B160" s="46" t="s">
        <v>313</v>
      </c>
      <c r="C160" s="46" t="s">
        <v>320</v>
      </c>
      <c r="D160" s="98" t="str">
        <f>DEC2HEX(STRUCT!E244,2)</f>
        <v>02</v>
      </c>
    </row>
    <row r="161" spans="1:4" x14ac:dyDescent="0.25">
      <c r="A161" s="46" t="s">
        <v>7273</v>
      </c>
      <c r="B161" s="46" t="s">
        <v>313</v>
      </c>
      <c r="C161" s="46" t="s">
        <v>322</v>
      </c>
      <c r="D161" s="98" t="str">
        <f>DEC2HEX(STRUCT!E245,2)</f>
        <v>00</v>
      </c>
    </row>
    <row r="162" spans="1:4" x14ac:dyDescent="0.25">
      <c r="A162" s="46" t="s">
        <v>7273</v>
      </c>
      <c r="B162" s="46" t="s">
        <v>313</v>
      </c>
      <c r="C162" s="46" t="s">
        <v>324</v>
      </c>
      <c r="D162" s="98" t="str">
        <f>DEC2HEX(STRUCT!E246,2)</f>
        <v>00</v>
      </c>
    </row>
    <row r="163" spans="1:4" x14ac:dyDescent="0.25">
      <c r="A163" s="46" t="s">
        <v>7273</v>
      </c>
      <c r="B163" s="46" t="s">
        <v>313</v>
      </c>
      <c r="C163" s="46" t="s">
        <v>325</v>
      </c>
      <c r="D163" s="98" t="str">
        <f>DEC2HEX(STRUCT!E247,2)</f>
        <v>01</v>
      </c>
    </row>
    <row r="164" spans="1:4" x14ac:dyDescent="0.25">
      <c r="A164" s="46" t="s">
        <v>7273</v>
      </c>
      <c r="B164" s="46" t="s">
        <v>313</v>
      </c>
      <c r="C164" s="46" t="s">
        <v>326</v>
      </c>
      <c r="D164" s="98" t="str">
        <f>DEC2HEX(STRUCT!E248,2)</f>
        <v>00</v>
      </c>
    </row>
    <row r="165" spans="1:4" x14ac:dyDescent="0.25">
      <c r="A165" s="46" t="s">
        <v>7273</v>
      </c>
      <c r="B165" s="46" t="s">
        <v>313</v>
      </c>
      <c r="C165" s="46" t="s">
        <v>327</v>
      </c>
      <c r="D165" s="98" t="str">
        <f>DEC2HEX(STRUCT!E249,2)</f>
        <v>00</v>
      </c>
    </row>
    <row r="166" spans="1:4" x14ac:dyDescent="0.25">
      <c r="A166" s="46" t="s">
        <v>7273</v>
      </c>
      <c r="B166" s="46" t="s">
        <v>328</v>
      </c>
      <c r="C166" s="46" t="s">
        <v>310</v>
      </c>
      <c r="D166" s="98" t="str">
        <f>DEC2HEX(STRUCT!E250,2)</f>
        <v>05</v>
      </c>
    </row>
    <row r="167" spans="1:4" x14ac:dyDescent="0.25">
      <c r="A167" s="46" t="s">
        <v>7273</v>
      </c>
      <c r="B167" s="46" t="s">
        <v>328</v>
      </c>
      <c r="C167" s="46" t="s">
        <v>329</v>
      </c>
      <c r="D167" s="98" t="str">
        <f>DEC2HEX(STRUCT!E251,2)</f>
        <v>18</v>
      </c>
    </row>
    <row r="168" spans="1:4" x14ac:dyDescent="0.25">
      <c r="A168" s="46" t="s">
        <v>7273</v>
      </c>
      <c r="B168" s="46" t="s">
        <v>328</v>
      </c>
      <c r="C168" s="46" t="s">
        <v>330</v>
      </c>
      <c r="D168" s="98" t="str">
        <f>DEC2HEX(STRUCT!E252,2)</f>
        <v>0C</v>
      </c>
    </row>
    <row r="169" spans="1:4" x14ac:dyDescent="0.25">
      <c r="A169" s="46" t="s">
        <v>7273</v>
      </c>
      <c r="B169" s="46" t="s">
        <v>328</v>
      </c>
      <c r="C169" s="46" t="s">
        <v>325</v>
      </c>
      <c r="D169" s="98" t="str">
        <f>DEC2HEX(STRUCT!E253,2)</f>
        <v>01</v>
      </c>
    </row>
    <row r="170" spans="1:4" x14ac:dyDescent="0.25">
      <c r="A170" s="46" t="s">
        <v>7273</v>
      </c>
      <c r="B170" s="46" t="s">
        <v>328</v>
      </c>
      <c r="C170" s="46" t="s">
        <v>331</v>
      </c>
      <c r="D170" s="98" t="str">
        <f>DEC2HEX(STRUCT!E254,2)</f>
        <v>01</v>
      </c>
    </row>
    <row r="171" spans="1:4" x14ac:dyDescent="0.25">
      <c r="A171" s="46" t="s">
        <v>7273</v>
      </c>
      <c r="B171" s="46" t="s">
        <v>328</v>
      </c>
      <c r="C171" s="46" t="s">
        <v>332</v>
      </c>
      <c r="D171" s="98" t="str">
        <f>DEC2HEX(STRUCT!E255,2)</f>
        <v>64</v>
      </c>
    </row>
    <row r="172" spans="1:4" x14ac:dyDescent="0.25">
      <c r="A172" s="46" t="s">
        <v>7273</v>
      </c>
      <c r="B172" s="46" t="s">
        <v>334</v>
      </c>
      <c r="C172" s="46" t="s">
        <v>310</v>
      </c>
      <c r="D172" s="98" t="str">
        <f>DEC2HEX(STRUCT!E256,2)</f>
        <v>01</v>
      </c>
    </row>
    <row r="173" spans="1:4" x14ac:dyDescent="0.25">
      <c r="A173" s="46" t="s">
        <v>7273</v>
      </c>
      <c r="B173" s="46" t="s">
        <v>334</v>
      </c>
      <c r="C173" s="46" t="s">
        <v>329</v>
      </c>
      <c r="D173" s="98" t="str">
        <f>DEC2HEX(STRUCT!E257,2)</f>
        <v>18</v>
      </c>
    </row>
    <row r="174" spans="1:4" x14ac:dyDescent="0.25">
      <c r="A174" s="46" t="s">
        <v>7273</v>
      </c>
      <c r="B174" s="46" t="s">
        <v>334</v>
      </c>
      <c r="C174" s="46" t="s">
        <v>330</v>
      </c>
      <c r="D174" s="98" t="str">
        <f>DEC2HEX(STRUCT!E258,2)</f>
        <v>06</v>
      </c>
    </row>
    <row r="175" spans="1:4" x14ac:dyDescent="0.25">
      <c r="A175" s="46" t="s">
        <v>7273</v>
      </c>
      <c r="B175" s="46" t="s">
        <v>334</v>
      </c>
      <c r="C175" s="46" t="s">
        <v>336</v>
      </c>
      <c r="D175" s="98" t="str">
        <f>DEC2HEX(STRUCT!E259,2)</f>
        <v>04</v>
      </c>
    </row>
    <row r="176" spans="1:4" x14ac:dyDescent="0.25">
      <c r="A176" s="46" t="s">
        <v>7273</v>
      </c>
      <c r="B176" s="46" t="s">
        <v>334</v>
      </c>
      <c r="C176" s="46" t="s">
        <v>325</v>
      </c>
      <c r="D176" s="98" t="str">
        <f>DEC2HEX(STRUCT!E260,2)</f>
        <v>3C</v>
      </c>
    </row>
    <row r="177" spans="1:4" x14ac:dyDescent="0.25">
      <c r="A177" s="46" t="s">
        <v>7273</v>
      </c>
      <c r="B177" s="46" t="s">
        <v>334</v>
      </c>
      <c r="C177" s="46" t="s">
        <v>331</v>
      </c>
      <c r="D177" s="98" t="str">
        <f>DEC2HEX(STRUCT!E261,2)</f>
        <v>09</v>
      </c>
    </row>
    <row r="178" spans="1:4" x14ac:dyDescent="0.25">
      <c r="A178" s="46" t="s">
        <v>7273</v>
      </c>
      <c r="B178" s="46" t="s">
        <v>340</v>
      </c>
      <c r="C178" s="46" t="s">
        <v>310</v>
      </c>
      <c r="D178" s="98" t="str">
        <f>DEC2HEX(STRUCT!E262,2)</f>
        <v>05</v>
      </c>
    </row>
    <row r="179" spans="1:4" x14ac:dyDescent="0.25">
      <c r="A179" s="46" t="s">
        <v>7273</v>
      </c>
      <c r="B179" s="46" t="s">
        <v>340</v>
      </c>
      <c r="C179" s="46" t="s">
        <v>341</v>
      </c>
      <c r="D179" s="98" t="str">
        <f>DEC2HEX(STRUCT!E263,2)</f>
        <v>1F</v>
      </c>
    </row>
    <row r="180" spans="1:4" x14ac:dyDescent="0.25">
      <c r="A180" s="46" t="s">
        <v>7273</v>
      </c>
      <c r="B180" s="46" t="s">
        <v>340</v>
      </c>
      <c r="C180" s="46" t="s">
        <v>344</v>
      </c>
      <c r="D180" s="98" t="str">
        <f>DEC2HEX(STRUCT!E264,2)</f>
        <v>19</v>
      </c>
    </row>
    <row r="181" spans="1:4" x14ac:dyDescent="0.25">
      <c r="A181" s="46" t="s">
        <v>7273</v>
      </c>
      <c r="B181" s="46" t="s">
        <v>340</v>
      </c>
      <c r="C181" s="46" t="s">
        <v>347</v>
      </c>
      <c r="D181" s="98" t="str">
        <f>DEC2HEX(STRUCT!E265,2)</f>
        <v>30</v>
      </c>
    </row>
    <row r="182" spans="1:4" x14ac:dyDescent="0.25">
      <c r="A182" s="46" t="s">
        <v>7273</v>
      </c>
      <c r="B182" s="46" t="s">
        <v>340</v>
      </c>
      <c r="C182" s="46" t="s">
        <v>349</v>
      </c>
      <c r="D182" s="98" t="str">
        <f>DEC2HEX(STRUCT!E266,2)</f>
        <v>05</v>
      </c>
    </row>
    <row r="183" spans="1:4" x14ac:dyDescent="0.25">
      <c r="A183" s="46" t="s">
        <v>7273</v>
      </c>
      <c r="B183" s="46" t="s">
        <v>340</v>
      </c>
      <c r="C183" s="46" t="s">
        <v>350</v>
      </c>
      <c r="D183" s="98" t="str">
        <f>DEC2HEX(STRUCT!E267,2)</f>
        <v>00</v>
      </c>
    </row>
    <row r="184" spans="1:4" x14ac:dyDescent="0.25">
      <c r="A184" s="46" t="s">
        <v>7273</v>
      </c>
      <c r="B184" s="46" t="s">
        <v>340</v>
      </c>
      <c r="C184" s="46" t="s">
        <v>351</v>
      </c>
      <c r="D184" s="98" t="str">
        <f>DEC2HEX(STRUCT!E268,2)</f>
        <v>11</v>
      </c>
    </row>
    <row r="185" spans="1:4" x14ac:dyDescent="0.25">
      <c r="A185" s="46" t="s">
        <v>7273</v>
      </c>
      <c r="B185" s="46" t="s">
        <v>340</v>
      </c>
      <c r="C185" s="46" t="s">
        <v>316</v>
      </c>
      <c r="D185" s="98" t="str">
        <f>DEC2HEX(STRUCT!E269,2)</f>
        <v>06</v>
      </c>
    </row>
    <row r="186" spans="1:4" x14ac:dyDescent="0.25">
      <c r="A186" s="46" t="s">
        <v>7273</v>
      </c>
      <c r="B186" s="46" t="s">
        <v>340</v>
      </c>
      <c r="C186" s="46" t="s">
        <v>317</v>
      </c>
      <c r="D186" s="98" t="str">
        <f>DEC2HEX(STRUCT!E270,2)</f>
        <v>37</v>
      </c>
    </row>
    <row r="187" spans="1:4" x14ac:dyDescent="0.25">
      <c r="A187" s="46" t="s">
        <v>7273</v>
      </c>
      <c r="B187" s="46" t="s">
        <v>340</v>
      </c>
      <c r="C187" s="46" t="s">
        <v>320</v>
      </c>
      <c r="D187" s="98" t="str">
        <f>DEC2HEX(STRUCT!E271,2)</f>
        <v>01</v>
      </c>
    </row>
    <row r="188" spans="1:4" x14ac:dyDescent="0.25">
      <c r="A188" s="46" t="s">
        <v>7273</v>
      </c>
      <c r="B188" s="46" t="s">
        <v>340</v>
      </c>
      <c r="C188" s="46" t="s">
        <v>322</v>
      </c>
      <c r="D188" s="98" t="str">
        <f>DEC2HEX(STRUCT!E272,2)</f>
        <v>00</v>
      </c>
    </row>
    <row r="189" spans="1:4" x14ac:dyDescent="0.25">
      <c r="A189" s="46" t="s">
        <v>7273</v>
      </c>
      <c r="B189" s="46" t="s">
        <v>340</v>
      </c>
      <c r="C189" s="46" t="s">
        <v>324</v>
      </c>
      <c r="D189" s="98" t="str">
        <f>DEC2HEX(STRUCT!E273,2)</f>
        <v>18</v>
      </c>
    </row>
    <row r="190" spans="1:4" x14ac:dyDescent="0.25">
      <c r="A190" s="46" t="s">
        <v>7273</v>
      </c>
      <c r="B190" s="46" t="s">
        <v>340</v>
      </c>
      <c r="C190" s="46" t="s">
        <v>354</v>
      </c>
      <c r="D190" s="98" t="str">
        <f>DEC2HEX(STRUCT!E274,2)</f>
        <v>00</v>
      </c>
    </row>
    <row r="191" spans="1:4" x14ac:dyDescent="0.25">
      <c r="A191" s="46" t="s">
        <v>7273</v>
      </c>
      <c r="B191" s="46" t="s">
        <v>340</v>
      </c>
      <c r="C191" s="46" t="s">
        <v>326</v>
      </c>
      <c r="D191" s="98" t="str">
        <f>DEC2HEX(STRUCT!E275,2)</f>
        <v>0F</v>
      </c>
    </row>
    <row r="192" spans="1:4" x14ac:dyDescent="0.25">
      <c r="A192" s="46" t="s">
        <v>7273</v>
      </c>
      <c r="B192" s="46" t="s">
        <v>340</v>
      </c>
      <c r="C192" s="46" t="s">
        <v>356</v>
      </c>
      <c r="D192" s="98" t="str">
        <f>DEC2HEX(STRUCT!E276,2)</f>
        <v>02</v>
      </c>
    </row>
    <row r="193" spans="1:4" x14ac:dyDescent="0.25">
      <c r="A193" s="46" t="s">
        <v>7273</v>
      </c>
      <c r="B193" s="46" t="s">
        <v>340</v>
      </c>
      <c r="C193" s="46" t="s">
        <v>7274</v>
      </c>
      <c r="D193" s="98" t="str">
        <f>DEC2HEX(IF(STRUCT!E277,1,0),2)</f>
        <v>00</v>
      </c>
    </row>
    <row r="194" spans="1:4" x14ac:dyDescent="0.25">
      <c r="A194" s="46" t="s">
        <v>7273</v>
      </c>
      <c r="B194" s="46" t="s">
        <v>340</v>
      </c>
      <c r="C194" s="46" t="s">
        <v>7275</v>
      </c>
      <c r="D194" s="98" t="str">
        <f>DEC2HEX(STRUCT!E278,2)</f>
        <v>02</v>
      </c>
    </row>
    <row r="195" spans="1:4" x14ac:dyDescent="0.25">
      <c r="A195" s="46" t="s">
        <v>7273</v>
      </c>
      <c r="B195" s="46" t="s">
        <v>340</v>
      </c>
      <c r="C195" s="46" t="s">
        <v>7276</v>
      </c>
      <c r="D195" s="98" t="str">
        <f>DEC2HEX(IF(STRUCT!E279,1,0),2)</f>
        <v>00</v>
      </c>
    </row>
    <row r="196" spans="1:4" x14ac:dyDescent="0.25">
      <c r="A196" s="46" t="s">
        <v>7273</v>
      </c>
      <c r="B196" s="46" t="s">
        <v>340</v>
      </c>
      <c r="C196" s="46" t="s">
        <v>7277</v>
      </c>
      <c r="D196" s="98" t="str">
        <f>DEC2HEX(STRUCT!E280,2)</f>
        <v>01</v>
      </c>
    </row>
    <row r="197" spans="1:4" x14ac:dyDescent="0.25">
      <c r="A197" s="46" t="s">
        <v>7273</v>
      </c>
      <c r="B197" s="46" t="s">
        <v>340</v>
      </c>
      <c r="C197" s="46" t="s">
        <v>364</v>
      </c>
      <c r="D197" s="98" t="str">
        <f>DEC2HEX(IF(STRUCT!E281,1,0),2)</f>
        <v>00</v>
      </c>
    </row>
    <row r="198" spans="1:4" x14ac:dyDescent="0.25">
      <c r="A198" s="46" t="s">
        <v>7273</v>
      </c>
      <c r="B198" s="46" t="s">
        <v>340</v>
      </c>
      <c r="C198" s="46" t="s">
        <v>365</v>
      </c>
      <c r="D198" s="98" t="str">
        <f>DEC2HEX(STRUCT!E282,2)</f>
        <v>04</v>
      </c>
    </row>
    <row r="199" spans="1:4" x14ac:dyDescent="0.25">
      <c r="A199" s="46" t="s">
        <v>7273</v>
      </c>
      <c r="B199" s="46" t="s">
        <v>340</v>
      </c>
      <c r="C199" s="46" t="s">
        <v>366</v>
      </c>
      <c r="D199" s="98" t="str">
        <f>DEC2HEX(IF(STRUCT!E283,1,0),2)</f>
        <v>01</v>
      </c>
    </row>
    <row r="200" spans="1:4" x14ac:dyDescent="0.25">
      <c r="A200" s="46" t="s">
        <v>7273</v>
      </c>
      <c r="B200" s="46" t="s">
        <v>340</v>
      </c>
      <c r="C200" s="46" t="s">
        <v>367</v>
      </c>
      <c r="D200" s="98" t="str">
        <f>DEC2HEX(STRUCT!E284,2)</f>
        <v>07</v>
      </c>
    </row>
    <row r="201" spans="1:4" x14ac:dyDescent="0.25">
      <c r="A201" s="46" t="s">
        <v>7273</v>
      </c>
      <c r="B201" s="46" t="s">
        <v>340</v>
      </c>
      <c r="C201" s="46" t="s">
        <v>368</v>
      </c>
      <c r="D201" s="98" t="str">
        <f>DEC2HEX(IF(STRUCT!E285,1,0),2)</f>
        <v>00</v>
      </c>
    </row>
    <row r="202" spans="1:4" x14ac:dyDescent="0.25">
      <c r="A202" s="46" t="s">
        <v>7273</v>
      </c>
      <c r="B202" s="46" t="s">
        <v>340</v>
      </c>
      <c r="C202" s="46" t="s">
        <v>369</v>
      </c>
      <c r="D202" s="98" t="str">
        <f>DEC2HEX(STRUCT!E286,2)</f>
        <v>0C</v>
      </c>
    </row>
    <row r="203" spans="1:4" x14ac:dyDescent="0.25">
      <c r="A203" s="46" t="s">
        <v>7273</v>
      </c>
      <c r="B203" s="46" t="s">
        <v>370</v>
      </c>
      <c r="C203" s="46" t="s">
        <v>310</v>
      </c>
      <c r="D203" s="98" t="str">
        <f>DEC2HEX(STRUCT!E287,2)</f>
        <v>05</v>
      </c>
    </row>
    <row r="204" spans="1:4" x14ac:dyDescent="0.25">
      <c r="A204" s="46" t="s">
        <v>7273</v>
      </c>
      <c r="B204" s="46" t="s">
        <v>370</v>
      </c>
      <c r="C204" s="46" t="s">
        <v>316</v>
      </c>
      <c r="D204" s="98" t="str">
        <f>DEC2HEX(STRUCT!E288,2)</f>
        <v>00</v>
      </c>
    </row>
    <row r="205" spans="1:4" x14ac:dyDescent="0.25">
      <c r="A205" s="46" t="s">
        <v>7273</v>
      </c>
      <c r="B205" s="46" t="s">
        <v>370</v>
      </c>
      <c r="C205" s="46" t="s">
        <v>317</v>
      </c>
      <c r="D205" s="98" t="str">
        <f>DEC2HEX(STRUCT!E289,2)</f>
        <v>50</v>
      </c>
    </row>
    <row r="206" spans="1:4" x14ac:dyDescent="0.25">
      <c r="A206" s="46" t="s">
        <v>7273</v>
      </c>
      <c r="B206" s="46" t="s">
        <v>370</v>
      </c>
      <c r="C206" s="46" t="s">
        <v>320</v>
      </c>
      <c r="D206" s="98" t="str">
        <f>DEC2HEX(STRUCT!E290,2)</f>
        <v>01</v>
      </c>
    </row>
    <row r="207" spans="1:4" x14ac:dyDescent="0.25">
      <c r="A207" s="46" t="s">
        <v>7273</v>
      </c>
      <c r="B207" s="46" t="s">
        <v>370</v>
      </c>
      <c r="C207" s="46" t="s">
        <v>322</v>
      </c>
      <c r="D207" s="98" t="str">
        <f>DEC2HEX(STRUCT!E291,2)</f>
        <v>00</v>
      </c>
    </row>
    <row r="208" spans="1:4" x14ac:dyDescent="0.25">
      <c r="A208" s="46" t="s">
        <v>7273</v>
      </c>
      <c r="B208" s="46" t="s">
        <v>370</v>
      </c>
      <c r="C208" s="46" t="s">
        <v>324</v>
      </c>
      <c r="D208" s="98" t="str">
        <f>DEC2HEX(STRUCT!E292,2)</f>
        <v>18</v>
      </c>
    </row>
    <row r="209" spans="1:4" x14ac:dyDescent="0.25">
      <c r="A209" s="46" t="s">
        <v>7273</v>
      </c>
      <c r="B209" s="46" t="s">
        <v>370</v>
      </c>
      <c r="C209" s="46" t="s">
        <v>354</v>
      </c>
      <c r="D209" s="98" t="str">
        <f>DEC2HEX(STRUCT!E293,2)</f>
        <v>00</v>
      </c>
    </row>
    <row r="210" spans="1:4" x14ac:dyDescent="0.25">
      <c r="A210" s="46" t="s">
        <v>7273</v>
      </c>
      <c r="B210" s="46" t="s">
        <v>370</v>
      </c>
      <c r="C210" s="46" t="s">
        <v>326</v>
      </c>
      <c r="D210" s="98" t="str">
        <f>DEC2HEX(STRUCT!E294,2)</f>
        <v>0F</v>
      </c>
    </row>
    <row r="211" spans="1:4" x14ac:dyDescent="0.25">
      <c r="A211" s="46" t="s">
        <v>7273</v>
      </c>
      <c r="B211" s="46" t="s">
        <v>370</v>
      </c>
      <c r="C211" s="46" t="s">
        <v>371</v>
      </c>
      <c r="D211" s="98" t="str">
        <f>DEC2HEX(STRUCT!E295,2)</f>
        <v>08</v>
      </c>
    </row>
    <row r="212" spans="1:4" x14ac:dyDescent="0.25">
      <c r="A212" s="46" t="s">
        <v>7273</v>
      </c>
      <c r="B212" s="46" t="s">
        <v>370</v>
      </c>
      <c r="C212" s="46" t="s">
        <v>356</v>
      </c>
      <c r="D212" s="98" t="str">
        <f>DEC2HEX(STRUCT!E296,2)</f>
        <v>02</v>
      </c>
    </row>
    <row r="213" spans="1:4" x14ac:dyDescent="0.25">
      <c r="A213" s="46" t="s">
        <v>7273</v>
      </c>
      <c r="B213" s="46" t="s">
        <v>370</v>
      </c>
      <c r="C213" s="46" t="s">
        <v>7274</v>
      </c>
      <c r="D213" s="98" t="str">
        <f>DEC2HEX(IF(STRUCT!E297,1,0),2)</f>
        <v>01</v>
      </c>
    </row>
    <row r="214" spans="1:4" x14ac:dyDescent="0.25">
      <c r="A214" s="46" t="s">
        <v>7273</v>
      </c>
      <c r="B214" s="46" t="s">
        <v>370</v>
      </c>
      <c r="C214" s="46" t="s">
        <v>7275</v>
      </c>
      <c r="D214" s="98" t="str">
        <f>DEC2HEX(STRUCT!E298,2)</f>
        <v>0C</v>
      </c>
    </row>
    <row r="215" spans="1:4" x14ac:dyDescent="0.25">
      <c r="A215" s="46" t="s">
        <v>7273</v>
      </c>
      <c r="B215" s="46" t="s">
        <v>370</v>
      </c>
      <c r="C215" s="46" t="s">
        <v>7276</v>
      </c>
      <c r="D215" s="98" t="str">
        <f>DEC2HEX(IF(STRUCT!E299,1,0),2)</f>
        <v>01</v>
      </c>
    </row>
    <row r="216" spans="1:4" x14ac:dyDescent="0.25">
      <c r="A216" s="46" t="s">
        <v>7273</v>
      </c>
      <c r="B216" s="46" t="s">
        <v>370</v>
      </c>
      <c r="C216" s="46" t="s">
        <v>7277</v>
      </c>
      <c r="D216" s="98" t="str">
        <f>DEC2HEX(STRUCT!E300,2)</f>
        <v>08</v>
      </c>
    </row>
    <row r="217" spans="1:4" x14ac:dyDescent="0.25">
      <c r="A217" s="46" t="s">
        <v>7273</v>
      </c>
      <c r="B217" s="46" t="s">
        <v>370</v>
      </c>
      <c r="C217" s="46" t="s">
        <v>364</v>
      </c>
      <c r="D217" s="98" t="str">
        <f>DEC2HEX(IF(STRUCT!E301,1,0),2)</f>
        <v>01</v>
      </c>
    </row>
    <row r="218" spans="1:4" x14ac:dyDescent="0.25">
      <c r="A218" s="46" t="s">
        <v>7273</v>
      </c>
      <c r="B218" s="46" t="s">
        <v>370</v>
      </c>
      <c r="C218" s="46" t="s">
        <v>365</v>
      </c>
      <c r="D218" s="98" t="str">
        <f>DEC2HEX(STRUCT!E302,2)</f>
        <v>26</v>
      </c>
    </row>
    <row r="219" spans="1:4" x14ac:dyDescent="0.25">
      <c r="A219" s="46" t="s">
        <v>7273</v>
      </c>
      <c r="B219" s="46" t="s">
        <v>370</v>
      </c>
      <c r="C219" s="46" t="s">
        <v>366</v>
      </c>
      <c r="D219" s="98" t="str">
        <f>DEC2HEX(IF(STRUCT!E303,1,0),2)</f>
        <v>01</v>
      </c>
    </row>
    <row r="220" spans="1:4" x14ac:dyDescent="0.25">
      <c r="A220" s="46" t="s">
        <v>7273</v>
      </c>
      <c r="B220" s="46" t="s">
        <v>370</v>
      </c>
      <c r="C220" s="46" t="s">
        <v>367</v>
      </c>
      <c r="D220" s="98" t="str">
        <f>DEC2HEX(STRUCT!E304,2)</f>
        <v>07</v>
      </c>
    </row>
    <row r="221" spans="1:4" x14ac:dyDescent="0.25">
      <c r="A221" s="46" t="s">
        <v>7273</v>
      </c>
      <c r="B221" s="46" t="s">
        <v>370</v>
      </c>
      <c r="C221" s="46" t="s">
        <v>373</v>
      </c>
      <c r="D221" s="98" t="str">
        <f>DEC2HEX(IF(STRUCT!E305,1,0),2)</f>
        <v>01</v>
      </c>
    </row>
    <row r="222" spans="1:4" x14ac:dyDescent="0.25">
      <c r="A222" s="46" t="s">
        <v>7273</v>
      </c>
      <c r="B222" s="46" t="s">
        <v>370</v>
      </c>
      <c r="C222" s="46" t="s">
        <v>374</v>
      </c>
      <c r="D222" s="98" t="str">
        <f>DEC2HEX(STRUCT!E306,2)</f>
        <v>0C</v>
      </c>
    </row>
    <row r="223" spans="1:4" x14ac:dyDescent="0.25">
      <c r="A223" s="46" t="s">
        <v>7273</v>
      </c>
      <c r="B223" s="46" t="s">
        <v>7278</v>
      </c>
      <c r="C223" s="46" t="s">
        <v>7279</v>
      </c>
      <c r="D223" s="98" t="str">
        <f>DEC2HEX(0,2)</f>
        <v>00</v>
      </c>
    </row>
  </sheetData>
  <autoFilter ref="A1:S153" xr:uid="{00000000-0009-0000-0000-000007000000}"/>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2060"/>
  </sheetPr>
  <dimension ref="A1:F859"/>
  <sheetViews>
    <sheetView workbookViewId="0">
      <pane ySplit="1" topLeftCell="A494" activePane="bottomLeft" state="frozen"/>
      <selection pane="bottomLeft" activeCell="E57" sqref="E57"/>
    </sheetView>
  </sheetViews>
  <sheetFormatPr defaultColWidth="11.42578125" defaultRowHeight="15" x14ac:dyDescent="0.25"/>
  <cols>
    <col min="1" max="1" width="13.5703125" style="81" customWidth="1"/>
    <col min="2" max="2" width="17" style="81" customWidth="1"/>
    <col min="3" max="3" width="58.7109375" style="81" customWidth="1"/>
    <col min="4" max="4" width="27.7109375" style="85" customWidth="1"/>
    <col min="5" max="5" width="17" style="81" customWidth="1"/>
    <col min="6" max="36" width="11.42578125" style="81" customWidth="1"/>
    <col min="37" max="16384" width="11.42578125" style="81"/>
  </cols>
  <sheetData>
    <row r="1" spans="1:5" x14ac:dyDescent="0.25">
      <c r="A1" s="49" t="s">
        <v>48</v>
      </c>
      <c r="B1" s="50" t="s">
        <v>13</v>
      </c>
      <c r="C1" s="50" t="s">
        <v>50</v>
      </c>
      <c r="D1" s="97" t="s">
        <v>7280</v>
      </c>
      <c r="E1" s="50" t="s">
        <v>52</v>
      </c>
    </row>
    <row r="2" spans="1:5" x14ac:dyDescent="0.25">
      <c r="A2" s="46">
        <v>100</v>
      </c>
      <c r="B2" s="46" t="s">
        <v>44</v>
      </c>
      <c r="C2" s="46" t="s">
        <v>78</v>
      </c>
      <c r="D2" s="98" t="str">
        <f>DEC2HEX(2^24*MOD(STRUCT!F14,2^8)+2^16*MOD(STRUCT!F15,2^8)+2^8*MOD(STRUCT!F16,2^8)+2^0*MOD(STRUCT!F17,2^8),8)</f>
        <v>00000000</v>
      </c>
      <c r="E2" s="46" t="s">
        <v>2234</v>
      </c>
    </row>
    <row r="3" spans="1:5" x14ac:dyDescent="0.25">
      <c r="A3" s="46">
        <v>100</v>
      </c>
      <c r="B3" s="46" t="s">
        <v>44</v>
      </c>
      <c r="C3" s="46" t="s">
        <v>86</v>
      </c>
      <c r="D3" s="98" t="str">
        <f>DEC2HEX(2^24*MOD(STRUCT!F18,2^8)+2^16*MOD(STRUCT!F19,2^8)+2^8*MOD(STRUCT!F20,2^8)+2^0*MOD(STRUCT!F21,2^8),8)</f>
        <v>00000000</v>
      </c>
      <c r="E3" s="46" t="s">
        <v>2234</v>
      </c>
    </row>
    <row r="4" spans="1:5" x14ac:dyDescent="0.25">
      <c r="A4" s="46">
        <v>100</v>
      </c>
      <c r="B4" s="46" t="s">
        <v>44</v>
      </c>
      <c r="C4" s="46" t="s">
        <v>7281</v>
      </c>
      <c r="D4" s="98" t="str">
        <f>DEC2HEX(2^20*MOD(STRUCT!F22,2^8)+2^0*MOD(STRUCT!F23,2^14),8)</f>
        <v>00100000</v>
      </c>
      <c r="E4" s="46" t="s">
        <v>2234</v>
      </c>
    </row>
    <row r="5" spans="1:5" x14ac:dyDescent="0.25">
      <c r="A5" s="46">
        <v>100</v>
      </c>
      <c r="B5" s="46" t="s">
        <v>44</v>
      </c>
      <c r="C5" s="46" t="s">
        <v>7282</v>
      </c>
      <c r="D5" s="98" t="str">
        <f>DEC2HEX(2^20*MOD(STRUCT!F24,2^8)+2^0*MOD(STRUCT!F25,2^14),8)</f>
        <v>00100000</v>
      </c>
      <c r="E5" s="46" t="s">
        <v>2234</v>
      </c>
    </row>
    <row r="6" spans="1:5" x14ac:dyDescent="0.25">
      <c r="A6" s="46">
        <v>100</v>
      </c>
      <c r="B6" s="46" t="s">
        <v>44</v>
      </c>
      <c r="C6" s="46" t="s">
        <v>7283</v>
      </c>
      <c r="D6" s="98" t="str">
        <f>DEC2HEX(2^20*MOD(STRUCT!F26,2^8)+2^0*MOD(STRUCT!F27,2^14),8)</f>
        <v>00300000</v>
      </c>
      <c r="E6" s="46" t="s">
        <v>2234</v>
      </c>
    </row>
    <row r="7" spans="1:5" x14ac:dyDescent="0.25">
      <c r="A7" s="46">
        <v>100</v>
      </c>
      <c r="B7" s="46" t="s">
        <v>44</v>
      </c>
      <c r="C7" s="46" t="s">
        <v>7284</v>
      </c>
      <c r="D7" s="98" t="str">
        <f>DEC2HEX(2^20*MOD(STRUCT!F28,2^8)+2^0*MOD(STRUCT!F29,2^14),8)</f>
        <v>00300000</v>
      </c>
      <c r="E7" s="46" t="s">
        <v>2234</v>
      </c>
    </row>
    <row r="8" spans="1:5" x14ac:dyDescent="0.25">
      <c r="A8" s="46">
        <v>100</v>
      </c>
      <c r="B8" s="46" t="s">
        <v>45</v>
      </c>
      <c r="C8" s="46" t="s">
        <v>139</v>
      </c>
      <c r="D8" s="98" t="str">
        <f>DEC2HEX(MOD(STRUCT!F46,2^1),8)</f>
        <v>00000001</v>
      </c>
      <c r="E8" s="46" t="s">
        <v>2234</v>
      </c>
    </row>
    <row r="9" spans="1:5" x14ac:dyDescent="0.25">
      <c r="A9" s="46">
        <v>100</v>
      </c>
      <c r="B9" s="46" t="s">
        <v>45</v>
      </c>
      <c r="C9" s="46" t="s">
        <v>142</v>
      </c>
      <c r="D9" s="98" t="str">
        <f>DEC2HEX(MOD(STRUCT!F47,2^1),8)</f>
        <v>00000000</v>
      </c>
      <c r="E9" s="46" t="s">
        <v>2234</v>
      </c>
    </row>
    <row r="10" spans="1:5" x14ac:dyDescent="0.25">
      <c r="A10" s="46">
        <v>100</v>
      </c>
      <c r="B10" s="46" t="s">
        <v>45</v>
      </c>
      <c r="C10" s="46" t="s">
        <v>143</v>
      </c>
      <c r="D10" s="98" t="str">
        <f>DEC2HEX(MOD(STRUCT!F48,2^1),8)</f>
        <v>00000000</v>
      </c>
      <c r="E10" s="46" t="s">
        <v>2234</v>
      </c>
    </row>
    <row r="11" spans="1:5" x14ac:dyDescent="0.25">
      <c r="A11" s="46">
        <v>100</v>
      </c>
      <c r="B11" s="46" t="s">
        <v>45</v>
      </c>
      <c r="C11" s="46" t="s">
        <v>144</v>
      </c>
      <c r="D11" s="98" t="str">
        <f>DEC2HEX(MOD(STRUCT!F49,2^1),8)</f>
        <v>00000001</v>
      </c>
      <c r="E11" s="46" t="s">
        <v>2234</v>
      </c>
    </row>
    <row r="12" spans="1:5" x14ac:dyDescent="0.25">
      <c r="A12" s="46">
        <v>100</v>
      </c>
      <c r="B12" s="46" t="s">
        <v>45</v>
      </c>
      <c r="C12" s="46" t="s">
        <v>145</v>
      </c>
      <c r="D12" s="98" t="str">
        <f>DEC2HEX(MOD(STRUCT!F50,2^1),8)</f>
        <v>00000001</v>
      </c>
      <c r="E12" s="46" t="s">
        <v>2234</v>
      </c>
    </row>
    <row r="13" spans="1:5" x14ac:dyDescent="0.25">
      <c r="A13" s="46">
        <v>100</v>
      </c>
      <c r="B13" s="46" t="s">
        <v>45</v>
      </c>
      <c r="C13" s="46" t="s">
        <v>146</v>
      </c>
      <c r="D13" s="98" t="str">
        <f>DEC2HEX(MOD(STRUCT!F51,2^1),8)</f>
        <v>00000000</v>
      </c>
      <c r="E13" s="46" t="s">
        <v>2234</v>
      </c>
    </row>
    <row r="14" spans="1:5" x14ac:dyDescent="0.25">
      <c r="A14" s="46">
        <v>100</v>
      </c>
      <c r="B14" s="46" t="s">
        <v>45</v>
      </c>
      <c r="C14" s="46" t="s">
        <v>147</v>
      </c>
      <c r="D14" s="98" t="str">
        <f>DEC2HEX(MOD(STRUCT!F52,2^1),8)</f>
        <v>00000000</v>
      </c>
      <c r="E14" s="46" t="s">
        <v>2234</v>
      </c>
    </row>
    <row r="15" spans="1:5" x14ac:dyDescent="0.25">
      <c r="A15" s="46">
        <v>100</v>
      </c>
      <c r="B15" s="46" t="s">
        <v>45</v>
      </c>
      <c r="C15" s="46" t="s">
        <v>148</v>
      </c>
      <c r="D15" s="98" t="str">
        <f>DEC2HEX(MOD(STRUCT!F53,2^1),8)</f>
        <v>00000000</v>
      </c>
      <c r="E15" s="46" t="s">
        <v>2234</v>
      </c>
    </row>
    <row r="16" spans="1:5" x14ac:dyDescent="0.25">
      <c r="A16" s="46">
        <v>100</v>
      </c>
      <c r="B16" s="46" t="s">
        <v>45</v>
      </c>
      <c r="C16" s="46" t="s">
        <v>149</v>
      </c>
      <c r="D16" s="98" t="str">
        <f>DEC2HEX(MOD(STRUCT!F54,2^1),8)</f>
        <v>00000001</v>
      </c>
      <c r="E16" s="46" t="s">
        <v>2234</v>
      </c>
    </row>
    <row r="17" spans="1:5" x14ac:dyDescent="0.25">
      <c r="A17" s="46">
        <v>100</v>
      </c>
      <c r="B17" s="46" t="s">
        <v>45</v>
      </c>
      <c r="C17" s="46" t="s">
        <v>150</v>
      </c>
      <c r="D17" s="98" t="str">
        <f>DEC2HEX(MOD(STRUCT!F55,2^1),8)</f>
        <v>00000000</v>
      </c>
      <c r="E17" s="46" t="s">
        <v>2234</v>
      </c>
    </row>
    <row r="18" spans="1:5" x14ac:dyDescent="0.25">
      <c r="A18" s="46">
        <v>100</v>
      </c>
      <c r="B18" s="46" t="s">
        <v>45</v>
      </c>
      <c r="C18" s="46" t="s">
        <v>151</v>
      </c>
      <c r="D18" s="98" t="str">
        <f>DEC2HEX(MOD(STRUCT!F56,2^1),8)</f>
        <v>00000000</v>
      </c>
      <c r="E18" s="46" t="s">
        <v>2234</v>
      </c>
    </row>
    <row r="19" spans="1:5" x14ac:dyDescent="0.25">
      <c r="A19" s="46">
        <v>100</v>
      </c>
      <c r="B19" s="46" t="s">
        <v>45</v>
      </c>
      <c r="C19" s="46" t="s">
        <v>152</v>
      </c>
      <c r="D19" s="98" t="str">
        <f>DEC2HEX(MOD(STRUCT!F57,2^1),8)</f>
        <v>00000000</v>
      </c>
      <c r="E19" s="46" t="s">
        <v>2234</v>
      </c>
    </row>
    <row r="20" spans="1:5" x14ac:dyDescent="0.25">
      <c r="A20" s="46">
        <v>100</v>
      </c>
      <c r="B20" s="46" t="s">
        <v>45</v>
      </c>
      <c r="C20" s="46" t="s">
        <v>153</v>
      </c>
      <c r="D20" s="98" t="str">
        <f>DEC2HEX(MOD(STRUCT!F58,2^1),8)</f>
        <v>00000001</v>
      </c>
      <c r="E20" s="46" t="s">
        <v>2234</v>
      </c>
    </row>
    <row r="21" spans="1:5" x14ac:dyDescent="0.25">
      <c r="A21" s="46">
        <v>100</v>
      </c>
      <c r="B21" s="46" t="s">
        <v>45</v>
      </c>
      <c r="C21" s="46" t="s">
        <v>154</v>
      </c>
      <c r="D21" s="98" t="str">
        <f>DEC2HEX(MOD(STRUCT!F59,2^1),8)</f>
        <v>00000000</v>
      </c>
      <c r="E21" s="46" t="s">
        <v>2234</v>
      </c>
    </row>
    <row r="22" spans="1:5" x14ac:dyDescent="0.25">
      <c r="A22" s="46">
        <v>100</v>
      </c>
      <c r="B22" s="46" t="s">
        <v>45</v>
      </c>
      <c r="C22" s="46" t="s">
        <v>155</v>
      </c>
      <c r="D22" s="98" t="str">
        <f>DEC2HEX(MOD(STRUCT!F60,2^1),8)</f>
        <v>00000000</v>
      </c>
      <c r="E22" s="46" t="s">
        <v>2234</v>
      </c>
    </row>
    <row r="23" spans="1:5" x14ac:dyDescent="0.25">
      <c r="A23" s="46">
        <v>100</v>
      </c>
      <c r="B23" s="46" t="s">
        <v>45</v>
      </c>
      <c r="C23" s="46" t="s">
        <v>156</v>
      </c>
      <c r="D23" s="98" t="str">
        <f>DEC2HEX(MOD(STRUCT!F61,2^1),8)</f>
        <v>00000001</v>
      </c>
      <c r="E23" s="46" t="s">
        <v>2234</v>
      </c>
    </row>
    <row r="24" spans="1:5" x14ac:dyDescent="0.25">
      <c r="A24" s="46">
        <v>100</v>
      </c>
      <c r="B24" s="46" t="s">
        <v>45</v>
      </c>
      <c r="C24" s="46" t="s">
        <v>103</v>
      </c>
      <c r="D24" s="98" t="str">
        <f>DEC2HEX(MOD(STRUCT!F30,2^8),8)</f>
        <v>00000000</v>
      </c>
      <c r="E24" s="46" t="str">
        <f t="shared" ref="E24:E39" si="0">DEC2HEX(2^0*(2^32-1),8)</f>
        <v>FFFFFFFF</v>
      </c>
    </row>
    <row r="25" spans="1:5" x14ac:dyDescent="0.25">
      <c r="A25" s="46">
        <v>100</v>
      </c>
      <c r="B25" s="46" t="s">
        <v>45</v>
      </c>
      <c r="C25" s="46" t="s">
        <v>107</v>
      </c>
      <c r="D25" s="98" t="str">
        <f>DEC2HEX(MOD(STRUCT!F31,2^8),8)</f>
        <v>00000000</v>
      </c>
      <c r="E25" s="46" t="str">
        <f t="shared" si="0"/>
        <v>FFFFFFFF</v>
      </c>
    </row>
    <row r="26" spans="1:5" x14ac:dyDescent="0.25">
      <c r="A26" s="46">
        <v>100</v>
      </c>
      <c r="B26" s="46" t="s">
        <v>45</v>
      </c>
      <c r="C26" s="46" t="s">
        <v>109</v>
      </c>
      <c r="D26" s="98" t="str">
        <f>DEC2HEX(MOD(STRUCT!F32,2^8),8)</f>
        <v>00000000</v>
      </c>
      <c r="E26" s="46" t="str">
        <f t="shared" si="0"/>
        <v>FFFFFFFF</v>
      </c>
    </row>
    <row r="27" spans="1:5" x14ac:dyDescent="0.25">
      <c r="A27" s="46">
        <v>100</v>
      </c>
      <c r="B27" s="46" t="s">
        <v>45</v>
      </c>
      <c r="C27" s="46" t="s">
        <v>112</v>
      </c>
      <c r="D27" s="98" t="str">
        <f>DEC2HEX(MOD(STRUCT!F33,2^8),8)</f>
        <v>00000000</v>
      </c>
      <c r="E27" s="46" t="str">
        <f t="shared" si="0"/>
        <v>FFFFFFFF</v>
      </c>
    </row>
    <row r="28" spans="1:5" x14ac:dyDescent="0.25">
      <c r="A28" s="46">
        <v>100</v>
      </c>
      <c r="B28" s="46" t="s">
        <v>45</v>
      </c>
      <c r="C28" s="46" t="s">
        <v>114</v>
      </c>
      <c r="D28" s="98" t="str">
        <f>DEC2HEX(MOD(STRUCT!F34,2^8),8)</f>
        <v>00000000</v>
      </c>
      <c r="E28" s="46" t="str">
        <f t="shared" si="0"/>
        <v>FFFFFFFF</v>
      </c>
    </row>
    <row r="29" spans="1:5" x14ac:dyDescent="0.25">
      <c r="A29" s="46">
        <v>100</v>
      </c>
      <c r="B29" s="46" t="s">
        <v>45</v>
      </c>
      <c r="C29" s="46" t="s">
        <v>116</v>
      </c>
      <c r="D29" s="98" t="str">
        <f>DEC2HEX(MOD(STRUCT!F35,2^8),8)</f>
        <v>00000000</v>
      </c>
      <c r="E29" s="46" t="str">
        <f t="shared" si="0"/>
        <v>FFFFFFFF</v>
      </c>
    </row>
    <row r="30" spans="1:5" x14ac:dyDescent="0.25">
      <c r="A30" s="46">
        <v>100</v>
      </c>
      <c r="B30" s="46" t="s">
        <v>45</v>
      </c>
      <c r="C30" s="46" t="s">
        <v>118</v>
      </c>
      <c r="D30" s="98" t="str">
        <f>DEC2HEX(MOD(STRUCT!F36,2^8),8)</f>
        <v>00000000</v>
      </c>
      <c r="E30" s="46" t="str">
        <f t="shared" si="0"/>
        <v>FFFFFFFF</v>
      </c>
    </row>
    <row r="31" spans="1:5" x14ac:dyDescent="0.25">
      <c r="A31" s="46">
        <v>100</v>
      </c>
      <c r="B31" s="46" t="s">
        <v>45</v>
      </c>
      <c r="C31" s="46" t="s">
        <v>120</v>
      </c>
      <c r="D31" s="98" t="str">
        <f>DEC2HEX(MOD(STRUCT!F37,2^8),8)</f>
        <v>00000000</v>
      </c>
      <c r="E31" s="46" t="str">
        <f t="shared" si="0"/>
        <v>FFFFFFFF</v>
      </c>
    </row>
    <row r="32" spans="1:5" x14ac:dyDescent="0.25">
      <c r="A32" s="46">
        <v>100</v>
      </c>
      <c r="B32" s="46" t="s">
        <v>45</v>
      </c>
      <c r="C32" s="46" t="s">
        <v>122</v>
      </c>
      <c r="D32" s="98" t="str">
        <f>DEC2HEX(MOD(STRUCT!F38,2^8),8)</f>
        <v>00000000</v>
      </c>
      <c r="E32" s="46" t="str">
        <f t="shared" si="0"/>
        <v>FFFFFFFF</v>
      </c>
    </row>
    <row r="33" spans="1:5" x14ac:dyDescent="0.25">
      <c r="A33" s="46">
        <v>100</v>
      </c>
      <c r="B33" s="46" t="s">
        <v>45</v>
      </c>
      <c r="C33" s="46" t="s">
        <v>125</v>
      </c>
      <c r="D33" s="98" t="str">
        <f>DEC2HEX(MOD(STRUCT!F39,2^8),8)</f>
        <v>00000000</v>
      </c>
      <c r="E33" s="46" t="str">
        <f t="shared" si="0"/>
        <v>FFFFFFFF</v>
      </c>
    </row>
    <row r="34" spans="1:5" x14ac:dyDescent="0.25">
      <c r="A34" s="46">
        <v>100</v>
      </c>
      <c r="B34" s="46" t="s">
        <v>45</v>
      </c>
      <c r="C34" s="46" t="s">
        <v>127</v>
      </c>
      <c r="D34" s="98" t="str">
        <f>DEC2HEX(MOD(STRUCT!F40,2^8),8)</f>
        <v>00000000</v>
      </c>
      <c r="E34" s="46" t="str">
        <f t="shared" si="0"/>
        <v>FFFFFFFF</v>
      </c>
    </row>
    <row r="35" spans="1:5" x14ac:dyDescent="0.25">
      <c r="A35" s="46">
        <v>100</v>
      </c>
      <c r="B35" s="46" t="s">
        <v>45</v>
      </c>
      <c r="C35" s="46" t="s">
        <v>129</v>
      </c>
      <c r="D35" s="98" t="str">
        <f>DEC2HEX(MOD(STRUCT!F41,2^8),8)</f>
        <v>00000000</v>
      </c>
      <c r="E35" s="46" t="str">
        <f t="shared" si="0"/>
        <v>FFFFFFFF</v>
      </c>
    </row>
    <row r="36" spans="1:5" x14ac:dyDescent="0.25">
      <c r="A36" s="46">
        <v>100</v>
      </c>
      <c r="B36" s="46" t="s">
        <v>45</v>
      </c>
      <c r="C36" s="46" t="s">
        <v>131</v>
      </c>
      <c r="D36" s="98" t="str">
        <f>DEC2HEX(MOD(STRUCT!F42,2^8),8)</f>
        <v>00000000</v>
      </c>
      <c r="E36" s="46" t="str">
        <f t="shared" si="0"/>
        <v>FFFFFFFF</v>
      </c>
    </row>
    <row r="37" spans="1:5" x14ac:dyDescent="0.25">
      <c r="A37" s="46">
        <v>100</v>
      </c>
      <c r="B37" s="46" t="s">
        <v>45</v>
      </c>
      <c r="C37" s="46" t="s">
        <v>133</v>
      </c>
      <c r="D37" s="98" t="str">
        <f>DEC2HEX(MOD(STRUCT!F43,2^8),8)</f>
        <v>00000000</v>
      </c>
      <c r="E37" s="46" t="str">
        <f t="shared" si="0"/>
        <v>FFFFFFFF</v>
      </c>
    </row>
    <row r="38" spans="1:5" x14ac:dyDescent="0.25">
      <c r="A38" s="46">
        <v>100</v>
      </c>
      <c r="B38" s="46" t="s">
        <v>45</v>
      </c>
      <c r="C38" s="46" t="s">
        <v>135</v>
      </c>
      <c r="D38" s="98" t="str">
        <f>DEC2HEX(MOD(STRUCT!F44,2^8),8)</f>
        <v>00000000</v>
      </c>
      <c r="E38" s="46" t="str">
        <f t="shared" si="0"/>
        <v>FFFFFFFF</v>
      </c>
    </row>
    <row r="39" spans="1:5" x14ac:dyDescent="0.25">
      <c r="A39" s="46">
        <v>100</v>
      </c>
      <c r="B39" s="46" t="s">
        <v>45</v>
      </c>
      <c r="C39" s="46" t="s">
        <v>137</v>
      </c>
      <c r="D39" s="98" t="str">
        <f>DEC2HEX(MOD(STRUCT!F45,2^8),8)</f>
        <v>00000000</v>
      </c>
      <c r="E39" s="46" t="str">
        <f t="shared" si="0"/>
        <v>FFFFFFFF</v>
      </c>
    </row>
    <row r="40" spans="1:5" x14ac:dyDescent="0.25">
      <c r="A40" s="46">
        <v>100</v>
      </c>
      <c r="B40" s="46" t="s">
        <v>45</v>
      </c>
      <c r="C40" s="46" t="s">
        <v>157</v>
      </c>
      <c r="D40" s="98" t="str">
        <f>DEC2HEX(2^16*MOD(STRUCT!F62,2^8)+2^0*MOD(STRUCT!F63,2^8),8)</f>
        <v>00300030</v>
      </c>
      <c r="E40" s="46" t="str">
        <f>DEC2HEX(2^16*(2^8-1)+2^0*(2^8-1),8)</f>
        <v>00FF00FF</v>
      </c>
    </row>
    <row r="41" spans="1:5" x14ac:dyDescent="0.25">
      <c r="A41" s="46">
        <v>100</v>
      </c>
      <c r="B41" s="46" t="s">
        <v>45</v>
      </c>
      <c r="C41" s="46" t="s">
        <v>163</v>
      </c>
      <c r="D41" s="98" t="str">
        <f>DEC2HEX(2^16*MOD(STRUCT!F64,2^8)+2^0*MOD(STRUCT!F65,2^8),8)</f>
        <v>000D000D</v>
      </c>
      <c r="E41" s="46" t="str">
        <f t="shared" ref="E41:E56" si="1">DEC2HEX(2^0*(2^32-1),8)</f>
        <v>FFFFFFFF</v>
      </c>
    </row>
    <row r="42" spans="1:5" x14ac:dyDescent="0.25">
      <c r="A42" s="46">
        <v>100</v>
      </c>
      <c r="B42" s="46" t="s">
        <v>26</v>
      </c>
      <c r="C42" s="46" t="s">
        <v>6753</v>
      </c>
      <c r="D42" s="98" t="str">
        <f>DEC2HEX(2^16*MOD(STRUCT!E96,2^8)+2^8*MOD(STRUCT!E97,2^8)+2^0*MOD(STRUCT!E98,2^8),8)</f>
        <v>00042404</v>
      </c>
      <c r="E42" s="46" t="str">
        <f t="shared" si="1"/>
        <v>FFFFFFFF</v>
      </c>
    </row>
    <row r="43" spans="1:5" x14ac:dyDescent="0.25">
      <c r="A43" s="46">
        <v>100</v>
      </c>
      <c r="B43" s="46" t="s">
        <v>26</v>
      </c>
      <c r="C43" s="46" t="s">
        <v>6756</v>
      </c>
      <c r="D43" s="98" t="str">
        <f>DEC2HEX(2^24*MOD(STRUCT!E99,2^8)+2^16*MOD(STRUCT!E100,2^8)+2^8*MOD(STRUCT!E101,2^8)+2^0*MOD(STRUCT!E102,2^8),8)</f>
        <v>201C0004</v>
      </c>
      <c r="E43" s="46" t="str">
        <f t="shared" si="1"/>
        <v>FFFFFFFF</v>
      </c>
    </row>
    <row r="44" spans="1:5" x14ac:dyDescent="0.25">
      <c r="A44" s="46">
        <v>100</v>
      </c>
      <c r="B44" s="46" t="s">
        <v>26</v>
      </c>
      <c r="C44" s="46" t="s">
        <v>6759</v>
      </c>
      <c r="D44" s="98" t="str">
        <f>DEC2HEX(2^0*MOD(STRUCT!E103,2^8),8)</f>
        <v>00000008</v>
      </c>
      <c r="E44" s="46" t="str">
        <f t="shared" si="1"/>
        <v>FFFFFFFF</v>
      </c>
    </row>
    <row r="45" spans="1:5" x14ac:dyDescent="0.25">
      <c r="A45" s="46">
        <v>100</v>
      </c>
      <c r="B45" s="46" t="s">
        <v>26</v>
      </c>
      <c r="C45" s="46" t="s">
        <v>6760</v>
      </c>
      <c r="D45" s="98" t="str">
        <f>DEC2HEX(2^16*MOD(STRUCT!E104,2^8)+2^8*MOD(STRUCT!E105,2^8)+2^0*MOD(STRUCT!E106,2^8),8)</f>
        <v>00042404</v>
      </c>
      <c r="E45" s="46" t="str">
        <f t="shared" si="1"/>
        <v>FFFFFFFF</v>
      </c>
    </row>
    <row r="46" spans="1:5" x14ac:dyDescent="0.25">
      <c r="A46" s="46">
        <v>100</v>
      </c>
      <c r="B46" s="46" t="s">
        <v>26</v>
      </c>
      <c r="C46" s="46" t="s">
        <v>6761</v>
      </c>
      <c r="D46" s="98" t="str">
        <f>DEC2HEX(2^24*MOD(STRUCT!E107,2^8)+2^16*MOD(STRUCT!E108,2^8)+2^8*MOD(STRUCT!E109,2^8)+2^0*MOD(STRUCT!E110,2^8),8)</f>
        <v>201C0004</v>
      </c>
      <c r="E46" s="46" t="str">
        <f t="shared" si="1"/>
        <v>FFFFFFFF</v>
      </c>
    </row>
    <row r="47" spans="1:5" x14ac:dyDescent="0.25">
      <c r="A47" s="46">
        <v>100</v>
      </c>
      <c r="B47" s="46" t="s">
        <v>26</v>
      </c>
      <c r="C47" s="46" t="s">
        <v>6762</v>
      </c>
      <c r="D47" s="98" t="str">
        <f>DEC2HEX(2^0*MOD(STRUCT!E111,2^8),8)</f>
        <v>00000008</v>
      </c>
      <c r="E47" s="46" t="str">
        <f t="shared" si="1"/>
        <v>FFFFFFFF</v>
      </c>
    </row>
    <row r="48" spans="1:5" x14ac:dyDescent="0.25">
      <c r="A48" s="46">
        <v>100</v>
      </c>
      <c r="B48" s="46" t="s">
        <v>26</v>
      </c>
      <c r="C48" s="46" t="s">
        <v>6763</v>
      </c>
      <c r="D48" s="98" t="str">
        <f>DEC2HEX(2^16*MOD(STRUCT!E112,2^8)+2^8*MOD(STRUCT!E113,2^8)+2^0*MOD(STRUCT!E114,2^8),8)</f>
        <v>00042404</v>
      </c>
      <c r="E48" s="46" t="str">
        <f t="shared" si="1"/>
        <v>FFFFFFFF</v>
      </c>
    </row>
    <row r="49" spans="1:6" x14ac:dyDescent="0.25">
      <c r="A49" s="46">
        <v>100</v>
      </c>
      <c r="B49" s="46" t="s">
        <v>26</v>
      </c>
      <c r="C49" s="46" t="s">
        <v>6764</v>
      </c>
      <c r="D49" s="98" t="str">
        <f>DEC2HEX(2^24*MOD(STRUCT!E115,2^8)+2^16*MOD(STRUCT!E116,2^8)+2^8*MOD(STRUCT!E117,2^8)+2^0*MOD(STRUCT!E118,2^8),8)</f>
        <v>201C0004</v>
      </c>
      <c r="E49" s="46" t="str">
        <f t="shared" si="1"/>
        <v>FFFFFFFF</v>
      </c>
    </row>
    <row r="50" spans="1:6" x14ac:dyDescent="0.25">
      <c r="A50" s="46">
        <v>100</v>
      </c>
      <c r="B50" s="46" t="s">
        <v>26</v>
      </c>
      <c r="C50" s="46" t="s">
        <v>6765</v>
      </c>
      <c r="D50" s="98" t="str">
        <f>DEC2HEX(2^0*MOD(STRUCT!E119,2^8),8)</f>
        <v>00000008</v>
      </c>
      <c r="E50" s="46" t="str">
        <f t="shared" si="1"/>
        <v>FFFFFFFF</v>
      </c>
    </row>
    <row r="51" spans="1:6" x14ac:dyDescent="0.25">
      <c r="A51" s="46">
        <v>100</v>
      </c>
      <c r="B51" s="46" t="s">
        <v>26</v>
      </c>
      <c r="C51" s="46" t="s">
        <v>6766</v>
      </c>
      <c r="D51" s="98" t="str">
        <f>DEC2HEX(2^16*MOD(STRUCT!E120,2^8)+2^8*MOD(STRUCT!E121,2^8)+2^0*MOD(STRUCT!E122,2^8),8)</f>
        <v>00042404</v>
      </c>
      <c r="E51" s="46" t="str">
        <f t="shared" si="1"/>
        <v>FFFFFFFF</v>
      </c>
    </row>
    <row r="52" spans="1:6" x14ac:dyDescent="0.25">
      <c r="A52" s="46">
        <v>100</v>
      </c>
      <c r="B52" s="46" t="s">
        <v>26</v>
      </c>
      <c r="C52" s="46" t="s">
        <v>6767</v>
      </c>
      <c r="D52" s="98" t="str">
        <f>DEC2HEX(2^24*MOD(STRUCT!E123,2^8)+2^16*MOD(STRUCT!E124,2^8)+2^8*MOD(STRUCT!E125,2^8)+2^0*MOD(STRUCT!E126,2^8),8)</f>
        <v>201C0004</v>
      </c>
      <c r="E52" s="46" t="str">
        <f t="shared" si="1"/>
        <v>FFFFFFFF</v>
      </c>
    </row>
    <row r="53" spans="1:6" x14ac:dyDescent="0.25">
      <c r="A53" s="46">
        <v>100</v>
      </c>
      <c r="B53" s="46" t="s">
        <v>26</v>
      </c>
      <c r="C53" s="46" t="s">
        <v>6768</v>
      </c>
      <c r="D53" s="98" t="str">
        <f>DEC2HEX(2^0*MOD(STRUCT!E127,2^8),8)</f>
        <v>00000008</v>
      </c>
      <c r="E53" s="46" t="str">
        <f t="shared" si="1"/>
        <v>FFFFFFFF</v>
      </c>
    </row>
    <row r="54" spans="1:6" x14ac:dyDescent="0.25">
      <c r="A54" s="46">
        <v>100</v>
      </c>
      <c r="B54" s="46" t="s">
        <v>32</v>
      </c>
      <c r="C54" s="46" t="s">
        <v>6703</v>
      </c>
      <c r="D54" s="98" t="str">
        <f>DEC2HEX(2^24*MOD(STRUCT!F78,2^8)+2^16*MOD(STRUCT!F79,2^8)+2^8*MOD(STRUCT!F80,2^8)+2^0*MOD(STRUCT!F81,2^8),8)</f>
        <v>01034301</v>
      </c>
      <c r="E54" s="46" t="str">
        <f t="shared" si="1"/>
        <v>FFFFFFFF</v>
      </c>
    </row>
    <row r="55" spans="1:6" x14ac:dyDescent="0.25">
      <c r="A55" s="46">
        <v>100</v>
      </c>
      <c r="B55" s="46" t="s">
        <v>32</v>
      </c>
      <c r="C55" s="46" t="s">
        <v>6705</v>
      </c>
      <c r="D55" s="98" t="str">
        <f>DEC2HEX(2^24*MOD(STRUCT!F82,2^8)+2^16*MOD(STRUCT!F83,2^8)+2^8*MOD(STRUCT!F84,2^8)+2^0*MOD(STRUCT!F85,2^8),8)</f>
        <v>00000003</v>
      </c>
      <c r="E55" s="46" t="str">
        <f t="shared" si="1"/>
        <v>FFFFFFFF</v>
      </c>
    </row>
    <row r="56" spans="1:6" x14ac:dyDescent="0.25">
      <c r="A56" s="46">
        <v>100</v>
      </c>
      <c r="B56" s="46" t="s">
        <v>32</v>
      </c>
      <c r="C56" s="46" t="s">
        <v>6706</v>
      </c>
      <c r="D56" s="98" t="str">
        <f>DEC2HEX(2^0*MOD(STRUCT!F86,2^8),8)</f>
        <v>0000005F</v>
      </c>
      <c r="E56" s="46" t="str">
        <f t="shared" si="1"/>
        <v>FFFFFFFF</v>
      </c>
    </row>
    <row r="57" spans="1:6" x14ac:dyDescent="0.25">
      <c r="A57" s="46">
        <v>100</v>
      </c>
      <c r="B57" s="46" t="s">
        <v>25</v>
      </c>
      <c r="C57" s="46" t="s">
        <v>6592</v>
      </c>
      <c r="D57" s="98" t="str">
        <f>DEC2HEX(2^24*MOD(STRUCT!F87,2^8)+2^16*MOD(STRUCT!F88,2^8)+2^8*MOD(STRUCT!F89,2^8)+2^0*MOD(STRUCT!F90,2^8),8)</f>
        <v>01030601</v>
      </c>
      <c r="E57" s="46" t="s">
        <v>2233</v>
      </c>
      <c r="F57" s="81" t="s">
        <v>7285</v>
      </c>
    </row>
    <row r="58" spans="1:6" x14ac:dyDescent="0.25">
      <c r="A58" s="46">
        <v>100</v>
      </c>
      <c r="B58" s="46" t="s">
        <v>25</v>
      </c>
      <c r="C58" s="46" t="s">
        <v>6595</v>
      </c>
      <c r="D58" s="98" t="str">
        <f>DEC2HEX(2^24*MOD(STRUCT!F91,2^1)+2^16*MOD(STRUCT!F92,2^8)+2^8*MOD(STRUCT!F93,2^8)+2^0*MOD(STRUCT!F94,2^8),8)</f>
        <v>00000003</v>
      </c>
      <c r="E58" s="46" t="s">
        <v>2233</v>
      </c>
      <c r="F58" s="81" t="s">
        <v>7285</v>
      </c>
    </row>
    <row r="59" spans="1:6" x14ac:dyDescent="0.25">
      <c r="A59" s="46">
        <v>100</v>
      </c>
      <c r="B59" s="46" t="s">
        <v>25</v>
      </c>
      <c r="C59" s="46" t="s">
        <v>6596</v>
      </c>
      <c r="D59" s="98" t="str">
        <f>DEC2HEX(2^0*MOD(STRUCT!F95,2^8),8)</f>
        <v>00000009</v>
      </c>
      <c r="E59" s="46" t="s">
        <v>2233</v>
      </c>
      <c r="F59" s="81" t="s">
        <v>7285</v>
      </c>
    </row>
    <row r="60" spans="1:6" x14ac:dyDescent="0.25">
      <c r="A60" s="46">
        <v>100</v>
      </c>
      <c r="B60" s="46" t="s">
        <v>37</v>
      </c>
      <c r="C60" s="46" t="s">
        <v>2443</v>
      </c>
      <c r="D60" s="98" t="str">
        <f>DEC2HEX(2^24*MOD(STRUCT!E155,2^8)+2^16*MOD(STRUCT!E156,2^8)+2^8*MOD(STRUCT!E153,2^8)+2^0*MOD(STRUCT!E154,2^8),8)</f>
        <v>0A0A0101</v>
      </c>
      <c r="E60" s="46" t="s">
        <v>2234</v>
      </c>
    </row>
    <row r="61" spans="1:6" x14ac:dyDescent="0.25">
      <c r="A61" s="46">
        <v>100</v>
      </c>
      <c r="B61" s="46" t="s">
        <v>37</v>
      </c>
      <c r="C61" s="46" t="s">
        <v>2453</v>
      </c>
      <c r="D61" s="98" t="str">
        <f>DEC2HEX(2^24*MOD(STRUCT!E159,2^8)+2^16*MOD(STRUCT!E160,2^8)+2^8*MOD(STRUCT!E157,2^8)+2^0*MOD(STRUCT!E158,2^8),8)</f>
        <v>0A0A0101</v>
      </c>
      <c r="E61" s="46" t="s">
        <v>2234</v>
      </c>
    </row>
    <row r="62" spans="1:6" x14ac:dyDescent="0.25">
      <c r="A62" s="46">
        <v>100</v>
      </c>
      <c r="B62" s="46" t="s">
        <v>37</v>
      </c>
      <c r="C62" s="46" t="s">
        <v>2457</v>
      </c>
      <c r="D62" s="98" t="str">
        <f>DEC2HEX(2^24*MOD(STRUCT!E163,2^8)+2^16*MOD(STRUCT!E164,2^8)+2^8*MOD(STRUCT!E161,2^8)+2^0*MOD(STRUCT!E162,2^8),8)</f>
        <v>0A0A0101</v>
      </c>
      <c r="E62" s="46" t="s">
        <v>2234</v>
      </c>
    </row>
    <row r="63" spans="1:6" x14ac:dyDescent="0.25">
      <c r="A63" s="46">
        <v>100</v>
      </c>
      <c r="B63" s="46" t="s">
        <v>37</v>
      </c>
      <c r="C63" s="46" t="s">
        <v>2463</v>
      </c>
      <c r="D63" s="98" t="str">
        <f>DEC2HEX(2^24*MOD(STRUCT!E167,2^8)+2^16*MOD(STRUCT!E168,2^8)+2^8*MOD(STRUCT!E165,2^8)+2^0*MOD(STRUCT!E166,2^8),8)</f>
        <v>0A0A0101</v>
      </c>
      <c r="E63" s="46" t="s">
        <v>2234</v>
      </c>
    </row>
    <row r="64" spans="1:6" x14ac:dyDescent="0.25">
      <c r="A64" s="46">
        <v>100</v>
      </c>
      <c r="B64" s="46" t="s">
        <v>37</v>
      </c>
      <c r="C64" s="46" t="s">
        <v>2446</v>
      </c>
      <c r="D64" s="98" t="str">
        <f>DEC2HEX(2^24*MOD(STRUCT!E171,2^8)+2^16*MOD(STRUCT!E172,2^8)+2^8*MOD(STRUCT!E169,2^8)+2^0*MOD(STRUCT!E170,2^8),8)</f>
        <v>0A0A0A0A</v>
      </c>
      <c r="E64" s="46" t="s">
        <v>2234</v>
      </c>
    </row>
    <row r="65" spans="1:5" x14ac:dyDescent="0.25">
      <c r="A65" s="46">
        <v>100</v>
      </c>
      <c r="B65" s="46" t="s">
        <v>37</v>
      </c>
      <c r="C65" s="46" t="s">
        <v>2454</v>
      </c>
      <c r="D65" s="98" t="str">
        <f>DEC2HEX(2^24*MOD(STRUCT!E175,2^8)+2^16*MOD(STRUCT!E176,2^8)+2^8*MOD(STRUCT!E173,2^8)+2^0*MOD(STRUCT!E174,2^8),8)</f>
        <v>0A0A0A0A</v>
      </c>
      <c r="E65" s="46" t="s">
        <v>2234</v>
      </c>
    </row>
    <row r="66" spans="1:5" x14ac:dyDescent="0.25">
      <c r="A66" s="46">
        <v>100</v>
      </c>
      <c r="B66" s="46" t="s">
        <v>37</v>
      </c>
      <c r="C66" s="46" t="s">
        <v>2458</v>
      </c>
      <c r="D66" s="98" t="str">
        <f>DEC2HEX(2^24*MOD(STRUCT!E179,2^8)+2^16*MOD(STRUCT!E180,2^8)+2^8*MOD(STRUCT!E177,2^8)+2^0*MOD(STRUCT!E178,2^8),8)</f>
        <v>0A0A0A0A</v>
      </c>
      <c r="E66" s="46" t="s">
        <v>2234</v>
      </c>
    </row>
    <row r="67" spans="1:5" x14ac:dyDescent="0.25">
      <c r="A67" s="46">
        <v>100</v>
      </c>
      <c r="B67" s="46" t="s">
        <v>37</v>
      </c>
      <c r="C67" s="46" t="s">
        <v>2465</v>
      </c>
      <c r="D67" s="98" t="str">
        <f>DEC2HEX(2^24*MOD(STRUCT!E183,2^8)+2^16*MOD(STRUCT!E184,2^8)+2^8*MOD(STRUCT!E181,2^8)+2^0*MOD(STRUCT!E182,2^8),8)</f>
        <v>0A0A0A0A</v>
      </c>
      <c r="E67" s="46" t="s">
        <v>2234</v>
      </c>
    </row>
    <row r="68" spans="1:5" x14ac:dyDescent="0.25">
      <c r="A68" s="46">
        <v>100</v>
      </c>
      <c r="B68" s="46" t="s">
        <v>37</v>
      </c>
      <c r="C68" s="46" t="s">
        <v>2399</v>
      </c>
      <c r="D68" s="98" t="str">
        <f>DEC2HEX(2^24*MOD(STRUCT!E185,2^8)+2^16*MOD(STRUCT!E186,2^8)+2^8*MOD(STRUCT!E187,2^8)+2^0*MOD(STRUCT!E188,2^8),8)</f>
        <v>019D9D9D</v>
      </c>
      <c r="E68" s="46" t="s">
        <v>2234</v>
      </c>
    </row>
    <row r="69" spans="1:5" x14ac:dyDescent="0.25">
      <c r="A69" s="46">
        <v>100</v>
      </c>
      <c r="B69" s="46" t="s">
        <v>37</v>
      </c>
      <c r="C69" s="46" t="s">
        <v>2396</v>
      </c>
      <c r="D69" s="98" t="str">
        <f>DEC2HEX(2^24*MOD(STRUCT!E189,2^8)+2^16*MOD(STRUCT!E190,2^8)+2^8*MOD(STRUCT!E191,2^8)+2^0*MOD(STRUCT!E192,2^8),8)</f>
        <v>9D9D9D9D</v>
      </c>
      <c r="E69" s="46" t="s">
        <v>2234</v>
      </c>
    </row>
    <row r="70" spans="1:5" x14ac:dyDescent="0.25">
      <c r="A70" s="46">
        <v>100</v>
      </c>
      <c r="B70" s="46" t="s">
        <v>37</v>
      </c>
      <c r="C70" s="46" t="s">
        <v>2404</v>
      </c>
      <c r="D70" s="98" t="str">
        <f>DEC2HEX(2^24*MOD(STRUCT!E193,2^8)+2^16*MOD(STRUCT!E194,2^8)+2^8*MOD(STRUCT!E195,2^8)+2^0*MOD(STRUCT!E196,2^8),8)</f>
        <v>019D9D9D</v>
      </c>
      <c r="E70" s="46" t="s">
        <v>2234</v>
      </c>
    </row>
    <row r="71" spans="1:5" x14ac:dyDescent="0.25">
      <c r="A71" s="46">
        <v>100</v>
      </c>
      <c r="B71" s="46" t="s">
        <v>37</v>
      </c>
      <c r="C71" s="46" t="s">
        <v>2403</v>
      </c>
      <c r="D71" s="98" t="str">
        <f>DEC2HEX(2^24*MOD(STRUCT!E197,2^8)+2^16*MOD(STRUCT!E198,2^8)+2^8*MOD(STRUCT!E199,2^8)+2^0*MOD(STRUCT!E200,2^8),8)</f>
        <v>9D9D9D9D</v>
      </c>
      <c r="E71" s="46" t="s">
        <v>2234</v>
      </c>
    </row>
    <row r="72" spans="1:5" x14ac:dyDescent="0.25">
      <c r="A72" s="46">
        <v>100</v>
      </c>
      <c r="B72" s="46" t="s">
        <v>37</v>
      </c>
      <c r="C72" s="46" t="s">
        <v>2407</v>
      </c>
      <c r="D72" s="98" t="str">
        <f>DEC2HEX(2^24*MOD(STRUCT!E201,2^8)+2^16*MOD(STRUCT!E202,2^8)+2^8*MOD(STRUCT!E203,2^8)+2^0*MOD(STRUCT!E204,2^8),8)</f>
        <v>019D9D9D</v>
      </c>
      <c r="E72" s="46" t="s">
        <v>2234</v>
      </c>
    </row>
    <row r="73" spans="1:5" x14ac:dyDescent="0.25">
      <c r="A73" s="46">
        <v>100</v>
      </c>
      <c r="B73" s="46" t="s">
        <v>37</v>
      </c>
      <c r="C73" s="46" t="s">
        <v>2406</v>
      </c>
      <c r="D73" s="98" t="str">
        <f>DEC2HEX(2^24*MOD(STRUCT!E205,2^8)+2^16*MOD(STRUCT!E206,2^8)+2^8*MOD(STRUCT!E207,2^8)+2^0*MOD(STRUCT!E208,2^8),8)</f>
        <v>9D9D9D9D</v>
      </c>
      <c r="E73" s="46" t="s">
        <v>2234</v>
      </c>
    </row>
    <row r="74" spans="1:5" x14ac:dyDescent="0.25">
      <c r="A74" s="46">
        <v>100</v>
      </c>
      <c r="B74" s="46" t="s">
        <v>37</v>
      </c>
      <c r="C74" s="46" t="s">
        <v>2410</v>
      </c>
      <c r="D74" s="98" t="str">
        <f>DEC2HEX(2^24*MOD(STRUCT!E209,2^8)+2^16*MOD(STRUCT!E210,2^8)+2^8*MOD(STRUCT!E211,2^8)+2^0*MOD(STRUCT!E212,2^8),8)</f>
        <v>019D9D9D</v>
      </c>
      <c r="E74" s="46" t="s">
        <v>2234</v>
      </c>
    </row>
    <row r="75" spans="1:5" x14ac:dyDescent="0.25">
      <c r="A75" s="46">
        <v>100</v>
      </c>
      <c r="B75" s="46" t="s">
        <v>37</v>
      </c>
      <c r="C75" s="46" t="s">
        <v>2409</v>
      </c>
      <c r="D75" s="98" t="str">
        <f>DEC2HEX(2^24*MOD(STRUCT!E213,2^8)+2^16*MOD(STRUCT!E214,2^8)+2^8*MOD(STRUCT!E215,2^8)+2^0*MOD(STRUCT!E216,2^8),8)</f>
        <v>9D9D9D9D</v>
      </c>
      <c r="E75" s="46" t="s">
        <v>2234</v>
      </c>
    </row>
    <row r="76" spans="1:5" x14ac:dyDescent="0.25">
      <c r="A76" s="46">
        <v>100</v>
      </c>
      <c r="B76" s="46" t="s">
        <v>37</v>
      </c>
      <c r="C76" s="63" t="s">
        <v>2429</v>
      </c>
      <c r="D76" s="98" t="str">
        <f>DEC2HEX(2^6*MOD(STRUCT!E217,2^1),8)</f>
        <v>00000000</v>
      </c>
      <c r="E76" s="46" t="s">
        <v>498</v>
      </c>
    </row>
    <row r="77" spans="1:5" x14ac:dyDescent="0.25">
      <c r="A77" s="46">
        <v>100</v>
      </c>
      <c r="B77" s="46" t="s">
        <v>37</v>
      </c>
      <c r="C77" s="63" t="s">
        <v>2433</v>
      </c>
      <c r="D77" s="98" t="str">
        <f>DEC2HEX(2^6*MOD(STRUCT!E218,2^1),8)</f>
        <v>00000000</v>
      </c>
      <c r="E77" s="46" t="s">
        <v>498</v>
      </c>
    </row>
    <row r="78" spans="1:5" x14ac:dyDescent="0.25">
      <c r="A78" s="46">
        <v>100</v>
      </c>
      <c r="B78" s="46" t="s">
        <v>37</v>
      </c>
      <c r="C78" s="63" t="s">
        <v>2438</v>
      </c>
      <c r="D78" s="98" t="str">
        <f>DEC2HEX(2^6*MOD(STRUCT!E219,2^1),8)</f>
        <v>00000000</v>
      </c>
      <c r="E78" s="46" t="s">
        <v>498</v>
      </c>
    </row>
    <row r="79" spans="1:5" x14ac:dyDescent="0.25">
      <c r="A79" s="46">
        <v>100</v>
      </c>
      <c r="B79" s="46" t="s">
        <v>37</v>
      </c>
      <c r="C79" s="63" t="s">
        <v>2442</v>
      </c>
      <c r="D79" s="98" t="str">
        <f>DEC2HEX(2^6*MOD(STRUCT!E220,2^1),8)</f>
        <v>00000000</v>
      </c>
      <c r="E79" s="46" t="s">
        <v>498</v>
      </c>
    </row>
    <row r="80" spans="1:5" x14ac:dyDescent="0.25">
      <c r="A80" s="46">
        <v>200</v>
      </c>
      <c r="B80" s="46" t="s">
        <v>44</v>
      </c>
      <c r="C80" s="46" t="s">
        <v>78</v>
      </c>
      <c r="D80" s="98" t="str">
        <f>DEC2HEX(2^24*MOD(STRUCT!G14,2^8)+2^16*MOD(STRUCT!G15,2^8)+2^8*MOD(STRUCT!G16,2^8)+2^0*MOD(STRUCT!G17,2^8),8)</f>
        <v>00000000</v>
      </c>
      <c r="E80" s="46" t="s">
        <v>2234</v>
      </c>
    </row>
    <row r="81" spans="1:5" x14ac:dyDescent="0.25">
      <c r="A81" s="46">
        <v>200</v>
      </c>
      <c r="B81" s="46" t="s">
        <v>44</v>
      </c>
      <c r="C81" s="46" t="s">
        <v>86</v>
      </c>
      <c r="D81" s="98" t="str">
        <f>DEC2HEX(2^24*MOD(STRUCT!G18,2^8)+2^16*MOD(STRUCT!G19,2^8)+2^8*MOD(STRUCT!G20,2^8)+2^0*MOD(STRUCT!G21,2^8),8)</f>
        <v>00000000</v>
      </c>
      <c r="E81" s="46" t="s">
        <v>2234</v>
      </c>
    </row>
    <row r="82" spans="1:5" x14ac:dyDescent="0.25">
      <c r="A82" s="46">
        <v>200</v>
      </c>
      <c r="B82" s="46" t="s">
        <v>44</v>
      </c>
      <c r="C82" s="46" t="s">
        <v>7281</v>
      </c>
      <c r="D82" s="98" t="str">
        <f>DEC2HEX(2^20*MOD(STRUCT!G22,2^8)+2^0*MOD(STRUCT!G23,2^14),8)</f>
        <v>00100000</v>
      </c>
      <c r="E82" s="46" t="s">
        <v>2234</v>
      </c>
    </row>
    <row r="83" spans="1:5" x14ac:dyDescent="0.25">
      <c r="A83" s="46">
        <v>200</v>
      </c>
      <c r="B83" s="46" t="s">
        <v>44</v>
      </c>
      <c r="C83" s="46" t="s">
        <v>7282</v>
      </c>
      <c r="D83" s="98" t="str">
        <f>DEC2HEX(2^20*MOD(STRUCT!G24,2^8)+2^0*MOD(STRUCT!G25,2^14),8)</f>
        <v>00100000</v>
      </c>
      <c r="E83" s="46" t="s">
        <v>2234</v>
      </c>
    </row>
    <row r="84" spans="1:5" x14ac:dyDescent="0.25">
      <c r="A84" s="46">
        <v>200</v>
      </c>
      <c r="B84" s="46" t="s">
        <v>44</v>
      </c>
      <c r="C84" s="46" t="s">
        <v>7283</v>
      </c>
      <c r="D84" s="98" t="str">
        <f>DEC2HEX(2^20*MOD(STRUCT!G26,2^8)+2^0*MOD(STRUCT!G27,2^14),8)</f>
        <v>00300000</v>
      </c>
      <c r="E84" s="46" t="s">
        <v>2234</v>
      </c>
    </row>
    <row r="85" spans="1:5" x14ac:dyDescent="0.25">
      <c r="A85" s="46">
        <v>200</v>
      </c>
      <c r="B85" s="46" t="s">
        <v>44</v>
      </c>
      <c r="C85" s="46" t="s">
        <v>7284</v>
      </c>
      <c r="D85" s="98" t="str">
        <f>DEC2HEX(2^20*MOD(STRUCT!G28,2^8)+2^0*MOD(STRUCT!G29,2^14),8)</f>
        <v>00300000</v>
      </c>
      <c r="E85" s="46" t="s">
        <v>2234</v>
      </c>
    </row>
    <row r="86" spans="1:5" x14ac:dyDescent="0.25">
      <c r="A86" s="46">
        <v>200</v>
      </c>
      <c r="B86" s="46" t="s">
        <v>45</v>
      </c>
      <c r="C86" s="46" t="s">
        <v>139</v>
      </c>
      <c r="D86" s="98" t="str">
        <f>DEC2HEX(MOD(STRUCT!G46,2^1),8)</f>
        <v>00000001</v>
      </c>
      <c r="E86" s="46" t="s">
        <v>2234</v>
      </c>
    </row>
    <row r="87" spans="1:5" x14ac:dyDescent="0.25">
      <c r="A87" s="46">
        <v>200</v>
      </c>
      <c r="B87" s="46" t="s">
        <v>45</v>
      </c>
      <c r="C87" s="46" t="s">
        <v>142</v>
      </c>
      <c r="D87" s="98" t="str">
        <f>DEC2HEX(MOD(STRUCT!G47,2^1),8)</f>
        <v>00000000</v>
      </c>
      <c r="E87" s="46" t="s">
        <v>2234</v>
      </c>
    </row>
    <row r="88" spans="1:5" x14ac:dyDescent="0.25">
      <c r="A88" s="46">
        <v>200</v>
      </c>
      <c r="B88" s="46" t="s">
        <v>45</v>
      </c>
      <c r="C88" s="46" t="s">
        <v>143</v>
      </c>
      <c r="D88" s="98" t="str">
        <f>DEC2HEX(MOD(STRUCT!G48,2^1),8)</f>
        <v>00000000</v>
      </c>
      <c r="E88" s="46" t="s">
        <v>2234</v>
      </c>
    </row>
    <row r="89" spans="1:5" x14ac:dyDescent="0.25">
      <c r="A89" s="46">
        <v>200</v>
      </c>
      <c r="B89" s="46" t="s">
        <v>45</v>
      </c>
      <c r="C89" s="46" t="s">
        <v>144</v>
      </c>
      <c r="D89" s="98" t="str">
        <f>DEC2HEX(MOD(STRUCT!G49,2^1),8)</f>
        <v>00000001</v>
      </c>
      <c r="E89" s="46" t="s">
        <v>2234</v>
      </c>
    </row>
    <row r="90" spans="1:5" x14ac:dyDescent="0.25">
      <c r="A90" s="46">
        <v>200</v>
      </c>
      <c r="B90" s="46" t="s">
        <v>45</v>
      </c>
      <c r="C90" s="46" t="s">
        <v>145</v>
      </c>
      <c r="D90" s="98" t="str">
        <f>DEC2HEX(MOD(STRUCT!G50,2^1),8)</f>
        <v>00000001</v>
      </c>
      <c r="E90" s="46" t="s">
        <v>2234</v>
      </c>
    </row>
    <row r="91" spans="1:5" x14ac:dyDescent="0.25">
      <c r="A91" s="46">
        <v>200</v>
      </c>
      <c r="B91" s="46" t="s">
        <v>45</v>
      </c>
      <c r="C91" s="46" t="s">
        <v>146</v>
      </c>
      <c r="D91" s="98" t="str">
        <f>DEC2HEX(MOD(STRUCT!G51,2^1),8)</f>
        <v>00000000</v>
      </c>
      <c r="E91" s="46" t="s">
        <v>2234</v>
      </c>
    </row>
    <row r="92" spans="1:5" x14ac:dyDescent="0.25">
      <c r="A92" s="46">
        <v>200</v>
      </c>
      <c r="B92" s="46" t="s">
        <v>45</v>
      </c>
      <c r="C92" s="46" t="s">
        <v>147</v>
      </c>
      <c r="D92" s="98" t="str">
        <f>DEC2HEX(MOD(STRUCT!G52,2^1),8)</f>
        <v>00000000</v>
      </c>
      <c r="E92" s="46" t="s">
        <v>2234</v>
      </c>
    </row>
    <row r="93" spans="1:5" x14ac:dyDescent="0.25">
      <c r="A93" s="46">
        <v>200</v>
      </c>
      <c r="B93" s="46" t="s">
        <v>45</v>
      </c>
      <c r="C93" s="46" t="s">
        <v>148</v>
      </c>
      <c r="D93" s="98" t="str">
        <f>DEC2HEX(MOD(STRUCT!G53,2^1),8)</f>
        <v>00000000</v>
      </c>
      <c r="E93" s="46" t="s">
        <v>2234</v>
      </c>
    </row>
    <row r="94" spans="1:5" x14ac:dyDescent="0.25">
      <c r="A94" s="46">
        <v>200</v>
      </c>
      <c r="B94" s="46" t="s">
        <v>45</v>
      </c>
      <c r="C94" s="46" t="s">
        <v>149</v>
      </c>
      <c r="D94" s="98" t="str">
        <f>DEC2HEX(MOD(STRUCT!G54,2^1),8)</f>
        <v>00000001</v>
      </c>
      <c r="E94" s="46" t="s">
        <v>2234</v>
      </c>
    </row>
    <row r="95" spans="1:5" x14ac:dyDescent="0.25">
      <c r="A95" s="46">
        <v>200</v>
      </c>
      <c r="B95" s="46" t="s">
        <v>45</v>
      </c>
      <c r="C95" s="46" t="s">
        <v>150</v>
      </c>
      <c r="D95" s="98" t="str">
        <f>DEC2HEX(MOD(STRUCT!G55,2^1),8)</f>
        <v>00000000</v>
      </c>
      <c r="E95" s="46" t="s">
        <v>2234</v>
      </c>
    </row>
    <row r="96" spans="1:5" x14ac:dyDescent="0.25">
      <c r="A96" s="46">
        <v>200</v>
      </c>
      <c r="B96" s="46" t="s">
        <v>45</v>
      </c>
      <c r="C96" s="46" t="s">
        <v>151</v>
      </c>
      <c r="D96" s="98" t="str">
        <f>DEC2HEX(MOD(STRUCT!G56,2^1),8)</f>
        <v>00000000</v>
      </c>
      <c r="E96" s="46" t="s">
        <v>2234</v>
      </c>
    </row>
    <row r="97" spans="1:5" x14ac:dyDescent="0.25">
      <c r="A97" s="46">
        <v>200</v>
      </c>
      <c r="B97" s="46" t="s">
        <v>45</v>
      </c>
      <c r="C97" s="46" t="s">
        <v>152</v>
      </c>
      <c r="D97" s="98" t="str">
        <f>DEC2HEX(MOD(STRUCT!G57,2^1),8)</f>
        <v>00000000</v>
      </c>
      <c r="E97" s="46" t="s">
        <v>2234</v>
      </c>
    </row>
    <row r="98" spans="1:5" x14ac:dyDescent="0.25">
      <c r="A98" s="46">
        <v>200</v>
      </c>
      <c r="B98" s="46" t="s">
        <v>45</v>
      </c>
      <c r="C98" s="46" t="s">
        <v>153</v>
      </c>
      <c r="D98" s="98" t="str">
        <f>DEC2HEX(MOD(STRUCT!G58,2^1),8)</f>
        <v>00000001</v>
      </c>
      <c r="E98" s="46" t="s">
        <v>2234</v>
      </c>
    </row>
    <row r="99" spans="1:5" x14ac:dyDescent="0.25">
      <c r="A99" s="46">
        <v>200</v>
      </c>
      <c r="B99" s="46" t="s">
        <v>45</v>
      </c>
      <c r="C99" s="46" t="s">
        <v>154</v>
      </c>
      <c r="D99" s="98" t="str">
        <f>DEC2HEX(MOD(STRUCT!G59,2^1),8)</f>
        <v>00000000</v>
      </c>
      <c r="E99" s="46" t="s">
        <v>2234</v>
      </c>
    </row>
    <row r="100" spans="1:5" x14ac:dyDescent="0.25">
      <c r="A100" s="46">
        <v>200</v>
      </c>
      <c r="B100" s="46" t="s">
        <v>45</v>
      </c>
      <c r="C100" s="46" t="s">
        <v>155</v>
      </c>
      <c r="D100" s="98" t="str">
        <f>DEC2HEX(MOD(STRUCT!G60,2^1),8)</f>
        <v>00000000</v>
      </c>
      <c r="E100" s="46" t="s">
        <v>2234</v>
      </c>
    </row>
    <row r="101" spans="1:5" x14ac:dyDescent="0.25">
      <c r="A101" s="46">
        <v>200</v>
      </c>
      <c r="B101" s="46" t="s">
        <v>45</v>
      </c>
      <c r="C101" s="46" t="s">
        <v>156</v>
      </c>
      <c r="D101" s="98" t="str">
        <f>DEC2HEX(MOD(STRUCT!G61,2^1),8)</f>
        <v>00000001</v>
      </c>
      <c r="E101" s="46" t="s">
        <v>2234</v>
      </c>
    </row>
    <row r="102" spans="1:5" x14ac:dyDescent="0.25">
      <c r="A102" s="46">
        <v>200</v>
      </c>
      <c r="B102" s="46" t="s">
        <v>45</v>
      </c>
      <c r="C102" s="46" t="s">
        <v>103</v>
      </c>
      <c r="D102" s="98" t="str">
        <f>DEC2HEX(MOD(STRUCT!G30,2^8),8)</f>
        <v>00000000</v>
      </c>
      <c r="E102" s="46" t="str">
        <f t="shared" ref="E102:E117" si="2">DEC2HEX(2^0*(2^32-1),8)</f>
        <v>FFFFFFFF</v>
      </c>
    </row>
    <row r="103" spans="1:5" x14ac:dyDescent="0.25">
      <c r="A103" s="46">
        <v>200</v>
      </c>
      <c r="B103" s="46" t="s">
        <v>45</v>
      </c>
      <c r="C103" s="46" t="s">
        <v>107</v>
      </c>
      <c r="D103" s="98" t="str">
        <f>DEC2HEX(MOD(STRUCT!G31,2^8),8)</f>
        <v>00000000</v>
      </c>
      <c r="E103" s="46" t="str">
        <f t="shared" si="2"/>
        <v>FFFFFFFF</v>
      </c>
    </row>
    <row r="104" spans="1:5" x14ac:dyDescent="0.25">
      <c r="A104" s="46">
        <v>200</v>
      </c>
      <c r="B104" s="46" t="s">
        <v>45</v>
      </c>
      <c r="C104" s="46" t="s">
        <v>109</v>
      </c>
      <c r="D104" s="98" t="str">
        <f>DEC2HEX(MOD(STRUCT!G32,2^8),8)</f>
        <v>00000000</v>
      </c>
      <c r="E104" s="46" t="str">
        <f t="shared" si="2"/>
        <v>FFFFFFFF</v>
      </c>
    </row>
    <row r="105" spans="1:5" x14ac:dyDescent="0.25">
      <c r="A105" s="46">
        <v>200</v>
      </c>
      <c r="B105" s="46" t="s">
        <v>45</v>
      </c>
      <c r="C105" s="46" t="s">
        <v>112</v>
      </c>
      <c r="D105" s="98" t="str">
        <f>DEC2HEX(MOD(STRUCT!G33,2^8),8)</f>
        <v>00000000</v>
      </c>
      <c r="E105" s="46" t="str">
        <f t="shared" si="2"/>
        <v>FFFFFFFF</v>
      </c>
    </row>
    <row r="106" spans="1:5" x14ac:dyDescent="0.25">
      <c r="A106" s="46">
        <v>200</v>
      </c>
      <c r="B106" s="46" t="s">
        <v>45</v>
      </c>
      <c r="C106" s="46" t="s">
        <v>114</v>
      </c>
      <c r="D106" s="98" t="str">
        <f>DEC2HEX(MOD(STRUCT!G34,2^8),8)</f>
        <v>00000000</v>
      </c>
      <c r="E106" s="46" t="str">
        <f t="shared" si="2"/>
        <v>FFFFFFFF</v>
      </c>
    </row>
    <row r="107" spans="1:5" x14ac:dyDescent="0.25">
      <c r="A107" s="46">
        <v>200</v>
      </c>
      <c r="B107" s="46" t="s">
        <v>45</v>
      </c>
      <c r="C107" s="46" t="s">
        <v>116</v>
      </c>
      <c r="D107" s="98" t="str">
        <f>DEC2HEX(MOD(STRUCT!G35,2^8),8)</f>
        <v>00000000</v>
      </c>
      <c r="E107" s="46" t="str">
        <f t="shared" si="2"/>
        <v>FFFFFFFF</v>
      </c>
    </row>
    <row r="108" spans="1:5" x14ac:dyDescent="0.25">
      <c r="A108" s="46">
        <v>200</v>
      </c>
      <c r="B108" s="46" t="s">
        <v>45</v>
      </c>
      <c r="C108" s="46" t="s">
        <v>118</v>
      </c>
      <c r="D108" s="98" t="str">
        <f>DEC2HEX(MOD(STRUCT!G36,2^8),8)</f>
        <v>00000000</v>
      </c>
      <c r="E108" s="46" t="str">
        <f t="shared" si="2"/>
        <v>FFFFFFFF</v>
      </c>
    </row>
    <row r="109" spans="1:5" x14ac:dyDescent="0.25">
      <c r="A109" s="46">
        <v>200</v>
      </c>
      <c r="B109" s="46" t="s">
        <v>45</v>
      </c>
      <c r="C109" s="46" t="s">
        <v>120</v>
      </c>
      <c r="D109" s="98" t="str">
        <f>DEC2HEX(MOD(STRUCT!G37,2^8),8)</f>
        <v>00000000</v>
      </c>
      <c r="E109" s="46" t="str">
        <f t="shared" si="2"/>
        <v>FFFFFFFF</v>
      </c>
    </row>
    <row r="110" spans="1:5" x14ac:dyDescent="0.25">
      <c r="A110" s="46">
        <v>200</v>
      </c>
      <c r="B110" s="46" t="s">
        <v>45</v>
      </c>
      <c r="C110" s="46" t="s">
        <v>122</v>
      </c>
      <c r="D110" s="98" t="str">
        <f>DEC2HEX(MOD(STRUCT!G38,2^8),8)</f>
        <v>00000000</v>
      </c>
      <c r="E110" s="46" t="str">
        <f t="shared" si="2"/>
        <v>FFFFFFFF</v>
      </c>
    </row>
    <row r="111" spans="1:5" x14ac:dyDescent="0.25">
      <c r="A111" s="46">
        <v>200</v>
      </c>
      <c r="B111" s="46" t="s">
        <v>45</v>
      </c>
      <c r="C111" s="46" t="s">
        <v>125</v>
      </c>
      <c r="D111" s="98" t="str">
        <f>DEC2HEX(MOD(STRUCT!G39,2^8),8)</f>
        <v>00000000</v>
      </c>
      <c r="E111" s="46" t="str">
        <f t="shared" si="2"/>
        <v>FFFFFFFF</v>
      </c>
    </row>
    <row r="112" spans="1:5" x14ac:dyDescent="0.25">
      <c r="A112" s="46">
        <v>200</v>
      </c>
      <c r="B112" s="46" t="s">
        <v>45</v>
      </c>
      <c r="C112" s="46" t="s">
        <v>127</v>
      </c>
      <c r="D112" s="98" t="str">
        <f>DEC2HEX(MOD(STRUCT!G40,2^8),8)</f>
        <v>00000000</v>
      </c>
      <c r="E112" s="46" t="str">
        <f t="shared" si="2"/>
        <v>FFFFFFFF</v>
      </c>
    </row>
    <row r="113" spans="1:5" x14ac:dyDescent="0.25">
      <c r="A113" s="46">
        <v>200</v>
      </c>
      <c r="B113" s="46" t="s">
        <v>45</v>
      </c>
      <c r="C113" s="46" t="s">
        <v>129</v>
      </c>
      <c r="D113" s="98" t="str">
        <f>DEC2HEX(MOD(STRUCT!G41,2^8),8)</f>
        <v>00000000</v>
      </c>
      <c r="E113" s="46" t="str">
        <f t="shared" si="2"/>
        <v>FFFFFFFF</v>
      </c>
    </row>
    <row r="114" spans="1:5" x14ac:dyDescent="0.25">
      <c r="A114" s="46">
        <v>200</v>
      </c>
      <c r="B114" s="46" t="s">
        <v>45</v>
      </c>
      <c r="C114" s="46" t="s">
        <v>131</v>
      </c>
      <c r="D114" s="98" t="str">
        <f>DEC2HEX(MOD(STRUCT!G42,2^8),8)</f>
        <v>00000000</v>
      </c>
      <c r="E114" s="46" t="str">
        <f t="shared" si="2"/>
        <v>FFFFFFFF</v>
      </c>
    </row>
    <row r="115" spans="1:5" x14ac:dyDescent="0.25">
      <c r="A115" s="46">
        <v>200</v>
      </c>
      <c r="B115" s="46" t="s">
        <v>45</v>
      </c>
      <c r="C115" s="46" t="s">
        <v>133</v>
      </c>
      <c r="D115" s="98" t="str">
        <f>DEC2HEX(MOD(STRUCT!G43,2^8),8)</f>
        <v>00000000</v>
      </c>
      <c r="E115" s="46" t="str">
        <f t="shared" si="2"/>
        <v>FFFFFFFF</v>
      </c>
    </row>
    <row r="116" spans="1:5" x14ac:dyDescent="0.25">
      <c r="A116" s="46">
        <v>200</v>
      </c>
      <c r="B116" s="46" t="s">
        <v>45</v>
      </c>
      <c r="C116" s="46" t="s">
        <v>135</v>
      </c>
      <c r="D116" s="98" t="str">
        <f>DEC2HEX(MOD(STRUCT!G44,2^8),8)</f>
        <v>00000000</v>
      </c>
      <c r="E116" s="46" t="str">
        <f t="shared" si="2"/>
        <v>FFFFFFFF</v>
      </c>
    </row>
    <row r="117" spans="1:5" x14ac:dyDescent="0.25">
      <c r="A117" s="46">
        <v>200</v>
      </c>
      <c r="B117" s="46" t="s">
        <v>45</v>
      </c>
      <c r="C117" s="46" t="s">
        <v>137</v>
      </c>
      <c r="D117" s="98" t="str">
        <f>DEC2HEX(MOD(STRUCT!G45,2^8),8)</f>
        <v>00000000</v>
      </c>
      <c r="E117" s="46" t="str">
        <f t="shared" si="2"/>
        <v>FFFFFFFF</v>
      </c>
    </row>
    <row r="118" spans="1:5" x14ac:dyDescent="0.25">
      <c r="A118" s="46">
        <v>200</v>
      </c>
      <c r="B118" s="46" t="s">
        <v>45</v>
      </c>
      <c r="C118" s="46" t="s">
        <v>157</v>
      </c>
      <c r="D118" s="98" t="str">
        <f>DEC2HEX(2^16*MOD(STRUCT!G62,2^8)+2^0*MOD(STRUCT!G63,2^8),8)</f>
        <v>00300030</v>
      </c>
      <c r="E118" s="46" t="str">
        <f>DEC2HEX(2^16*(2^8-1)+2^0*(2^8-1),8)</f>
        <v>00FF00FF</v>
      </c>
    </row>
    <row r="119" spans="1:5" x14ac:dyDescent="0.25">
      <c r="A119" s="46">
        <v>200</v>
      </c>
      <c r="B119" s="46" t="s">
        <v>45</v>
      </c>
      <c r="C119" s="46" t="s">
        <v>163</v>
      </c>
      <c r="D119" s="98" t="str">
        <f>DEC2HEX(2^16*MOD(STRUCT!G64,2^8)+2^0*MOD(STRUCT!G65,2^8),8)</f>
        <v>000D000D</v>
      </c>
      <c r="E119" s="46" t="str">
        <f t="shared" ref="E119:E134" si="3">DEC2HEX(2^0*(2^32-1),8)</f>
        <v>FFFFFFFF</v>
      </c>
    </row>
    <row r="120" spans="1:5" x14ac:dyDescent="0.25">
      <c r="A120" s="46">
        <v>200</v>
      </c>
      <c r="B120" s="46" t="s">
        <v>26</v>
      </c>
      <c r="C120" s="46" t="s">
        <v>6753</v>
      </c>
      <c r="D120" s="98" t="str">
        <f>DEC2HEX(2^16*MOD(STRUCT!E96,2^8)+2^8*MOD(STRUCT!E97,2^8)+2^0*MOD(STRUCT!E98,2^8),8)</f>
        <v>00042404</v>
      </c>
      <c r="E120" s="46" t="str">
        <f t="shared" si="3"/>
        <v>FFFFFFFF</v>
      </c>
    </row>
    <row r="121" spans="1:5" x14ac:dyDescent="0.25">
      <c r="A121" s="46">
        <v>200</v>
      </c>
      <c r="B121" s="46" t="s">
        <v>26</v>
      </c>
      <c r="C121" s="46" t="s">
        <v>6756</v>
      </c>
      <c r="D121" s="98" t="str">
        <f>DEC2HEX(2^24*MOD(STRUCT!E99,2^8)+2^16*MOD(STRUCT!E100,2^8)+2^8*MOD(STRUCT!E101,2^8)+2^0*MOD(STRUCT!E102,2^8),8)</f>
        <v>201C0004</v>
      </c>
      <c r="E121" s="46" t="str">
        <f t="shared" si="3"/>
        <v>FFFFFFFF</v>
      </c>
    </row>
    <row r="122" spans="1:5" x14ac:dyDescent="0.25">
      <c r="A122" s="46">
        <v>200</v>
      </c>
      <c r="B122" s="46" t="s">
        <v>26</v>
      </c>
      <c r="C122" s="46" t="s">
        <v>6759</v>
      </c>
      <c r="D122" s="98" t="str">
        <f>DEC2HEX(2^0*MOD(STRUCT!E103,2^8),8)</f>
        <v>00000008</v>
      </c>
      <c r="E122" s="46" t="str">
        <f t="shared" si="3"/>
        <v>FFFFFFFF</v>
      </c>
    </row>
    <row r="123" spans="1:5" x14ac:dyDescent="0.25">
      <c r="A123" s="46">
        <v>200</v>
      </c>
      <c r="B123" s="46" t="s">
        <v>26</v>
      </c>
      <c r="C123" s="46" t="s">
        <v>6760</v>
      </c>
      <c r="D123" s="98" t="str">
        <f>DEC2HEX(2^16*MOD(STRUCT!E104,2^8)+2^8*MOD(STRUCT!E105,2^8)+2^0*MOD(STRUCT!E106,2^8),8)</f>
        <v>00042404</v>
      </c>
      <c r="E123" s="46" t="str">
        <f t="shared" si="3"/>
        <v>FFFFFFFF</v>
      </c>
    </row>
    <row r="124" spans="1:5" x14ac:dyDescent="0.25">
      <c r="A124" s="46">
        <v>200</v>
      </c>
      <c r="B124" s="46" t="s">
        <v>26</v>
      </c>
      <c r="C124" s="46" t="s">
        <v>6761</v>
      </c>
      <c r="D124" s="98" t="str">
        <f>DEC2HEX(2^24*MOD(STRUCT!E107,2^8)+2^16*MOD(STRUCT!E108,2^8)+2^8*MOD(STRUCT!E109,2^8)+2^0*MOD(STRUCT!E110,2^8),8)</f>
        <v>201C0004</v>
      </c>
      <c r="E124" s="46" t="str">
        <f t="shared" si="3"/>
        <v>FFFFFFFF</v>
      </c>
    </row>
    <row r="125" spans="1:5" x14ac:dyDescent="0.25">
      <c r="A125" s="46">
        <v>200</v>
      </c>
      <c r="B125" s="46" t="s">
        <v>26</v>
      </c>
      <c r="C125" s="46" t="s">
        <v>6762</v>
      </c>
      <c r="D125" s="98" t="str">
        <f>DEC2HEX(2^0*MOD(STRUCT!E111,2^8),8)</f>
        <v>00000008</v>
      </c>
      <c r="E125" s="46" t="str">
        <f t="shared" si="3"/>
        <v>FFFFFFFF</v>
      </c>
    </row>
    <row r="126" spans="1:5" x14ac:dyDescent="0.25">
      <c r="A126" s="46">
        <v>200</v>
      </c>
      <c r="B126" s="46" t="s">
        <v>26</v>
      </c>
      <c r="C126" s="46" t="s">
        <v>6763</v>
      </c>
      <c r="D126" s="98" t="str">
        <f>DEC2HEX(2^16*MOD(STRUCT!E112,2^8)+2^8*MOD(STRUCT!E113,2^8)+2^0*MOD(STRUCT!E114,2^8),8)</f>
        <v>00042404</v>
      </c>
      <c r="E126" s="46" t="str">
        <f t="shared" si="3"/>
        <v>FFFFFFFF</v>
      </c>
    </row>
    <row r="127" spans="1:5" x14ac:dyDescent="0.25">
      <c r="A127" s="46">
        <v>200</v>
      </c>
      <c r="B127" s="46" t="s">
        <v>26</v>
      </c>
      <c r="C127" s="46" t="s">
        <v>6764</v>
      </c>
      <c r="D127" s="98" t="str">
        <f>DEC2HEX(2^24*MOD(STRUCT!E115,2^8)+2^16*MOD(STRUCT!E116,2^8)+2^8*MOD(STRUCT!E117,2^8)+2^0*MOD(STRUCT!E118,2^8),8)</f>
        <v>201C0004</v>
      </c>
      <c r="E127" s="46" t="str">
        <f t="shared" si="3"/>
        <v>FFFFFFFF</v>
      </c>
    </row>
    <row r="128" spans="1:5" x14ac:dyDescent="0.25">
      <c r="A128" s="46">
        <v>200</v>
      </c>
      <c r="B128" s="46" t="s">
        <v>26</v>
      </c>
      <c r="C128" s="46" t="s">
        <v>6765</v>
      </c>
      <c r="D128" s="98" t="str">
        <f>DEC2HEX(2^0*MOD(STRUCT!E119,2^8),8)</f>
        <v>00000008</v>
      </c>
      <c r="E128" s="46" t="str">
        <f t="shared" si="3"/>
        <v>FFFFFFFF</v>
      </c>
    </row>
    <row r="129" spans="1:6" x14ac:dyDescent="0.25">
      <c r="A129" s="46">
        <v>200</v>
      </c>
      <c r="B129" s="46" t="s">
        <v>26</v>
      </c>
      <c r="C129" s="46" t="s">
        <v>6766</v>
      </c>
      <c r="D129" s="98" t="str">
        <f>DEC2HEX(2^16*MOD(STRUCT!E120,2^8)+2^8*MOD(STRUCT!E121,2^8)+2^0*MOD(STRUCT!E122,2^8),8)</f>
        <v>00042404</v>
      </c>
      <c r="E129" s="46" t="str">
        <f t="shared" si="3"/>
        <v>FFFFFFFF</v>
      </c>
    </row>
    <row r="130" spans="1:6" x14ac:dyDescent="0.25">
      <c r="A130" s="46">
        <v>200</v>
      </c>
      <c r="B130" s="46" t="s">
        <v>26</v>
      </c>
      <c r="C130" s="46" t="s">
        <v>6767</v>
      </c>
      <c r="D130" s="98" t="str">
        <f>DEC2HEX(2^24*MOD(STRUCT!E123,2^8)+2^16*MOD(STRUCT!E124,2^8)+2^8*MOD(STRUCT!E125,2^8)+2^0*MOD(STRUCT!E126,2^8),8)</f>
        <v>201C0004</v>
      </c>
      <c r="E130" s="46" t="str">
        <f t="shared" si="3"/>
        <v>FFFFFFFF</v>
      </c>
    </row>
    <row r="131" spans="1:6" x14ac:dyDescent="0.25">
      <c r="A131" s="46">
        <v>200</v>
      </c>
      <c r="B131" s="46" t="s">
        <v>26</v>
      </c>
      <c r="C131" s="46" t="s">
        <v>6768</v>
      </c>
      <c r="D131" s="98" t="str">
        <f>DEC2HEX(2^0*MOD(STRUCT!E127,2^8),8)</f>
        <v>00000008</v>
      </c>
      <c r="E131" s="46" t="str">
        <f t="shared" si="3"/>
        <v>FFFFFFFF</v>
      </c>
    </row>
    <row r="132" spans="1:6" x14ac:dyDescent="0.25">
      <c r="A132" s="46">
        <v>200</v>
      </c>
      <c r="B132" s="46" t="s">
        <v>32</v>
      </c>
      <c r="C132" s="46" t="s">
        <v>6703</v>
      </c>
      <c r="D132" s="98" t="str">
        <f>DEC2HEX(2^24*MOD(STRUCT!F78,2^8)+2^16*MOD(STRUCT!F79,2^8)+2^8*MOD(STRUCT!F80,2^8)+2^0*MOD(STRUCT!F81,2^8),8)</f>
        <v>01034301</v>
      </c>
      <c r="E132" s="46" t="str">
        <f t="shared" si="3"/>
        <v>FFFFFFFF</v>
      </c>
    </row>
    <row r="133" spans="1:6" x14ac:dyDescent="0.25">
      <c r="A133" s="46">
        <v>200</v>
      </c>
      <c r="B133" s="46" t="s">
        <v>32</v>
      </c>
      <c r="C133" s="46" t="s">
        <v>6705</v>
      </c>
      <c r="D133" s="98" t="str">
        <f>DEC2HEX(2^24*MOD(STRUCT!F82,2^8)+2^16*MOD(STRUCT!F83,2^8)+2^8*MOD(STRUCT!F84,2^8)+2^0*MOD(STRUCT!F85,2^8),8)</f>
        <v>00000003</v>
      </c>
      <c r="E133" s="46" t="str">
        <f t="shared" si="3"/>
        <v>FFFFFFFF</v>
      </c>
    </row>
    <row r="134" spans="1:6" x14ac:dyDescent="0.25">
      <c r="A134" s="46">
        <v>200</v>
      </c>
      <c r="B134" s="46" t="s">
        <v>32</v>
      </c>
      <c r="C134" s="46" t="s">
        <v>6706</v>
      </c>
      <c r="D134" s="98" t="str">
        <f>DEC2HEX(2^0*MOD(STRUCT!F86,2^8),8)</f>
        <v>0000005F</v>
      </c>
      <c r="E134" s="46" t="str">
        <f t="shared" si="3"/>
        <v>FFFFFFFF</v>
      </c>
    </row>
    <row r="135" spans="1:6" x14ac:dyDescent="0.25">
      <c r="A135" s="46">
        <v>200</v>
      </c>
      <c r="B135" s="46" t="s">
        <v>25</v>
      </c>
      <c r="C135" s="46" t="s">
        <v>6592</v>
      </c>
      <c r="D135" s="98" t="str">
        <f>DEC2HEX(2^24*MOD(STRUCT!F87,2^8)+2^16*MOD(STRUCT!F88,2^8)+2^8*MOD(STRUCT!F89,2^8)+2^0*MOD(STRUCT!F90,2^8),8)</f>
        <v>01030601</v>
      </c>
      <c r="E135" s="46" t="s">
        <v>2233</v>
      </c>
      <c r="F135" s="81" t="s">
        <v>7285</v>
      </c>
    </row>
    <row r="136" spans="1:6" x14ac:dyDescent="0.25">
      <c r="A136" s="46">
        <v>200</v>
      </c>
      <c r="B136" s="46" t="s">
        <v>25</v>
      </c>
      <c r="C136" s="46" t="s">
        <v>6595</v>
      </c>
      <c r="D136" s="98" t="str">
        <f>DEC2HEX(2^24*MOD(STRUCT!F91,2^1)+2^16*MOD(STRUCT!F92,2^8)+2^8*MOD(STRUCT!F93,2^8)+2^0*MOD(STRUCT!F94,2^8),8)</f>
        <v>00000003</v>
      </c>
      <c r="E136" s="46" t="s">
        <v>2233</v>
      </c>
      <c r="F136" s="81" t="s">
        <v>7285</v>
      </c>
    </row>
    <row r="137" spans="1:6" x14ac:dyDescent="0.25">
      <c r="A137" s="46">
        <v>200</v>
      </c>
      <c r="B137" s="46" t="s">
        <v>25</v>
      </c>
      <c r="C137" s="46" t="s">
        <v>6596</v>
      </c>
      <c r="D137" s="98" t="str">
        <f>DEC2HEX(2^0*MOD(STRUCT!F95,2^8),8)</f>
        <v>00000009</v>
      </c>
      <c r="E137" s="46" t="s">
        <v>2233</v>
      </c>
      <c r="F137" s="81" t="s">
        <v>7285</v>
      </c>
    </row>
    <row r="138" spans="1:6" x14ac:dyDescent="0.25">
      <c r="A138" s="46">
        <v>200</v>
      </c>
      <c r="B138" s="46" t="s">
        <v>37</v>
      </c>
      <c r="C138" s="46" t="s">
        <v>2443</v>
      </c>
      <c r="D138" s="98" t="str">
        <f>DEC2HEX(2^24*MOD(STRUCT!E155,2^8)+2^16*MOD(STRUCT!E156,2^8)+2^8*MOD(STRUCT!E153,2^8)+2^0*MOD(STRUCT!E154,2^8),8)</f>
        <v>0A0A0101</v>
      </c>
      <c r="E138" s="46" t="s">
        <v>2234</v>
      </c>
    </row>
    <row r="139" spans="1:6" x14ac:dyDescent="0.25">
      <c r="A139" s="46">
        <v>200</v>
      </c>
      <c r="B139" s="46" t="s">
        <v>37</v>
      </c>
      <c r="C139" s="46" t="s">
        <v>2453</v>
      </c>
      <c r="D139" s="98" t="str">
        <f>DEC2HEX(2^24*MOD(STRUCT!E159,2^8)+2^16*MOD(STRUCT!E160,2^8)+2^8*MOD(STRUCT!E157,2^8)+2^0*MOD(STRUCT!E158,2^8),8)</f>
        <v>0A0A0101</v>
      </c>
      <c r="E139" s="46" t="s">
        <v>2234</v>
      </c>
    </row>
    <row r="140" spans="1:6" x14ac:dyDescent="0.25">
      <c r="A140" s="46">
        <v>200</v>
      </c>
      <c r="B140" s="46" t="s">
        <v>37</v>
      </c>
      <c r="C140" s="46" t="s">
        <v>2457</v>
      </c>
      <c r="D140" s="98" t="str">
        <f>DEC2HEX(2^24*MOD(STRUCT!E163,2^8)+2^16*MOD(STRUCT!E164,2^8)+2^8*MOD(STRUCT!E161,2^8)+2^0*MOD(STRUCT!E162,2^8),8)</f>
        <v>0A0A0101</v>
      </c>
      <c r="E140" s="46" t="s">
        <v>2234</v>
      </c>
    </row>
    <row r="141" spans="1:6" x14ac:dyDescent="0.25">
      <c r="A141" s="46">
        <v>200</v>
      </c>
      <c r="B141" s="46" t="s">
        <v>37</v>
      </c>
      <c r="C141" s="46" t="s">
        <v>2463</v>
      </c>
      <c r="D141" s="98" t="str">
        <f>DEC2HEX(2^24*MOD(STRUCT!E167,2^8)+2^16*MOD(STRUCT!E168,2^8)+2^8*MOD(STRUCT!E165,2^8)+2^0*MOD(STRUCT!E166,2^8),8)</f>
        <v>0A0A0101</v>
      </c>
      <c r="E141" s="46" t="s">
        <v>2234</v>
      </c>
    </row>
    <row r="142" spans="1:6" x14ac:dyDescent="0.25">
      <c r="A142" s="46">
        <v>200</v>
      </c>
      <c r="B142" s="46" t="s">
        <v>37</v>
      </c>
      <c r="C142" s="46" t="s">
        <v>2446</v>
      </c>
      <c r="D142" s="98" t="str">
        <f>DEC2HEX(2^24*MOD(STRUCT!E171,2^8)+2^16*MOD(STRUCT!E172,2^8)+2^8*MOD(STRUCT!E169,2^8)+2^0*MOD(STRUCT!E170,2^8),8)</f>
        <v>0A0A0A0A</v>
      </c>
      <c r="E142" s="46" t="s">
        <v>2234</v>
      </c>
    </row>
    <row r="143" spans="1:6" x14ac:dyDescent="0.25">
      <c r="A143" s="46">
        <v>200</v>
      </c>
      <c r="B143" s="46" t="s">
        <v>37</v>
      </c>
      <c r="C143" s="46" t="s">
        <v>2454</v>
      </c>
      <c r="D143" s="98" t="str">
        <f>DEC2HEX(2^24*MOD(STRUCT!E175,2^8)+2^16*MOD(STRUCT!E176,2^8)+2^8*MOD(STRUCT!E173,2^8)+2^0*MOD(STRUCT!E174,2^8),8)</f>
        <v>0A0A0A0A</v>
      </c>
      <c r="E143" s="46" t="s">
        <v>2234</v>
      </c>
    </row>
    <row r="144" spans="1:6" x14ac:dyDescent="0.25">
      <c r="A144" s="46">
        <v>200</v>
      </c>
      <c r="B144" s="46" t="s">
        <v>37</v>
      </c>
      <c r="C144" s="46" t="s">
        <v>2458</v>
      </c>
      <c r="D144" s="98" t="str">
        <f>DEC2HEX(2^24*MOD(STRUCT!E179,2^8)+2^16*MOD(STRUCT!E180,2^8)+2^8*MOD(STRUCT!E177,2^8)+2^0*MOD(STRUCT!E178,2^8),8)</f>
        <v>0A0A0A0A</v>
      </c>
      <c r="E144" s="46" t="s">
        <v>2234</v>
      </c>
    </row>
    <row r="145" spans="1:5" x14ac:dyDescent="0.25">
      <c r="A145" s="46">
        <v>200</v>
      </c>
      <c r="B145" s="46" t="s">
        <v>37</v>
      </c>
      <c r="C145" s="46" t="s">
        <v>2465</v>
      </c>
      <c r="D145" s="98" t="str">
        <f>DEC2HEX(2^24*MOD(STRUCT!E183,2^8)+2^16*MOD(STRUCT!E184,2^8)+2^8*MOD(STRUCT!E181,2^8)+2^0*MOD(STRUCT!E182,2^8),8)</f>
        <v>0A0A0A0A</v>
      </c>
      <c r="E145" s="46" t="s">
        <v>2234</v>
      </c>
    </row>
    <row r="146" spans="1:5" x14ac:dyDescent="0.25">
      <c r="A146" s="46">
        <v>200</v>
      </c>
      <c r="B146" s="46" t="s">
        <v>37</v>
      </c>
      <c r="C146" s="46" t="s">
        <v>2399</v>
      </c>
      <c r="D146" s="98" t="str">
        <f>DEC2HEX(2^24*MOD(STRUCT!E185,2^8)+2^16*MOD(STRUCT!E186,2^8)+2^8*MOD(STRUCT!E187,2^8)+2^0*MOD(STRUCT!E188,2^8),8)</f>
        <v>019D9D9D</v>
      </c>
      <c r="E146" s="46" t="s">
        <v>2234</v>
      </c>
    </row>
    <row r="147" spans="1:5" x14ac:dyDescent="0.25">
      <c r="A147" s="46">
        <v>200</v>
      </c>
      <c r="B147" s="46" t="s">
        <v>37</v>
      </c>
      <c r="C147" s="46" t="s">
        <v>2396</v>
      </c>
      <c r="D147" s="98" t="str">
        <f>DEC2HEX(2^24*MOD(STRUCT!E189,2^8)+2^16*MOD(STRUCT!E190,2^8)+2^8*MOD(STRUCT!E191,2^8)+2^0*MOD(STRUCT!E192,2^8),8)</f>
        <v>9D9D9D9D</v>
      </c>
      <c r="E147" s="46" t="s">
        <v>2234</v>
      </c>
    </row>
    <row r="148" spans="1:5" x14ac:dyDescent="0.25">
      <c r="A148" s="46">
        <v>200</v>
      </c>
      <c r="B148" s="46" t="s">
        <v>37</v>
      </c>
      <c r="C148" s="46" t="s">
        <v>2404</v>
      </c>
      <c r="D148" s="98" t="str">
        <f>DEC2HEX(2^24*MOD(STRUCT!E193,2^8)+2^16*MOD(STRUCT!E194,2^8)+2^8*MOD(STRUCT!E195,2^8)+2^0*MOD(STRUCT!E196,2^8),8)</f>
        <v>019D9D9D</v>
      </c>
      <c r="E148" s="46" t="s">
        <v>2234</v>
      </c>
    </row>
    <row r="149" spans="1:5" x14ac:dyDescent="0.25">
      <c r="A149" s="46">
        <v>200</v>
      </c>
      <c r="B149" s="46" t="s">
        <v>37</v>
      </c>
      <c r="C149" s="46" t="s">
        <v>2403</v>
      </c>
      <c r="D149" s="98" t="str">
        <f>DEC2HEX(2^24*MOD(STRUCT!E197,2^8)+2^16*MOD(STRUCT!E198,2^8)+2^8*MOD(STRUCT!E199,2^8)+2^0*MOD(STRUCT!E200,2^8),8)</f>
        <v>9D9D9D9D</v>
      </c>
      <c r="E149" s="46" t="s">
        <v>2234</v>
      </c>
    </row>
    <row r="150" spans="1:5" x14ac:dyDescent="0.25">
      <c r="A150" s="46">
        <v>200</v>
      </c>
      <c r="B150" s="46" t="s">
        <v>37</v>
      </c>
      <c r="C150" s="46" t="s">
        <v>2407</v>
      </c>
      <c r="D150" s="98" t="str">
        <f>DEC2HEX(2^24*MOD(STRUCT!E201,2^8)+2^16*MOD(STRUCT!E202,2^8)+2^8*MOD(STRUCT!E203,2^8)+2^0*MOD(STRUCT!E204,2^8),8)</f>
        <v>019D9D9D</v>
      </c>
      <c r="E150" s="46" t="s">
        <v>2234</v>
      </c>
    </row>
    <row r="151" spans="1:5" x14ac:dyDescent="0.25">
      <c r="A151" s="46">
        <v>200</v>
      </c>
      <c r="B151" s="46" t="s">
        <v>37</v>
      </c>
      <c r="C151" s="46" t="s">
        <v>2406</v>
      </c>
      <c r="D151" s="98" t="str">
        <f>DEC2HEX(2^24*MOD(STRUCT!E205,2^8)+2^16*MOD(STRUCT!E206,2^8)+2^8*MOD(STRUCT!E207,2^8)+2^0*MOD(STRUCT!E208,2^8),8)</f>
        <v>9D9D9D9D</v>
      </c>
      <c r="E151" s="46" t="s">
        <v>2234</v>
      </c>
    </row>
    <row r="152" spans="1:5" x14ac:dyDescent="0.25">
      <c r="A152" s="46">
        <v>200</v>
      </c>
      <c r="B152" s="46" t="s">
        <v>37</v>
      </c>
      <c r="C152" s="46" t="s">
        <v>2410</v>
      </c>
      <c r="D152" s="98" t="str">
        <f>DEC2HEX(2^24*MOD(STRUCT!E209,2^8)+2^16*MOD(STRUCT!E210,2^8)+2^8*MOD(STRUCT!E211,2^8)+2^0*MOD(STRUCT!E212,2^8),8)</f>
        <v>019D9D9D</v>
      </c>
      <c r="E152" s="46" t="s">
        <v>2234</v>
      </c>
    </row>
    <row r="153" spans="1:5" x14ac:dyDescent="0.25">
      <c r="A153" s="46">
        <v>200</v>
      </c>
      <c r="B153" s="46" t="s">
        <v>37</v>
      </c>
      <c r="C153" s="46" t="s">
        <v>2409</v>
      </c>
      <c r="D153" s="98" t="str">
        <f>DEC2HEX(2^24*MOD(STRUCT!E213,2^8)+2^16*MOD(STRUCT!E214,2^8)+2^8*MOD(STRUCT!E215,2^8)+2^0*MOD(STRUCT!E216,2^8),8)</f>
        <v>9D9D9D9D</v>
      </c>
      <c r="E153" s="46" t="s">
        <v>2234</v>
      </c>
    </row>
    <row r="154" spans="1:5" x14ac:dyDescent="0.25">
      <c r="A154" s="46">
        <v>200</v>
      </c>
      <c r="B154" s="46" t="s">
        <v>37</v>
      </c>
      <c r="C154" s="63" t="s">
        <v>2429</v>
      </c>
      <c r="D154" s="98" t="str">
        <f>DEC2HEX(2^6*MOD(STRUCT!E217,2^1),8)</f>
        <v>00000000</v>
      </c>
      <c r="E154" s="46" t="s">
        <v>498</v>
      </c>
    </row>
    <row r="155" spans="1:5" x14ac:dyDescent="0.25">
      <c r="A155" s="46">
        <v>200</v>
      </c>
      <c r="B155" s="46" t="s">
        <v>37</v>
      </c>
      <c r="C155" s="63" t="s">
        <v>2433</v>
      </c>
      <c r="D155" s="98" t="str">
        <f>DEC2HEX(2^6*MOD(STRUCT!E218,2^1),8)</f>
        <v>00000000</v>
      </c>
      <c r="E155" s="46" t="s">
        <v>498</v>
      </c>
    </row>
    <row r="156" spans="1:5" x14ac:dyDescent="0.25">
      <c r="A156" s="46">
        <v>200</v>
      </c>
      <c r="B156" s="46" t="s">
        <v>37</v>
      </c>
      <c r="C156" s="63" t="s">
        <v>2438</v>
      </c>
      <c r="D156" s="98" t="str">
        <f>DEC2HEX(2^6*MOD(STRUCT!E219,2^1),8)</f>
        <v>00000000</v>
      </c>
      <c r="E156" s="46" t="s">
        <v>498</v>
      </c>
    </row>
    <row r="157" spans="1:5" x14ac:dyDescent="0.25">
      <c r="A157" s="46">
        <v>200</v>
      </c>
      <c r="B157" s="46" t="s">
        <v>37</v>
      </c>
      <c r="C157" s="63" t="s">
        <v>2442</v>
      </c>
      <c r="D157" s="98" t="str">
        <f>DEC2HEX(2^6*MOD(STRUCT!E220,2^1),8)</f>
        <v>00000000</v>
      </c>
      <c r="E157" s="46" t="s">
        <v>498</v>
      </c>
    </row>
    <row r="158" spans="1:5" x14ac:dyDescent="0.25">
      <c r="A158" s="46">
        <v>300</v>
      </c>
      <c r="B158" s="46" t="s">
        <v>44</v>
      </c>
      <c r="C158" s="46" t="s">
        <v>78</v>
      </c>
      <c r="D158" s="98" t="str">
        <f>DEC2HEX(2^24*MOD(STRUCT!H14,2^8)+2^16*MOD(STRUCT!H15,2^8)+2^8*MOD(STRUCT!H16,2^8)+2^0*MOD(STRUCT!H17,2^8),8)</f>
        <v>00000000</v>
      </c>
      <c r="E158" s="46" t="s">
        <v>2234</v>
      </c>
    </row>
    <row r="159" spans="1:5" x14ac:dyDescent="0.25">
      <c r="A159" s="46">
        <v>300</v>
      </c>
      <c r="B159" s="46" t="s">
        <v>44</v>
      </c>
      <c r="C159" s="46" t="s">
        <v>86</v>
      </c>
      <c r="D159" s="98" t="str">
        <f>DEC2HEX(2^24*MOD(STRUCT!H18,2^8)+2^16*MOD(STRUCT!H19,2^8)+2^8*MOD(STRUCT!H20,2^8)+2^0*MOD(STRUCT!H21,2^8),8)</f>
        <v>00000000</v>
      </c>
      <c r="E159" s="46" t="s">
        <v>2234</v>
      </c>
    </row>
    <row r="160" spans="1:5" x14ac:dyDescent="0.25">
      <c r="A160" s="46">
        <v>300</v>
      </c>
      <c r="B160" s="46" t="s">
        <v>44</v>
      </c>
      <c r="C160" s="46" t="s">
        <v>7281</v>
      </c>
      <c r="D160" s="98" t="str">
        <f>DEC2HEX(2^20*MOD(STRUCT!H22,2^8)+2^0*MOD(STRUCT!H23,2^14),8)</f>
        <v>00100000</v>
      </c>
      <c r="E160" s="46" t="s">
        <v>2234</v>
      </c>
    </row>
    <row r="161" spans="1:5" x14ac:dyDescent="0.25">
      <c r="A161" s="46">
        <v>300</v>
      </c>
      <c r="B161" s="46" t="s">
        <v>44</v>
      </c>
      <c r="C161" s="46" t="s">
        <v>7282</v>
      </c>
      <c r="D161" s="98" t="str">
        <f>DEC2HEX(2^20*MOD(STRUCT!H24,2^8)+2^0*MOD(STRUCT!H25,2^14),8)</f>
        <v>00100000</v>
      </c>
      <c r="E161" s="46" t="s">
        <v>2234</v>
      </c>
    </row>
    <row r="162" spans="1:5" x14ac:dyDescent="0.25">
      <c r="A162" s="46">
        <v>300</v>
      </c>
      <c r="B162" s="46" t="s">
        <v>44</v>
      </c>
      <c r="C162" s="46" t="s">
        <v>7283</v>
      </c>
      <c r="D162" s="98" t="str">
        <f>DEC2HEX(2^20*MOD(STRUCT!H26,2^8)+2^0*MOD(STRUCT!H27,2^14),8)</f>
        <v>00300000</v>
      </c>
      <c r="E162" s="46" t="s">
        <v>2234</v>
      </c>
    </row>
    <row r="163" spans="1:5" x14ac:dyDescent="0.25">
      <c r="A163" s="46">
        <v>300</v>
      </c>
      <c r="B163" s="46" t="s">
        <v>44</v>
      </c>
      <c r="C163" s="46" t="s">
        <v>7284</v>
      </c>
      <c r="D163" s="98" t="str">
        <f>DEC2HEX(2^20*MOD(STRUCT!H28,2^8)+2^0*MOD(STRUCT!H29,2^14),8)</f>
        <v>00300000</v>
      </c>
      <c r="E163" s="46" t="s">
        <v>2234</v>
      </c>
    </row>
    <row r="164" spans="1:5" x14ac:dyDescent="0.25">
      <c r="A164" s="46">
        <v>300</v>
      </c>
      <c r="B164" s="46" t="s">
        <v>45</v>
      </c>
      <c r="C164" s="46" t="s">
        <v>139</v>
      </c>
      <c r="D164" s="98" t="str">
        <f>DEC2HEX(MOD(STRUCT!H46,2^1),8)</f>
        <v>00000001</v>
      </c>
      <c r="E164" s="46" t="s">
        <v>2234</v>
      </c>
    </row>
    <row r="165" spans="1:5" x14ac:dyDescent="0.25">
      <c r="A165" s="46">
        <v>300</v>
      </c>
      <c r="B165" s="46" t="s">
        <v>45</v>
      </c>
      <c r="C165" s="46" t="s">
        <v>142</v>
      </c>
      <c r="D165" s="98" t="str">
        <f>DEC2HEX(MOD(STRUCT!H47,2^1),8)</f>
        <v>00000000</v>
      </c>
      <c r="E165" s="46" t="s">
        <v>2234</v>
      </c>
    </row>
    <row r="166" spans="1:5" x14ac:dyDescent="0.25">
      <c r="A166" s="46">
        <v>300</v>
      </c>
      <c r="B166" s="46" t="s">
        <v>45</v>
      </c>
      <c r="C166" s="46" t="s">
        <v>143</v>
      </c>
      <c r="D166" s="98" t="str">
        <f>DEC2HEX(MOD(STRUCT!H48,2^1),8)</f>
        <v>00000000</v>
      </c>
      <c r="E166" s="46" t="s">
        <v>2234</v>
      </c>
    </row>
    <row r="167" spans="1:5" x14ac:dyDescent="0.25">
      <c r="A167" s="46">
        <v>300</v>
      </c>
      <c r="B167" s="46" t="s">
        <v>45</v>
      </c>
      <c r="C167" s="46" t="s">
        <v>144</v>
      </c>
      <c r="D167" s="98" t="str">
        <f>DEC2HEX(MOD(STRUCT!H49,2^1),8)</f>
        <v>00000001</v>
      </c>
      <c r="E167" s="46" t="s">
        <v>2234</v>
      </c>
    </row>
    <row r="168" spans="1:5" x14ac:dyDescent="0.25">
      <c r="A168" s="46">
        <v>300</v>
      </c>
      <c r="B168" s="46" t="s">
        <v>45</v>
      </c>
      <c r="C168" s="46" t="s">
        <v>145</v>
      </c>
      <c r="D168" s="98" t="str">
        <f>DEC2HEX(MOD(STRUCT!H50,2^1),8)</f>
        <v>00000001</v>
      </c>
      <c r="E168" s="46" t="s">
        <v>2234</v>
      </c>
    </row>
    <row r="169" spans="1:5" x14ac:dyDescent="0.25">
      <c r="A169" s="46">
        <v>300</v>
      </c>
      <c r="B169" s="46" t="s">
        <v>45</v>
      </c>
      <c r="C169" s="46" t="s">
        <v>146</v>
      </c>
      <c r="D169" s="98" t="str">
        <f>DEC2HEX(MOD(STRUCT!H51,2^1),8)</f>
        <v>00000000</v>
      </c>
      <c r="E169" s="46" t="s">
        <v>2234</v>
      </c>
    </row>
    <row r="170" spans="1:5" x14ac:dyDescent="0.25">
      <c r="A170" s="46">
        <v>300</v>
      </c>
      <c r="B170" s="46" t="s">
        <v>45</v>
      </c>
      <c r="C170" s="46" t="s">
        <v>147</v>
      </c>
      <c r="D170" s="98" t="str">
        <f>DEC2HEX(MOD(STRUCT!H52,2^1),8)</f>
        <v>00000000</v>
      </c>
      <c r="E170" s="46" t="s">
        <v>2234</v>
      </c>
    </row>
    <row r="171" spans="1:5" x14ac:dyDescent="0.25">
      <c r="A171" s="46">
        <v>300</v>
      </c>
      <c r="B171" s="46" t="s">
        <v>45</v>
      </c>
      <c r="C171" s="46" t="s">
        <v>148</v>
      </c>
      <c r="D171" s="98" t="str">
        <f>DEC2HEX(MOD(STRUCT!H53,2^1),8)</f>
        <v>00000000</v>
      </c>
      <c r="E171" s="46" t="s">
        <v>2234</v>
      </c>
    </row>
    <row r="172" spans="1:5" x14ac:dyDescent="0.25">
      <c r="A172" s="46">
        <v>300</v>
      </c>
      <c r="B172" s="46" t="s">
        <v>45</v>
      </c>
      <c r="C172" s="46" t="s">
        <v>149</v>
      </c>
      <c r="D172" s="98" t="str">
        <f>DEC2HEX(MOD(STRUCT!H54,2^1),8)</f>
        <v>00000001</v>
      </c>
      <c r="E172" s="46" t="s">
        <v>2234</v>
      </c>
    </row>
    <row r="173" spans="1:5" x14ac:dyDescent="0.25">
      <c r="A173" s="46">
        <v>300</v>
      </c>
      <c r="B173" s="46" t="s">
        <v>45</v>
      </c>
      <c r="C173" s="46" t="s">
        <v>150</v>
      </c>
      <c r="D173" s="98" t="str">
        <f>DEC2HEX(MOD(STRUCT!H55,2^1),8)</f>
        <v>00000000</v>
      </c>
      <c r="E173" s="46" t="s">
        <v>2234</v>
      </c>
    </row>
    <row r="174" spans="1:5" x14ac:dyDescent="0.25">
      <c r="A174" s="46">
        <v>300</v>
      </c>
      <c r="B174" s="46" t="s">
        <v>45</v>
      </c>
      <c r="C174" s="46" t="s">
        <v>151</v>
      </c>
      <c r="D174" s="98" t="str">
        <f>DEC2HEX(MOD(STRUCT!H56,2^1),8)</f>
        <v>00000000</v>
      </c>
      <c r="E174" s="46" t="s">
        <v>2234</v>
      </c>
    </row>
    <row r="175" spans="1:5" x14ac:dyDescent="0.25">
      <c r="A175" s="46">
        <v>300</v>
      </c>
      <c r="B175" s="46" t="s">
        <v>45</v>
      </c>
      <c r="C175" s="46" t="s">
        <v>152</v>
      </c>
      <c r="D175" s="98" t="str">
        <f>DEC2HEX(MOD(STRUCT!H57,2^1),8)</f>
        <v>00000000</v>
      </c>
      <c r="E175" s="46" t="s">
        <v>2234</v>
      </c>
    </row>
    <row r="176" spans="1:5" x14ac:dyDescent="0.25">
      <c r="A176" s="46">
        <v>300</v>
      </c>
      <c r="B176" s="46" t="s">
        <v>45</v>
      </c>
      <c r="C176" s="46" t="s">
        <v>153</v>
      </c>
      <c r="D176" s="98" t="str">
        <f>DEC2HEX(MOD(STRUCT!H58,2^1),8)</f>
        <v>00000001</v>
      </c>
      <c r="E176" s="46" t="s">
        <v>2234</v>
      </c>
    </row>
    <row r="177" spans="1:5" x14ac:dyDescent="0.25">
      <c r="A177" s="46">
        <v>300</v>
      </c>
      <c r="B177" s="46" t="s">
        <v>45</v>
      </c>
      <c r="C177" s="46" t="s">
        <v>154</v>
      </c>
      <c r="D177" s="98" t="str">
        <f>DEC2HEX(MOD(STRUCT!H59,2^1),8)</f>
        <v>00000000</v>
      </c>
      <c r="E177" s="46" t="s">
        <v>2234</v>
      </c>
    </row>
    <row r="178" spans="1:5" x14ac:dyDescent="0.25">
      <c r="A178" s="46">
        <v>300</v>
      </c>
      <c r="B178" s="46" t="s">
        <v>45</v>
      </c>
      <c r="C178" s="46" t="s">
        <v>155</v>
      </c>
      <c r="D178" s="98" t="str">
        <f>DEC2HEX(MOD(STRUCT!H60,2^1),8)</f>
        <v>00000000</v>
      </c>
      <c r="E178" s="46" t="s">
        <v>2234</v>
      </c>
    </row>
    <row r="179" spans="1:5" x14ac:dyDescent="0.25">
      <c r="A179" s="46">
        <v>300</v>
      </c>
      <c r="B179" s="46" t="s">
        <v>45</v>
      </c>
      <c r="C179" s="46" t="s">
        <v>156</v>
      </c>
      <c r="D179" s="98" t="str">
        <f>DEC2HEX(MOD(STRUCT!H61,2^1),8)</f>
        <v>00000001</v>
      </c>
      <c r="E179" s="46" t="s">
        <v>2234</v>
      </c>
    </row>
    <row r="180" spans="1:5" x14ac:dyDescent="0.25">
      <c r="A180" s="46">
        <v>300</v>
      </c>
      <c r="B180" s="46" t="s">
        <v>45</v>
      </c>
      <c r="C180" s="46" t="s">
        <v>103</v>
      </c>
      <c r="D180" s="98" t="str">
        <f>DEC2HEX(MOD(STRUCT!H30,2^8),8)</f>
        <v>00000000</v>
      </c>
      <c r="E180" s="46" t="str">
        <f t="shared" ref="E180:E195" si="4">DEC2HEX(2^0*(2^32-1),8)</f>
        <v>FFFFFFFF</v>
      </c>
    </row>
    <row r="181" spans="1:5" x14ac:dyDescent="0.25">
      <c r="A181" s="46">
        <v>300</v>
      </c>
      <c r="B181" s="46" t="s">
        <v>45</v>
      </c>
      <c r="C181" s="46" t="s">
        <v>107</v>
      </c>
      <c r="D181" s="98" t="str">
        <f>DEC2HEX(MOD(STRUCT!H31,2^8),8)</f>
        <v>00000000</v>
      </c>
      <c r="E181" s="46" t="str">
        <f t="shared" si="4"/>
        <v>FFFFFFFF</v>
      </c>
    </row>
    <row r="182" spans="1:5" x14ac:dyDescent="0.25">
      <c r="A182" s="46">
        <v>300</v>
      </c>
      <c r="B182" s="46" t="s">
        <v>45</v>
      </c>
      <c r="C182" s="46" t="s">
        <v>109</v>
      </c>
      <c r="D182" s="98" t="str">
        <f>DEC2HEX(MOD(STRUCT!H32,2^8),8)</f>
        <v>00000000</v>
      </c>
      <c r="E182" s="46" t="str">
        <f t="shared" si="4"/>
        <v>FFFFFFFF</v>
      </c>
    </row>
    <row r="183" spans="1:5" x14ac:dyDescent="0.25">
      <c r="A183" s="46">
        <v>300</v>
      </c>
      <c r="B183" s="46" t="s">
        <v>45</v>
      </c>
      <c r="C183" s="46" t="s">
        <v>112</v>
      </c>
      <c r="D183" s="98" t="str">
        <f>DEC2HEX(MOD(STRUCT!H33,2^8),8)</f>
        <v>00000000</v>
      </c>
      <c r="E183" s="46" t="str">
        <f t="shared" si="4"/>
        <v>FFFFFFFF</v>
      </c>
    </row>
    <row r="184" spans="1:5" x14ac:dyDescent="0.25">
      <c r="A184" s="46">
        <v>300</v>
      </c>
      <c r="B184" s="46" t="s">
        <v>45</v>
      </c>
      <c r="C184" s="46" t="s">
        <v>114</v>
      </c>
      <c r="D184" s="98" t="str">
        <f>DEC2HEX(MOD(STRUCT!H34,2^8),8)</f>
        <v>00000000</v>
      </c>
      <c r="E184" s="46" t="str">
        <f t="shared" si="4"/>
        <v>FFFFFFFF</v>
      </c>
    </row>
    <row r="185" spans="1:5" x14ac:dyDescent="0.25">
      <c r="A185" s="46">
        <v>300</v>
      </c>
      <c r="B185" s="46" t="s">
        <v>45</v>
      </c>
      <c r="C185" s="46" t="s">
        <v>116</v>
      </c>
      <c r="D185" s="98" t="str">
        <f>DEC2HEX(MOD(STRUCT!H35,2^8),8)</f>
        <v>00000000</v>
      </c>
      <c r="E185" s="46" t="str">
        <f t="shared" si="4"/>
        <v>FFFFFFFF</v>
      </c>
    </row>
    <row r="186" spans="1:5" x14ac:dyDescent="0.25">
      <c r="A186" s="46">
        <v>300</v>
      </c>
      <c r="B186" s="46" t="s">
        <v>45</v>
      </c>
      <c r="C186" s="46" t="s">
        <v>118</v>
      </c>
      <c r="D186" s="98" t="str">
        <f>DEC2HEX(MOD(STRUCT!H36,2^8),8)</f>
        <v>00000000</v>
      </c>
      <c r="E186" s="46" t="str">
        <f t="shared" si="4"/>
        <v>FFFFFFFF</v>
      </c>
    </row>
    <row r="187" spans="1:5" x14ac:dyDescent="0.25">
      <c r="A187" s="46">
        <v>300</v>
      </c>
      <c r="B187" s="46" t="s">
        <v>45</v>
      </c>
      <c r="C187" s="46" t="s">
        <v>120</v>
      </c>
      <c r="D187" s="98" t="str">
        <f>DEC2HEX(MOD(STRUCT!H37,2^8),8)</f>
        <v>00000000</v>
      </c>
      <c r="E187" s="46" t="str">
        <f t="shared" si="4"/>
        <v>FFFFFFFF</v>
      </c>
    </row>
    <row r="188" spans="1:5" x14ac:dyDescent="0.25">
      <c r="A188" s="46">
        <v>300</v>
      </c>
      <c r="B188" s="46" t="s">
        <v>45</v>
      </c>
      <c r="C188" s="46" t="s">
        <v>122</v>
      </c>
      <c r="D188" s="98" t="str">
        <f>DEC2HEX(MOD(STRUCT!H38,2^8),8)</f>
        <v>00000000</v>
      </c>
      <c r="E188" s="46" t="str">
        <f t="shared" si="4"/>
        <v>FFFFFFFF</v>
      </c>
    </row>
    <row r="189" spans="1:5" x14ac:dyDescent="0.25">
      <c r="A189" s="46">
        <v>300</v>
      </c>
      <c r="B189" s="46" t="s">
        <v>45</v>
      </c>
      <c r="C189" s="46" t="s">
        <v>125</v>
      </c>
      <c r="D189" s="98" t="str">
        <f>DEC2HEX(MOD(STRUCT!H39,2^8),8)</f>
        <v>00000000</v>
      </c>
      <c r="E189" s="46" t="str">
        <f t="shared" si="4"/>
        <v>FFFFFFFF</v>
      </c>
    </row>
    <row r="190" spans="1:5" x14ac:dyDescent="0.25">
      <c r="A190" s="46">
        <v>300</v>
      </c>
      <c r="B190" s="46" t="s">
        <v>45</v>
      </c>
      <c r="C190" s="46" t="s">
        <v>127</v>
      </c>
      <c r="D190" s="98" t="str">
        <f>DEC2HEX(MOD(STRUCT!H40,2^8),8)</f>
        <v>00000000</v>
      </c>
      <c r="E190" s="46" t="str">
        <f t="shared" si="4"/>
        <v>FFFFFFFF</v>
      </c>
    </row>
    <row r="191" spans="1:5" x14ac:dyDescent="0.25">
      <c r="A191" s="46">
        <v>300</v>
      </c>
      <c r="B191" s="46" t="s">
        <v>45</v>
      </c>
      <c r="C191" s="46" t="s">
        <v>129</v>
      </c>
      <c r="D191" s="98" t="str">
        <f>DEC2HEX(MOD(STRUCT!H41,2^8),8)</f>
        <v>00000000</v>
      </c>
      <c r="E191" s="46" t="str">
        <f t="shared" si="4"/>
        <v>FFFFFFFF</v>
      </c>
    </row>
    <row r="192" spans="1:5" x14ac:dyDescent="0.25">
      <c r="A192" s="46">
        <v>300</v>
      </c>
      <c r="B192" s="46" t="s">
        <v>45</v>
      </c>
      <c r="C192" s="46" t="s">
        <v>131</v>
      </c>
      <c r="D192" s="98" t="str">
        <f>DEC2HEX(MOD(STRUCT!H42,2^8),8)</f>
        <v>00000000</v>
      </c>
      <c r="E192" s="46" t="str">
        <f t="shared" si="4"/>
        <v>FFFFFFFF</v>
      </c>
    </row>
    <row r="193" spans="1:5" x14ac:dyDescent="0.25">
      <c r="A193" s="46">
        <v>300</v>
      </c>
      <c r="B193" s="46" t="s">
        <v>45</v>
      </c>
      <c r="C193" s="46" t="s">
        <v>133</v>
      </c>
      <c r="D193" s="98" t="str">
        <f>DEC2HEX(MOD(STRUCT!H43,2^8),8)</f>
        <v>00000000</v>
      </c>
      <c r="E193" s="46" t="str">
        <f t="shared" si="4"/>
        <v>FFFFFFFF</v>
      </c>
    </row>
    <row r="194" spans="1:5" x14ac:dyDescent="0.25">
      <c r="A194" s="46">
        <v>300</v>
      </c>
      <c r="B194" s="46" t="s">
        <v>45</v>
      </c>
      <c r="C194" s="46" t="s">
        <v>135</v>
      </c>
      <c r="D194" s="98" t="str">
        <f>DEC2HEX(MOD(STRUCT!H44,2^8),8)</f>
        <v>00000000</v>
      </c>
      <c r="E194" s="46" t="str">
        <f t="shared" si="4"/>
        <v>FFFFFFFF</v>
      </c>
    </row>
    <row r="195" spans="1:5" x14ac:dyDescent="0.25">
      <c r="A195" s="46">
        <v>300</v>
      </c>
      <c r="B195" s="46" t="s">
        <v>45</v>
      </c>
      <c r="C195" s="46" t="s">
        <v>137</v>
      </c>
      <c r="D195" s="98" t="str">
        <f>DEC2HEX(MOD(STRUCT!H45,2^8),8)</f>
        <v>00000000</v>
      </c>
      <c r="E195" s="46" t="str">
        <f t="shared" si="4"/>
        <v>FFFFFFFF</v>
      </c>
    </row>
    <row r="196" spans="1:5" x14ac:dyDescent="0.25">
      <c r="A196" s="46">
        <v>300</v>
      </c>
      <c r="B196" s="46" t="s">
        <v>45</v>
      </c>
      <c r="C196" s="46" t="s">
        <v>157</v>
      </c>
      <c r="D196" s="98" t="str">
        <f>DEC2HEX(2^16*MOD(STRUCT!H62,2^8)+2^0*MOD(STRUCT!H63,2^8),8)</f>
        <v>00300030</v>
      </c>
      <c r="E196" s="46" t="str">
        <f>DEC2HEX(2^16*(2^8-1)+2^0*(2^8-1),8)</f>
        <v>00FF00FF</v>
      </c>
    </row>
    <row r="197" spans="1:5" x14ac:dyDescent="0.25">
      <c r="A197" s="46">
        <v>300</v>
      </c>
      <c r="B197" s="46" t="s">
        <v>45</v>
      </c>
      <c r="C197" s="46" t="s">
        <v>163</v>
      </c>
      <c r="D197" s="98" t="str">
        <f>DEC2HEX(2^16*MOD(STRUCT!H64,2^8)+2^0*MOD(STRUCT!H65,2^8),8)</f>
        <v>000D000D</v>
      </c>
      <c r="E197" s="46" t="str">
        <f t="shared" ref="E197:E212" si="5">DEC2HEX(2^0*(2^32-1),8)</f>
        <v>FFFFFFFF</v>
      </c>
    </row>
    <row r="198" spans="1:5" x14ac:dyDescent="0.25">
      <c r="A198" s="46">
        <v>300</v>
      </c>
      <c r="B198" s="46" t="s">
        <v>26</v>
      </c>
      <c r="C198" s="46" t="s">
        <v>6753</v>
      </c>
      <c r="D198" s="98" t="str">
        <f>DEC2HEX(2^16*MOD(STRUCT!E96,2^8)+2^8*MOD(STRUCT!E97,2^8)+2^0*MOD(STRUCT!E98,2^8),8)</f>
        <v>00042404</v>
      </c>
      <c r="E198" s="46" t="str">
        <f t="shared" si="5"/>
        <v>FFFFFFFF</v>
      </c>
    </row>
    <row r="199" spans="1:5" x14ac:dyDescent="0.25">
      <c r="A199" s="46">
        <v>300</v>
      </c>
      <c r="B199" s="46" t="s">
        <v>26</v>
      </c>
      <c r="C199" s="46" t="s">
        <v>6756</v>
      </c>
      <c r="D199" s="98" t="str">
        <f>DEC2HEX(2^24*MOD(STRUCT!E99,2^8)+2^16*MOD(STRUCT!E100,2^8)+2^8*MOD(STRUCT!E101,2^8)+2^0*MOD(STRUCT!E102,2^8),8)</f>
        <v>201C0004</v>
      </c>
      <c r="E199" s="46" t="str">
        <f t="shared" si="5"/>
        <v>FFFFFFFF</v>
      </c>
    </row>
    <row r="200" spans="1:5" x14ac:dyDescent="0.25">
      <c r="A200" s="46">
        <v>300</v>
      </c>
      <c r="B200" s="46" t="s">
        <v>26</v>
      </c>
      <c r="C200" s="46" t="s">
        <v>6759</v>
      </c>
      <c r="D200" s="98" t="str">
        <f>DEC2HEX(2^0*MOD(STRUCT!E103,2^8),8)</f>
        <v>00000008</v>
      </c>
      <c r="E200" s="46" t="str">
        <f t="shared" si="5"/>
        <v>FFFFFFFF</v>
      </c>
    </row>
    <row r="201" spans="1:5" x14ac:dyDescent="0.25">
      <c r="A201" s="46">
        <v>300</v>
      </c>
      <c r="B201" s="46" t="s">
        <v>26</v>
      </c>
      <c r="C201" s="46" t="s">
        <v>6760</v>
      </c>
      <c r="D201" s="98" t="str">
        <f>DEC2HEX(2^16*MOD(STRUCT!E104,2^8)+2^8*MOD(STRUCT!E105,2^8)+2^0*MOD(STRUCT!E106,2^8),8)</f>
        <v>00042404</v>
      </c>
      <c r="E201" s="46" t="str">
        <f t="shared" si="5"/>
        <v>FFFFFFFF</v>
      </c>
    </row>
    <row r="202" spans="1:5" x14ac:dyDescent="0.25">
      <c r="A202" s="46">
        <v>300</v>
      </c>
      <c r="B202" s="46" t="s">
        <v>26</v>
      </c>
      <c r="C202" s="46" t="s">
        <v>6761</v>
      </c>
      <c r="D202" s="98" t="str">
        <f>DEC2HEX(2^24*MOD(STRUCT!E107,2^8)+2^16*MOD(STRUCT!E108,2^8)+2^8*MOD(STRUCT!E109,2^8)+2^0*MOD(STRUCT!E110,2^8),8)</f>
        <v>201C0004</v>
      </c>
      <c r="E202" s="46" t="str">
        <f t="shared" si="5"/>
        <v>FFFFFFFF</v>
      </c>
    </row>
    <row r="203" spans="1:5" x14ac:dyDescent="0.25">
      <c r="A203" s="46">
        <v>300</v>
      </c>
      <c r="B203" s="46" t="s">
        <v>26</v>
      </c>
      <c r="C203" s="46" t="s">
        <v>6762</v>
      </c>
      <c r="D203" s="98" t="str">
        <f>DEC2HEX(2^0*MOD(STRUCT!E111,2^8),8)</f>
        <v>00000008</v>
      </c>
      <c r="E203" s="46" t="str">
        <f t="shared" si="5"/>
        <v>FFFFFFFF</v>
      </c>
    </row>
    <row r="204" spans="1:5" x14ac:dyDescent="0.25">
      <c r="A204" s="46">
        <v>300</v>
      </c>
      <c r="B204" s="46" t="s">
        <v>26</v>
      </c>
      <c r="C204" s="46" t="s">
        <v>6763</v>
      </c>
      <c r="D204" s="98" t="str">
        <f>DEC2HEX(2^16*MOD(STRUCT!E112,2^8)+2^8*MOD(STRUCT!E113,2^8)+2^0*MOD(STRUCT!E114,2^8),8)</f>
        <v>00042404</v>
      </c>
      <c r="E204" s="46" t="str">
        <f t="shared" si="5"/>
        <v>FFFFFFFF</v>
      </c>
    </row>
    <row r="205" spans="1:5" x14ac:dyDescent="0.25">
      <c r="A205" s="46">
        <v>300</v>
      </c>
      <c r="B205" s="46" t="s">
        <v>26</v>
      </c>
      <c r="C205" s="46" t="s">
        <v>6764</v>
      </c>
      <c r="D205" s="98" t="str">
        <f>DEC2HEX(2^24*MOD(STRUCT!E115,2^8)+2^16*MOD(STRUCT!E116,2^8)+2^8*MOD(STRUCT!E117,2^8)+2^0*MOD(STRUCT!E118,2^8),8)</f>
        <v>201C0004</v>
      </c>
      <c r="E205" s="46" t="str">
        <f t="shared" si="5"/>
        <v>FFFFFFFF</v>
      </c>
    </row>
    <row r="206" spans="1:5" x14ac:dyDescent="0.25">
      <c r="A206" s="46">
        <v>300</v>
      </c>
      <c r="B206" s="46" t="s">
        <v>26</v>
      </c>
      <c r="C206" s="46" t="s">
        <v>6765</v>
      </c>
      <c r="D206" s="98" t="str">
        <f>DEC2HEX(2^0*MOD(STRUCT!E119,2^8),8)</f>
        <v>00000008</v>
      </c>
      <c r="E206" s="46" t="str">
        <f t="shared" si="5"/>
        <v>FFFFFFFF</v>
      </c>
    </row>
    <row r="207" spans="1:5" x14ac:dyDescent="0.25">
      <c r="A207" s="46">
        <v>300</v>
      </c>
      <c r="B207" s="46" t="s">
        <v>26</v>
      </c>
      <c r="C207" s="46" t="s">
        <v>6766</v>
      </c>
      <c r="D207" s="98" t="str">
        <f>DEC2HEX(2^16*MOD(STRUCT!E120,2^8)+2^8*MOD(STRUCT!E121,2^8)+2^0*MOD(STRUCT!E122,2^8),8)</f>
        <v>00042404</v>
      </c>
      <c r="E207" s="46" t="str">
        <f t="shared" si="5"/>
        <v>FFFFFFFF</v>
      </c>
    </row>
    <row r="208" spans="1:5" x14ac:dyDescent="0.25">
      <c r="A208" s="46">
        <v>300</v>
      </c>
      <c r="B208" s="46" t="s">
        <v>26</v>
      </c>
      <c r="C208" s="46" t="s">
        <v>6767</v>
      </c>
      <c r="D208" s="98" t="str">
        <f>DEC2HEX(2^24*MOD(STRUCT!E123,2^8)+2^16*MOD(STRUCT!E124,2^8)+2^8*MOD(STRUCT!E125,2^8)+2^0*MOD(STRUCT!E126,2^8),8)</f>
        <v>201C0004</v>
      </c>
      <c r="E208" s="46" t="str">
        <f t="shared" si="5"/>
        <v>FFFFFFFF</v>
      </c>
    </row>
    <row r="209" spans="1:6" x14ac:dyDescent="0.25">
      <c r="A209" s="46">
        <v>300</v>
      </c>
      <c r="B209" s="46" t="s">
        <v>26</v>
      </c>
      <c r="C209" s="46" t="s">
        <v>6768</v>
      </c>
      <c r="D209" s="98" t="str">
        <f>DEC2HEX(2^0*MOD(STRUCT!E127,2^8),8)</f>
        <v>00000008</v>
      </c>
      <c r="E209" s="46" t="str">
        <f t="shared" si="5"/>
        <v>FFFFFFFF</v>
      </c>
    </row>
    <row r="210" spans="1:6" x14ac:dyDescent="0.25">
      <c r="A210" s="46">
        <v>300</v>
      </c>
      <c r="B210" s="46" t="s">
        <v>32</v>
      </c>
      <c r="C210" s="46" t="s">
        <v>6703</v>
      </c>
      <c r="D210" s="98" t="str">
        <f>DEC2HEX(2^24*MOD(STRUCT!F78,2^8)+2^16*MOD(STRUCT!F79,2^8)+2^8*MOD(STRUCT!F80,2^8)+2^0*MOD(STRUCT!F81,2^8),8)</f>
        <v>01034301</v>
      </c>
      <c r="E210" s="46" t="str">
        <f t="shared" si="5"/>
        <v>FFFFFFFF</v>
      </c>
    </row>
    <row r="211" spans="1:6" x14ac:dyDescent="0.25">
      <c r="A211" s="46">
        <v>300</v>
      </c>
      <c r="B211" s="46" t="s">
        <v>32</v>
      </c>
      <c r="C211" s="46" t="s">
        <v>6705</v>
      </c>
      <c r="D211" s="98" t="str">
        <f>DEC2HEX(2^24*MOD(STRUCT!F82,2^8)+2^16*MOD(STRUCT!F83,2^8)+2^8*MOD(STRUCT!F84,2^8)+2^0*MOD(STRUCT!F85,2^8),8)</f>
        <v>00000003</v>
      </c>
      <c r="E211" s="46" t="str">
        <f t="shared" si="5"/>
        <v>FFFFFFFF</v>
      </c>
    </row>
    <row r="212" spans="1:6" x14ac:dyDescent="0.25">
      <c r="A212" s="46">
        <v>300</v>
      </c>
      <c r="B212" s="46" t="s">
        <v>32</v>
      </c>
      <c r="C212" s="46" t="s">
        <v>6706</v>
      </c>
      <c r="D212" s="98" t="str">
        <f>DEC2HEX(2^0*MOD(STRUCT!F86,2^8),8)</f>
        <v>0000005F</v>
      </c>
      <c r="E212" s="46" t="str">
        <f t="shared" si="5"/>
        <v>FFFFFFFF</v>
      </c>
    </row>
    <row r="213" spans="1:6" x14ac:dyDescent="0.25">
      <c r="A213" s="46">
        <v>300</v>
      </c>
      <c r="B213" s="46" t="s">
        <v>25</v>
      </c>
      <c r="C213" s="46" t="s">
        <v>6592</v>
      </c>
      <c r="D213" s="98" t="str">
        <f>DEC2HEX(2^24*MOD(STRUCT!F87,2^8)+2^16*MOD(STRUCT!F88,2^8)+2^8*MOD(STRUCT!F89,2^8)+2^0*MOD(STRUCT!F90,2^8),8)</f>
        <v>01030601</v>
      </c>
      <c r="E213" s="46" t="s">
        <v>2233</v>
      </c>
      <c r="F213" s="81" t="s">
        <v>7285</v>
      </c>
    </row>
    <row r="214" spans="1:6" x14ac:dyDescent="0.25">
      <c r="A214" s="46">
        <v>300</v>
      </c>
      <c r="B214" s="46" t="s">
        <v>25</v>
      </c>
      <c r="C214" s="46" t="s">
        <v>6595</v>
      </c>
      <c r="D214" s="98" t="str">
        <f>DEC2HEX(2^24*MOD(STRUCT!F91,2^1)+2^16*MOD(STRUCT!F92,2^8)+2^8*MOD(STRUCT!F93,2^8)+2^0*MOD(STRUCT!F94,2^8),8)</f>
        <v>00000003</v>
      </c>
      <c r="E214" s="46" t="s">
        <v>2233</v>
      </c>
      <c r="F214" s="81" t="s">
        <v>7285</v>
      </c>
    </row>
    <row r="215" spans="1:6" x14ac:dyDescent="0.25">
      <c r="A215" s="46">
        <v>300</v>
      </c>
      <c r="B215" s="46" t="s">
        <v>25</v>
      </c>
      <c r="C215" s="46" t="s">
        <v>6596</v>
      </c>
      <c r="D215" s="98" t="str">
        <f>DEC2HEX(2^0*MOD(STRUCT!F95,2^8),8)</f>
        <v>00000009</v>
      </c>
      <c r="E215" s="46" t="s">
        <v>2233</v>
      </c>
      <c r="F215" s="81" t="s">
        <v>7285</v>
      </c>
    </row>
    <row r="216" spans="1:6" x14ac:dyDescent="0.25">
      <c r="A216" s="46">
        <v>300</v>
      </c>
      <c r="B216" s="46" t="s">
        <v>37</v>
      </c>
      <c r="C216" s="46" t="s">
        <v>2443</v>
      </c>
      <c r="D216" s="98" t="str">
        <f>DEC2HEX(2^24*MOD(STRUCT!E155,2^8)+2^16*MOD(STRUCT!E156,2^8)+2^8*MOD(STRUCT!E153,2^8)+2^0*MOD(STRUCT!E154,2^8),8)</f>
        <v>0A0A0101</v>
      </c>
      <c r="E216" s="46" t="s">
        <v>2234</v>
      </c>
    </row>
    <row r="217" spans="1:6" x14ac:dyDescent="0.25">
      <c r="A217" s="46">
        <v>300</v>
      </c>
      <c r="B217" s="46" t="s">
        <v>37</v>
      </c>
      <c r="C217" s="46" t="s">
        <v>2453</v>
      </c>
      <c r="D217" s="98" t="str">
        <f>DEC2HEX(2^24*MOD(STRUCT!E159,2^8)+2^16*MOD(STRUCT!E160,2^8)+2^8*MOD(STRUCT!E157,2^8)+2^0*MOD(STRUCT!E158,2^8),8)</f>
        <v>0A0A0101</v>
      </c>
      <c r="E217" s="46" t="s">
        <v>2234</v>
      </c>
    </row>
    <row r="218" spans="1:6" x14ac:dyDescent="0.25">
      <c r="A218" s="46">
        <v>300</v>
      </c>
      <c r="B218" s="46" t="s">
        <v>37</v>
      </c>
      <c r="C218" s="46" t="s">
        <v>2457</v>
      </c>
      <c r="D218" s="98" t="str">
        <f>DEC2HEX(2^24*MOD(STRUCT!E163,2^8)+2^16*MOD(STRUCT!E164,2^8)+2^8*MOD(STRUCT!E161,2^8)+2^0*MOD(STRUCT!E162,2^8),8)</f>
        <v>0A0A0101</v>
      </c>
      <c r="E218" s="46" t="s">
        <v>2234</v>
      </c>
    </row>
    <row r="219" spans="1:6" x14ac:dyDescent="0.25">
      <c r="A219" s="46">
        <v>300</v>
      </c>
      <c r="B219" s="46" t="s">
        <v>37</v>
      </c>
      <c r="C219" s="46" t="s">
        <v>2463</v>
      </c>
      <c r="D219" s="98" t="str">
        <f>DEC2HEX(2^24*MOD(STRUCT!E167,2^8)+2^16*MOD(STRUCT!E168,2^8)+2^8*MOD(STRUCT!E165,2^8)+2^0*MOD(STRUCT!E166,2^8),8)</f>
        <v>0A0A0101</v>
      </c>
      <c r="E219" s="46" t="s">
        <v>2234</v>
      </c>
    </row>
    <row r="220" spans="1:6" x14ac:dyDescent="0.25">
      <c r="A220" s="46">
        <v>300</v>
      </c>
      <c r="B220" s="46" t="s">
        <v>37</v>
      </c>
      <c r="C220" s="46" t="s">
        <v>2446</v>
      </c>
      <c r="D220" s="98" t="str">
        <f>DEC2HEX(2^24*MOD(STRUCT!E171,2^8)+2^16*MOD(STRUCT!E172,2^8)+2^8*MOD(STRUCT!E169,2^8)+2^0*MOD(STRUCT!E170,2^8),8)</f>
        <v>0A0A0A0A</v>
      </c>
      <c r="E220" s="46" t="s">
        <v>2234</v>
      </c>
    </row>
    <row r="221" spans="1:6" x14ac:dyDescent="0.25">
      <c r="A221" s="46">
        <v>300</v>
      </c>
      <c r="B221" s="46" t="s">
        <v>37</v>
      </c>
      <c r="C221" s="46" t="s">
        <v>2454</v>
      </c>
      <c r="D221" s="98" t="str">
        <f>DEC2HEX(2^24*MOD(STRUCT!E175,2^8)+2^16*MOD(STRUCT!E176,2^8)+2^8*MOD(STRUCT!E173,2^8)+2^0*MOD(STRUCT!E174,2^8),8)</f>
        <v>0A0A0A0A</v>
      </c>
      <c r="E221" s="46" t="s">
        <v>2234</v>
      </c>
    </row>
    <row r="222" spans="1:6" x14ac:dyDescent="0.25">
      <c r="A222" s="46">
        <v>300</v>
      </c>
      <c r="B222" s="46" t="s">
        <v>37</v>
      </c>
      <c r="C222" s="46" t="s">
        <v>2458</v>
      </c>
      <c r="D222" s="98" t="str">
        <f>DEC2HEX(2^24*MOD(STRUCT!E179,2^8)+2^16*MOD(STRUCT!E180,2^8)+2^8*MOD(STRUCT!E177,2^8)+2^0*MOD(STRUCT!E178,2^8),8)</f>
        <v>0A0A0A0A</v>
      </c>
      <c r="E222" s="46" t="s">
        <v>2234</v>
      </c>
    </row>
    <row r="223" spans="1:6" x14ac:dyDescent="0.25">
      <c r="A223" s="46">
        <v>300</v>
      </c>
      <c r="B223" s="46" t="s">
        <v>37</v>
      </c>
      <c r="C223" s="46" t="s">
        <v>2465</v>
      </c>
      <c r="D223" s="98" t="str">
        <f>DEC2HEX(2^24*MOD(STRUCT!E183,2^8)+2^16*MOD(STRUCT!E184,2^8)+2^8*MOD(STRUCT!E181,2^8)+2^0*MOD(STRUCT!E182,2^8),8)</f>
        <v>0A0A0A0A</v>
      </c>
      <c r="E223" s="46" t="s">
        <v>2234</v>
      </c>
    </row>
    <row r="224" spans="1:6" x14ac:dyDescent="0.25">
      <c r="A224" s="46">
        <v>300</v>
      </c>
      <c r="B224" s="46" t="s">
        <v>37</v>
      </c>
      <c r="C224" s="46" t="s">
        <v>2399</v>
      </c>
      <c r="D224" s="98" t="str">
        <f>DEC2HEX(2^24*MOD(STRUCT!E185,2^8)+2^16*MOD(STRUCT!E186,2^8)+2^8*MOD(STRUCT!E187,2^8)+2^0*MOD(STRUCT!E188,2^8),8)</f>
        <v>019D9D9D</v>
      </c>
      <c r="E224" s="46" t="s">
        <v>2234</v>
      </c>
    </row>
    <row r="225" spans="1:5" x14ac:dyDescent="0.25">
      <c r="A225" s="46">
        <v>300</v>
      </c>
      <c r="B225" s="46" t="s">
        <v>37</v>
      </c>
      <c r="C225" s="46" t="s">
        <v>2396</v>
      </c>
      <c r="D225" s="98" t="str">
        <f>DEC2HEX(2^24*MOD(STRUCT!E189,2^8)+2^16*MOD(STRUCT!E190,2^8)+2^8*MOD(STRUCT!E191,2^8)+2^0*MOD(STRUCT!E192,2^8),8)</f>
        <v>9D9D9D9D</v>
      </c>
      <c r="E225" s="46" t="s">
        <v>2234</v>
      </c>
    </row>
    <row r="226" spans="1:5" x14ac:dyDescent="0.25">
      <c r="A226" s="46">
        <v>300</v>
      </c>
      <c r="B226" s="46" t="s">
        <v>37</v>
      </c>
      <c r="C226" s="46" t="s">
        <v>2404</v>
      </c>
      <c r="D226" s="98" t="str">
        <f>DEC2HEX(2^24*MOD(STRUCT!E193,2^8)+2^16*MOD(STRUCT!E194,2^8)+2^8*MOD(STRUCT!E195,2^8)+2^0*MOD(STRUCT!E196,2^8),8)</f>
        <v>019D9D9D</v>
      </c>
      <c r="E226" s="46" t="s">
        <v>2234</v>
      </c>
    </row>
    <row r="227" spans="1:5" x14ac:dyDescent="0.25">
      <c r="A227" s="46">
        <v>300</v>
      </c>
      <c r="B227" s="46" t="s">
        <v>37</v>
      </c>
      <c r="C227" s="46" t="s">
        <v>2403</v>
      </c>
      <c r="D227" s="98" t="str">
        <f>DEC2HEX(2^24*MOD(STRUCT!E197,2^8)+2^16*MOD(STRUCT!E198,2^8)+2^8*MOD(STRUCT!E199,2^8)+2^0*MOD(STRUCT!E200,2^8),8)</f>
        <v>9D9D9D9D</v>
      </c>
      <c r="E227" s="46" t="s">
        <v>2234</v>
      </c>
    </row>
    <row r="228" spans="1:5" x14ac:dyDescent="0.25">
      <c r="A228" s="46">
        <v>300</v>
      </c>
      <c r="B228" s="46" t="s">
        <v>37</v>
      </c>
      <c r="C228" s="46" t="s">
        <v>2407</v>
      </c>
      <c r="D228" s="98" t="str">
        <f>DEC2HEX(2^24*MOD(STRUCT!E201,2^8)+2^16*MOD(STRUCT!E202,2^8)+2^8*MOD(STRUCT!E203,2^8)+2^0*MOD(STRUCT!E204,2^8),8)</f>
        <v>019D9D9D</v>
      </c>
      <c r="E228" s="46" t="s">
        <v>2234</v>
      </c>
    </row>
    <row r="229" spans="1:5" x14ac:dyDescent="0.25">
      <c r="A229" s="46">
        <v>300</v>
      </c>
      <c r="B229" s="46" t="s">
        <v>37</v>
      </c>
      <c r="C229" s="46" t="s">
        <v>2406</v>
      </c>
      <c r="D229" s="98" t="str">
        <f>DEC2HEX(2^24*MOD(STRUCT!E205,2^8)+2^16*MOD(STRUCT!E206,2^8)+2^8*MOD(STRUCT!E207,2^8)+2^0*MOD(STRUCT!E208,2^8),8)</f>
        <v>9D9D9D9D</v>
      </c>
      <c r="E229" s="46" t="s">
        <v>2234</v>
      </c>
    </row>
    <row r="230" spans="1:5" x14ac:dyDescent="0.25">
      <c r="A230" s="46">
        <v>300</v>
      </c>
      <c r="B230" s="46" t="s">
        <v>37</v>
      </c>
      <c r="C230" s="46" t="s">
        <v>2410</v>
      </c>
      <c r="D230" s="98" t="str">
        <f>DEC2HEX(2^24*MOD(STRUCT!E209,2^8)+2^16*MOD(STRUCT!E210,2^8)+2^8*MOD(STRUCT!E211,2^8)+2^0*MOD(STRUCT!E212,2^8),8)</f>
        <v>019D9D9D</v>
      </c>
      <c r="E230" s="46" t="s">
        <v>2234</v>
      </c>
    </row>
    <row r="231" spans="1:5" x14ac:dyDescent="0.25">
      <c r="A231" s="46">
        <v>300</v>
      </c>
      <c r="B231" s="46" t="s">
        <v>37</v>
      </c>
      <c r="C231" s="46" t="s">
        <v>2409</v>
      </c>
      <c r="D231" s="98" t="str">
        <f>DEC2HEX(2^24*MOD(STRUCT!E213,2^8)+2^16*MOD(STRUCT!E214,2^8)+2^8*MOD(STRUCT!E215,2^8)+2^0*MOD(STRUCT!E216,2^8),8)</f>
        <v>9D9D9D9D</v>
      </c>
      <c r="E231" s="46" t="s">
        <v>2234</v>
      </c>
    </row>
    <row r="232" spans="1:5" x14ac:dyDescent="0.25">
      <c r="A232" s="46">
        <v>300</v>
      </c>
      <c r="B232" s="46" t="s">
        <v>37</v>
      </c>
      <c r="C232" s="63" t="s">
        <v>2429</v>
      </c>
      <c r="D232" s="98" t="str">
        <f>DEC2HEX(2^6*MOD(STRUCT!E217,2^1),8)</f>
        <v>00000000</v>
      </c>
      <c r="E232" s="46" t="s">
        <v>498</v>
      </c>
    </row>
    <row r="233" spans="1:5" x14ac:dyDescent="0.25">
      <c r="A233" s="46">
        <v>300</v>
      </c>
      <c r="B233" s="46" t="s">
        <v>37</v>
      </c>
      <c r="C233" s="63" t="s">
        <v>2433</v>
      </c>
      <c r="D233" s="98" t="str">
        <f>DEC2HEX(2^6*MOD(STRUCT!E218,2^1),8)</f>
        <v>00000000</v>
      </c>
      <c r="E233" s="46" t="s">
        <v>498</v>
      </c>
    </row>
    <row r="234" spans="1:5" x14ac:dyDescent="0.25">
      <c r="A234" s="46">
        <v>300</v>
      </c>
      <c r="B234" s="46" t="s">
        <v>37</v>
      </c>
      <c r="C234" s="63" t="s">
        <v>2438</v>
      </c>
      <c r="D234" s="98" t="str">
        <f>DEC2HEX(2^6*MOD(STRUCT!E219,2^1),8)</f>
        <v>00000000</v>
      </c>
      <c r="E234" s="46" t="s">
        <v>498</v>
      </c>
    </row>
    <row r="235" spans="1:5" x14ac:dyDescent="0.25">
      <c r="A235" s="46">
        <v>300</v>
      </c>
      <c r="B235" s="46" t="s">
        <v>37</v>
      </c>
      <c r="C235" s="63" t="s">
        <v>2442</v>
      </c>
      <c r="D235" s="98" t="str">
        <f>DEC2HEX(2^6*MOD(STRUCT!E220,2^1),8)</f>
        <v>00000000</v>
      </c>
      <c r="E235" s="46" t="s">
        <v>498</v>
      </c>
    </row>
    <row r="236" spans="1:5" x14ac:dyDescent="0.25">
      <c r="A236" s="46">
        <v>451.2</v>
      </c>
      <c r="B236" s="46" t="s">
        <v>44</v>
      </c>
      <c r="C236" s="46" t="s">
        <v>78</v>
      </c>
      <c r="D236" s="98" t="str">
        <f>DEC2HEX(2^24*MOD(STRUCT!I14,2^8)+2^16*MOD(STRUCT!I15,2^8)+2^8*MOD(STRUCT!I16,2^8)+2^0*MOD(STRUCT!I17,2^8),8)</f>
        <v>00000000</v>
      </c>
      <c r="E236" s="46" t="s">
        <v>2234</v>
      </c>
    </row>
    <row r="237" spans="1:5" x14ac:dyDescent="0.25">
      <c r="A237" s="46">
        <v>451.2</v>
      </c>
      <c r="B237" s="46" t="s">
        <v>44</v>
      </c>
      <c r="C237" s="46" t="s">
        <v>86</v>
      </c>
      <c r="D237" s="98" t="str">
        <f>DEC2HEX(2^24*MOD(STRUCT!I18,2^8)+2^16*MOD(STRUCT!I19,2^8)+2^8*MOD(STRUCT!I20,2^8)+2^0*MOD(STRUCT!I21,2^8),8)</f>
        <v>00000000</v>
      </c>
      <c r="E237" s="46" t="s">
        <v>2234</v>
      </c>
    </row>
    <row r="238" spans="1:5" x14ac:dyDescent="0.25">
      <c r="A238" s="46">
        <v>451.2</v>
      </c>
      <c r="B238" s="46" t="s">
        <v>44</v>
      </c>
      <c r="C238" s="46" t="s">
        <v>7281</v>
      </c>
      <c r="D238" s="98" t="str">
        <f>DEC2HEX(2^20*MOD(STRUCT!I22,2^8)+2^0*MOD(STRUCT!I23,2^14),8)</f>
        <v>00100000</v>
      </c>
      <c r="E238" s="46" t="s">
        <v>2234</v>
      </c>
    </row>
    <row r="239" spans="1:5" x14ac:dyDescent="0.25">
      <c r="A239" s="46">
        <v>451.2</v>
      </c>
      <c r="B239" s="46" t="s">
        <v>44</v>
      </c>
      <c r="C239" s="46" t="s">
        <v>7282</v>
      </c>
      <c r="D239" s="98" t="str">
        <f>DEC2HEX(2^20*MOD(STRUCT!I24,2^8)+2^0*MOD(STRUCT!I25,2^14),8)</f>
        <v>00100000</v>
      </c>
      <c r="E239" s="46" t="s">
        <v>2234</v>
      </c>
    </row>
    <row r="240" spans="1:5" x14ac:dyDescent="0.25">
      <c r="A240" s="46">
        <v>451.2</v>
      </c>
      <c r="B240" s="46" t="s">
        <v>44</v>
      </c>
      <c r="C240" s="46" t="s">
        <v>7283</v>
      </c>
      <c r="D240" s="98" t="str">
        <f>DEC2HEX(2^20*MOD(STRUCT!I26,2^8)+2^0*MOD(STRUCT!I27,2^14),8)</f>
        <v>00300000</v>
      </c>
      <c r="E240" s="46" t="s">
        <v>2234</v>
      </c>
    </row>
    <row r="241" spans="1:5" x14ac:dyDescent="0.25">
      <c r="A241" s="46">
        <v>451.2</v>
      </c>
      <c r="B241" s="46" t="s">
        <v>44</v>
      </c>
      <c r="C241" s="46" t="s">
        <v>7284</v>
      </c>
      <c r="D241" s="98" t="str">
        <f>DEC2HEX(2^20*MOD(STRUCT!I28,2^8)+2^0*MOD(STRUCT!I29,2^14),8)</f>
        <v>00300000</v>
      </c>
      <c r="E241" s="46" t="s">
        <v>2234</v>
      </c>
    </row>
    <row r="242" spans="1:5" x14ac:dyDescent="0.25">
      <c r="A242" s="46">
        <v>451.2</v>
      </c>
      <c r="B242" s="46" t="s">
        <v>45</v>
      </c>
      <c r="C242" s="46" t="s">
        <v>139</v>
      </c>
      <c r="D242" s="98" t="str">
        <f>DEC2HEX(MOD(STRUCT!I46,2^1),8)</f>
        <v>00000001</v>
      </c>
      <c r="E242" s="46" t="s">
        <v>2234</v>
      </c>
    </row>
    <row r="243" spans="1:5" x14ac:dyDescent="0.25">
      <c r="A243" s="46">
        <v>451.2</v>
      </c>
      <c r="B243" s="46" t="s">
        <v>45</v>
      </c>
      <c r="C243" s="46" t="s">
        <v>142</v>
      </c>
      <c r="D243" s="98" t="str">
        <f>DEC2HEX(MOD(STRUCT!I47,2^1),8)</f>
        <v>00000000</v>
      </c>
      <c r="E243" s="46" t="s">
        <v>2234</v>
      </c>
    </row>
    <row r="244" spans="1:5" x14ac:dyDescent="0.25">
      <c r="A244" s="46">
        <v>451.2</v>
      </c>
      <c r="B244" s="46" t="s">
        <v>45</v>
      </c>
      <c r="C244" s="46" t="s">
        <v>143</v>
      </c>
      <c r="D244" s="98" t="str">
        <f>DEC2HEX(MOD(STRUCT!I48,2^1),8)</f>
        <v>00000000</v>
      </c>
      <c r="E244" s="46" t="s">
        <v>2234</v>
      </c>
    </row>
    <row r="245" spans="1:5" x14ac:dyDescent="0.25">
      <c r="A245" s="46">
        <v>451.2</v>
      </c>
      <c r="B245" s="46" t="s">
        <v>45</v>
      </c>
      <c r="C245" s="46" t="s">
        <v>144</v>
      </c>
      <c r="D245" s="98" t="str">
        <f>DEC2HEX(MOD(STRUCT!I49,2^1),8)</f>
        <v>00000001</v>
      </c>
      <c r="E245" s="46" t="s">
        <v>2234</v>
      </c>
    </row>
    <row r="246" spans="1:5" x14ac:dyDescent="0.25">
      <c r="A246" s="46">
        <v>451.2</v>
      </c>
      <c r="B246" s="46" t="s">
        <v>45</v>
      </c>
      <c r="C246" s="46" t="s">
        <v>145</v>
      </c>
      <c r="D246" s="98" t="str">
        <f>DEC2HEX(MOD(STRUCT!I50,2^1),8)</f>
        <v>00000001</v>
      </c>
      <c r="E246" s="46" t="s">
        <v>2234</v>
      </c>
    </row>
    <row r="247" spans="1:5" x14ac:dyDescent="0.25">
      <c r="A247" s="46">
        <v>451.2</v>
      </c>
      <c r="B247" s="46" t="s">
        <v>45</v>
      </c>
      <c r="C247" s="46" t="s">
        <v>146</v>
      </c>
      <c r="D247" s="98" t="str">
        <f>DEC2HEX(MOD(STRUCT!I51,2^1),8)</f>
        <v>00000000</v>
      </c>
      <c r="E247" s="46" t="s">
        <v>2234</v>
      </c>
    </row>
    <row r="248" spans="1:5" x14ac:dyDescent="0.25">
      <c r="A248" s="46">
        <v>451.2</v>
      </c>
      <c r="B248" s="46" t="s">
        <v>45</v>
      </c>
      <c r="C248" s="46" t="s">
        <v>147</v>
      </c>
      <c r="D248" s="98" t="str">
        <f>DEC2HEX(MOD(STRUCT!I52,2^1),8)</f>
        <v>00000000</v>
      </c>
      <c r="E248" s="46" t="s">
        <v>2234</v>
      </c>
    </row>
    <row r="249" spans="1:5" x14ac:dyDescent="0.25">
      <c r="A249" s="46">
        <v>451.2</v>
      </c>
      <c r="B249" s="46" t="s">
        <v>45</v>
      </c>
      <c r="C249" s="46" t="s">
        <v>148</v>
      </c>
      <c r="D249" s="98" t="str">
        <f>DEC2HEX(MOD(STRUCT!I53,2^1),8)</f>
        <v>00000000</v>
      </c>
      <c r="E249" s="46" t="s">
        <v>2234</v>
      </c>
    </row>
    <row r="250" spans="1:5" x14ac:dyDescent="0.25">
      <c r="A250" s="46">
        <v>451.2</v>
      </c>
      <c r="B250" s="46" t="s">
        <v>45</v>
      </c>
      <c r="C250" s="46" t="s">
        <v>149</v>
      </c>
      <c r="D250" s="98" t="str">
        <f>DEC2HEX(MOD(STRUCT!I54,2^1),8)</f>
        <v>00000001</v>
      </c>
      <c r="E250" s="46" t="s">
        <v>2234</v>
      </c>
    </row>
    <row r="251" spans="1:5" x14ac:dyDescent="0.25">
      <c r="A251" s="46">
        <v>451.2</v>
      </c>
      <c r="B251" s="46" t="s">
        <v>45</v>
      </c>
      <c r="C251" s="46" t="s">
        <v>150</v>
      </c>
      <c r="D251" s="98" t="str">
        <f>DEC2HEX(MOD(STRUCT!I55,2^1),8)</f>
        <v>00000000</v>
      </c>
      <c r="E251" s="46" t="s">
        <v>2234</v>
      </c>
    </row>
    <row r="252" spans="1:5" x14ac:dyDescent="0.25">
      <c r="A252" s="46">
        <v>451.2</v>
      </c>
      <c r="B252" s="46" t="s">
        <v>45</v>
      </c>
      <c r="C252" s="46" t="s">
        <v>151</v>
      </c>
      <c r="D252" s="98" t="str">
        <f>DEC2HEX(MOD(STRUCT!I56,2^1),8)</f>
        <v>00000000</v>
      </c>
      <c r="E252" s="46" t="s">
        <v>2234</v>
      </c>
    </row>
    <row r="253" spans="1:5" x14ac:dyDescent="0.25">
      <c r="A253" s="46">
        <v>451.2</v>
      </c>
      <c r="B253" s="46" t="s">
        <v>45</v>
      </c>
      <c r="C253" s="46" t="s">
        <v>152</v>
      </c>
      <c r="D253" s="98" t="str">
        <f>DEC2HEX(MOD(STRUCT!I57,2^1),8)</f>
        <v>00000000</v>
      </c>
      <c r="E253" s="46" t="s">
        <v>2234</v>
      </c>
    </row>
    <row r="254" spans="1:5" x14ac:dyDescent="0.25">
      <c r="A254" s="46">
        <v>451.2</v>
      </c>
      <c r="B254" s="46" t="s">
        <v>45</v>
      </c>
      <c r="C254" s="46" t="s">
        <v>153</v>
      </c>
      <c r="D254" s="98" t="str">
        <f>DEC2HEX(MOD(STRUCT!I58,2^1),8)</f>
        <v>00000001</v>
      </c>
      <c r="E254" s="46" t="s">
        <v>2234</v>
      </c>
    </row>
    <row r="255" spans="1:5" x14ac:dyDescent="0.25">
      <c r="A255" s="46">
        <v>451.2</v>
      </c>
      <c r="B255" s="46" t="s">
        <v>45</v>
      </c>
      <c r="C255" s="46" t="s">
        <v>154</v>
      </c>
      <c r="D255" s="98" t="str">
        <f>DEC2HEX(MOD(STRUCT!I59,2^1),8)</f>
        <v>00000000</v>
      </c>
      <c r="E255" s="46" t="s">
        <v>2234</v>
      </c>
    </row>
    <row r="256" spans="1:5" x14ac:dyDescent="0.25">
      <c r="A256" s="46">
        <v>451.2</v>
      </c>
      <c r="B256" s="46" t="s">
        <v>45</v>
      </c>
      <c r="C256" s="46" t="s">
        <v>155</v>
      </c>
      <c r="D256" s="98" t="str">
        <f>DEC2HEX(MOD(STRUCT!I60,2^1),8)</f>
        <v>00000000</v>
      </c>
      <c r="E256" s="46" t="s">
        <v>2234</v>
      </c>
    </row>
    <row r="257" spans="1:5" x14ac:dyDescent="0.25">
      <c r="A257" s="46">
        <v>451.2</v>
      </c>
      <c r="B257" s="46" t="s">
        <v>45</v>
      </c>
      <c r="C257" s="46" t="s">
        <v>156</v>
      </c>
      <c r="D257" s="98" t="str">
        <f>DEC2HEX(MOD(STRUCT!I61,2^1),8)</f>
        <v>00000001</v>
      </c>
      <c r="E257" s="46" t="s">
        <v>2234</v>
      </c>
    </row>
    <row r="258" spans="1:5" x14ac:dyDescent="0.25">
      <c r="A258" s="46">
        <v>451.2</v>
      </c>
      <c r="B258" s="46" t="s">
        <v>45</v>
      </c>
      <c r="C258" s="46" t="s">
        <v>103</v>
      </c>
      <c r="D258" s="98" t="str">
        <f>DEC2HEX(MOD(STRUCT!I30,2^8),8)</f>
        <v>00000000</v>
      </c>
      <c r="E258" s="46" t="str">
        <f t="shared" ref="E258:E273" si="6">DEC2HEX(2^0*(2^32-1),8)</f>
        <v>FFFFFFFF</v>
      </c>
    </row>
    <row r="259" spans="1:5" x14ac:dyDescent="0.25">
      <c r="A259" s="46">
        <v>451.2</v>
      </c>
      <c r="B259" s="46" t="s">
        <v>45</v>
      </c>
      <c r="C259" s="46" t="s">
        <v>107</v>
      </c>
      <c r="D259" s="98" t="str">
        <f>DEC2HEX(MOD(STRUCT!I31,2^8),8)</f>
        <v>00000000</v>
      </c>
      <c r="E259" s="46" t="str">
        <f t="shared" si="6"/>
        <v>FFFFFFFF</v>
      </c>
    </row>
    <row r="260" spans="1:5" x14ac:dyDescent="0.25">
      <c r="A260" s="46">
        <v>451.2</v>
      </c>
      <c r="B260" s="46" t="s">
        <v>45</v>
      </c>
      <c r="C260" s="46" t="s">
        <v>109</v>
      </c>
      <c r="D260" s="98" t="str">
        <f>DEC2HEX(MOD(STRUCT!I32,2^8),8)</f>
        <v>00000000</v>
      </c>
      <c r="E260" s="46" t="str">
        <f t="shared" si="6"/>
        <v>FFFFFFFF</v>
      </c>
    </row>
    <row r="261" spans="1:5" x14ac:dyDescent="0.25">
      <c r="A261" s="46">
        <v>451.2</v>
      </c>
      <c r="B261" s="46" t="s">
        <v>45</v>
      </c>
      <c r="C261" s="46" t="s">
        <v>112</v>
      </c>
      <c r="D261" s="98" t="str">
        <f>DEC2HEX(MOD(STRUCT!I33,2^8),8)</f>
        <v>00000000</v>
      </c>
      <c r="E261" s="46" t="str">
        <f t="shared" si="6"/>
        <v>FFFFFFFF</v>
      </c>
    </row>
    <row r="262" spans="1:5" x14ac:dyDescent="0.25">
      <c r="A262" s="46">
        <v>451.2</v>
      </c>
      <c r="B262" s="46" t="s">
        <v>45</v>
      </c>
      <c r="C262" s="46" t="s">
        <v>114</v>
      </c>
      <c r="D262" s="98" t="str">
        <f>DEC2HEX(MOD(STRUCT!I34,2^8),8)</f>
        <v>00000000</v>
      </c>
      <c r="E262" s="46" t="str">
        <f t="shared" si="6"/>
        <v>FFFFFFFF</v>
      </c>
    </row>
    <row r="263" spans="1:5" x14ac:dyDescent="0.25">
      <c r="A263" s="46">
        <v>451.2</v>
      </c>
      <c r="B263" s="46" t="s">
        <v>45</v>
      </c>
      <c r="C263" s="46" t="s">
        <v>116</v>
      </c>
      <c r="D263" s="98" t="str">
        <f>DEC2HEX(MOD(STRUCT!I35,2^8),8)</f>
        <v>00000000</v>
      </c>
      <c r="E263" s="46" t="str">
        <f t="shared" si="6"/>
        <v>FFFFFFFF</v>
      </c>
    </row>
    <row r="264" spans="1:5" x14ac:dyDescent="0.25">
      <c r="A264" s="46">
        <v>451.2</v>
      </c>
      <c r="B264" s="46" t="s">
        <v>45</v>
      </c>
      <c r="C264" s="46" t="s">
        <v>118</v>
      </c>
      <c r="D264" s="98" t="str">
        <f>DEC2HEX(MOD(STRUCT!I36,2^8),8)</f>
        <v>00000000</v>
      </c>
      <c r="E264" s="46" t="str">
        <f t="shared" si="6"/>
        <v>FFFFFFFF</v>
      </c>
    </row>
    <row r="265" spans="1:5" x14ac:dyDescent="0.25">
      <c r="A265" s="46">
        <v>451.2</v>
      </c>
      <c r="B265" s="46" t="s">
        <v>45</v>
      </c>
      <c r="C265" s="46" t="s">
        <v>120</v>
      </c>
      <c r="D265" s="98" t="str">
        <f>DEC2HEX(MOD(STRUCT!I37,2^8),8)</f>
        <v>00000000</v>
      </c>
      <c r="E265" s="46" t="str">
        <f t="shared" si="6"/>
        <v>FFFFFFFF</v>
      </c>
    </row>
    <row r="266" spans="1:5" x14ac:dyDescent="0.25">
      <c r="A266" s="46">
        <v>451.2</v>
      </c>
      <c r="B266" s="46" t="s">
        <v>45</v>
      </c>
      <c r="C266" s="46" t="s">
        <v>122</v>
      </c>
      <c r="D266" s="98" t="str">
        <f>DEC2HEX(MOD(STRUCT!I38,2^8),8)</f>
        <v>00000000</v>
      </c>
      <c r="E266" s="46" t="str">
        <f t="shared" si="6"/>
        <v>FFFFFFFF</v>
      </c>
    </row>
    <row r="267" spans="1:5" x14ac:dyDescent="0.25">
      <c r="A267" s="46">
        <v>451.2</v>
      </c>
      <c r="B267" s="46" t="s">
        <v>45</v>
      </c>
      <c r="C267" s="46" t="s">
        <v>125</v>
      </c>
      <c r="D267" s="98" t="str">
        <f>DEC2HEX(MOD(STRUCT!I39,2^8),8)</f>
        <v>00000000</v>
      </c>
      <c r="E267" s="46" t="str">
        <f t="shared" si="6"/>
        <v>FFFFFFFF</v>
      </c>
    </row>
    <row r="268" spans="1:5" x14ac:dyDescent="0.25">
      <c r="A268" s="46">
        <v>451.2</v>
      </c>
      <c r="B268" s="46" t="s">
        <v>45</v>
      </c>
      <c r="C268" s="46" t="s">
        <v>127</v>
      </c>
      <c r="D268" s="98" t="str">
        <f>DEC2HEX(MOD(STRUCT!I40,2^8),8)</f>
        <v>00000000</v>
      </c>
      <c r="E268" s="46" t="str">
        <f t="shared" si="6"/>
        <v>FFFFFFFF</v>
      </c>
    </row>
    <row r="269" spans="1:5" x14ac:dyDescent="0.25">
      <c r="A269" s="46">
        <v>451.2</v>
      </c>
      <c r="B269" s="46" t="s">
        <v>45</v>
      </c>
      <c r="C269" s="46" t="s">
        <v>129</v>
      </c>
      <c r="D269" s="98" t="str">
        <f>DEC2HEX(MOD(STRUCT!I41,2^8),8)</f>
        <v>00000000</v>
      </c>
      <c r="E269" s="46" t="str">
        <f t="shared" si="6"/>
        <v>FFFFFFFF</v>
      </c>
    </row>
    <row r="270" spans="1:5" x14ac:dyDescent="0.25">
      <c r="A270" s="46">
        <v>451.2</v>
      </c>
      <c r="B270" s="46" t="s">
        <v>45</v>
      </c>
      <c r="C270" s="46" t="s">
        <v>131</v>
      </c>
      <c r="D270" s="98" t="str">
        <f>DEC2HEX(MOD(STRUCT!I42,2^8),8)</f>
        <v>00000000</v>
      </c>
      <c r="E270" s="46" t="str">
        <f t="shared" si="6"/>
        <v>FFFFFFFF</v>
      </c>
    </row>
    <row r="271" spans="1:5" x14ac:dyDescent="0.25">
      <c r="A271" s="46">
        <v>451.2</v>
      </c>
      <c r="B271" s="46" t="s">
        <v>45</v>
      </c>
      <c r="C271" s="46" t="s">
        <v>133</v>
      </c>
      <c r="D271" s="98" t="str">
        <f>DEC2HEX(MOD(STRUCT!I43,2^8),8)</f>
        <v>00000000</v>
      </c>
      <c r="E271" s="46" t="str">
        <f t="shared" si="6"/>
        <v>FFFFFFFF</v>
      </c>
    </row>
    <row r="272" spans="1:5" x14ac:dyDescent="0.25">
      <c r="A272" s="46">
        <v>451.2</v>
      </c>
      <c r="B272" s="46" t="s">
        <v>45</v>
      </c>
      <c r="C272" s="46" t="s">
        <v>135</v>
      </c>
      <c r="D272" s="98" t="str">
        <f>DEC2HEX(MOD(STRUCT!I44,2^8),8)</f>
        <v>00000000</v>
      </c>
      <c r="E272" s="46" t="str">
        <f t="shared" si="6"/>
        <v>FFFFFFFF</v>
      </c>
    </row>
    <row r="273" spans="1:5" x14ac:dyDescent="0.25">
      <c r="A273" s="46">
        <v>451.2</v>
      </c>
      <c r="B273" s="46" t="s">
        <v>45</v>
      </c>
      <c r="C273" s="46" t="s">
        <v>137</v>
      </c>
      <c r="D273" s="98" t="str">
        <f>DEC2HEX(MOD(STRUCT!I45,2^8),8)</f>
        <v>00000000</v>
      </c>
      <c r="E273" s="46" t="str">
        <f t="shared" si="6"/>
        <v>FFFFFFFF</v>
      </c>
    </row>
    <row r="274" spans="1:5" x14ac:dyDescent="0.25">
      <c r="A274" s="46">
        <v>451.2</v>
      </c>
      <c r="B274" s="46" t="s">
        <v>45</v>
      </c>
      <c r="C274" s="46" t="s">
        <v>157</v>
      </c>
      <c r="D274" s="98" t="str">
        <f>DEC2HEX(2^16*MOD(STRUCT!I62,2^8)+2^0*MOD(STRUCT!I63,2^8),8)</f>
        <v>00300030</v>
      </c>
      <c r="E274" s="46" t="str">
        <f>DEC2HEX(2^16*(2^8-1)+2^0*(2^8-1),8)</f>
        <v>00FF00FF</v>
      </c>
    </row>
    <row r="275" spans="1:5" x14ac:dyDescent="0.25">
      <c r="A275" s="46">
        <v>451.2</v>
      </c>
      <c r="B275" s="46" t="s">
        <v>45</v>
      </c>
      <c r="C275" s="46" t="s">
        <v>163</v>
      </c>
      <c r="D275" s="98" t="str">
        <f>DEC2HEX(2^16*MOD(STRUCT!I64,2^8)+2^0*MOD(STRUCT!I65,2^8),8)</f>
        <v>000D000D</v>
      </c>
      <c r="E275" s="46" t="str">
        <f t="shared" ref="E275:E290" si="7">DEC2HEX(2^0*(2^32-1),8)</f>
        <v>FFFFFFFF</v>
      </c>
    </row>
    <row r="276" spans="1:5" x14ac:dyDescent="0.25">
      <c r="A276" s="46">
        <v>451.2</v>
      </c>
      <c r="B276" s="46" t="s">
        <v>26</v>
      </c>
      <c r="C276" s="46" t="s">
        <v>6753</v>
      </c>
      <c r="D276" s="98" t="str">
        <f>DEC2HEX(2^16*MOD(STRUCT!E96,2^8)+2^8*MOD(STRUCT!E97,2^8)+2^0*MOD(STRUCT!E98,2^8),8)</f>
        <v>00042404</v>
      </c>
      <c r="E276" s="46" t="str">
        <f t="shared" si="7"/>
        <v>FFFFFFFF</v>
      </c>
    </row>
    <row r="277" spans="1:5" x14ac:dyDescent="0.25">
      <c r="A277" s="46">
        <v>451.2</v>
      </c>
      <c r="B277" s="46" t="s">
        <v>26</v>
      </c>
      <c r="C277" s="46" t="s">
        <v>6756</v>
      </c>
      <c r="D277" s="98" t="str">
        <f>DEC2HEX(2^24*MOD(STRUCT!E99,2^8)+2^16*MOD(STRUCT!E100,2^8)+2^8*MOD(STRUCT!E101,2^8)+2^0*MOD(STRUCT!E102,2^8),8)</f>
        <v>201C0004</v>
      </c>
      <c r="E277" s="46" t="str">
        <f t="shared" si="7"/>
        <v>FFFFFFFF</v>
      </c>
    </row>
    <row r="278" spans="1:5" x14ac:dyDescent="0.25">
      <c r="A278" s="46">
        <v>451.2</v>
      </c>
      <c r="B278" s="46" t="s">
        <v>26</v>
      </c>
      <c r="C278" s="46" t="s">
        <v>6759</v>
      </c>
      <c r="D278" s="98" t="str">
        <f>DEC2HEX(2^0*MOD(STRUCT!E103,2^8),8)</f>
        <v>00000008</v>
      </c>
      <c r="E278" s="46" t="str">
        <f t="shared" si="7"/>
        <v>FFFFFFFF</v>
      </c>
    </row>
    <row r="279" spans="1:5" x14ac:dyDescent="0.25">
      <c r="A279" s="46">
        <v>451.2</v>
      </c>
      <c r="B279" s="46" t="s">
        <v>26</v>
      </c>
      <c r="C279" s="46" t="s">
        <v>6760</v>
      </c>
      <c r="D279" s="98" t="str">
        <f>DEC2HEX(2^16*MOD(STRUCT!E104,2^8)+2^8*MOD(STRUCT!E105,2^8)+2^0*MOD(STRUCT!E106,2^8),8)</f>
        <v>00042404</v>
      </c>
      <c r="E279" s="46" t="str">
        <f t="shared" si="7"/>
        <v>FFFFFFFF</v>
      </c>
    </row>
    <row r="280" spans="1:5" x14ac:dyDescent="0.25">
      <c r="A280" s="46">
        <v>451.2</v>
      </c>
      <c r="B280" s="46" t="s">
        <v>26</v>
      </c>
      <c r="C280" s="46" t="s">
        <v>6761</v>
      </c>
      <c r="D280" s="98" t="str">
        <f>DEC2HEX(2^24*MOD(STRUCT!E107,2^8)+2^16*MOD(STRUCT!E108,2^8)+2^8*MOD(STRUCT!E109,2^8)+2^0*MOD(STRUCT!E110,2^8),8)</f>
        <v>201C0004</v>
      </c>
      <c r="E280" s="46" t="str">
        <f t="shared" si="7"/>
        <v>FFFFFFFF</v>
      </c>
    </row>
    <row r="281" spans="1:5" x14ac:dyDescent="0.25">
      <c r="A281" s="46">
        <v>451.2</v>
      </c>
      <c r="B281" s="46" t="s">
        <v>26</v>
      </c>
      <c r="C281" s="46" t="s">
        <v>6762</v>
      </c>
      <c r="D281" s="98" t="str">
        <f>DEC2HEX(2^0*MOD(STRUCT!E111,2^8),8)</f>
        <v>00000008</v>
      </c>
      <c r="E281" s="46" t="str">
        <f t="shared" si="7"/>
        <v>FFFFFFFF</v>
      </c>
    </row>
    <row r="282" spans="1:5" x14ac:dyDescent="0.25">
      <c r="A282" s="46">
        <v>451.2</v>
      </c>
      <c r="B282" s="46" t="s">
        <v>26</v>
      </c>
      <c r="C282" s="46" t="s">
        <v>6763</v>
      </c>
      <c r="D282" s="98" t="str">
        <f>DEC2HEX(2^16*MOD(STRUCT!E112,2^8)+2^8*MOD(STRUCT!E113,2^8)+2^0*MOD(STRUCT!E114,2^8),8)</f>
        <v>00042404</v>
      </c>
      <c r="E282" s="46" t="str">
        <f t="shared" si="7"/>
        <v>FFFFFFFF</v>
      </c>
    </row>
    <row r="283" spans="1:5" x14ac:dyDescent="0.25">
      <c r="A283" s="46">
        <v>451.2</v>
      </c>
      <c r="B283" s="46" t="s">
        <v>26</v>
      </c>
      <c r="C283" s="46" t="s">
        <v>6764</v>
      </c>
      <c r="D283" s="98" t="str">
        <f>DEC2HEX(2^24*MOD(STRUCT!E115,2^8)+2^16*MOD(STRUCT!E116,2^8)+2^8*MOD(STRUCT!E117,2^8)+2^0*MOD(STRUCT!E118,2^8),8)</f>
        <v>201C0004</v>
      </c>
      <c r="E283" s="46" t="str">
        <f t="shared" si="7"/>
        <v>FFFFFFFF</v>
      </c>
    </row>
    <row r="284" spans="1:5" x14ac:dyDescent="0.25">
      <c r="A284" s="46">
        <v>451.2</v>
      </c>
      <c r="B284" s="46" t="s">
        <v>26</v>
      </c>
      <c r="C284" s="46" t="s">
        <v>6765</v>
      </c>
      <c r="D284" s="98" t="str">
        <f>DEC2HEX(2^0*MOD(STRUCT!E119,2^8),8)</f>
        <v>00000008</v>
      </c>
      <c r="E284" s="46" t="str">
        <f t="shared" si="7"/>
        <v>FFFFFFFF</v>
      </c>
    </row>
    <row r="285" spans="1:5" x14ac:dyDescent="0.25">
      <c r="A285" s="46">
        <v>451.2</v>
      </c>
      <c r="B285" s="46" t="s">
        <v>26</v>
      </c>
      <c r="C285" s="46" t="s">
        <v>6766</v>
      </c>
      <c r="D285" s="98" t="str">
        <f>DEC2HEX(2^16*MOD(STRUCT!E120,2^8)+2^8*MOD(STRUCT!E121,2^8)+2^0*MOD(STRUCT!E122,2^8),8)</f>
        <v>00042404</v>
      </c>
      <c r="E285" s="46" t="str">
        <f t="shared" si="7"/>
        <v>FFFFFFFF</v>
      </c>
    </row>
    <row r="286" spans="1:5" x14ac:dyDescent="0.25">
      <c r="A286" s="46">
        <v>451.2</v>
      </c>
      <c r="B286" s="46" t="s">
        <v>26</v>
      </c>
      <c r="C286" s="46" t="s">
        <v>6767</v>
      </c>
      <c r="D286" s="98" t="str">
        <f>DEC2HEX(2^24*MOD(STRUCT!E123,2^8)+2^16*MOD(STRUCT!E124,2^8)+2^8*MOD(STRUCT!E125,2^8)+2^0*MOD(STRUCT!E126,2^8),8)</f>
        <v>201C0004</v>
      </c>
      <c r="E286" s="46" t="str">
        <f t="shared" si="7"/>
        <v>FFFFFFFF</v>
      </c>
    </row>
    <row r="287" spans="1:5" x14ac:dyDescent="0.25">
      <c r="A287" s="46">
        <v>451.2</v>
      </c>
      <c r="B287" s="46" t="s">
        <v>26</v>
      </c>
      <c r="C287" s="46" t="s">
        <v>6768</v>
      </c>
      <c r="D287" s="98" t="str">
        <f>DEC2HEX(2^0*MOD(STRUCT!E127,2^8),8)</f>
        <v>00000008</v>
      </c>
      <c r="E287" s="46" t="str">
        <f t="shared" si="7"/>
        <v>FFFFFFFF</v>
      </c>
    </row>
    <row r="288" spans="1:5" x14ac:dyDescent="0.25">
      <c r="A288" s="46">
        <v>451.2</v>
      </c>
      <c r="B288" s="46" t="s">
        <v>32</v>
      </c>
      <c r="C288" s="46" t="s">
        <v>6703</v>
      </c>
      <c r="D288" s="98" t="str">
        <f>DEC2HEX(2^24*MOD(STRUCT!G78,2^8)+2^16*MOD(STRUCT!G79,2^8)+2^8*MOD(STRUCT!G80,2^8)+2^0*MOD(STRUCT!G81,2^8),8)</f>
        <v>02065001</v>
      </c>
      <c r="E288" s="46" t="str">
        <f t="shared" si="7"/>
        <v>FFFFFFFF</v>
      </c>
    </row>
    <row r="289" spans="1:6" x14ac:dyDescent="0.25">
      <c r="A289" s="46">
        <v>451.2</v>
      </c>
      <c r="B289" s="46" t="s">
        <v>32</v>
      </c>
      <c r="C289" s="46" t="s">
        <v>6705</v>
      </c>
      <c r="D289" s="98" t="str">
        <f>DEC2HEX(2^24*MOD(STRUCT!G82,2^8)+2^16*MOD(STRUCT!G83,2^8)+2^8*MOD(STRUCT!G84,2^8)+2^0*MOD(STRUCT!G85,2^8),8)</f>
        <v>00000006</v>
      </c>
      <c r="E289" s="46" t="str">
        <f t="shared" si="7"/>
        <v>FFFFFFFF</v>
      </c>
    </row>
    <row r="290" spans="1:6" x14ac:dyDescent="0.25">
      <c r="A290" s="46">
        <v>451.2</v>
      </c>
      <c r="B290" s="46" t="s">
        <v>32</v>
      </c>
      <c r="C290" s="46" t="s">
        <v>6706</v>
      </c>
      <c r="D290" s="98" t="str">
        <f>DEC2HEX(2^0*MOD(STRUCT!G86,2^8),8)</f>
        <v>00000072</v>
      </c>
      <c r="E290" s="46" t="str">
        <f t="shared" si="7"/>
        <v>FFFFFFFF</v>
      </c>
    </row>
    <row r="291" spans="1:6" x14ac:dyDescent="0.25">
      <c r="A291" s="46">
        <v>451.2</v>
      </c>
      <c r="B291" s="46" t="s">
        <v>25</v>
      </c>
      <c r="C291" s="46" t="s">
        <v>6592</v>
      </c>
      <c r="D291" s="98" t="str">
        <f>DEC2HEX(2^24*MOD(STRUCT!G87,2^8)+2^16*MOD(STRUCT!G88,2^8)+2^8*MOD(STRUCT!G89,2^8)+2^0*MOD(STRUCT!G90,2^8),8)</f>
        <v>02060B01</v>
      </c>
      <c r="E291" s="46" t="s">
        <v>2233</v>
      </c>
      <c r="F291" s="81" t="s">
        <v>7285</v>
      </c>
    </row>
    <row r="292" spans="1:6" x14ac:dyDescent="0.25">
      <c r="A292" s="46">
        <v>451.2</v>
      </c>
      <c r="B292" s="46" t="s">
        <v>25</v>
      </c>
      <c r="C292" s="46" t="s">
        <v>6595</v>
      </c>
      <c r="D292" s="98" t="str">
        <f>DEC2HEX(2^24*MOD(STRUCT!G91,2^1)+2^16*MOD(STRUCT!G92,2^8)+2^8*MOD(STRUCT!G93,2^8)+2^0*MOD(STRUCT!G94,2^8),8)</f>
        <v>00000006</v>
      </c>
      <c r="E292" s="46" t="s">
        <v>2233</v>
      </c>
      <c r="F292" s="81" t="s">
        <v>7285</v>
      </c>
    </row>
    <row r="293" spans="1:6" x14ac:dyDescent="0.25">
      <c r="A293" s="46">
        <v>451.2</v>
      </c>
      <c r="B293" s="46" t="s">
        <v>25</v>
      </c>
      <c r="C293" s="46" t="s">
        <v>6596</v>
      </c>
      <c r="D293" s="98" t="str">
        <f>DEC2HEX(2^0*MOD(STRUCT!G95,2^8),8)</f>
        <v>00000012</v>
      </c>
      <c r="E293" s="46" t="s">
        <v>2233</v>
      </c>
      <c r="F293" s="81" t="s">
        <v>7285</v>
      </c>
    </row>
    <row r="294" spans="1:6" x14ac:dyDescent="0.25">
      <c r="A294" s="46">
        <v>451.2</v>
      </c>
      <c r="B294" s="46" t="s">
        <v>37</v>
      </c>
      <c r="C294" s="46" t="s">
        <v>2443</v>
      </c>
      <c r="D294" s="98" t="str">
        <f>DEC2HEX(2^24*MOD(STRUCT!E155,2^8)+2^16*MOD(STRUCT!E156,2^8)+2^8*MOD(STRUCT!E153,2^8)+2^0*MOD(STRUCT!E154,2^8),8)</f>
        <v>0A0A0101</v>
      </c>
      <c r="E294" s="46" t="s">
        <v>2234</v>
      </c>
    </row>
    <row r="295" spans="1:6" x14ac:dyDescent="0.25">
      <c r="A295" s="46">
        <v>451.2</v>
      </c>
      <c r="B295" s="46" t="s">
        <v>37</v>
      </c>
      <c r="C295" s="46" t="s">
        <v>2453</v>
      </c>
      <c r="D295" s="98" t="str">
        <f>DEC2HEX(2^24*MOD(STRUCT!E159,2^8)+2^16*MOD(STRUCT!E160,2^8)+2^8*MOD(STRUCT!E157,2^8)+2^0*MOD(STRUCT!E158,2^8),8)</f>
        <v>0A0A0101</v>
      </c>
      <c r="E295" s="46" t="s">
        <v>2234</v>
      </c>
    </row>
    <row r="296" spans="1:6" x14ac:dyDescent="0.25">
      <c r="A296" s="46">
        <v>451.2</v>
      </c>
      <c r="B296" s="46" t="s">
        <v>37</v>
      </c>
      <c r="C296" s="46" t="s">
        <v>2457</v>
      </c>
      <c r="D296" s="98" t="str">
        <f>DEC2HEX(2^24*MOD(STRUCT!E163,2^8)+2^16*MOD(STRUCT!E164,2^8)+2^8*MOD(STRUCT!E161,2^8)+2^0*MOD(STRUCT!E162,2^8),8)</f>
        <v>0A0A0101</v>
      </c>
      <c r="E296" s="46" t="s">
        <v>2234</v>
      </c>
    </row>
    <row r="297" spans="1:6" x14ac:dyDescent="0.25">
      <c r="A297" s="46">
        <v>451.2</v>
      </c>
      <c r="B297" s="46" t="s">
        <v>37</v>
      </c>
      <c r="C297" s="46" t="s">
        <v>2463</v>
      </c>
      <c r="D297" s="98" t="str">
        <f>DEC2HEX(2^24*MOD(STRUCT!E167,2^8)+2^16*MOD(STRUCT!E168,2^8)+2^8*MOD(STRUCT!E165,2^8)+2^0*MOD(STRUCT!E166,2^8),8)</f>
        <v>0A0A0101</v>
      </c>
      <c r="E297" s="46" t="s">
        <v>2234</v>
      </c>
    </row>
    <row r="298" spans="1:6" x14ac:dyDescent="0.25">
      <c r="A298" s="46">
        <v>451.2</v>
      </c>
      <c r="B298" s="46" t="s">
        <v>37</v>
      </c>
      <c r="C298" s="46" t="s">
        <v>2446</v>
      </c>
      <c r="D298" s="98" t="str">
        <f>DEC2HEX(2^24*MOD(STRUCT!E171,2^8)+2^16*MOD(STRUCT!E172,2^8)+2^8*MOD(STRUCT!E169,2^8)+2^0*MOD(STRUCT!E170,2^8),8)</f>
        <v>0A0A0A0A</v>
      </c>
      <c r="E298" s="46" t="s">
        <v>2234</v>
      </c>
    </row>
    <row r="299" spans="1:6" x14ac:dyDescent="0.25">
      <c r="A299" s="46">
        <v>451.2</v>
      </c>
      <c r="B299" s="46" t="s">
        <v>37</v>
      </c>
      <c r="C299" s="46" t="s">
        <v>2454</v>
      </c>
      <c r="D299" s="98" t="str">
        <f>DEC2HEX(2^24*MOD(STRUCT!E175,2^8)+2^16*MOD(STRUCT!E176,2^8)+2^8*MOD(STRUCT!E173,2^8)+2^0*MOD(STRUCT!E174,2^8),8)</f>
        <v>0A0A0A0A</v>
      </c>
      <c r="E299" s="46" t="s">
        <v>2234</v>
      </c>
    </row>
    <row r="300" spans="1:6" x14ac:dyDescent="0.25">
      <c r="A300" s="46">
        <v>451.2</v>
      </c>
      <c r="B300" s="46" t="s">
        <v>37</v>
      </c>
      <c r="C300" s="46" t="s">
        <v>2458</v>
      </c>
      <c r="D300" s="98" t="str">
        <f>DEC2HEX(2^24*MOD(STRUCT!E179,2^8)+2^16*MOD(STRUCT!E180,2^8)+2^8*MOD(STRUCT!E177,2^8)+2^0*MOD(STRUCT!E178,2^8),8)</f>
        <v>0A0A0A0A</v>
      </c>
      <c r="E300" s="46" t="s">
        <v>2234</v>
      </c>
    </row>
    <row r="301" spans="1:6" x14ac:dyDescent="0.25">
      <c r="A301" s="46">
        <v>451.2</v>
      </c>
      <c r="B301" s="46" t="s">
        <v>37</v>
      </c>
      <c r="C301" s="46" t="s">
        <v>2465</v>
      </c>
      <c r="D301" s="98" t="str">
        <f>DEC2HEX(2^24*MOD(STRUCT!E183,2^8)+2^16*MOD(STRUCT!E184,2^8)+2^8*MOD(STRUCT!E181,2^8)+2^0*MOD(STRUCT!E182,2^8),8)</f>
        <v>0A0A0A0A</v>
      </c>
      <c r="E301" s="46" t="s">
        <v>2234</v>
      </c>
    </row>
    <row r="302" spans="1:6" x14ac:dyDescent="0.25">
      <c r="A302" s="46">
        <v>451.2</v>
      </c>
      <c r="B302" s="46" t="s">
        <v>37</v>
      </c>
      <c r="C302" s="46" t="s">
        <v>2399</v>
      </c>
      <c r="D302" s="98" t="str">
        <f>DEC2HEX(2^24*MOD(STRUCT!E185,2^8)+2^16*MOD(STRUCT!E186,2^8)+2^8*MOD(STRUCT!E187,2^8)+2^0*MOD(STRUCT!E188,2^8),8)</f>
        <v>019D9D9D</v>
      </c>
      <c r="E302" s="46" t="s">
        <v>2234</v>
      </c>
    </row>
    <row r="303" spans="1:6" x14ac:dyDescent="0.25">
      <c r="A303" s="46">
        <v>451.2</v>
      </c>
      <c r="B303" s="46" t="s">
        <v>37</v>
      </c>
      <c r="C303" s="46" t="s">
        <v>2396</v>
      </c>
      <c r="D303" s="98" t="str">
        <f>DEC2HEX(2^24*MOD(STRUCT!E189,2^8)+2^16*MOD(STRUCT!E190,2^8)+2^8*MOD(STRUCT!E191,2^8)+2^0*MOD(STRUCT!E192,2^8),8)</f>
        <v>9D9D9D9D</v>
      </c>
      <c r="E303" s="46" t="s">
        <v>2234</v>
      </c>
    </row>
    <row r="304" spans="1:6" x14ac:dyDescent="0.25">
      <c r="A304" s="46">
        <v>451.2</v>
      </c>
      <c r="B304" s="46" t="s">
        <v>37</v>
      </c>
      <c r="C304" s="46" t="s">
        <v>2404</v>
      </c>
      <c r="D304" s="98" t="str">
        <f>DEC2HEX(2^24*MOD(STRUCT!E193,2^8)+2^16*MOD(STRUCT!E194,2^8)+2^8*MOD(STRUCT!E195,2^8)+2^0*MOD(STRUCT!E196,2^8),8)</f>
        <v>019D9D9D</v>
      </c>
      <c r="E304" s="46" t="s">
        <v>2234</v>
      </c>
    </row>
    <row r="305" spans="1:5" x14ac:dyDescent="0.25">
      <c r="A305" s="46">
        <v>451.2</v>
      </c>
      <c r="B305" s="46" t="s">
        <v>37</v>
      </c>
      <c r="C305" s="46" t="s">
        <v>2403</v>
      </c>
      <c r="D305" s="98" t="str">
        <f>DEC2HEX(2^24*MOD(STRUCT!E197,2^8)+2^16*MOD(STRUCT!E198,2^8)+2^8*MOD(STRUCT!E199,2^8)+2^0*MOD(STRUCT!E200,2^8),8)</f>
        <v>9D9D9D9D</v>
      </c>
      <c r="E305" s="46" t="s">
        <v>2234</v>
      </c>
    </row>
    <row r="306" spans="1:5" x14ac:dyDescent="0.25">
      <c r="A306" s="46">
        <v>451.2</v>
      </c>
      <c r="B306" s="46" t="s">
        <v>37</v>
      </c>
      <c r="C306" s="46" t="s">
        <v>2407</v>
      </c>
      <c r="D306" s="98" t="str">
        <f>DEC2HEX(2^24*MOD(STRUCT!E201,2^8)+2^16*MOD(STRUCT!E202,2^8)+2^8*MOD(STRUCT!E203,2^8)+2^0*MOD(STRUCT!E204,2^8),8)</f>
        <v>019D9D9D</v>
      </c>
      <c r="E306" s="46" t="s">
        <v>2234</v>
      </c>
    </row>
    <row r="307" spans="1:5" x14ac:dyDescent="0.25">
      <c r="A307" s="46">
        <v>451.2</v>
      </c>
      <c r="B307" s="46" t="s">
        <v>37</v>
      </c>
      <c r="C307" s="46" t="s">
        <v>2406</v>
      </c>
      <c r="D307" s="98" t="str">
        <f>DEC2HEX(2^24*MOD(STRUCT!E205,2^8)+2^16*MOD(STRUCT!E206,2^8)+2^8*MOD(STRUCT!E207,2^8)+2^0*MOD(STRUCT!E208,2^8),8)</f>
        <v>9D9D9D9D</v>
      </c>
      <c r="E307" s="46" t="s">
        <v>2234</v>
      </c>
    </row>
    <row r="308" spans="1:5" x14ac:dyDescent="0.25">
      <c r="A308" s="46">
        <v>451.2</v>
      </c>
      <c r="B308" s="46" t="s">
        <v>37</v>
      </c>
      <c r="C308" s="46" t="s">
        <v>2410</v>
      </c>
      <c r="D308" s="98" t="str">
        <f>DEC2HEX(2^24*MOD(STRUCT!E209,2^8)+2^16*MOD(STRUCT!E210,2^8)+2^8*MOD(STRUCT!E211,2^8)+2^0*MOD(STRUCT!E212,2^8),8)</f>
        <v>019D9D9D</v>
      </c>
      <c r="E308" s="46" t="s">
        <v>2234</v>
      </c>
    </row>
    <row r="309" spans="1:5" x14ac:dyDescent="0.25">
      <c r="A309" s="46">
        <v>451.2</v>
      </c>
      <c r="B309" s="46" t="s">
        <v>37</v>
      </c>
      <c r="C309" s="46" t="s">
        <v>2409</v>
      </c>
      <c r="D309" s="98" t="str">
        <f>DEC2HEX(2^24*MOD(STRUCT!E213,2^8)+2^16*MOD(STRUCT!E214,2^8)+2^8*MOD(STRUCT!E215,2^8)+2^0*MOD(STRUCT!E216,2^8),8)</f>
        <v>9D9D9D9D</v>
      </c>
      <c r="E309" s="46" t="s">
        <v>2234</v>
      </c>
    </row>
    <row r="310" spans="1:5" x14ac:dyDescent="0.25">
      <c r="A310" s="46">
        <v>451.2</v>
      </c>
      <c r="B310" s="46" t="s">
        <v>37</v>
      </c>
      <c r="C310" s="63" t="s">
        <v>2429</v>
      </c>
      <c r="D310" s="98" t="str">
        <f>DEC2HEX(2^6*MOD(STRUCT!E217,2^1),8)</f>
        <v>00000000</v>
      </c>
      <c r="E310" s="46" t="s">
        <v>498</v>
      </c>
    </row>
    <row r="311" spans="1:5" x14ac:dyDescent="0.25">
      <c r="A311" s="46">
        <v>451.2</v>
      </c>
      <c r="B311" s="46" t="s">
        <v>37</v>
      </c>
      <c r="C311" s="63" t="s">
        <v>2433</v>
      </c>
      <c r="D311" s="98" t="str">
        <f>DEC2HEX(2^6*MOD(STRUCT!E218,2^1),8)</f>
        <v>00000000</v>
      </c>
      <c r="E311" s="46" t="s">
        <v>498</v>
      </c>
    </row>
    <row r="312" spans="1:5" x14ac:dyDescent="0.25">
      <c r="A312" s="46">
        <v>451.2</v>
      </c>
      <c r="B312" s="46" t="s">
        <v>37</v>
      </c>
      <c r="C312" s="63" t="s">
        <v>2438</v>
      </c>
      <c r="D312" s="98" t="str">
        <f>DEC2HEX(2^6*MOD(STRUCT!E219,2^1),8)</f>
        <v>00000000</v>
      </c>
      <c r="E312" s="46" t="s">
        <v>498</v>
      </c>
    </row>
    <row r="313" spans="1:5" x14ac:dyDescent="0.25">
      <c r="A313" s="46">
        <v>451.2</v>
      </c>
      <c r="B313" s="46" t="s">
        <v>37</v>
      </c>
      <c r="C313" s="63" t="s">
        <v>2442</v>
      </c>
      <c r="D313" s="98" t="str">
        <f>DEC2HEX(2^6*MOD(STRUCT!E220,2^1),8)</f>
        <v>00000000</v>
      </c>
      <c r="E313" s="46" t="s">
        <v>498</v>
      </c>
    </row>
    <row r="314" spans="1:5" x14ac:dyDescent="0.25">
      <c r="A314" s="46">
        <v>547.20000000000005</v>
      </c>
      <c r="B314" s="46" t="s">
        <v>44</v>
      </c>
      <c r="C314" s="46" t="s">
        <v>78</v>
      </c>
      <c r="D314" s="98" t="str">
        <f>DEC2HEX(2^24*MOD(STRUCT!J14,2^8)+2^16*MOD(STRUCT!J15,2^8)+2^8*MOD(STRUCT!J16,2^8)+2^0*MOD(STRUCT!J17,2^8),8)</f>
        <v>00000000</v>
      </c>
      <c r="E314" s="46" t="s">
        <v>2234</v>
      </c>
    </row>
    <row r="315" spans="1:5" x14ac:dyDescent="0.25">
      <c r="A315" s="46">
        <v>547.20000000000005</v>
      </c>
      <c r="B315" s="46" t="s">
        <v>44</v>
      </c>
      <c r="C315" s="46" t="s">
        <v>86</v>
      </c>
      <c r="D315" s="98" t="str">
        <f>DEC2HEX(2^24*MOD(STRUCT!J18,2^8)+2^16*MOD(STRUCT!J19,2^8)+2^8*MOD(STRUCT!J20,2^8)+2^0*MOD(STRUCT!J21,2^8),8)</f>
        <v>00000000</v>
      </c>
      <c r="E315" s="46" t="s">
        <v>2234</v>
      </c>
    </row>
    <row r="316" spans="1:5" x14ac:dyDescent="0.25">
      <c r="A316" s="46">
        <v>547.20000000000005</v>
      </c>
      <c r="B316" s="46" t="s">
        <v>44</v>
      </c>
      <c r="C316" s="46" t="s">
        <v>7281</v>
      </c>
      <c r="D316" s="98" t="str">
        <f>DEC2HEX(2^20*MOD(STRUCT!J22,2^8)+2^0*MOD(STRUCT!J23,2^14),8)</f>
        <v>00100000</v>
      </c>
      <c r="E316" s="46" t="s">
        <v>2234</v>
      </c>
    </row>
    <row r="317" spans="1:5" x14ac:dyDescent="0.25">
      <c r="A317" s="46">
        <v>547.20000000000005</v>
      </c>
      <c r="B317" s="46" t="s">
        <v>44</v>
      </c>
      <c r="C317" s="46" t="s">
        <v>7282</v>
      </c>
      <c r="D317" s="98" t="str">
        <f>DEC2HEX(2^20*MOD(STRUCT!J24,2^8)+2^0*MOD(STRUCT!J25,2^14),8)</f>
        <v>00100000</v>
      </c>
      <c r="E317" s="46" t="s">
        <v>2234</v>
      </c>
    </row>
    <row r="318" spans="1:5" x14ac:dyDescent="0.25">
      <c r="A318" s="46">
        <v>547.20000000000005</v>
      </c>
      <c r="B318" s="46" t="s">
        <v>44</v>
      </c>
      <c r="C318" s="46" t="s">
        <v>7283</v>
      </c>
      <c r="D318" s="98" t="str">
        <f>DEC2HEX(2^20*MOD(STRUCT!J26,2^8)+2^0*MOD(STRUCT!J27,2^14),8)</f>
        <v>00300000</v>
      </c>
      <c r="E318" s="46" t="s">
        <v>2234</v>
      </c>
    </row>
    <row r="319" spans="1:5" x14ac:dyDescent="0.25">
      <c r="A319" s="46">
        <v>547.20000000000005</v>
      </c>
      <c r="B319" s="46" t="s">
        <v>44</v>
      </c>
      <c r="C319" s="46" t="s">
        <v>7284</v>
      </c>
      <c r="D319" s="98" t="str">
        <f>DEC2HEX(2^20*MOD(STRUCT!J28,2^8)+2^0*MOD(STRUCT!J29,2^14),8)</f>
        <v>00300000</v>
      </c>
      <c r="E319" s="46" t="s">
        <v>2234</v>
      </c>
    </row>
    <row r="320" spans="1:5" x14ac:dyDescent="0.25">
      <c r="A320" s="46">
        <v>547.20000000000005</v>
      </c>
      <c r="B320" s="46" t="s">
        <v>45</v>
      </c>
      <c r="C320" s="46" t="s">
        <v>139</v>
      </c>
      <c r="D320" s="98" t="str">
        <f>DEC2HEX(MOD(STRUCT!J46,2^1),8)</f>
        <v>00000001</v>
      </c>
      <c r="E320" s="46" t="s">
        <v>2234</v>
      </c>
    </row>
    <row r="321" spans="1:5" x14ac:dyDescent="0.25">
      <c r="A321" s="46">
        <v>547.20000000000005</v>
      </c>
      <c r="B321" s="46" t="s">
        <v>45</v>
      </c>
      <c r="C321" s="46" t="s">
        <v>142</v>
      </c>
      <c r="D321" s="98" t="str">
        <f>DEC2HEX(MOD(STRUCT!J47,2^1),8)</f>
        <v>00000000</v>
      </c>
      <c r="E321" s="46" t="s">
        <v>2234</v>
      </c>
    </row>
    <row r="322" spans="1:5" x14ac:dyDescent="0.25">
      <c r="A322" s="46">
        <v>547.20000000000005</v>
      </c>
      <c r="B322" s="46" t="s">
        <v>45</v>
      </c>
      <c r="C322" s="46" t="s">
        <v>143</v>
      </c>
      <c r="D322" s="98" t="str">
        <f>DEC2HEX(MOD(STRUCT!J48,2^1),8)</f>
        <v>00000000</v>
      </c>
      <c r="E322" s="46" t="s">
        <v>2234</v>
      </c>
    </row>
    <row r="323" spans="1:5" x14ac:dyDescent="0.25">
      <c r="A323" s="46">
        <v>547.20000000000005</v>
      </c>
      <c r="B323" s="46" t="s">
        <v>45</v>
      </c>
      <c r="C323" s="46" t="s">
        <v>144</v>
      </c>
      <c r="D323" s="98" t="str">
        <f>DEC2HEX(MOD(STRUCT!J49,2^1),8)</f>
        <v>00000001</v>
      </c>
      <c r="E323" s="46" t="s">
        <v>2234</v>
      </c>
    </row>
    <row r="324" spans="1:5" x14ac:dyDescent="0.25">
      <c r="A324" s="46">
        <v>547.20000000000005</v>
      </c>
      <c r="B324" s="46" t="s">
        <v>45</v>
      </c>
      <c r="C324" s="46" t="s">
        <v>145</v>
      </c>
      <c r="D324" s="98" t="str">
        <f>DEC2HEX(MOD(STRUCT!J50,2^1),8)</f>
        <v>00000001</v>
      </c>
      <c r="E324" s="46" t="s">
        <v>2234</v>
      </c>
    </row>
    <row r="325" spans="1:5" x14ac:dyDescent="0.25">
      <c r="A325" s="46">
        <v>547.20000000000005</v>
      </c>
      <c r="B325" s="46" t="s">
        <v>45</v>
      </c>
      <c r="C325" s="46" t="s">
        <v>146</v>
      </c>
      <c r="D325" s="98" t="str">
        <f>DEC2HEX(MOD(STRUCT!J51,2^1),8)</f>
        <v>00000000</v>
      </c>
      <c r="E325" s="46" t="s">
        <v>2234</v>
      </c>
    </row>
    <row r="326" spans="1:5" x14ac:dyDescent="0.25">
      <c r="A326" s="46">
        <v>547.20000000000005</v>
      </c>
      <c r="B326" s="46" t="s">
        <v>45</v>
      </c>
      <c r="C326" s="46" t="s">
        <v>147</v>
      </c>
      <c r="D326" s="98" t="str">
        <f>DEC2HEX(MOD(STRUCT!J52,2^1),8)</f>
        <v>00000000</v>
      </c>
      <c r="E326" s="46" t="s">
        <v>2234</v>
      </c>
    </row>
    <row r="327" spans="1:5" x14ac:dyDescent="0.25">
      <c r="A327" s="46">
        <v>547.20000000000005</v>
      </c>
      <c r="B327" s="46" t="s">
        <v>45</v>
      </c>
      <c r="C327" s="46" t="s">
        <v>148</v>
      </c>
      <c r="D327" s="98" t="str">
        <f>DEC2HEX(MOD(STRUCT!J53,2^1),8)</f>
        <v>00000000</v>
      </c>
      <c r="E327" s="46" t="s">
        <v>2234</v>
      </c>
    </row>
    <row r="328" spans="1:5" x14ac:dyDescent="0.25">
      <c r="A328" s="46">
        <v>547.20000000000005</v>
      </c>
      <c r="B328" s="46" t="s">
        <v>45</v>
      </c>
      <c r="C328" s="46" t="s">
        <v>149</v>
      </c>
      <c r="D328" s="98" t="str">
        <f>DEC2HEX(MOD(STRUCT!J54,2^1),8)</f>
        <v>00000001</v>
      </c>
      <c r="E328" s="46" t="s">
        <v>2234</v>
      </c>
    </row>
    <row r="329" spans="1:5" x14ac:dyDescent="0.25">
      <c r="A329" s="46">
        <v>547.20000000000005</v>
      </c>
      <c r="B329" s="46" t="s">
        <v>45</v>
      </c>
      <c r="C329" s="46" t="s">
        <v>150</v>
      </c>
      <c r="D329" s="98" t="str">
        <f>DEC2HEX(MOD(STRUCT!J55,2^1),8)</f>
        <v>00000000</v>
      </c>
      <c r="E329" s="46" t="s">
        <v>2234</v>
      </c>
    </row>
    <row r="330" spans="1:5" x14ac:dyDescent="0.25">
      <c r="A330" s="46">
        <v>547.20000000000005</v>
      </c>
      <c r="B330" s="46" t="s">
        <v>45</v>
      </c>
      <c r="C330" s="46" t="s">
        <v>151</v>
      </c>
      <c r="D330" s="98" t="str">
        <f>DEC2HEX(MOD(STRUCT!J56,2^1),8)</f>
        <v>00000000</v>
      </c>
      <c r="E330" s="46" t="s">
        <v>2234</v>
      </c>
    </row>
    <row r="331" spans="1:5" x14ac:dyDescent="0.25">
      <c r="A331" s="46">
        <v>547.20000000000005</v>
      </c>
      <c r="B331" s="46" t="s">
        <v>45</v>
      </c>
      <c r="C331" s="46" t="s">
        <v>152</v>
      </c>
      <c r="D331" s="98" t="str">
        <f>DEC2HEX(MOD(STRUCT!J57,2^1),8)</f>
        <v>00000000</v>
      </c>
      <c r="E331" s="46" t="s">
        <v>2234</v>
      </c>
    </row>
    <row r="332" spans="1:5" x14ac:dyDescent="0.25">
      <c r="A332" s="46">
        <v>547.20000000000005</v>
      </c>
      <c r="B332" s="46" t="s">
        <v>45</v>
      </c>
      <c r="C332" s="46" t="s">
        <v>153</v>
      </c>
      <c r="D332" s="98" t="str">
        <f>DEC2HEX(MOD(STRUCT!J58,2^1),8)</f>
        <v>00000001</v>
      </c>
      <c r="E332" s="46" t="s">
        <v>2234</v>
      </c>
    </row>
    <row r="333" spans="1:5" x14ac:dyDescent="0.25">
      <c r="A333" s="46">
        <v>547.20000000000005</v>
      </c>
      <c r="B333" s="46" t="s">
        <v>45</v>
      </c>
      <c r="C333" s="46" t="s">
        <v>154</v>
      </c>
      <c r="D333" s="98" t="str">
        <f>DEC2HEX(MOD(STRUCT!J59,2^1),8)</f>
        <v>00000000</v>
      </c>
      <c r="E333" s="46" t="s">
        <v>2234</v>
      </c>
    </row>
    <row r="334" spans="1:5" x14ac:dyDescent="0.25">
      <c r="A334" s="46">
        <v>547.20000000000005</v>
      </c>
      <c r="B334" s="46" t="s">
        <v>45</v>
      </c>
      <c r="C334" s="46" t="s">
        <v>155</v>
      </c>
      <c r="D334" s="98" t="str">
        <f>DEC2HEX(MOD(STRUCT!J60,2^1),8)</f>
        <v>00000000</v>
      </c>
      <c r="E334" s="46" t="s">
        <v>2234</v>
      </c>
    </row>
    <row r="335" spans="1:5" x14ac:dyDescent="0.25">
      <c r="A335" s="46">
        <v>547.20000000000005</v>
      </c>
      <c r="B335" s="46" t="s">
        <v>45</v>
      </c>
      <c r="C335" s="46" t="s">
        <v>156</v>
      </c>
      <c r="D335" s="98" t="str">
        <f>DEC2HEX(MOD(STRUCT!J61,2^1),8)</f>
        <v>00000001</v>
      </c>
      <c r="E335" s="46" t="s">
        <v>2234</v>
      </c>
    </row>
    <row r="336" spans="1:5" x14ac:dyDescent="0.25">
      <c r="A336" s="46">
        <v>547.20000000000005</v>
      </c>
      <c r="B336" s="46" t="s">
        <v>45</v>
      </c>
      <c r="C336" s="46" t="s">
        <v>103</v>
      </c>
      <c r="D336" s="98" t="str">
        <f>DEC2HEX(MOD(STRUCT!J30,2^8),8)</f>
        <v>00000000</v>
      </c>
      <c r="E336" s="46" t="str">
        <f t="shared" ref="E336:E351" si="8">DEC2HEX(2^0*(2^32-1),8)</f>
        <v>FFFFFFFF</v>
      </c>
    </row>
    <row r="337" spans="1:5" x14ac:dyDescent="0.25">
      <c r="A337" s="46">
        <v>547.20000000000005</v>
      </c>
      <c r="B337" s="46" t="s">
        <v>45</v>
      </c>
      <c r="C337" s="46" t="s">
        <v>107</v>
      </c>
      <c r="D337" s="98" t="str">
        <f>DEC2HEX(MOD(STRUCT!J31,2^8),8)</f>
        <v>00000000</v>
      </c>
      <c r="E337" s="46" t="str">
        <f t="shared" si="8"/>
        <v>FFFFFFFF</v>
      </c>
    </row>
    <row r="338" spans="1:5" x14ac:dyDescent="0.25">
      <c r="A338" s="46">
        <v>547.20000000000005</v>
      </c>
      <c r="B338" s="46" t="s">
        <v>45</v>
      </c>
      <c r="C338" s="46" t="s">
        <v>109</v>
      </c>
      <c r="D338" s="98" t="str">
        <f>DEC2HEX(MOD(STRUCT!J32,2^8),8)</f>
        <v>00000000</v>
      </c>
      <c r="E338" s="46" t="str">
        <f t="shared" si="8"/>
        <v>FFFFFFFF</v>
      </c>
    </row>
    <row r="339" spans="1:5" x14ac:dyDescent="0.25">
      <c r="A339" s="46">
        <v>547.20000000000005</v>
      </c>
      <c r="B339" s="46" t="s">
        <v>45</v>
      </c>
      <c r="C339" s="46" t="s">
        <v>112</v>
      </c>
      <c r="D339" s="98" t="str">
        <f>DEC2HEX(MOD(STRUCT!J33,2^8),8)</f>
        <v>00000000</v>
      </c>
      <c r="E339" s="46" t="str">
        <f t="shared" si="8"/>
        <v>FFFFFFFF</v>
      </c>
    </row>
    <row r="340" spans="1:5" x14ac:dyDescent="0.25">
      <c r="A340" s="46">
        <v>547.20000000000005</v>
      </c>
      <c r="B340" s="46" t="s">
        <v>45</v>
      </c>
      <c r="C340" s="46" t="s">
        <v>114</v>
      </c>
      <c r="D340" s="98" t="str">
        <f>DEC2HEX(MOD(STRUCT!J34,2^8),8)</f>
        <v>00000000</v>
      </c>
      <c r="E340" s="46" t="str">
        <f t="shared" si="8"/>
        <v>FFFFFFFF</v>
      </c>
    </row>
    <row r="341" spans="1:5" x14ac:dyDescent="0.25">
      <c r="A341" s="46">
        <v>547.20000000000005</v>
      </c>
      <c r="B341" s="46" t="s">
        <v>45</v>
      </c>
      <c r="C341" s="46" t="s">
        <v>116</v>
      </c>
      <c r="D341" s="98" t="str">
        <f>DEC2HEX(MOD(STRUCT!J35,2^8),8)</f>
        <v>00000000</v>
      </c>
      <c r="E341" s="46" t="str">
        <f t="shared" si="8"/>
        <v>FFFFFFFF</v>
      </c>
    </row>
    <row r="342" spans="1:5" x14ac:dyDescent="0.25">
      <c r="A342" s="46">
        <v>547.20000000000005</v>
      </c>
      <c r="B342" s="46" t="s">
        <v>45</v>
      </c>
      <c r="C342" s="46" t="s">
        <v>118</v>
      </c>
      <c r="D342" s="98" t="str">
        <f>DEC2HEX(MOD(STRUCT!J36,2^8),8)</f>
        <v>00000000</v>
      </c>
      <c r="E342" s="46" t="str">
        <f t="shared" si="8"/>
        <v>FFFFFFFF</v>
      </c>
    </row>
    <row r="343" spans="1:5" x14ac:dyDescent="0.25">
      <c r="A343" s="46">
        <v>547.20000000000005</v>
      </c>
      <c r="B343" s="46" t="s">
        <v>45</v>
      </c>
      <c r="C343" s="46" t="s">
        <v>120</v>
      </c>
      <c r="D343" s="98" t="str">
        <f>DEC2HEX(MOD(STRUCT!J37,2^8),8)</f>
        <v>00000000</v>
      </c>
      <c r="E343" s="46" t="str">
        <f t="shared" si="8"/>
        <v>FFFFFFFF</v>
      </c>
    </row>
    <row r="344" spans="1:5" x14ac:dyDescent="0.25">
      <c r="A344" s="46">
        <v>547.20000000000005</v>
      </c>
      <c r="B344" s="46" t="s">
        <v>45</v>
      </c>
      <c r="C344" s="46" t="s">
        <v>122</v>
      </c>
      <c r="D344" s="98" t="str">
        <f>DEC2HEX(MOD(STRUCT!J38,2^8),8)</f>
        <v>00000000</v>
      </c>
      <c r="E344" s="46" t="str">
        <f t="shared" si="8"/>
        <v>FFFFFFFF</v>
      </c>
    </row>
    <row r="345" spans="1:5" x14ac:dyDescent="0.25">
      <c r="A345" s="46">
        <v>547.20000000000005</v>
      </c>
      <c r="B345" s="46" t="s">
        <v>45</v>
      </c>
      <c r="C345" s="46" t="s">
        <v>125</v>
      </c>
      <c r="D345" s="98" t="str">
        <f>DEC2HEX(MOD(STRUCT!J39,2^8),8)</f>
        <v>00000000</v>
      </c>
      <c r="E345" s="46" t="str">
        <f t="shared" si="8"/>
        <v>FFFFFFFF</v>
      </c>
    </row>
    <row r="346" spans="1:5" x14ac:dyDescent="0.25">
      <c r="A346" s="46">
        <v>547.20000000000005</v>
      </c>
      <c r="B346" s="46" t="s">
        <v>45</v>
      </c>
      <c r="C346" s="46" t="s">
        <v>127</v>
      </c>
      <c r="D346" s="98" t="str">
        <f>DEC2HEX(MOD(STRUCT!J40,2^8),8)</f>
        <v>00000000</v>
      </c>
      <c r="E346" s="46" t="str">
        <f t="shared" si="8"/>
        <v>FFFFFFFF</v>
      </c>
    </row>
    <row r="347" spans="1:5" x14ac:dyDescent="0.25">
      <c r="A347" s="46">
        <v>547.20000000000005</v>
      </c>
      <c r="B347" s="46" t="s">
        <v>45</v>
      </c>
      <c r="C347" s="46" t="s">
        <v>129</v>
      </c>
      <c r="D347" s="98" t="str">
        <f>DEC2HEX(MOD(STRUCT!J41,2^8),8)</f>
        <v>00000000</v>
      </c>
      <c r="E347" s="46" t="str">
        <f t="shared" si="8"/>
        <v>FFFFFFFF</v>
      </c>
    </row>
    <row r="348" spans="1:5" x14ac:dyDescent="0.25">
      <c r="A348" s="46">
        <v>547.20000000000005</v>
      </c>
      <c r="B348" s="46" t="s">
        <v>45</v>
      </c>
      <c r="C348" s="46" t="s">
        <v>131</v>
      </c>
      <c r="D348" s="98" t="str">
        <f>DEC2HEX(MOD(STRUCT!J42,2^8),8)</f>
        <v>00000000</v>
      </c>
      <c r="E348" s="46" t="str">
        <f t="shared" si="8"/>
        <v>FFFFFFFF</v>
      </c>
    </row>
    <row r="349" spans="1:5" x14ac:dyDescent="0.25">
      <c r="A349" s="46">
        <v>547.20000000000005</v>
      </c>
      <c r="B349" s="46" t="s">
        <v>45</v>
      </c>
      <c r="C349" s="46" t="s">
        <v>133</v>
      </c>
      <c r="D349" s="98" t="str">
        <f>DEC2HEX(MOD(STRUCT!J43,2^8),8)</f>
        <v>00000000</v>
      </c>
      <c r="E349" s="46" t="str">
        <f t="shared" si="8"/>
        <v>FFFFFFFF</v>
      </c>
    </row>
    <row r="350" spans="1:5" x14ac:dyDescent="0.25">
      <c r="A350" s="46">
        <v>547.20000000000005</v>
      </c>
      <c r="B350" s="46" t="s">
        <v>45</v>
      </c>
      <c r="C350" s="46" t="s">
        <v>135</v>
      </c>
      <c r="D350" s="98" t="str">
        <f>DEC2HEX(MOD(STRUCT!J44,2^8),8)</f>
        <v>00000000</v>
      </c>
      <c r="E350" s="46" t="str">
        <f t="shared" si="8"/>
        <v>FFFFFFFF</v>
      </c>
    </row>
    <row r="351" spans="1:5" x14ac:dyDescent="0.25">
      <c r="A351" s="46">
        <v>547.20000000000005</v>
      </c>
      <c r="B351" s="46" t="s">
        <v>45</v>
      </c>
      <c r="C351" s="46" t="s">
        <v>137</v>
      </c>
      <c r="D351" s="98" t="str">
        <f>DEC2HEX(MOD(STRUCT!J45,2^8),8)</f>
        <v>00000000</v>
      </c>
      <c r="E351" s="46" t="str">
        <f t="shared" si="8"/>
        <v>FFFFFFFF</v>
      </c>
    </row>
    <row r="352" spans="1:5" x14ac:dyDescent="0.25">
      <c r="A352" s="46">
        <v>547.20000000000005</v>
      </c>
      <c r="B352" s="46" t="s">
        <v>45</v>
      </c>
      <c r="C352" s="46" t="s">
        <v>157</v>
      </c>
      <c r="D352" s="98" t="str">
        <f>DEC2HEX(2^16*MOD(STRUCT!J62,2^8)+2^0*MOD(STRUCT!J63,2^8),8)</f>
        <v>00300030</v>
      </c>
      <c r="E352" s="84" t="str">
        <f>DEC2HEX(2^16*(2^8-1)+2^0*(2^8-1),8)</f>
        <v>00FF00FF</v>
      </c>
    </row>
    <row r="353" spans="1:5" x14ac:dyDescent="0.25">
      <c r="A353" s="46">
        <v>547.20000000000005</v>
      </c>
      <c r="B353" s="46" t="s">
        <v>45</v>
      </c>
      <c r="C353" s="46" t="s">
        <v>163</v>
      </c>
      <c r="D353" s="98" t="str">
        <f>DEC2HEX(2^16*MOD(STRUCT!J64,2^8)+2^0*MOD(STRUCT!J65,2^8),8)</f>
        <v>000D000D</v>
      </c>
      <c r="E353" s="46" t="str">
        <f t="shared" ref="E353:E368" si="9">DEC2HEX(2^0*(2^32-1),8)</f>
        <v>FFFFFFFF</v>
      </c>
    </row>
    <row r="354" spans="1:5" x14ac:dyDescent="0.25">
      <c r="A354" s="46">
        <v>547.20000000000005</v>
      </c>
      <c r="B354" s="46" t="s">
        <v>26</v>
      </c>
      <c r="C354" s="46" t="s">
        <v>6753</v>
      </c>
      <c r="D354" s="98" t="str">
        <f>DEC2HEX(2^16*MOD(STRUCT!E96,2^8)+2^8*MOD(STRUCT!E97,2^8)+2^0*MOD(STRUCT!E98,2^8),8)</f>
        <v>00042404</v>
      </c>
      <c r="E354" s="46" t="str">
        <f t="shared" si="9"/>
        <v>FFFFFFFF</v>
      </c>
    </row>
    <row r="355" spans="1:5" x14ac:dyDescent="0.25">
      <c r="A355" s="46">
        <v>547.20000000000005</v>
      </c>
      <c r="B355" s="46" t="s">
        <v>26</v>
      </c>
      <c r="C355" s="46" t="s">
        <v>6756</v>
      </c>
      <c r="D355" s="98" t="str">
        <f>DEC2HEX(2^24*MOD(STRUCT!E99,2^8)+2^16*MOD(STRUCT!E100,2^8)+2^8*MOD(STRUCT!E101,2^8)+2^0*MOD(STRUCT!E102,2^8),8)</f>
        <v>201C0004</v>
      </c>
      <c r="E355" s="46" t="str">
        <f t="shared" si="9"/>
        <v>FFFFFFFF</v>
      </c>
    </row>
    <row r="356" spans="1:5" x14ac:dyDescent="0.25">
      <c r="A356" s="46">
        <v>547.20000000000005</v>
      </c>
      <c r="B356" s="46" t="s">
        <v>26</v>
      </c>
      <c r="C356" s="46" t="s">
        <v>6759</v>
      </c>
      <c r="D356" s="98" t="str">
        <f>DEC2HEX(2^0*MOD(STRUCT!E103,2^8),8)</f>
        <v>00000008</v>
      </c>
      <c r="E356" s="46" t="str">
        <f t="shared" si="9"/>
        <v>FFFFFFFF</v>
      </c>
    </row>
    <row r="357" spans="1:5" x14ac:dyDescent="0.25">
      <c r="A357" s="46">
        <v>547.20000000000005</v>
      </c>
      <c r="B357" s="46" t="s">
        <v>26</v>
      </c>
      <c r="C357" s="46" t="s">
        <v>6760</v>
      </c>
      <c r="D357" s="98" t="str">
        <f>DEC2HEX(2^16*MOD(STRUCT!E104,2^8)+2^8*MOD(STRUCT!E105,2^8)+2^0*MOD(STRUCT!E106,2^8),8)</f>
        <v>00042404</v>
      </c>
      <c r="E357" s="46" t="str">
        <f t="shared" si="9"/>
        <v>FFFFFFFF</v>
      </c>
    </row>
    <row r="358" spans="1:5" x14ac:dyDescent="0.25">
      <c r="A358" s="46">
        <v>547.20000000000005</v>
      </c>
      <c r="B358" s="46" t="s">
        <v>26</v>
      </c>
      <c r="C358" s="46" t="s">
        <v>6761</v>
      </c>
      <c r="D358" s="98" t="str">
        <f>DEC2HEX(2^24*MOD(STRUCT!E107,2^8)+2^16*MOD(STRUCT!E108,2^8)+2^8*MOD(STRUCT!E109,2^8)+2^0*MOD(STRUCT!E110,2^8),8)</f>
        <v>201C0004</v>
      </c>
      <c r="E358" s="46" t="str">
        <f t="shared" si="9"/>
        <v>FFFFFFFF</v>
      </c>
    </row>
    <row r="359" spans="1:5" x14ac:dyDescent="0.25">
      <c r="A359" s="46">
        <v>547.20000000000005</v>
      </c>
      <c r="B359" s="46" t="s">
        <v>26</v>
      </c>
      <c r="C359" s="46" t="s">
        <v>6762</v>
      </c>
      <c r="D359" s="98" t="str">
        <f>DEC2HEX(2^0*MOD(STRUCT!E111,2^8),8)</f>
        <v>00000008</v>
      </c>
      <c r="E359" s="46" t="str">
        <f t="shared" si="9"/>
        <v>FFFFFFFF</v>
      </c>
    </row>
    <row r="360" spans="1:5" x14ac:dyDescent="0.25">
      <c r="A360" s="46">
        <v>547.20000000000005</v>
      </c>
      <c r="B360" s="46" t="s">
        <v>26</v>
      </c>
      <c r="C360" s="46" t="s">
        <v>6763</v>
      </c>
      <c r="D360" s="98" t="str">
        <f>DEC2HEX(2^16*MOD(STRUCT!E112,2^8)+2^8*MOD(STRUCT!E113,2^8)+2^0*MOD(STRUCT!E114,2^8),8)</f>
        <v>00042404</v>
      </c>
      <c r="E360" s="46" t="str">
        <f t="shared" si="9"/>
        <v>FFFFFFFF</v>
      </c>
    </row>
    <row r="361" spans="1:5" x14ac:dyDescent="0.25">
      <c r="A361" s="46">
        <v>547.20000000000005</v>
      </c>
      <c r="B361" s="46" t="s">
        <v>26</v>
      </c>
      <c r="C361" s="46" t="s">
        <v>6764</v>
      </c>
      <c r="D361" s="98" t="str">
        <f>DEC2HEX(2^24*MOD(STRUCT!E115,2^8)+2^16*MOD(STRUCT!E116,2^8)+2^8*MOD(STRUCT!E117,2^8)+2^0*MOD(STRUCT!E118,2^8),8)</f>
        <v>201C0004</v>
      </c>
      <c r="E361" s="46" t="str">
        <f t="shared" si="9"/>
        <v>FFFFFFFF</v>
      </c>
    </row>
    <row r="362" spans="1:5" x14ac:dyDescent="0.25">
      <c r="A362" s="46">
        <v>547.20000000000005</v>
      </c>
      <c r="B362" s="46" t="s">
        <v>26</v>
      </c>
      <c r="C362" s="46" t="s">
        <v>6765</v>
      </c>
      <c r="D362" s="98" t="str">
        <f>DEC2HEX(2^0*MOD(STRUCT!E119,2^8),8)</f>
        <v>00000008</v>
      </c>
      <c r="E362" s="46" t="str">
        <f t="shared" si="9"/>
        <v>FFFFFFFF</v>
      </c>
    </row>
    <row r="363" spans="1:5" x14ac:dyDescent="0.25">
      <c r="A363" s="46">
        <v>547.20000000000005</v>
      </c>
      <c r="B363" s="46" t="s">
        <v>26</v>
      </c>
      <c r="C363" s="46" t="s">
        <v>6766</v>
      </c>
      <c r="D363" s="98" t="str">
        <f>DEC2HEX(2^16*MOD(STRUCT!E120,2^8)+2^8*MOD(STRUCT!E121,2^8)+2^0*MOD(STRUCT!E122,2^8),8)</f>
        <v>00042404</v>
      </c>
      <c r="E363" s="46" t="str">
        <f t="shared" si="9"/>
        <v>FFFFFFFF</v>
      </c>
    </row>
    <row r="364" spans="1:5" x14ac:dyDescent="0.25">
      <c r="A364" s="46">
        <v>547.20000000000005</v>
      </c>
      <c r="B364" s="46" t="s">
        <v>26</v>
      </c>
      <c r="C364" s="46" t="s">
        <v>6767</v>
      </c>
      <c r="D364" s="98" t="str">
        <f>DEC2HEX(2^24*MOD(STRUCT!E123,2^8)+2^16*MOD(STRUCT!E124,2^8)+2^8*MOD(STRUCT!E125,2^8)+2^0*MOD(STRUCT!E126,2^8),8)</f>
        <v>201C0004</v>
      </c>
      <c r="E364" s="46" t="str">
        <f t="shared" si="9"/>
        <v>FFFFFFFF</v>
      </c>
    </row>
    <row r="365" spans="1:5" x14ac:dyDescent="0.25">
      <c r="A365" s="46">
        <v>547.20000000000005</v>
      </c>
      <c r="B365" s="46" t="s">
        <v>26</v>
      </c>
      <c r="C365" s="46" t="s">
        <v>6768</v>
      </c>
      <c r="D365" s="98" t="str">
        <f>DEC2HEX(2^0*MOD(STRUCT!E127,2^8),8)</f>
        <v>00000008</v>
      </c>
      <c r="E365" s="46" t="str">
        <f t="shared" si="9"/>
        <v>FFFFFFFF</v>
      </c>
    </row>
    <row r="366" spans="1:5" x14ac:dyDescent="0.25">
      <c r="A366" s="46">
        <v>547.20000000000005</v>
      </c>
      <c r="B366" s="46" t="s">
        <v>32</v>
      </c>
      <c r="C366" s="46" t="s">
        <v>6703</v>
      </c>
      <c r="D366" s="98" t="str">
        <f>DEC2HEX(2^24*MOD(STRUCT!H78,2^8)+2^16*MOD(STRUCT!H79,2^8)+2^8*MOD(STRUCT!H80,2^8)+2^0*MOD(STRUCT!H81,2^8),8)</f>
        <v>03094F01</v>
      </c>
      <c r="E366" s="46" t="str">
        <f t="shared" si="9"/>
        <v>FFFFFFFF</v>
      </c>
    </row>
    <row r="367" spans="1:5" x14ac:dyDescent="0.25">
      <c r="A367" s="46">
        <v>547.20000000000005</v>
      </c>
      <c r="B367" s="46" t="s">
        <v>32</v>
      </c>
      <c r="C367" s="46" t="s">
        <v>6705</v>
      </c>
      <c r="D367" s="98" t="str">
        <f>DEC2HEX(2^24*MOD(STRUCT!H82,2^8)+2^16*MOD(STRUCT!H83,2^8)+2^8*MOD(STRUCT!H84,2^8)+2^0*MOD(STRUCT!H85,2^8),8)</f>
        <v>00000009</v>
      </c>
      <c r="E367" s="46" t="str">
        <f t="shared" si="9"/>
        <v>FFFFFFFF</v>
      </c>
    </row>
    <row r="368" spans="1:5" x14ac:dyDescent="0.25">
      <c r="A368" s="46">
        <v>547.20000000000005</v>
      </c>
      <c r="B368" s="46" t="s">
        <v>32</v>
      </c>
      <c r="C368" s="46" t="s">
        <v>6706</v>
      </c>
      <c r="D368" s="98" t="str">
        <f>DEC2HEX(2^0*MOD(STRUCT!G86,2^8),8)</f>
        <v>00000072</v>
      </c>
      <c r="E368" s="46" t="str">
        <f t="shared" si="9"/>
        <v>FFFFFFFF</v>
      </c>
    </row>
    <row r="369" spans="1:6" x14ac:dyDescent="0.25">
      <c r="A369" s="46">
        <v>547.20000000000005</v>
      </c>
      <c r="B369" s="46" t="s">
        <v>25</v>
      </c>
      <c r="C369" s="46" t="s">
        <v>6592</v>
      </c>
      <c r="D369" s="98" t="str">
        <f>DEC2HEX(2^24*MOD(STRUCT!G87,2^8)+2^16*MOD(STRUCT!G88,2^8)+2^8*MOD(STRUCT!G89,2^8)+2^0*MOD(STRUCT!G90,2^8),8)</f>
        <v>02060B01</v>
      </c>
      <c r="E369" s="46" t="s">
        <v>2233</v>
      </c>
      <c r="F369" s="81" t="s">
        <v>7285</v>
      </c>
    </row>
    <row r="370" spans="1:6" x14ac:dyDescent="0.25">
      <c r="A370" s="46">
        <v>547.20000000000005</v>
      </c>
      <c r="B370" s="46" t="s">
        <v>25</v>
      </c>
      <c r="C370" s="46" t="s">
        <v>6595</v>
      </c>
      <c r="D370" s="98" t="str">
        <f>DEC2HEX(2^24*MOD(STRUCT!G91,2^1)+2^16*MOD(STRUCT!G92,2^8)+2^8*MOD(STRUCT!G93,2^8)+2^0*MOD(STRUCT!G94,2^8),8)</f>
        <v>00000006</v>
      </c>
      <c r="E370" s="46" t="s">
        <v>2233</v>
      </c>
      <c r="F370" s="81" t="s">
        <v>7285</v>
      </c>
    </row>
    <row r="371" spans="1:6" x14ac:dyDescent="0.25">
      <c r="A371" s="46">
        <v>547.20000000000005</v>
      </c>
      <c r="B371" s="46" t="s">
        <v>25</v>
      </c>
      <c r="C371" s="46" t="s">
        <v>6596</v>
      </c>
      <c r="D371" s="98" t="str">
        <f>DEC2HEX(2^0*MOD(STRUCT!G95,2^8),8)</f>
        <v>00000012</v>
      </c>
      <c r="E371" s="46" t="s">
        <v>2233</v>
      </c>
      <c r="F371" s="81" t="s">
        <v>7285</v>
      </c>
    </row>
    <row r="372" spans="1:6" x14ac:dyDescent="0.25">
      <c r="A372" s="46">
        <v>547.20000000000005</v>
      </c>
      <c r="B372" s="46" t="s">
        <v>37</v>
      </c>
      <c r="C372" s="46" t="s">
        <v>2443</v>
      </c>
      <c r="D372" s="98" t="str">
        <f>DEC2HEX(2^24*MOD(STRUCT!E155,2^8)+2^16*MOD(STRUCT!E156,2^8)+2^8*MOD(STRUCT!E153,2^8)+2^0*MOD(STRUCT!E154,2^8),8)</f>
        <v>0A0A0101</v>
      </c>
      <c r="E372" s="46" t="s">
        <v>2234</v>
      </c>
    </row>
    <row r="373" spans="1:6" x14ac:dyDescent="0.25">
      <c r="A373" s="46">
        <v>547.20000000000005</v>
      </c>
      <c r="B373" s="46" t="s">
        <v>37</v>
      </c>
      <c r="C373" s="46" t="s">
        <v>2453</v>
      </c>
      <c r="D373" s="98" t="str">
        <f>DEC2HEX(2^24*MOD(STRUCT!E159,2^8)+2^16*MOD(STRUCT!E160,2^8)+2^8*MOD(STRUCT!E157,2^8)+2^0*MOD(STRUCT!E158,2^8),8)</f>
        <v>0A0A0101</v>
      </c>
      <c r="E373" s="46" t="s">
        <v>2234</v>
      </c>
    </row>
    <row r="374" spans="1:6" x14ac:dyDescent="0.25">
      <c r="A374" s="46">
        <v>547.20000000000005</v>
      </c>
      <c r="B374" s="46" t="s">
        <v>37</v>
      </c>
      <c r="C374" s="46" t="s">
        <v>2457</v>
      </c>
      <c r="D374" s="98" t="str">
        <f>DEC2HEX(2^24*MOD(STRUCT!E163,2^8)+2^16*MOD(STRUCT!E164,2^8)+2^8*MOD(STRUCT!E161,2^8)+2^0*MOD(STRUCT!E162,2^8),8)</f>
        <v>0A0A0101</v>
      </c>
      <c r="E374" s="46" t="s">
        <v>2234</v>
      </c>
    </row>
    <row r="375" spans="1:6" x14ac:dyDescent="0.25">
      <c r="A375" s="46">
        <v>547.20000000000005</v>
      </c>
      <c r="B375" s="46" t="s">
        <v>37</v>
      </c>
      <c r="C375" s="46" t="s">
        <v>2463</v>
      </c>
      <c r="D375" s="98" t="str">
        <f>DEC2HEX(2^24*MOD(STRUCT!E167,2^8)+2^16*MOD(STRUCT!E168,2^8)+2^8*MOD(STRUCT!E165,2^8)+2^0*MOD(STRUCT!E166,2^8),8)</f>
        <v>0A0A0101</v>
      </c>
      <c r="E375" s="46" t="s">
        <v>2234</v>
      </c>
    </row>
    <row r="376" spans="1:6" x14ac:dyDescent="0.25">
      <c r="A376" s="46">
        <v>547.20000000000005</v>
      </c>
      <c r="B376" s="46" t="s">
        <v>37</v>
      </c>
      <c r="C376" s="46" t="s">
        <v>2446</v>
      </c>
      <c r="D376" s="98" t="str">
        <f>DEC2HEX(2^24*MOD(STRUCT!E171,2^8)+2^16*MOD(STRUCT!E172,2^8)+2^8*MOD(STRUCT!E169,2^8)+2^0*MOD(STRUCT!E170,2^8),8)</f>
        <v>0A0A0A0A</v>
      </c>
      <c r="E376" s="46" t="s">
        <v>2234</v>
      </c>
    </row>
    <row r="377" spans="1:6" x14ac:dyDescent="0.25">
      <c r="A377" s="46">
        <v>547.20000000000005</v>
      </c>
      <c r="B377" s="46" t="s">
        <v>37</v>
      </c>
      <c r="C377" s="46" t="s">
        <v>2454</v>
      </c>
      <c r="D377" s="98" t="str">
        <f>DEC2HEX(2^24*MOD(STRUCT!E175,2^8)+2^16*MOD(STRUCT!E176,2^8)+2^8*MOD(STRUCT!E173,2^8)+2^0*MOD(STRUCT!E174,2^8),8)</f>
        <v>0A0A0A0A</v>
      </c>
      <c r="E377" s="46" t="s">
        <v>2234</v>
      </c>
    </row>
    <row r="378" spans="1:6" x14ac:dyDescent="0.25">
      <c r="A378" s="46">
        <v>547.20000000000005</v>
      </c>
      <c r="B378" s="46" t="s">
        <v>37</v>
      </c>
      <c r="C378" s="46" t="s">
        <v>2458</v>
      </c>
      <c r="D378" s="98" t="str">
        <f>DEC2HEX(2^24*MOD(STRUCT!E179,2^8)+2^16*MOD(STRUCT!E180,2^8)+2^8*MOD(STRUCT!E177,2^8)+2^0*MOD(STRUCT!E178,2^8),8)</f>
        <v>0A0A0A0A</v>
      </c>
      <c r="E378" s="46" t="s">
        <v>2234</v>
      </c>
    </row>
    <row r="379" spans="1:6" x14ac:dyDescent="0.25">
      <c r="A379" s="46">
        <v>547.20000000000005</v>
      </c>
      <c r="B379" s="46" t="s">
        <v>37</v>
      </c>
      <c r="C379" s="46" t="s">
        <v>2465</v>
      </c>
      <c r="D379" s="98" t="str">
        <f>DEC2HEX(2^24*MOD(STRUCT!E183,2^8)+2^16*MOD(STRUCT!E184,2^8)+2^8*MOD(STRUCT!E181,2^8)+2^0*MOD(STRUCT!E182,2^8),8)</f>
        <v>0A0A0A0A</v>
      </c>
      <c r="E379" s="46" t="s">
        <v>2234</v>
      </c>
    </row>
    <row r="380" spans="1:6" x14ac:dyDescent="0.25">
      <c r="A380" s="46">
        <v>547.20000000000005</v>
      </c>
      <c r="B380" s="46" t="s">
        <v>37</v>
      </c>
      <c r="C380" s="46" t="s">
        <v>2399</v>
      </c>
      <c r="D380" s="98" t="str">
        <f>DEC2HEX(2^24*MOD(STRUCT!E185,2^8)+2^16*MOD(STRUCT!E186,2^8)+2^8*MOD(STRUCT!E187,2^8)+2^0*MOD(STRUCT!E188,2^8),8)</f>
        <v>019D9D9D</v>
      </c>
      <c r="E380" s="46" t="s">
        <v>2234</v>
      </c>
    </row>
    <row r="381" spans="1:6" x14ac:dyDescent="0.25">
      <c r="A381" s="46">
        <v>547.20000000000005</v>
      </c>
      <c r="B381" s="46" t="s">
        <v>37</v>
      </c>
      <c r="C381" s="46" t="s">
        <v>2396</v>
      </c>
      <c r="D381" s="98" t="str">
        <f>DEC2HEX(2^24*MOD(STRUCT!E189,2^8)+2^16*MOD(STRUCT!E190,2^8)+2^8*MOD(STRUCT!E191,2^8)+2^0*MOD(STRUCT!E192,2^8),8)</f>
        <v>9D9D9D9D</v>
      </c>
      <c r="E381" s="46" t="s">
        <v>2234</v>
      </c>
    </row>
    <row r="382" spans="1:6" x14ac:dyDescent="0.25">
      <c r="A382" s="46">
        <v>547.20000000000005</v>
      </c>
      <c r="B382" s="46" t="s">
        <v>37</v>
      </c>
      <c r="C382" s="46" t="s">
        <v>2404</v>
      </c>
      <c r="D382" s="98" t="str">
        <f>DEC2HEX(2^24*MOD(STRUCT!E193,2^8)+2^16*MOD(STRUCT!E194,2^8)+2^8*MOD(STRUCT!E195,2^8)+2^0*MOD(STRUCT!E196,2^8),8)</f>
        <v>019D9D9D</v>
      </c>
      <c r="E382" s="46" t="s">
        <v>2234</v>
      </c>
    </row>
    <row r="383" spans="1:6" x14ac:dyDescent="0.25">
      <c r="A383" s="46">
        <v>547.20000000000005</v>
      </c>
      <c r="B383" s="46" t="s">
        <v>37</v>
      </c>
      <c r="C383" s="46" t="s">
        <v>2403</v>
      </c>
      <c r="D383" s="98" t="str">
        <f>DEC2HEX(2^24*MOD(STRUCT!E197,2^8)+2^16*MOD(STRUCT!E198,2^8)+2^8*MOD(STRUCT!E199,2^8)+2^0*MOD(STRUCT!E200,2^8),8)</f>
        <v>9D9D9D9D</v>
      </c>
      <c r="E383" s="46" t="s">
        <v>2234</v>
      </c>
    </row>
    <row r="384" spans="1:6" x14ac:dyDescent="0.25">
      <c r="A384" s="46">
        <v>547.20000000000005</v>
      </c>
      <c r="B384" s="46" t="s">
        <v>37</v>
      </c>
      <c r="C384" s="46" t="s">
        <v>2407</v>
      </c>
      <c r="D384" s="98" t="str">
        <f>DEC2HEX(2^24*MOD(STRUCT!E201,2^8)+2^16*MOD(STRUCT!E202,2^8)+2^8*MOD(STRUCT!E203,2^8)+2^0*MOD(STRUCT!E204,2^8),8)</f>
        <v>019D9D9D</v>
      </c>
      <c r="E384" s="46" t="s">
        <v>2234</v>
      </c>
    </row>
    <row r="385" spans="1:5" x14ac:dyDescent="0.25">
      <c r="A385" s="46">
        <v>547.20000000000005</v>
      </c>
      <c r="B385" s="46" t="s">
        <v>37</v>
      </c>
      <c r="C385" s="46" t="s">
        <v>2406</v>
      </c>
      <c r="D385" s="98" t="str">
        <f>DEC2HEX(2^24*MOD(STRUCT!E205,2^8)+2^16*MOD(STRUCT!E206,2^8)+2^8*MOD(STRUCT!E207,2^8)+2^0*MOD(STRUCT!E208,2^8),8)</f>
        <v>9D9D9D9D</v>
      </c>
      <c r="E385" s="46" t="s">
        <v>2234</v>
      </c>
    </row>
    <row r="386" spans="1:5" x14ac:dyDescent="0.25">
      <c r="A386" s="46">
        <v>547.20000000000005</v>
      </c>
      <c r="B386" s="46" t="s">
        <v>37</v>
      </c>
      <c r="C386" s="46" t="s">
        <v>2410</v>
      </c>
      <c r="D386" s="98" t="str">
        <f>DEC2HEX(2^24*MOD(STRUCT!E209,2^8)+2^16*MOD(STRUCT!E210,2^8)+2^8*MOD(STRUCT!E211,2^8)+2^0*MOD(STRUCT!E212,2^8),8)</f>
        <v>019D9D9D</v>
      </c>
      <c r="E386" s="46" t="s">
        <v>2234</v>
      </c>
    </row>
    <row r="387" spans="1:5" x14ac:dyDescent="0.25">
      <c r="A387" s="46">
        <v>547.20000000000005</v>
      </c>
      <c r="B387" s="46" t="s">
        <v>37</v>
      </c>
      <c r="C387" s="46" t="s">
        <v>2409</v>
      </c>
      <c r="D387" s="98" t="str">
        <f>DEC2HEX(2^24*MOD(STRUCT!E213,2^8)+2^16*MOD(STRUCT!E214,2^8)+2^8*MOD(STRUCT!E215,2^8)+2^0*MOD(STRUCT!E216,2^8),8)</f>
        <v>9D9D9D9D</v>
      </c>
      <c r="E387" s="46" t="s">
        <v>2234</v>
      </c>
    </row>
    <row r="388" spans="1:5" x14ac:dyDescent="0.25">
      <c r="A388" s="46">
        <v>547.20000000000005</v>
      </c>
      <c r="B388" s="46" t="s">
        <v>37</v>
      </c>
      <c r="C388" s="63" t="s">
        <v>2429</v>
      </c>
      <c r="D388" s="98" t="str">
        <f>DEC2HEX(2^6*MOD(STRUCT!E217,2^1),8)</f>
        <v>00000000</v>
      </c>
      <c r="E388" s="46" t="s">
        <v>498</v>
      </c>
    </row>
    <row r="389" spans="1:5" x14ac:dyDescent="0.25">
      <c r="A389" s="46">
        <v>547.20000000000005</v>
      </c>
      <c r="B389" s="46" t="s">
        <v>37</v>
      </c>
      <c r="C389" s="63" t="s">
        <v>2433</v>
      </c>
      <c r="D389" s="98" t="str">
        <f>DEC2HEX(2^6*MOD(STRUCT!E218,2^1),8)</f>
        <v>00000000</v>
      </c>
      <c r="E389" s="46" t="s">
        <v>498</v>
      </c>
    </row>
    <row r="390" spans="1:5" x14ac:dyDescent="0.25">
      <c r="A390" s="46">
        <v>547.20000000000005</v>
      </c>
      <c r="B390" s="46" t="s">
        <v>37</v>
      </c>
      <c r="C390" s="63" t="s">
        <v>2438</v>
      </c>
      <c r="D390" s="98" t="str">
        <f>DEC2HEX(2^6*MOD(STRUCT!E219,2^1),8)</f>
        <v>00000000</v>
      </c>
      <c r="E390" s="46" t="s">
        <v>498</v>
      </c>
    </row>
    <row r="391" spans="1:5" x14ac:dyDescent="0.25">
      <c r="A391" s="46">
        <v>547.20000000000005</v>
      </c>
      <c r="B391" s="46" t="s">
        <v>37</v>
      </c>
      <c r="C391" s="63" t="s">
        <v>2442</v>
      </c>
      <c r="D391" s="98" t="str">
        <f>DEC2HEX(2^6*MOD(STRUCT!E220,2^1),8)</f>
        <v>00000000</v>
      </c>
      <c r="E391" s="46" t="s">
        <v>498</v>
      </c>
    </row>
    <row r="392" spans="1:5" x14ac:dyDescent="0.25">
      <c r="A392" s="46">
        <v>681.6</v>
      </c>
      <c r="B392" s="46" t="s">
        <v>44</v>
      </c>
      <c r="C392" s="46" t="s">
        <v>78</v>
      </c>
      <c r="D392" s="98" t="str">
        <f>DEC2HEX(2^24*MOD(STRUCT!K14,2^8)+2^16*MOD(STRUCT!K15,2^8)+2^8*MOD(STRUCT!K16,2^8)+2^0*MOD(STRUCT!K17,2^8),8)</f>
        <v>00000000</v>
      </c>
      <c r="E392" s="46" t="s">
        <v>2234</v>
      </c>
    </row>
    <row r="393" spans="1:5" x14ac:dyDescent="0.25">
      <c r="A393" s="46">
        <v>681.6</v>
      </c>
      <c r="B393" s="46" t="s">
        <v>44</v>
      </c>
      <c r="C393" s="46" t="s">
        <v>86</v>
      </c>
      <c r="D393" s="98" t="str">
        <f>DEC2HEX(2^24*MOD(STRUCT!K18,2^8)+2^16*MOD(STRUCT!K19,2^8)+2^8*MOD(STRUCT!K20,2^8)+2^0*MOD(STRUCT!K21,2^8),8)</f>
        <v>00000000</v>
      </c>
      <c r="E393" s="46" t="s">
        <v>2234</v>
      </c>
    </row>
    <row r="394" spans="1:5" x14ac:dyDescent="0.25">
      <c r="A394" s="46">
        <v>681.6</v>
      </c>
      <c r="B394" s="46" t="s">
        <v>44</v>
      </c>
      <c r="C394" s="46" t="s">
        <v>7281</v>
      </c>
      <c r="D394" s="98" t="str">
        <f>DEC2HEX(2^20*MOD(STRUCT!K22,2^8)+2^0*MOD(STRUCT!K23,2^14),8)</f>
        <v>00100000</v>
      </c>
      <c r="E394" s="46" t="s">
        <v>2234</v>
      </c>
    </row>
    <row r="395" spans="1:5" x14ac:dyDescent="0.25">
      <c r="A395" s="46">
        <v>681.6</v>
      </c>
      <c r="B395" s="46" t="s">
        <v>44</v>
      </c>
      <c r="C395" s="46" t="s">
        <v>7282</v>
      </c>
      <c r="D395" s="98" t="str">
        <f>DEC2HEX(2^20*MOD(STRUCT!K24,2^8)+2^0*MOD(STRUCT!K25,2^14),8)</f>
        <v>00100000</v>
      </c>
      <c r="E395" s="46" t="s">
        <v>2234</v>
      </c>
    </row>
    <row r="396" spans="1:5" x14ac:dyDescent="0.25">
      <c r="A396" s="46">
        <v>681.6</v>
      </c>
      <c r="B396" s="46" t="s">
        <v>44</v>
      </c>
      <c r="C396" s="46" t="s">
        <v>7283</v>
      </c>
      <c r="D396" s="98" t="str">
        <f>DEC2HEX(2^20*MOD(STRUCT!K26,2^8)+2^0*MOD(STRUCT!K27,2^14),8)</f>
        <v>00300000</v>
      </c>
      <c r="E396" s="46" t="s">
        <v>2234</v>
      </c>
    </row>
    <row r="397" spans="1:5" x14ac:dyDescent="0.25">
      <c r="A397" s="46">
        <v>681.6</v>
      </c>
      <c r="B397" s="46" t="s">
        <v>44</v>
      </c>
      <c r="C397" s="46" t="s">
        <v>7284</v>
      </c>
      <c r="D397" s="98" t="str">
        <f>DEC2HEX(2^20*MOD(STRUCT!K28,2^8)+2^0*MOD(STRUCT!K29,2^14),8)</f>
        <v>00300000</v>
      </c>
      <c r="E397" s="46" t="s">
        <v>2234</v>
      </c>
    </row>
    <row r="398" spans="1:5" x14ac:dyDescent="0.25">
      <c r="A398" s="46">
        <v>681.6</v>
      </c>
      <c r="B398" s="46" t="s">
        <v>45</v>
      </c>
      <c r="C398" s="46" t="s">
        <v>139</v>
      </c>
      <c r="D398" s="98" t="str">
        <f>DEC2HEX(MOD(STRUCT!K46,2^1),8)</f>
        <v>00000001</v>
      </c>
      <c r="E398" s="46" t="s">
        <v>2234</v>
      </c>
    </row>
    <row r="399" spans="1:5" x14ac:dyDescent="0.25">
      <c r="A399" s="46">
        <v>681.6</v>
      </c>
      <c r="B399" s="46" t="s">
        <v>45</v>
      </c>
      <c r="C399" s="46" t="s">
        <v>142</v>
      </c>
      <c r="D399" s="98" t="str">
        <f>DEC2HEX(MOD(STRUCT!K47,2^1),8)</f>
        <v>00000000</v>
      </c>
      <c r="E399" s="46" t="s">
        <v>2234</v>
      </c>
    </row>
    <row r="400" spans="1:5" x14ac:dyDescent="0.25">
      <c r="A400" s="46">
        <v>681.6</v>
      </c>
      <c r="B400" s="46" t="s">
        <v>45</v>
      </c>
      <c r="C400" s="46" t="s">
        <v>143</v>
      </c>
      <c r="D400" s="98" t="str">
        <f>DEC2HEX(MOD(STRUCT!K48,2^1),8)</f>
        <v>00000001</v>
      </c>
      <c r="E400" s="46" t="s">
        <v>2234</v>
      </c>
    </row>
    <row r="401" spans="1:5" x14ac:dyDescent="0.25">
      <c r="A401" s="46">
        <v>681.6</v>
      </c>
      <c r="B401" s="46" t="s">
        <v>45</v>
      </c>
      <c r="C401" s="46" t="s">
        <v>144</v>
      </c>
      <c r="D401" s="98" t="str">
        <f>DEC2HEX(MOD(STRUCT!K49,2^1),8)</f>
        <v>00000001</v>
      </c>
      <c r="E401" s="46" t="s">
        <v>2234</v>
      </c>
    </row>
    <row r="402" spans="1:5" x14ac:dyDescent="0.25">
      <c r="A402" s="46">
        <v>681.6</v>
      </c>
      <c r="B402" s="46" t="s">
        <v>45</v>
      </c>
      <c r="C402" s="46" t="s">
        <v>145</v>
      </c>
      <c r="D402" s="98" t="str">
        <f>DEC2HEX(MOD(STRUCT!K50,2^1),8)</f>
        <v>00000001</v>
      </c>
      <c r="E402" s="46" t="s">
        <v>2234</v>
      </c>
    </row>
    <row r="403" spans="1:5" x14ac:dyDescent="0.25">
      <c r="A403" s="46">
        <v>681.6</v>
      </c>
      <c r="B403" s="46" t="s">
        <v>45</v>
      </c>
      <c r="C403" s="46" t="s">
        <v>146</v>
      </c>
      <c r="D403" s="98" t="str">
        <f>DEC2HEX(MOD(STRUCT!K51,2^1),8)</f>
        <v>00000000</v>
      </c>
      <c r="E403" s="46" t="s">
        <v>2234</v>
      </c>
    </row>
    <row r="404" spans="1:5" x14ac:dyDescent="0.25">
      <c r="A404" s="46">
        <v>681.6</v>
      </c>
      <c r="B404" s="46" t="s">
        <v>45</v>
      </c>
      <c r="C404" s="46" t="s">
        <v>147</v>
      </c>
      <c r="D404" s="98" t="str">
        <f>DEC2HEX(MOD(STRUCT!K52,2^1),8)</f>
        <v>00000000</v>
      </c>
      <c r="E404" s="46" t="s">
        <v>2234</v>
      </c>
    </row>
    <row r="405" spans="1:5" x14ac:dyDescent="0.25">
      <c r="A405" s="46">
        <v>681.6</v>
      </c>
      <c r="B405" s="46" t="s">
        <v>45</v>
      </c>
      <c r="C405" s="46" t="s">
        <v>148</v>
      </c>
      <c r="D405" s="98" t="str">
        <f>DEC2HEX(MOD(STRUCT!K53,2^1),8)</f>
        <v>00000000</v>
      </c>
      <c r="E405" s="46" t="s">
        <v>2234</v>
      </c>
    </row>
    <row r="406" spans="1:5" x14ac:dyDescent="0.25">
      <c r="A406" s="46">
        <v>681.6</v>
      </c>
      <c r="B406" s="46" t="s">
        <v>45</v>
      </c>
      <c r="C406" s="46" t="s">
        <v>149</v>
      </c>
      <c r="D406" s="98" t="str">
        <f>DEC2HEX(MOD(STRUCT!K54,2^1),8)</f>
        <v>00000001</v>
      </c>
      <c r="E406" s="46" t="s">
        <v>2234</v>
      </c>
    </row>
    <row r="407" spans="1:5" x14ac:dyDescent="0.25">
      <c r="A407" s="46">
        <v>681.6</v>
      </c>
      <c r="B407" s="46" t="s">
        <v>45</v>
      </c>
      <c r="C407" s="46" t="s">
        <v>150</v>
      </c>
      <c r="D407" s="98" t="str">
        <f>DEC2HEX(MOD(STRUCT!K55,2^1),8)</f>
        <v>00000000</v>
      </c>
      <c r="E407" s="46" t="s">
        <v>2234</v>
      </c>
    </row>
    <row r="408" spans="1:5" x14ac:dyDescent="0.25">
      <c r="A408" s="46">
        <v>681.6</v>
      </c>
      <c r="B408" s="46" t="s">
        <v>45</v>
      </c>
      <c r="C408" s="46" t="s">
        <v>151</v>
      </c>
      <c r="D408" s="98" t="str">
        <f>DEC2HEX(MOD(STRUCT!K56,2^1),8)</f>
        <v>00000001</v>
      </c>
      <c r="E408" s="46" t="s">
        <v>2234</v>
      </c>
    </row>
    <row r="409" spans="1:5" x14ac:dyDescent="0.25">
      <c r="A409" s="46">
        <v>681.6</v>
      </c>
      <c r="B409" s="46" t="s">
        <v>45</v>
      </c>
      <c r="C409" s="46" t="s">
        <v>152</v>
      </c>
      <c r="D409" s="98" t="str">
        <f>DEC2HEX(MOD(STRUCT!K57,2^1),8)</f>
        <v>00000001</v>
      </c>
      <c r="E409" s="46" t="s">
        <v>2234</v>
      </c>
    </row>
    <row r="410" spans="1:5" x14ac:dyDescent="0.25">
      <c r="A410" s="46">
        <v>681.6</v>
      </c>
      <c r="B410" s="46" t="s">
        <v>45</v>
      </c>
      <c r="C410" s="46" t="s">
        <v>153</v>
      </c>
      <c r="D410" s="98" t="str">
        <f>DEC2HEX(MOD(STRUCT!K58,2^1),8)</f>
        <v>00000001</v>
      </c>
      <c r="E410" s="46" t="s">
        <v>2234</v>
      </c>
    </row>
    <row r="411" spans="1:5" x14ac:dyDescent="0.25">
      <c r="A411" s="46">
        <v>681.6</v>
      </c>
      <c r="B411" s="46" t="s">
        <v>45</v>
      </c>
      <c r="C411" s="46" t="s">
        <v>154</v>
      </c>
      <c r="D411" s="98" t="str">
        <f>DEC2HEX(MOD(STRUCT!K59,2^1),8)</f>
        <v>00000000</v>
      </c>
      <c r="E411" s="46" t="s">
        <v>2234</v>
      </c>
    </row>
    <row r="412" spans="1:5" x14ac:dyDescent="0.25">
      <c r="A412" s="46">
        <v>681.6</v>
      </c>
      <c r="B412" s="46" t="s">
        <v>45</v>
      </c>
      <c r="C412" s="46" t="s">
        <v>155</v>
      </c>
      <c r="D412" s="98" t="str">
        <f>DEC2HEX(MOD(STRUCT!K60,2^1),8)</f>
        <v>00000001</v>
      </c>
      <c r="E412" s="46" t="s">
        <v>2234</v>
      </c>
    </row>
    <row r="413" spans="1:5" x14ac:dyDescent="0.25">
      <c r="A413" s="46">
        <v>681.6</v>
      </c>
      <c r="B413" s="46" t="s">
        <v>45</v>
      </c>
      <c r="C413" s="46" t="s">
        <v>156</v>
      </c>
      <c r="D413" s="98" t="str">
        <f>DEC2HEX(MOD(STRUCT!K61,2^1),8)</f>
        <v>00000001</v>
      </c>
      <c r="E413" s="46" t="s">
        <v>2234</v>
      </c>
    </row>
    <row r="414" spans="1:5" x14ac:dyDescent="0.25">
      <c r="A414" s="46">
        <v>681.6</v>
      </c>
      <c r="B414" s="46" t="s">
        <v>45</v>
      </c>
      <c r="C414" s="46" t="s">
        <v>103</v>
      </c>
      <c r="D414" s="98" t="str">
        <f>DEC2HEX(MOD(STRUCT!K30,2^8),8)</f>
        <v>00000000</v>
      </c>
      <c r="E414" s="46" t="str">
        <f t="shared" ref="E414:E429" si="10">DEC2HEX(2^0*(2^32-1),8)</f>
        <v>FFFFFFFF</v>
      </c>
    </row>
    <row r="415" spans="1:5" x14ac:dyDescent="0.25">
      <c r="A415" s="46">
        <v>681.6</v>
      </c>
      <c r="B415" s="46" t="s">
        <v>45</v>
      </c>
      <c r="C415" s="46" t="s">
        <v>107</v>
      </c>
      <c r="D415" s="98" t="str">
        <f>DEC2HEX(MOD(STRUCT!K31,2^8),8)</f>
        <v>00000000</v>
      </c>
      <c r="E415" s="46" t="str">
        <f t="shared" si="10"/>
        <v>FFFFFFFF</v>
      </c>
    </row>
    <row r="416" spans="1:5" x14ac:dyDescent="0.25">
      <c r="A416" s="46">
        <v>681.6</v>
      </c>
      <c r="B416" s="46" t="s">
        <v>45</v>
      </c>
      <c r="C416" s="46" t="s">
        <v>109</v>
      </c>
      <c r="D416" s="98" t="str">
        <f>DEC2HEX(MOD(STRUCT!K32,2^8),8)</f>
        <v>0000001D</v>
      </c>
      <c r="E416" s="46" t="str">
        <f t="shared" si="10"/>
        <v>FFFFFFFF</v>
      </c>
    </row>
    <row r="417" spans="1:5" x14ac:dyDescent="0.25">
      <c r="A417" s="46">
        <v>681.6</v>
      </c>
      <c r="B417" s="46" t="s">
        <v>45</v>
      </c>
      <c r="C417" s="46" t="s">
        <v>112</v>
      </c>
      <c r="D417" s="98" t="str">
        <f>DEC2HEX(MOD(STRUCT!K33,2^8),8)</f>
        <v>0000001D</v>
      </c>
      <c r="E417" s="46" t="str">
        <f t="shared" si="10"/>
        <v>FFFFFFFF</v>
      </c>
    </row>
    <row r="418" spans="1:5" x14ac:dyDescent="0.25">
      <c r="A418" s="46">
        <v>681.6</v>
      </c>
      <c r="B418" s="46" t="s">
        <v>45</v>
      </c>
      <c r="C418" s="46" t="s">
        <v>114</v>
      </c>
      <c r="D418" s="98" t="str">
        <f>DEC2HEX(MOD(STRUCT!K34,2^8),8)</f>
        <v>00000000</v>
      </c>
      <c r="E418" s="46" t="str">
        <f t="shared" si="10"/>
        <v>FFFFFFFF</v>
      </c>
    </row>
    <row r="419" spans="1:5" x14ac:dyDescent="0.25">
      <c r="A419" s="46">
        <v>681.6</v>
      </c>
      <c r="B419" s="46" t="s">
        <v>45</v>
      </c>
      <c r="C419" s="46" t="s">
        <v>116</v>
      </c>
      <c r="D419" s="98" t="str">
        <f>DEC2HEX(MOD(STRUCT!K35,2^8),8)</f>
        <v>00000000</v>
      </c>
      <c r="E419" s="46" t="str">
        <f t="shared" si="10"/>
        <v>FFFFFFFF</v>
      </c>
    </row>
    <row r="420" spans="1:5" x14ac:dyDescent="0.25">
      <c r="A420" s="46">
        <v>681.6</v>
      </c>
      <c r="B420" s="46" t="s">
        <v>45</v>
      </c>
      <c r="C420" s="46" t="s">
        <v>118</v>
      </c>
      <c r="D420" s="98" t="str">
        <f>DEC2HEX(MOD(STRUCT!K36,2^8),8)</f>
        <v>00000000</v>
      </c>
      <c r="E420" s="46" t="str">
        <f t="shared" si="10"/>
        <v>FFFFFFFF</v>
      </c>
    </row>
    <row r="421" spans="1:5" x14ac:dyDescent="0.25">
      <c r="A421" s="46">
        <v>681.6</v>
      </c>
      <c r="B421" s="46" t="s">
        <v>45</v>
      </c>
      <c r="C421" s="46" t="s">
        <v>120</v>
      </c>
      <c r="D421" s="98" t="str">
        <f>DEC2HEX(MOD(STRUCT!K37,2^8),8)</f>
        <v>00000000</v>
      </c>
      <c r="E421" s="46" t="str">
        <f t="shared" si="10"/>
        <v>FFFFFFFF</v>
      </c>
    </row>
    <row r="422" spans="1:5" x14ac:dyDescent="0.25">
      <c r="A422" s="46">
        <v>681.6</v>
      </c>
      <c r="B422" s="46" t="s">
        <v>45</v>
      </c>
      <c r="C422" s="46" t="s">
        <v>122</v>
      </c>
      <c r="D422" s="98" t="str">
        <f>DEC2HEX(MOD(STRUCT!K38,2^8),8)</f>
        <v>0000003E</v>
      </c>
      <c r="E422" s="46" t="str">
        <f t="shared" si="10"/>
        <v>FFFFFFFF</v>
      </c>
    </row>
    <row r="423" spans="1:5" x14ac:dyDescent="0.25">
      <c r="A423" s="46">
        <v>681.6</v>
      </c>
      <c r="B423" s="46" t="s">
        <v>45</v>
      </c>
      <c r="C423" s="46" t="s">
        <v>125</v>
      </c>
      <c r="D423" s="98" t="str">
        <f>DEC2HEX(MOD(STRUCT!K39,2^8),8)</f>
        <v>00000000</v>
      </c>
      <c r="E423" s="46" t="str">
        <f t="shared" si="10"/>
        <v>FFFFFFFF</v>
      </c>
    </row>
    <row r="424" spans="1:5" x14ac:dyDescent="0.25">
      <c r="A424" s="46">
        <v>681.6</v>
      </c>
      <c r="B424" s="46" t="s">
        <v>45</v>
      </c>
      <c r="C424" s="46" t="s">
        <v>127</v>
      </c>
      <c r="D424" s="98" t="str">
        <f>DEC2HEX(MOD(STRUCT!K40,2^8),8)</f>
        <v>00000000</v>
      </c>
      <c r="E424" s="46" t="str">
        <f t="shared" si="10"/>
        <v>FFFFFFFF</v>
      </c>
    </row>
    <row r="425" spans="1:5" x14ac:dyDescent="0.25">
      <c r="A425" s="46">
        <v>681.6</v>
      </c>
      <c r="B425" s="46" t="s">
        <v>45</v>
      </c>
      <c r="C425" s="46" t="s">
        <v>129</v>
      </c>
      <c r="D425" s="98" t="str">
        <f>DEC2HEX(MOD(STRUCT!K41,2^8),8)</f>
        <v>0000001D</v>
      </c>
      <c r="E425" s="46" t="str">
        <f t="shared" si="10"/>
        <v>FFFFFFFF</v>
      </c>
    </row>
    <row r="426" spans="1:5" x14ac:dyDescent="0.25">
      <c r="A426" s="46">
        <v>681.6</v>
      </c>
      <c r="B426" s="46" t="s">
        <v>45</v>
      </c>
      <c r="C426" s="46" t="s">
        <v>131</v>
      </c>
      <c r="D426" s="98" t="str">
        <f>DEC2HEX(MOD(STRUCT!K42,2^8),8)</f>
        <v>0000003E</v>
      </c>
      <c r="E426" s="46" t="str">
        <f t="shared" si="10"/>
        <v>FFFFFFFF</v>
      </c>
    </row>
    <row r="427" spans="1:5" x14ac:dyDescent="0.25">
      <c r="A427" s="46">
        <v>681.6</v>
      </c>
      <c r="B427" s="46" t="s">
        <v>45</v>
      </c>
      <c r="C427" s="46" t="s">
        <v>133</v>
      </c>
      <c r="D427" s="98" t="str">
        <f>DEC2HEX(MOD(STRUCT!K43,2^8),8)</f>
        <v>00000000</v>
      </c>
      <c r="E427" s="46" t="str">
        <f t="shared" si="10"/>
        <v>FFFFFFFF</v>
      </c>
    </row>
    <row r="428" spans="1:5" x14ac:dyDescent="0.25">
      <c r="A428" s="46">
        <v>681.6</v>
      </c>
      <c r="B428" s="46" t="s">
        <v>45</v>
      </c>
      <c r="C428" s="46" t="s">
        <v>135</v>
      </c>
      <c r="D428" s="98" t="str">
        <f>DEC2HEX(MOD(STRUCT!K44,2^8),8)</f>
        <v>0000001D</v>
      </c>
      <c r="E428" s="46" t="str">
        <f t="shared" si="10"/>
        <v>FFFFFFFF</v>
      </c>
    </row>
    <row r="429" spans="1:5" x14ac:dyDescent="0.25">
      <c r="A429" s="46">
        <v>681.6</v>
      </c>
      <c r="B429" s="46" t="s">
        <v>45</v>
      </c>
      <c r="C429" s="46" t="s">
        <v>137</v>
      </c>
      <c r="D429" s="98" t="str">
        <f>DEC2HEX(MOD(STRUCT!K45,2^8),8)</f>
        <v>00000000</v>
      </c>
      <c r="E429" s="46" t="str">
        <f t="shared" si="10"/>
        <v>FFFFFFFF</v>
      </c>
    </row>
    <row r="430" spans="1:5" x14ac:dyDescent="0.25">
      <c r="A430" s="46">
        <v>681.6</v>
      </c>
      <c r="B430" s="46" t="s">
        <v>45</v>
      </c>
      <c r="C430" s="46" t="s">
        <v>157</v>
      </c>
      <c r="D430" s="98" t="str">
        <f>DEC2HEX(2^16*MOD(STRUCT!K62,2^8)+2^0*MOD(STRUCT!K63,2^8),8)</f>
        <v>00300030</v>
      </c>
      <c r="E430" s="46" t="str">
        <f>DEC2HEX(2^16*(2^8-1)+2^0*(2^8-1),8)</f>
        <v>00FF00FF</v>
      </c>
    </row>
    <row r="431" spans="1:5" x14ac:dyDescent="0.25">
      <c r="A431" s="46">
        <v>681.6</v>
      </c>
      <c r="B431" s="46" t="s">
        <v>45</v>
      </c>
      <c r="C431" s="46" t="s">
        <v>163</v>
      </c>
      <c r="D431" s="98" t="str">
        <f>DEC2HEX(2^16*MOD(STRUCT!K64,2^8)+2^0*MOD(STRUCT!K65,2^8),8)</f>
        <v>000D000D</v>
      </c>
      <c r="E431" s="46" t="str">
        <f t="shared" ref="E431:E446" si="11">DEC2HEX(2^0*(2^32-1),8)</f>
        <v>FFFFFFFF</v>
      </c>
    </row>
    <row r="432" spans="1:5" x14ac:dyDescent="0.25">
      <c r="A432" s="46">
        <v>681.6</v>
      </c>
      <c r="B432" s="46" t="s">
        <v>26</v>
      </c>
      <c r="C432" s="46" t="s">
        <v>6753</v>
      </c>
      <c r="D432" s="98" t="str">
        <f>DEC2HEX(2^16*MOD(STRUCT!E96,2^8)+2^8*MOD(STRUCT!E97,2^8)+2^0*MOD(STRUCT!E98,2^8),8)</f>
        <v>00042404</v>
      </c>
      <c r="E432" s="46" t="str">
        <f t="shared" si="11"/>
        <v>FFFFFFFF</v>
      </c>
    </row>
    <row r="433" spans="1:6" x14ac:dyDescent="0.25">
      <c r="A433" s="46">
        <v>681.6</v>
      </c>
      <c r="B433" s="46" t="s">
        <v>26</v>
      </c>
      <c r="C433" s="46" t="s">
        <v>6756</v>
      </c>
      <c r="D433" s="98" t="str">
        <f>DEC2HEX(2^24*MOD(STRUCT!E99,2^8)+2^16*MOD(STRUCT!E100,2^8)+2^8*MOD(STRUCT!E101,2^8)+2^0*MOD(STRUCT!E102,2^8),8)</f>
        <v>201C0004</v>
      </c>
      <c r="E433" s="46" t="str">
        <f t="shared" si="11"/>
        <v>FFFFFFFF</v>
      </c>
    </row>
    <row r="434" spans="1:6" x14ac:dyDescent="0.25">
      <c r="A434" s="46">
        <v>681.6</v>
      </c>
      <c r="B434" s="46" t="s">
        <v>26</v>
      </c>
      <c r="C434" s="46" t="s">
        <v>6759</v>
      </c>
      <c r="D434" s="98" t="str">
        <f>DEC2HEX(2^0*MOD(STRUCT!E103,2^8),8)</f>
        <v>00000008</v>
      </c>
      <c r="E434" s="46" t="str">
        <f t="shared" si="11"/>
        <v>FFFFFFFF</v>
      </c>
    </row>
    <row r="435" spans="1:6" x14ac:dyDescent="0.25">
      <c r="A435" s="46">
        <v>681.6</v>
      </c>
      <c r="B435" s="46" t="s">
        <v>26</v>
      </c>
      <c r="C435" s="46" t="s">
        <v>6760</v>
      </c>
      <c r="D435" s="98" t="str">
        <f>DEC2HEX(2^16*MOD(STRUCT!E104,2^8)+2^8*MOD(STRUCT!E105,2^8)+2^0*MOD(STRUCT!E106,2^8),8)</f>
        <v>00042404</v>
      </c>
      <c r="E435" s="46" t="str">
        <f t="shared" si="11"/>
        <v>FFFFFFFF</v>
      </c>
    </row>
    <row r="436" spans="1:6" x14ac:dyDescent="0.25">
      <c r="A436" s="46">
        <v>681.6</v>
      </c>
      <c r="B436" s="46" t="s">
        <v>26</v>
      </c>
      <c r="C436" s="46" t="s">
        <v>6761</v>
      </c>
      <c r="D436" s="98" t="str">
        <f>DEC2HEX(2^24*MOD(STRUCT!E107,2^8)+2^16*MOD(STRUCT!E108,2^8)+2^8*MOD(STRUCT!E109,2^8)+2^0*MOD(STRUCT!E110,2^8),8)</f>
        <v>201C0004</v>
      </c>
      <c r="E436" s="46" t="str">
        <f t="shared" si="11"/>
        <v>FFFFFFFF</v>
      </c>
    </row>
    <row r="437" spans="1:6" x14ac:dyDescent="0.25">
      <c r="A437" s="46">
        <v>681.6</v>
      </c>
      <c r="B437" s="46" t="s">
        <v>26</v>
      </c>
      <c r="C437" s="46" t="s">
        <v>6762</v>
      </c>
      <c r="D437" s="98" t="str">
        <f>DEC2HEX(2^0*MOD(STRUCT!E111,2^8),8)</f>
        <v>00000008</v>
      </c>
      <c r="E437" s="46" t="str">
        <f t="shared" si="11"/>
        <v>FFFFFFFF</v>
      </c>
    </row>
    <row r="438" spans="1:6" x14ac:dyDescent="0.25">
      <c r="A438" s="46">
        <v>681.6</v>
      </c>
      <c r="B438" s="46" t="s">
        <v>26</v>
      </c>
      <c r="C438" s="46" t="s">
        <v>6763</v>
      </c>
      <c r="D438" s="98" t="str">
        <f>DEC2HEX(2^16*MOD(STRUCT!E112,2^8)+2^8*MOD(STRUCT!E113,2^8)+2^0*MOD(STRUCT!E114,2^8),8)</f>
        <v>00042404</v>
      </c>
      <c r="E438" s="46" t="str">
        <f t="shared" si="11"/>
        <v>FFFFFFFF</v>
      </c>
    </row>
    <row r="439" spans="1:6" x14ac:dyDescent="0.25">
      <c r="A439" s="46">
        <v>681.6</v>
      </c>
      <c r="B439" s="46" t="s">
        <v>26</v>
      </c>
      <c r="C439" s="46" t="s">
        <v>6764</v>
      </c>
      <c r="D439" s="98" t="str">
        <f>DEC2HEX(2^24*MOD(STRUCT!E115,2^8)+2^16*MOD(STRUCT!E116,2^8)+2^8*MOD(STRUCT!E117,2^8)+2^0*MOD(STRUCT!E118,2^8),8)</f>
        <v>201C0004</v>
      </c>
      <c r="E439" s="46" t="str">
        <f t="shared" si="11"/>
        <v>FFFFFFFF</v>
      </c>
    </row>
    <row r="440" spans="1:6" x14ac:dyDescent="0.25">
      <c r="A440" s="46">
        <v>681.6</v>
      </c>
      <c r="B440" s="46" t="s">
        <v>26</v>
      </c>
      <c r="C440" s="46" t="s">
        <v>6765</v>
      </c>
      <c r="D440" s="98" t="str">
        <f>DEC2HEX(2^0*MOD(STRUCT!E119,2^8),8)</f>
        <v>00000008</v>
      </c>
      <c r="E440" s="46" t="str">
        <f t="shared" si="11"/>
        <v>FFFFFFFF</v>
      </c>
    </row>
    <row r="441" spans="1:6" x14ac:dyDescent="0.25">
      <c r="A441" s="46">
        <v>681.6</v>
      </c>
      <c r="B441" s="46" t="s">
        <v>26</v>
      </c>
      <c r="C441" s="46" t="s">
        <v>6766</v>
      </c>
      <c r="D441" s="98" t="str">
        <f>DEC2HEX(2^16*MOD(STRUCT!E120,2^8)+2^8*MOD(STRUCT!E121,2^8)+2^0*MOD(STRUCT!E122,2^8),8)</f>
        <v>00042404</v>
      </c>
      <c r="E441" s="46" t="str">
        <f t="shared" si="11"/>
        <v>FFFFFFFF</v>
      </c>
    </row>
    <row r="442" spans="1:6" x14ac:dyDescent="0.25">
      <c r="A442" s="46">
        <v>681.6</v>
      </c>
      <c r="B442" s="46" t="s">
        <v>26</v>
      </c>
      <c r="C442" s="46" t="s">
        <v>6767</v>
      </c>
      <c r="D442" s="98" t="str">
        <f>DEC2HEX(2^24*MOD(STRUCT!E123,2^8)+2^16*MOD(STRUCT!E124,2^8)+2^8*MOD(STRUCT!E125,2^8)+2^0*MOD(STRUCT!E126,2^8),8)</f>
        <v>201C0004</v>
      </c>
      <c r="E442" s="46" t="str">
        <f t="shared" si="11"/>
        <v>FFFFFFFF</v>
      </c>
    </row>
    <row r="443" spans="1:6" x14ac:dyDescent="0.25">
      <c r="A443" s="46">
        <v>681.6</v>
      </c>
      <c r="B443" s="46" t="s">
        <v>26</v>
      </c>
      <c r="C443" s="46" t="s">
        <v>6768</v>
      </c>
      <c r="D443" s="98" t="str">
        <f>DEC2HEX(2^0*MOD(STRUCT!E127,2^8),8)</f>
        <v>00000008</v>
      </c>
      <c r="E443" s="46" t="str">
        <f t="shared" si="11"/>
        <v>FFFFFFFF</v>
      </c>
    </row>
    <row r="444" spans="1:6" x14ac:dyDescent="0.25">
      <c r="A444" s="46">
        <v>681.6</v>
      </c>
      <c r="B444" s="46" t="s">
        <v>32</v>
      </c>
      <c r="C444" s="46" t="s">
        <v>6703</v>
      </c>
      <c r="D444" s="98" t="str">
        <f>DEC2HEX(2^24*MOD(STRUCT!H78,2^8)+2^16*MOD(STRUCT!H79,2^8)+2^8*MOD(STRUCT!H80,2^8)+2^0*MOD(STRUCT!H81,2^8),8)</f>
        <v>03094F01</v>
      </c>
      <c r="E444" s="46" t="str">
        <f t="shared" si="11"/>
        <v>FFFFFFFF</v>
      </c>
    </row>
    <row r="445" spans="1:6" x14ac:dyDescent="0.25">
      <c r="A445" s="46">
        <v>681.6</v>
      </c>
      <c r="B445" s="46" t="s">
        <v>32</v>
      </c>
      <c r="C445" s="46" t="s">
        <v>6705</v>
      </c>
      <c r="D445" s="98" t="str">
        <f>DEC2HEX(2^24*MOD(STRUCT!H82,2^8)+2^16*MOD(STRUCT!H83,2^8)+2^8*MOD(STRUCT!H84,2^8)+2^0*MOD(STRUCT!H85,2^8),8)</f>
        <v>00000009</v>
      </c>
      <c r="E445" s="46" t="str">
        <f t="shared" si="11"/>
        <v>FFFFFFFF</v>
      </c>
    </row>
    <row r="446" spans="1:6" x14ac:dyDescent="0.25">
      <c r="A446" s="46">
        <v>681.6</v>
      </c>
      <c r="B446" s="46" t="s">
        <v>32</v>
      </c>
      <c r="C446" s="46" t="s">
        <v>6706</v>
      </c>
      <c r="D446" s="98" t="str">
        <f>DEC2HEX(2^0*MOD(STRUCT!H86,2^8),8)</f>
        <v>00000072</v>
      </c>
      <c r="E446" s="46" t="str">
        <f t="shared" si="11"/>
        <v>FFFFFFFF</v>
      </c>
    </row>
    <row r="447" spans="1:6" x14ac:dyDescent="0.25">
      <c r="A447" s="46">
        <v>681.6</v>
      </c>
      <c r="B447" s="46" t="s">
        <v>25</v>
      </c>
      <c r="C447" s="46" t="s">
        <v>6592</v>
      </c>
      <c r="D447" s="98" t="str">
        <f>DEC2HEX(2^24*MOD(STRUCT!H87,2^8)+2^16*MOD(STRUCT!H88,2^8)+2^8*MOD(STRUCT!H89,2^8)+2^0*MOD(STRUCT!H90,2^8),8)</f>
        <v>03091001</v>
      </c>
      <c r="E447" s="46" t="s">
        <v>2233</v>
      </c>
      <c r="F447" s="81" t="s">
        <v>7285</v>
      </c>
    </row>
    <row r="448" spans="1:6" x14ac:dyDescent="0.25">
      <c r="A448" s="46">
        <v>681.6</v>
      </c>
      <c r="B448" s="46" t="s">
        <v>25</v>
      </c>
      <c r="C448" s="46" t="s">
        <v>6595</v>
      </c>
      <c r="D448" s="98" t="str">
        <f>DEC2HEX(2^24*MOD(STRUCT!H91,2^1)+2^16*MOD(STRUCT!H92,2^8)+2^8*MOD(STRUCT!H93,2^8)+2^0*MOD(STRUCT!H94,2^8),8)</f>
        <v>00000009</v>
      </c>
      <c r="E448" s="46" t="s">
        <v>2233</v>
      </c>
      <c r="F448" s="81" t="s">
        <v>7285</v>
      </c>
    </row>
    <row r="449" spans="1:6" x14ac:dyDescent="0.25">
      <c r="A449" s="46">
        <v>681.6</v>
      </c>
      <c r="B449" s="46" t="s">
        <v>25</v>
      </c>
      <c r="C449" s="46" t="s">
        <v>6596</v>
      </c>
      <c r="D449" s="98" t="str">
        <f>DEC2HEX(2^0*MOD(STRUCT!H95,2^8),8)</f>
        <v>00000019</v>
      </c>
      <c r="E449" s="46" t="s">
        <v>2233</v>
      </c>
      <c r="F449" s="81" t="s">
        <v>7285</v>
      </c>
    </row>
    <row r="450" spans="1:6" x14ac:dyDescent="0.25">
      <c r="A450" s="46">
        <v>681.6</v>
      </c>
      <c r="B450" s="46" t="s">
        <v>37</v>
      </c>
      <c r="C450" s="46" t="s">
        <v>2443</v>
      </c>
      <c r="D450" s="98" t="str">
        <f>DEC2HEX(2^24*MOD(STRUCT!E155,2^8)+2^16*MOD(STRUCT!E156,2^8)+2^8*MOD(STRUCT!E153,2^8)+2^0*MOD(STRUCT!E154,2^8),8)</f>
        <v>0A0A0101</v>
      </c>
      <c r="E450" s="46" t="s">
        <v>2234</v>
      </c>
    </row>
    <row r="451" spans="1:6" x14ac:dyDescent="0.25">
      <c r="A451" s="46">
        <v>681.6</v>
      </c>
      <c r="B451" s="46" t="s">
        <v>37</v>
      </c>
      <c r="C451" s="46" t="s">
        <v>2453</v>
      </c>
      <c r="D451" s="98" t="str">
        <f>DEC2HEX(2^24*MOD(STRUCT!E159,2^8)+2^16*MOD(STRUCT!E160,2^8)+2^8*MOD(STRUCT!E157,2^8)+2^0*MOD(STRUCT!E158,2^8),8)</f>
        <v>0A0A0101</v>
      </c>
      <c r="E451" s="46" t="s">
        <v>2234</v>
      </c>
    </row>
    <row r="452" spans="1:6" x14ac:dyDescent="0.25">
      <c r="A452" s="46">
        <v>681.6</v>
      </c>
      <c r="B452" s="46" t="s">
        <v>37</v>
      </c>
      <c r="C452" s="46" t="s">
        <v>2457</v>
      </c>
      <c r="D452" s="98" t="str">
        <f>DEC2HEX(2^24*MOD(STRUCT!E163,2^8)+2^16*MOD(STRUCT!E164,2^8)+2^8*MOD(STRUCT!E161,2^8)+2^0*MOD(STRUCT!E162,2^8),8)</f>
        <v>0A0A0101</v>
      </c>
      <c r="E452" s="46" t="s">
        <v>2234</v>
      </c>
    </row>
    <row r="453" spans="1:6" x14ac:dyDescent="0.25">
      <c r="A453" s="46">
        <v>681.6</v>
      </c>
      <c r="B453" s="46" t="s">
        <v>37</v>
      </c>
      <c r="C453" s="46" t="s">
        <v>2463</v>
      </c>
      <c r="D453" s="98" t="str">
        <f>DEC2HEX(2^24*MOD(STRUCT!E167,2^8)+2^16*MOD(STRUCT!E168,2^8)+2^8*MOD(STRUCT!E165,2^8)+2^0*MOD(STRUCT!E166,2^8),8)</f>
        <v>0A0A0101</v>
      </c>
      <c r="E453" s="46" t="s">
        <v>2234</v>
      </c>
    </row>
    <row r="454" spans="1:6" x14ac:dyDescent="0.25">
      <c r="A454" s="46">
        <v>681.6</v>
      </c>
      <c r="B454" s="46" t="s">
        <v>37</v>
      </c>
      <c r="C454" s="46" t="s">
        <v>2446</v>
      </c>
      <c r="D454" s="98" t="str">
        <f>DEC2HEX(2^24*MOD(STRUCT!E171,2^8)+2^16*MOD(STRUCT!E172,2^8)+2^8*MOD(STRUCT!E169,2^8)+2^0*MOD(STRUCT!E170,2^8),8)</f>
        <v>0A0A0A0A</v>
      </c>
      <c r="E454" s="46" t="s">
        <v>2234</v>
      </c>
    </row>
    <row r="455" spans="1:6" x14ac:dyDescent="0.25">
      <c r="A455" s="46">
        <v>681.6</v>
      </c>
      <c r="B455" s="46" t="s">
        <v>37</v>
      </c>
      <c r="C455" s="46" t="s">
        <v>2454</v>
      </c>
      <c r="D455" s="98" t="str">
        <f>DEC2HEX(2^24*MOD(STRUCT!E175,2^8)+2^16*MOD(STRUCT!E176,2^8)+2^8*MOD(STRUCT!E173,2^8)+2^0*MOD(STRUCT!E174,2^8),8)</f>
        <v>0A0A0A0A</v>
      </c>
      <c r="E455" s="46" t="s">
        <v>2234</v>
      </c>
    </row>
    <row r="456" spans="1:6" x14ac:dyDescent="0.25">
      <c r="A456" s="46">
        <v>681.6</v>
      </c>
      <c r="B456" s="46" t="s">
        <v>37</v>
      </c>
      <c r="C456" s="46" t="s">
        <v>2458</v>
      </c>
      <c r="D456" s="98" t="str">
        <f>DEC2HEX(2^24*MOD(STRUCT!E179,2^8)+2^16*MOD(STRUCT!E180,2^8)+2^8*MOD(STRUCT!E177,2^8)+2^0*MOD(STRUCT!E178,2^8),8)</f>
        <v>0A0A0A0A</v>
      </c>
      <c r="E456" s="46" t="s">
        <v>2234</v>
      </c>
    </row>
    <row r="457" spans="1:6" x14ac:dyDescent="0.25">
      <c r="A457" s="46">
        <v>681.6</v>
      </c>
      <c r="B457" s="46" t="s">
        <v>37</v>
      </c>
      <c r="C457" s="46" t="s">
        <v>2465</v>
      </c>
      <c r="D457" s="98" t="str">
        <f>DEC2HEX(2^24*MOD(STRUCT!E183,2^8)+2^16*MOD(STRUCT!E184,2^8)+2^8*MOD(STRUCT!E181,2^8)+2^0*MOD(STRUCT!E182,2^8),8)</f>
        <v>0A0A0A0A</v>
      </c>
      <c r="E457" s="46" t="s">
        <v>2234</v>
      </c>
    </row>
    <row r="458" spans="1:6" x14ac:dyDescent="0.25">
      <c r="A458" s="46">
        <v>681.6</v>
      </c>
      <c r="B458" s="46" t="s">
        <v>37</v>
      </c>
      <c r="C458" s="46" t="s">
        <v>2399</v>
      </c>
      <c r="D458" s="98" t="str">
        <f>DEC2HEX(2^24*MOD(STRUCT!E185,2^8)+2^16*MOD(STRUCT!E186,2^8)+2^8*MOD(STRUCT!E187,2^8)+2^0*MOD(STRUCT!E188,2^8),8)</f>
        <v>019D9D9D</v>
      </c>
      <c r="E458" s="46" t="s">
        <v>2234</v>
      </c>
    </row>
    <row r="459" spans="1:6" x14ac:dyDescent="0.25">
      <c r="A459" s="46">
        <v>681.6</v>
      </c>
      <c r="B459" s="46" t="s">
        <v>37</v>
      </c>
      <c r="C459" s="46" t="s">
        <v>2396</v>
      </c>
      <c r="D459" s="98" t="str">
        <f>DEC2HEX(2^24*MOD(STRUCT!E189,2^8)+2^16*MOD(STRUCT!E190,2^8)+2^8*MOD(STRUCT!E191,2^8)+2^0*MOD(STRUCT!E192,2^8),8)</f>
        <v>9D9D9D9D</v>
      </c>
      <c r="E459" s="46" t="s">
        <v>2234</v>
      </c>
    </row>
    <row r="460" spans="1:6" x14ac:dyDescent="0.25">
      <c r="A460" s="46">
        <v>681.6</v>
      </c>
      <c r="B460" s="46" t="s">
        <v>37</v>
      </c>
      <c r="C460" s="46" t="s">
        <v>2404</v>
      </c>
      <c r="D460" s="98" t="str">
        <f>DEC2HEX(2^24*MOD(STRUCT!E193,2^8)+2^16*MOD(STRUCT!E194,2^8)+2^8*MOD(STRUCT!E195,2^8)+2^0*MOD(STRUCT!E196,2^8),8)</f>
        <v>019D9D9D</v>
      </c>
      <c r="E460" s="46" t="s">
        <v>2234</v>
      </c>
    </row>
    <row r="461" spans="1:6" x14ac:dyDescent="0.25">
      <c r="A461" s="46">
        <v>681.6</v>
      </c>
      <c r="B461" s="46" t="s">
        <v>37</v>
      </c>
      <c r="C461" s="46" t="s">
        <v>2403</v>
      </c>
      <c r="D461" s="98" t="str">
        <f>DEC2HEX(2^24*MOD(STRUCT!E197,2^8)+2^16*MOD(STRUCT!E198,2^8)+2^8*MOD(STRUCT!E199,2^8)+2^0*MOD(STRUCT!E200,2^8),8)</f>
        <v>9D9D9D9D</v>
      </c>
      <c r="E461" s="46" t="s">
        <v>2234</v>
      </c>
    </row>
    <row r="462" spans="1:6" x14ac:dyDescent="0.25">
      <c r="A462" s="46">
        <v>681.6</v>
      </c>
      <c r="B462" s="46" t="s">
        <v>37</v>
      </c>
      <c r="C462" s="46" t="s">
        <v>2407</v>
      </c>
      <c r="D462" s="98" t="str">
        <f>DEC2HEX(2^24*MOD(STRUCT!E201,2^8)+2^16*MOD(STRUCT!E202,2^8)+2^8*MOD(STRUCT!E203,2^8)+2^0*MOD(STRUCT!E204,2^8),8)</f>
        <v>019D9D9D</v>
      </c>
      <c r="E462" s="46" t="s">
        <v>2234</v>
      </c>
    </row>
    <row r="463" spans="1:6" x14ac:dyDescent="0.25">
      <c r="A463" s="46">
        <v>681.6</v>
      </c>
      <c r="B463" s="46" t="s">
        <v>37</v>
      </c>
      <c r="C463" s="46" t="s">
        <v>2406</v>
      </c>
      <c r="D463" s="98" t="str">
        <f>DEC2HEX(2^24*MOD(STRUCT!E205,2^8)+2^16*MOD(STRUCT!E206,2^8)+2^8*MOD(STRUCT!E207,2^8)+2^0*MOD(STRUCT!E208,2^8),8)</f>
        <v>9D9D9D9D</v>
      </c>
      <c r="E463" s="46" t="s">
        <v>2234</v>
      </c>
    </row>
    <row r="464" spans="1:6" x14ac:dyDescent="0.25">
      <c r="A464" s="46">
        <v>681.6</v>
      </c>
      <c r="B464" s="46" t="s">
        <v>37</v>
      </c>
      <c r="C464" s="46" t="s">
        <v>2410</v>
      </c>
      <c r="D464" s="98" t="str">
        <f>DEC2HEX(2^24*MOD(STRUCT!E209,2^8)+2^16*MOD(STRUCT!E210,2^8)+2^8*MOD(STRUCT!E211,2^8)+2^0*MOD(STRUCT!E212,2^8),8)</f>
        <v>019D9D9D</v>
      </c>
      <c r="E464" s="46" t="s">
        <v>2234</v>
      </c>
    </row>
    <row r="465" spans="1:5" x14ac:dyDescent="0.25">
      <c r="A465" s="46">
        <v>681.6</v>
      </c>
      <c r="B465" s="46" t="s">
        <v>37</v>
      </c>
      <c r="C465" s="46" t="s">
        <v>2409</v>
      </c>
      <c r="D465" s="98" t="str">
        <f>DEC2HEX(2^24*MOD(STRUCT!E213,2^8)+2^16*MOD(STRUCT!E214,2^8)+2^8*MOD(STRUCT!E215,2^8)+2^0*MOD(STRUCT!E216,2^8),8)</f>
        <v>9D9D9D9D</v>
      </c>
      <c r="E465" s="46" t="s">
        <v>2234</v>
      </c>
    </row>
    <row r="466" spans="1:5" x14ac:dyDescent="0.25">
      <c r="A466" s="46">
        <v>681.6</v>
      </c>
      <c r="B466" s="46" t="s">
        <v>37</v>
      </c>
      <c r="C466" s="63" t="s">
        <v>2429</v>
      </c>
      <c r="D466" s="98" t="str">
        <f>DEC2HEX(2^6*MOD(STRUCT!E217,2^1),8)</f>
        <v>00000000</v>
      </c>
      <c r="E466" s="46" t="s">
        <v>498</v>
      </c>
    </row>
    <row r="467" spans="1:5" x14ac:dyDescent="0.25">
      <c r="A467" s="46">
        <v>681.6</v>
      </c>
      <c r="B467" s="46" t="s">
        <v>37</v>
      </c>
      <c r="C467" s="63" t="s">
        <v>2433</v>
      </c>
      <c r="D467" s="98" t="str">
        <f>DEC2HEX(2^6*MOD(STRUCT!E218,2^1),8)</f>
        <v>00000000</v>
      </c>
      <c r="E467" s="46" t="s">
        <v>498</v>
      </c>
    </row>
    <row r="468" spans="1:5" x14ac:dyDescent="0.25">
      <c r="A468" s="46">
        <v>681.6</v>
      </c>
      <c r="B468" s="46" t="s">
        <v>37</v>
      </c>
      <c r="C468" s="63" t="s">
        <v>2438</v>
      </c>
      <c r="D468" s="98" t="str">
        <f>DEC2HEX(2^6*MOD(STRUCT!E219,2^1),8)</f>
        <v>00000000</v>
      </c>
      <c r="E468" s="46" t="s">
        <v>498</v>
      </c>
    </row>
    <row r="469" spans="1:5" x14ac:dyDescent="0.25">
      <c r="A469" s="46">
        <v>681.6</v>
      </c>
      <c r="B469" s="46" t="s">
        <v>37</v>
      </c>
      <c r="C469" s="63" t="s">
        <v>2442</v>
      </c>
      <c r="D469" s="98" t="str">
        <f>DEC2HEX(2^6*MOD(STRUCT!E220,2^1),8)</f>
        <v>00000000</v>
      </c>
      <c r="E469" s="46" t="s">
        <v>498</v>
      </c>
    </row>
    <row r="470" spans="1:5" x14ac:dyDescent="0.25">
      <c r="A470" s="46">
        <v>768</v>
      </c>
      <c r="B470" s="46" t="s">
        <v>44</v>
      </c>
      <c r="C470" s="46" t="s">
        <v>78</v>
      </c>
      <c r="D470" s="98" t="str">
        <f>DEC2HEX(2^24*MOD(STRUCT!L14,2^8)+2^16*MOD(STRUCT!L15,2^8)+2^8*MOD(STRUCT!L16,2^8)+2^0*MOD(STRUCT!L17,2^8),8)</f>
        <v>00000000</v>
      </c>
      <c r="E470" s="46" t="s">
        <v>2234</v>
      </c>
    </row>
    <row r="471" spans="1:5" x14ac:dyDescent="0.25">
      <c r="A471" s="46">
        <v>768</v>
      </c>
      <c r="B471" s="46" t="s">
        <v>44</v>
      </c>
      <c r="C471" s="46" t="s">
        <v>86</v>
      </c>
      <c r="D471" s="98" t="str">
        <f>DEC2HEX(2^24*MOD(STRUCT!L18,2^8)+2^16*MOD(STRUCT!L19,2^8)+2^8*MOD(STRUCT!L20,2^8)+2^0*MOD(STRUCT!L21,2^8),8)</f>
        <v>00000000</v>
      </c>
      <c r="E471" s="46" t="s">
        <v>2234</v>
      </c>
    </row>
    <row r="472" spans="1:5" x14ac:dyDescent="0.25">
      <c r="A472" s="46">
        <v>768</v>
      </c>
      <c r="B472" s="46" t="s">
        <v>44</v>
      </c>
      <c r="C472" s="46" t="s">
        <v>7281</v>
      </c>
      <c r="D472" s="98" t="str">
        <f>DEC2HEX(2^20*MOD(STRUCT!L22,2^8)+2^0*MOD(STRUCT!L23,2^14),8)</f>
        <v>00100000</v>
      </c>
      <c r="E472" s="46" t="s">
        <v>2234</v>
      </c>
    </row>
    <row r="473" spans="1:5" x14ac:dyDescent="0.25">
      <c r="A473" s="46">
        <v>768</v>
      </c>
      <c r="B473" s="46" t="s">
        <v>44</v>
      </c>
      <c r="C473" s="46" t="s">
        <v>7282</v>
      </c>
      <c r="D473" s="98" t="str">
        <f>DEC2HEX(2^20*MOD(STRUCT!L24,2^8)+2^0*MOD(STRUCT!L25,2^14),8)</f>
        <v>00100000</v>
      </c>
      <c r="E473" s="46" t="s">
        <v>2234</v>
      </c>
    </row>
    <row r="474" spans="1:5" x14ac:dyDescent="0.25">
      <c r="A474" s="46">
        <v>768</v>
      </c>
      <c r="B474" s="46" t="s">
        <v>44</v>
      </c>
      <c r="C474" s="46" t="s">
        <v>7283</v>
      </c>
      <c r="D474" s="98" t="str">
        <f>DEC2HEX(2^20*MOD(STRUCT!L26,2^8)+2^0*MOD(STRUCT!L27,2^14),8)</f>
        <v>00300000</v>
      </c>
      <c r="E474" s="46" t="s">
        <v>2234</v>
      </c>
    </row>
    <row r="475" spans="1:5" x14ac:dyDescent="0.25">
      <c r="A475" s="46">
        <v>768</v>
      </c>
      <c r="B475" s="46" t="s">
        <v>44</v>
      </c>
      <c r="C475" s="46" t="s">
        <v>7284</v>
      </c>
      <c r="D475" s="98" t="str">
        <f>DEC2HEX(2^20*MOD(STRUCT!L28,2^8)+2^0*MOD(STRUCT!L29,2^14),8)</f>
        <v>00300000</v>
      </c>
      <c r="E475" s="46" t="s">
        <v>2234</v>
      </c>
    </row>
    <row r="476" spans="1:5" x14ac:dyDescent="0.25">
      <c r="A476" s="46">
        <v>768</v>
      </c>
      <c r="B476" s="46" t="s">
        <v>45</v>
      </c>
      <c r="C476" s="46" t="s">
        <v>139</v>
      </c>
      <c r="D476" s="98" t="str">
        <f>DEC2HEX(MOD(STRUCT!L46,2^1),8)</f>
        <v>00000001</v>
      </c>
      <c r="E476" s="46" t="s">
        <v>2234</v>
      </c>
    </row>
    <row r="477" spans="1:5" x14ac:dyDescent="0.25">
      <c r="A477" s="46">
        <v>768</v>
      </c>
      <c r="B477" s="46" t="s">
        <v>45</v>
      </c>
      <c r="C477" s="46" t="s">
        <v>142</v>
      </c>
      <c r="D477" s="98" t="str">
        <f>DEC2HEX(MOD(STRUCT!L47,2^1),8)</f>
        <v>00000000</v>
      </c>
      <c r="E477" s="46" t="s">
        <v>2234</v>
      </c>
    </row>
    <row r="478" spans="1:5" x14ac:dyDescent="0.25">
      <c r="A478" s="46">
        <v>768</v>
      </c>
      <c r="B478" s="46" t="s">
        <v>45</v>
      </c>
      <c r="C478" s="46" t="s">
        <v>143</v>
      </c>
      <c r="D478" s="98" t="str">
        <f>DEC2HEX(MOD(STRUCT!L48,2^1),8)</f>
        <v>00000001</v>
      </c>
      <c r="E478" s="46" t="s">
        <v>2234</v>
      </c>
    </row>
    <row r="479" spans="1:5" x14ac:dyDescent="0.25">
      <c r="A479" s="46">
        <v>768</v>
      </c>
      <c r="B479" s="46" t="s">
        <v>45</v>
      </c>
      <c r="C479" s="46" t="s">
        <v>144</v>
      </c>
      <c r="D479" s="98" t="str">
        <f>DEC2HEX(MOD(STRUCT!L49,2^1),8)</f>
        <v>00000001</v>
      </c>
      <c r="E479" s="46" t="s">
        <v>2234</v>
      </c>
    </row>
    <row r="480" spans="1:5" x14ac:dyDescent="0.25">
      <c r="A480" s="46">
        <v>768</v>
      </c>
      <c r="B480" s="46" t="s">
        <v>45</v>
      </c>
      <c r="C480" s="46" t="s">
        <v>145</v>
      </c>
      <c r="D480" s="98" t="str">
        <f>DEC2HEX(MOD(STRUCT!L50,2^1),8)</f>
        <v>00000001</v>
      </c>
      <c r="E480" s="46" t="s">
        <v>2234</v>
      </c>
    </row>
    <row r="481" spans="1:5" x14ac:dyDescent="0.25">
      <c r="A481" s="46">
        <v>768</v>
      </c>
      <c r="B481" s="46" t="s">
        <v>45</v>
      </c>
      <c r="C481" s="46" t="s">
        <v>146</v>
      </c>
      <c r="D481" s="98" t="str">
        <f>DEC2HEX(MOD(STRUCT!L51,2^1),8)</f>
        <v>00000000</v>
      </c>
      <c r="E481" s="46" t="s">
        <v>2234</v>
      </c>
    </row>
    <row r="482" spans="1:5" x14ac:dyDescent="0.25">
      <c r="A482" s="46">
        <v>768</v>
      </c>
      <c r="B482" s="46" t="s">
        <v>45</v>
      </c>
      <c r="C482" s="46" t="s">
        <v>147</v>
      </c>
      <c r="D482" s="98" t="str">
        <f>DEC2HEX(MOD(STRUCT!L52,2^1),8)</f>
        <v>00000000</v>
      </c>
      <c r="E482" s="46" t="s">
        <v>2234</v>
      </c>
    </row>
    <row r="483" spans="1:5" x14ac:dyDescent="0.25">
      <c r="A483" s="46">
        <v>768</v>
      </c>
      <c r="B483" s="46" t="s">
        <v>45</v>
      </c>
      <c r="C483" s="46" t="s">
        <v>148</v>
      </c>
      <c r="D483" s="98" t="str">
        <f>DEC2HEX(MOD(STRUCT!L53,2^1),8)</f>
        <v>00000000</v>
      </c>
      <c r="E483" s="46" t="s">
        <v>2234</v>
      </c>
    </row>
    <row r="484" spans="1:5" x14ac:dyDescent="0.25">
      <c r="A484" s="46">
        <v>768</v>
      </c>
      <c r="B484" s="46" t="s">
        <v>45</v>
      </c>
      <c r="C484" s="46" t="s">
        <v>149</v>
      </c>
      <c r="D484" s="98" t="str">
        <f>DEC2HEX(MOD(STRUCT!L54,2^1),8)</f>
        <v>00000001</v>
      </c>
      <c r="E484" s="46" t="s">
        <v>2234</v>
      </c>
    </row>
    <row r="485" spans="1:5" x14ac:dyDescent="0.25">
      <c r="A485" s="46">
        <v>768</v>
      </c>
      <c r="B485" s="46" t="s">
        <v>45</v>
      </c>
      <c r="C485" s="46" t="s">
        <v>150</v>
      </c>
      <c r="D485" s="98" t="str">
        <f>DEC2HEX(MOD(STRUCT!L55,2^1),8)</f>
        <v>00000000</v>
      </c>
      <c r="E485" s="46" t="s">
        <v>2234</v>
      </c>
    </row>
    <row r="486" spans="1:5" x14ac:dyDescent="0.25">
      <c r="A486" s="46">
        <v>768</v>
      </c>
      <c r="B486" s="46" t="s">
        <v>45</v>
      </c>
      <c r="C486" s="46" t="s">
        <v>151</v>
      </c>
      <c r="D486" s="98" t="str">
        <f>DEC2HEX(MOD(STRUCT!L56,2^1),8)</f>
        <v>00000001</v>
      </c>
      <c r="E486" s="46" t="s">
        <v>2234</v>
      </c>
    </row>
    <row r="487" spans="1:5" x14ac:dyDescent="0.25">
      <c r="A487" s="46">
        <v>768</v>
      </c>
      <c r="B487" s="46" t="s">
        <v>45</v>
      </c>
      <c r="C487" s="46" t="s">
        <v>152</v>
      </c>
      <c r="D487" s="98" t="str">
        <f>DEC2HEX(MOD(STRUCT!L57,2^1),8)</f>
        <v>00000001</v>
      </c>
      <c r="E487" s="46" t="s">
        <v>2234</v>
      </c>
    </row>
    <row r="488" spans="1:5" x14ac:dyDescent="0.25">
      <c r="A488" s="46">
        <v>768</v>
      </c>
      <c r="B488" s="46" t="s">
        <v>45</v>
      </c>
      <c r="C488" s="46" t="s">
        <v>153</v>
      </c>
      <c r="D488" s="98" t="str">
        <f>DEC2HEX(MOD(STRUCT!L58,2^1),8)</f>
        <v>00000001</v>
      </c>
      <c r="E488" s="46" t="s">
        <v>2234</v>
      </c>
    </row>
    <row r="489" spans="1:5" x14ac:dyDescent="0.25">
      <c r="A489" s="46">
        <v>768</v>
      </c>
      <c r="B489" s="46" t="s">
        <v>45</v>
      </c>
      <c r="C489" s="46" t="s">
        <v>154</v>
      </c>
      <c r="D489" s="98" t="str">
        <f>DEC2HEX(MOD(STRUCT!L59,2^1),8)</f>
        <v>00000000</v>
      </c>
      <c r="E489" s="46" t="s">
        <v>2234</v>
      </c>
    </row>
    <row r="490" spans="1:5" x14ac:dyDescent="0.25">
      <c r="A490" s="46">
        <v>768</v>
      </c>
      <c r="B490" s="46" t="s">
        <v>45</v>
      </c>
      <c r="C490" s="46" t="s">
        <v>155</v>
      </c>
      <c r="D490" s="98" t="str">
        <f>DEC2HEX(MOD(STRUCT!L60,2^1),8)</f>
        <v>00000001</v>
      </c>
      <c r="E490" s="46" t="s">
        <v>2234</v>
      </c>
    </row>
    <row r="491" spans="1:5" x14ac:dyDescent="0.25">
      <c r="A491" s="46">
        <v>768</v>
      </c>
      <c r="B491" s="46" t="s">
        <v>45</v>
      </c>
      <c r="C491" s="46" t="s">
        <v>156</v>
      </c>
      <c r="D491" s="98" t="str">
        <f>DEC2HEX(MOD(STRUCT!L61,2^1),8)</f>
        <v>00000001</v>
      </c>
      <c r="E491" s="46" t="s">
        <v>2234</v>
      </c>
    </row>
    <row r="492" spans="1:5" x14ac:dyDescent="0.25">
      <c r="A492" s="46">
        <v>768</v>
      </c>
      <c r="B492" s="46" t="s">
        <v>45</v>
      </c>
      <c r="C492" s="46" t="s">
        <v>103</v>
      </c>
      <c r="D492" s="98" t="str">
        <f>DEC2HEX(MOD(STRUCT!L30,2^8),8)</f>
        <v>00000000</v>
      </c>
      <c r="E492" s="46" t="str">
        <f t="shared" ref="E492:E507" si="12">DEC2HEX(2^0*(2^32-1),8)</f>
        <v>FFFFFFFF</v>
      </c>
    </row>
    <row r="493" spans="1:5" x14ac:dyDescent="0.25">
      <c r="A493" s="46">
        <v>768</v>
      </c>
      <c r="B493" s="46" t="s">
        <v>45</v>
      </c>
      <c r="C493" s="46" t="s">
        <v>107</v>
      </c>
      <c r="D493" s="98" t="str">
        <f>DEC2HEX(MOD(STRUCT!L31,2^8),8)</f>
        <v>00000000</v>
      </c>
      <c r="E493" s="46" t="str">
        <f t="shared" si="12"/>
        <v>FFFFFFFF</v>
      </c>
    </row>
    <row r="494" spans="1:5" x14ac:dyDescent="0.25">
      <c r="A494" s="46">
        <v>768</v>
      </c>
      <c r="B494" s="46" t="s">
        <v>45</v>
      </c>
      <c r="C494" s="46" t="s">
        <v>109</v>
      </c>
      <c r="D494" s="98" t="str">
        <f>DEC2HEX(MOD(STRUCT!L32,2^8),8)</f>
        <v>0000001D</v>
      </c>
      <c r="E494" s="46" t="str">
        <f t="shared" si="12"/>
        <v>FFFFFFFF</v>
      </c>
    </row>
    <row r="495" spans="1:5" x14ac:dyDescent="0.25">
      <c r="A495" s="46">
        <v>768</v>
      </c>
      <c r="B495" s="46" t="s">
        <v>45</v>
      </c>
      <c r="C495" s="46" t="s">
        <v>112</v>
      </c>
      <c r="D495" s="98" t="str">
        <f>DEC2HEX(MOD(STRUCT!L33,2^8),8)</f>
        <v>0000001D</v>
      </c>
      <c r="E495" s="46" t="str">
        <f t="shared" si="12"/>
        <v>FFFFFFFF</v>
      </c>
    </row>
    <row r="496" spans="1:5" x14ac:dyDescent="0.25">
      <c r="A496" s="46">
        <v>768</v>
      </c>
      <c r="B496" s="46" t="s">
        <v>45</v>
      </c>
      <c r="C496" s="46" t="s">
        <v>114</v>
      </c>
      <c r="D496" s="98" t="str">
        <f>DEC2HEX(MOD(STRUCT!L34,2^8),8)</f>
        <v>00000000</v>
      </c>
      <c r="E496" s="46" t="str">
        <f t="shared" si="12"/>
        <v>FFFFFFFF</v>
      </c>
    </row>
    <row r="497" spans="1:5" x14ac:dyDescent="0.25">
      <c r="A497" s="46">
        <v>768</v>
      </c>
      <c r="B497" s="46" t="s">
        <v>45</v>
      </c>
      <c r="C497" s="46" t="s">
        <v>116</v>
      </c>
      <c r="D497" s="98" t="str">
        <f>DEC2HEX(MOD(STRUCT!L35,2^8),8)</f>
        <v>00000000</v>
      </c>
      <c r="E497" s="46" t="str">
        <f t="shared" si="12"/>
        <v>FFFFFFFF</v>
      </c>
    </row>
    <row r="498" spans="1:5" x14ac:dyDescent="0.25">
      <c r="A498" s="46">
        <v>768</v>
      </c>
      <c r="B498" s="46" t="s">
        <v>45</v>
      </c>
      <c r="C498" s="46" t="s">
        <v>118</v>
      </c>
      <c r="D498" s="98" t="str">
        <f>DEC2HEX(MOD(STRUCT!L36,2^8),8)</f>
        <v>00000000</v>
      </c>
      <c r="E498" s="46" t="str">
        <f t="shared" si="12"/>
        <v>FFFFFFFF</v>
      </c>
    </row>
    <row r="499" spans="1:5" x14ac:dyDescent="0.25">
      <c r="A499" s="46">
        <v>768</v>
      </c>
      <c r="B499" s="46" t="s">
        <v>45</v>
      </c>
      <c r="C499" s="46" t="s">
        <v>120</v>
      </c>
      <c r="D499" s="98" t="str">
        <f>DEC2HEX(MOD(STRUCT!L37,2^8),8)</f>
        <v>00000000</v>
      </c>
      <c r="E499" s="46" t="str">
        <f t="shared" si="12"/>
        <v>FFFFFFFF</v>
      </c>
    </row>
    <row r="500" spans="1:5" x14ac:dyDescent="0.25">
      <c r="A500" s="46">
        <v>768</v>
      </c>
      <c r="B500" s="46" t="s">
        <v>45</v>
      </c>
      <c r="C500" s="46" t="s">
        <v>122</v>
      </c>
      <c r="D500" s="98" t="str">
        <f>DEC2HEX(MOD(STRUCT!L38,2^8),8)</f>
        <v>0000003E</v>
      </c>
      <c r="E500" s="46" t="str">
        <f t="shared" si="12"/>
        <v>FFFFFFFF</v>
      </c>
    </row>
    <row r="501" spans="1:5" x14ac:dyDescent="0.25">
      <c r="A501" s="46">
        <v>768</v>
      </c>
      <c r="B501" s="46" t="s">
        <v>45</v>
      </c>
      <c r="C501" s="46" t="s">
        <v>125</v>
      </c>
      <c r="D501" s="98" t="str">
        <f>DEC2HEX(MOD(STRUCT!L39,2^8),8)</f>
        <v>00000000</v>
      </c>
      <c r="E501" s="46" t="str">
        <f t="shared" si="12"/>
        <v>FFFFFFFF</v>
      </c>
    </row>
    <row r="502" spans="1:5" x14ac:dyDescent="0.25">
      <c r="A502" s="46">
        <v>768</v>
      </c>
      <c r="B502" s="46" t="s">
        <v>45</v>
      </c>
      <c r="C502" s="46" t="s">
        <v>127</v>
      </c>
      <c r="D502" s="98" t="str">
        <f>DEC2HEX(MOD(STRUCT!L40,2^8),8)</f>
        <v>00000000</v>
      </c>
      <c r="E502" s="46" t="str">
        <f t="shared" si="12"/>
        <v>FFFFFFFF</v>
      </c>
    </row>
    <row r="503" spans="1:5" x14ac:dyDescent="0.25">
      <c r="A503" s="46">
        <v>768</v>
      </c>
      <c r="B503" s="46" t="s">
        <v>45</v>
      </c>
      <c r="C503" s="46" t="s">
        <v>129</v>
      </c>
      <c r="D503" s="98" t="str">
        <f>DEC2HEX(MOD(STRUCT!L41,2^8),8)</f>
        <v>0000001D</v>
      </c>
      <c r="E503" s="46" t="str">
        <f t="shared" si="12"/>
        <v>FFFFFFFF</v>
      </c>
    </row>
    <row r="504" spans="1:5" x14ac:dyDescent="0.25">
      <c r="A504" s="46">
        <v>768</v>
      </c>
      <c r="B504" s="46" t="s">
        <v>45</v>
      </c>
      <c r="C504" s="46" t="s">
        <v>131</v>
      </c>
      <c r="D504" s="98" t="str">
        <f>DEC2HEX(MOD(STRUCT!L42,2^8),8)</f>
        <v>0000003E</v>
      </c>
      <c r="E504" s="46" t="str">
        <f t="shared" si="12"/>
        <v>FFFFFFFF</v>
      </c>
    </row>
    <row r="505" spans="1:5" x14ac:dyDescent="0.25">
      <c r="A505" s="46">
        <v>768</v>
      </c>
      <c r="B505" s="46" t="s">
        <v>45</v>
      </c>
      <c r="C505" s="46" t="s">
        <v>133</v>
      </c>
      <c r="D505" s="98" t="str">
        <f>DEC2HEX(MOD(STRUCT!L43,2^8),8)</f>
        <v>00000000</v>
      </c>
      <c r="E505" s="46" t="str">
        <f t="shared" si="12"/>
        <v>FFFFFFFF</v>
      </c>
    </row>
    <row r="506" spans="1:5" x14ac:dyDescent="0.25">
      <c r="A506" s="46">
        <v>768</v>
      </c>
      <c r="B506" s="46" t="s">
        <v>45</v>
      </c>
      <c r="C506" s="46" t="s">
        <v>135</v>
      </c>
      <c r="D506" s="98" t="str">
        <f>DEC2HEX(MOD(STRUCT!L44,2^8),8)</f>
        <v>0000001D</v>
      </c>
      <c r="E506" s="46" t="str">
        <f t="shared" si="12"/>
        <v>FFFFFFFF</v>
      </c>
    </row>
    <row r="507" spans="1:5" x14ac:dyDescent="0.25">
      <c r="A507" s="46">
        <v>768</v>
      </c>
      <c r="B507" s="46" t="s">
        <v>45</v>
      </c>
      <c r="C507" s="46" t="s">
        <v>137</v>
      </c>
      <c r="D507" s="98" t="str">
        <f>DEC2HEX(MOD(STRUCT!L45,2^8),8)</f>
        <v>00000000</v>
      </c>
      <c r="E507" s="46" t="str">
        <f t="shared" si="12"/>
        <v>FFFFFFFF</v>
      </c>
    </row>
    <row r="508" spans="1:5" x14ac:dyDescent="0.25">
      <c r="A508" s="46">
        <v>768</v>
      </c>
      <c r="B508" s="46" t="s">
        <v>45</v>
      </c>
      <c r="C508" s="46" t="s">
        <v>157</v>
      </c>
      <c r="D508" s="98" t="str">
        <f>DEC2HEX(2^16*MOD(STRUCT!L62,2^8)+2^0*MOD(STRUCT!L63,2^8),8)</f>
        <v>00300030</v>
      </c>
      <c r="E508" s="46" t="str">
        <f>DEC2HEX(2^16*(2^8-1)+2^0*(2^8-1),8)</f>
        <v>00FF00FF</v>
      </c>
    </row>
    <row r="509" spans="1:5" x14ac:dyDescent="0.25">
      <c r="A509" s="46">
        <v>768</v>
      </c>
      <c r="B509" s="46" t="s">
        <v>45</v>
      </c>
      <c r="C509" s="46" t="s">
        <v>163</v>
      </c>
      <c r="D509" s="98" t="str">
        <f>DEC2HEX(2^16*MOD(STRUCT!L64,2^8)+2^0*MOD(STRUCT!L65,2^8),8)</f>
        <v>000D000D</v>
      </c>
      <c r="E509" s="46" t="str">
        <f t="shared" ref="E509:E524" si="13">DEC2HEX(2^0*(2^32-1),8)</f>
        <v>FFFFFFFF</v>
      </c>
    </row>
    <row r="510" spans="1:5" x14ac:dyDescent="0.25">
      <c r="A510" s="46">
        <v>768</v>
      </c>
      <c r="B510" s="46" t="s">
        <v>26</v>
      </c>
      <c r="C510" s="46" t="s">
        <v>6753</v>
      </c>
      <c r="D510" s="98" t="str">
        <f>DEC2HEX(2^16*MOD(STRUCT!E96,2^8)+2^8*MOD(STRUCT!E97,2^8)+2^0*MOD(STRUCT!E98,2^8),8)</f>
        <v>00042404</v>
      </c>
      <c r="E510" s="46" t="str">
        <f t="shared" si="13"/>
        <v>FFFFFFFF</v>
      </c>
    </row>
    <row r="511" spans="1:5" x14ac:dyDescent="0.25">
      <c r="A511" s="46">
        <v>768</v>
      </c>
      <c r="B511" s="46" t="s">
        <v>26</v>
      </c>
      <c r="C511" s="46" t="s">
        <v>6756</v>
      </c>
      <c r="D511" s="98" t="str">
        <f>DEC2HEX(2^24*MOD(STRUCT!E99,2^8)+2^16*MOD(STRUCT!E100,2^8)+2^8*MOD(STRUCT!E101,2^8)+2^0*MOD(STRUCT!E102,2^8),8)</f>
        <v>201C0004</v>
      </c>
      <c r="E511" s="46" t="str">
        <f t="shared" si="13"/>
        <v>FFFFFFFF</v>
      </c>
    </row>
    <row r="512" spans="1:5" x14ac:dyDescent="0.25">
      <c r="A512" s="46">
        <v>768</v>
      </c>
      <c r="B512" s="46" t="s">
        <v>26</v>
      </c>
      <c r="C512" s="46" t="s">
        <v>6759</v>
      </c>
      <c r="D512" s="98" t="str">
        <f>DEC2HEX(2^0*MOD(STRUCT!E103,2^8),8)</f>
        <v>00000008</v>
      </c>
      <c r="E512" s="46" t="str">
        <f t="shared" si="13"/>
        <v>FFFFFFFF</v>
      </c>
    </row>
    <row r="513" spans="1:6" x14ac:dyDescent="0.25">
      <c r="A513" s="46">
        <v>768</v>
      </c>
      <c r="B513" s="46" t="s">
        <v>26</v>
      </c>
      <c r="C513" s="46" t="s">
        <v>6760</v>
      </c>
      <c r="D513" s="98" t="str">
        <f>DEC2HEX(2^16*MOD(STRUCT!E104,2^8)+2^8*MOD(STRUCT!E105,2^8)+2^0*MOD(STRUCT!E106,2^8),8)</f>
        <v>00042404</v>
      </c>
      <c r="E513" s="46" t="str">
        <f t="shared" si="13"/>
        <v>FFFFFFFF</v>
      </c>
    </row>
    <row r="514" spans="1:6" x14ac:dyDescent="0.25">
      <c r="A514" s="46">
        <v>768</v>
      </c>
      <c r="B514" s="46" t="s">
        <v>26</v>
      </c>
      <c r="C514" s="46" t="s">
        <v>6761</v>
      </c>
      <c r="D514" s="98" t="str">
        <f>DEC2HEX(2^24*MOD(STRUCT!E107,2^8)+2^16*MOD(STRUCT!E108,2^8)+2^8*MOD(STRUCT!E109,2^8)+2^0*MOD(STRUCT!E110,2^8),8)</f>
        <v>201C0004</v>
      </c>
      <c r="E514" s="46" t="str">
        <f t="shared" si="13"/>
        <v>FFFFFFFF</v>
      </c>
    </row>
    <row r="515" spans="1:6" x14ac:dyDescent="0.25">
      <c r="A515" s="46">
        <v>768</v>
      </c>
      <c r="B515" s="46" t="s">
        <v>26</v>
      </c>
      <c r="C515" s="46" t="s">
        <v>6762</v>
      </c>
      <c r="D515" s="98" t="str">
        <f>DEC2HEX(2^0*MOD(STRUCT!E111,2^8),8)</f>
        <v>00000008</v>
      </c>
      <c r="E515" s="46" t="str">
        <f t="shared" si="13"/>
        <v>FFFFFFFF</v>
      </c>
    </row>
    <row r="516" spans="1:6" x14ac:dyDescent="0.25">
      <c r="A516" s="46">
        <v>768</v>
      </c>
      <c r="B516" s="46" t="s">
        <v>26</v>
      </c>
      <c r="C516" s="46" t="s">
        <v>6763</v>
      </c>
      <c r="D516" s="98" t="str">
        <f>DEC2HEX(2^16*MOD(STRUCT!E112,2^8)+2^8*MOD(STRUCT!E113,2^8)+2^0*MOD(STRUCT!E114,2^8),8)</f>
        <v>00042404</v>
      </c>
      <c r="E516" s="46" t="str">
        <f t="shared" si="13"/>
        <v>FFFFFFFF</v>
      </c>
    </row>
    <row r="517" spans="1:6" x14ac:dyDescent="0.25">
      <c r="A517" s="46">
        <v>768</v>
      </c>
      <c r="B517" s="46" t="s">
        <v>26</v>
      </c>
      <c r="C517" s="46" t="s">
        <v>6764</v>
      </c>
      <c r="D517" s="98" t="str">
        <f>DEC2HEX(2^24*MOD(STRUCT!E115,2^8)+2^16*MOD(STRUCT!E116,2^8)+2^8*MOD(STRUCT!E117,2^8)+2^0*MOD(STRUCT!E118,2^8),8)</f>
        <v>201C0004</v>
      </c>
      <c r="E517" s="46" t="str">
        <f t="shared" si="13"/>
        <v>FFFFFFFF</v>
      </c>
    </row>
    <row r="518" spans="1:6" x14ac:dyDescent="0.25">
      <c r="A518" s="46">
        <v>768</v>
      </c>
      <c r="B518" s="46" t="s">
        <v>26</v>
      </c>
      <c r="C518" s="46" t="s">
        <v>6765</v>
      </c>
      <c r="D518" s="98" t="str">
        <f>DEC2HEX(2^0*MOD(STRUCT!E119,2^8),8)</f>
        <v>00000008</v>
      </c>
      <c r="E518" s="46" t="str">
        <f t="shared" si="13"/>
        <v>FFFFFFFF</v>
      </c>
    </row>
    <row r="519" spans="1:6" x14ac:dyDescent="0.25">
      <c r="A519" s="46">
        <v>768</v>
      </c>
      <c r="B519" s="46" t="s">
        <v>26</v>
      </c>
      <c r="C519" s="46" t="s">
        <v>6766</v>
      </c>
      <c r="D519" s="98" t="str">
        <f>DEC2HEX(2^16*MOD(STRUCT!E120,2^8)+2^8*MOD(STRUCT!E121,2^8)+2^0*MOD(STRUCT!E122,2^8),8)</f>
        <v>00042404</v>
      </c>
      <c r="E519" s="46" t="str">
        <f t="shared" si="13"/>
        <v>FFFFFFFF</v>
      </c>
    </row>
    <row r="520" spans="1:6" x14ac:dyDescent="0.25">
      <c r="A520" s="46">
        <v>768</v>
      </c>
      <c r="B520" s="46" t="s">
        <v>26</v>
      </c>
      <c r="C520" s="46" t="s">
        <v>6767</v>
      </c>
      <c r="D520" s="98" t="str">
        <f>DEC2HEX(2^24*MOD(STRUCT!E123,2^8)+2^16*MOD(STRUCT!E124,2^8)+2^8*MOD(STRUCT!E125,2^8)+2^0*MOD(STRUCT!E126,2^8),8)</f>
        <v>201C0004</v>
      </c>
      <c r="E520" s="46" t="str">
        <f t="shared" si="13"/>
        <v>FFFFFFFF</v>
      </c>
    </row>
    <row r="521" spans="1:6" x14ac:dyDescent="0.25">
      <c r="A521" s="46">
        <v>768</v>
      </c>
      <c r="B521" s="46" t="s">
        <v>26</v>
      </c>
      <c r="C521" s="46" t="s">
        <v>6768</v>
      </c>
      <c r="D521" s="98" t="str">
        <f>DEC2HEX(2^0*MOD(STRUCT!E127,2^8),8)</f>
        <v>00000008</v>
      </c>
      <c r="E521" s="46" t="str">
        <f t="shared" si="13"/>
        <v>FFFFFFFF</v>
      </c>
    </row>
    <row r="522" spans="1:6" x14ac:dyDescent="0.25">
      <c r="A522" s="46">
        <v>768</v>
      </c>
      <c r="B522" s="46" t="s">
        <v>32</v>
      </c>
      <c r="C522" s="46" t="s">
        <v>6703</v>
      </c>
      <c r="D522" s="98" t="str">
        <f>DEC2HEX(2^24*MOD(STRUCT!H78,2^8)+2^16*MOD(STRUCT!H79,2^8)+2^8*MOD(STRUCT!H80,2^8)+2^0*MOD(STRUCT!H81,2^8),8)</f>
        <v>03094F01</v>
      </c>
      <c r="E522" s="46" t="str">
        <f t="shared" si="13"/>
        <v>FFFFFFFF</v>
      </c>
    </row>
    <row r="523" spans="1:6" x14ac:dyDescent="0.25">
      <c r="A523" s="46">
        <v>768</v>
      </c>
      <c r="B523" s="46" t="s">
        <v>32</v>
      </c>
      <c r="C523" s="46" t="s">
        <v>6705</v>
      </c>
      <c r="D523" s="98" t="str">
        <f>DEC2HEX(2^24*MOD(STRUCT!H82,2^8)+2^16*MOD(STRUCT!H83,2^8)+2^8*MOD(STRUCT!H84,2^8)+2^0*MOD(STRUCT!H85,2^8),8)</f>
        <v>00000009</v>
      </c>
      <c r="E523" s="46" t="str">
        <f t="shared" si="13"/>
        <v>FFFFFFFF</v>
      </c>
    </row>
    <row r="524" spans="1:6" x14ac:dyDescent="0.25">
      <c r="A524" s="46">
        <v>768</v>
      </c>
      <c r="B524" s="46" t="s">
        <v>32</v>
      </c>
      <c r="C524" s="46" t="s">
        <v>6706</v>
      </c>
      <c r="D524" s="98" t="str">
        <f>DEC2HEX(2^0*MOD(STRUCT!H86,2^8),8)</f>
        <v>00000072</v>
      </c>
      <c r="E524" s="46" t="str">
        <f t="shared" si="13"/>
        <v>FFFFFFFF</v>
      </c>
    </row>
    <row r="525" spans="1:6" x14ac:dyDescent="0.25">
      <c r="A525" s="46">
        <v>768</v>
      </c>
      <c r="B525" s="46" t="s">
        <v>25</v>
      </c>
      <c r="C525" s="46" t="s">
        <v>6592</v>
      </c>
      <c r="D525" s="98" t="str">
        <f>DEC2HEX(2^24*MOD(STRUCT!H87,2^8)+2^16*MOD(STRUCT!H88,2^8)+2^8*MOD(STRUCT!H89,2^8)+2^0*MOD(STRUCT!H90,2^8),8)</f>
        <v>03091001</v>
      </c>
      <c r="E525" s="46" t="s">
        <v>2233</v>
      </c>
      <c r="F525" s="81" t="s">
        <v>7285</v>
      </c>
    </row>
    <row r="526" spans="1:6" x14ac:dyDescent="0.25">
      <c r="A526" s="46">
        <v>768</v>
      </c>
      <c r="B526" s="46" t="s">
        <v>25</v>
      </c>
      <c r="C526" s="46" t="s">
        <v>6595</v>
      </c>
      <c r="D526" s="98" t="str">
        <f>DEC2HEX(2^24*MOD(STRUCT!H91,2^1)+2^16*MOD(STRUCT!H92,2^8)+2^8*MOD(STRUCT!H93,2^8)+2^0*MOD(STRUCT!H94,2^8),8)</f>
        <v>00000009</v>
      </c>
      <c r="E526" s="46" t="s">
        <v>2233</v>
      </c>
      <c r="F526" s="81" t="s">
        <v>7285</v>
      </c>
    </row>
    <row r="527" spans="1:6" x14ac:dyDescent="0.25">
      <c r="A527" s="46">
        <v>768</v>
      </c>
      <c r="B527" s="46" t="s">
        <v>25</v>
      </c>
      <c r="C527" s="46" t="s">
        <v>6596</v>
      </c>
      <c r="D527" s="98" t="str">
        <f>DEC2HEX(2^0*MOD(STRUCT!H95,2^8),8)</f>
        <v>00000019</v>
      </c>
      <c r="E527" s="46" t="s">
        <v>2233</v>
      </c>
      <c r="F527" s="81" t="s">
        <v>7285</v>
      </c>
    </row>
    <row r="528" spans="1:6" x14ac:dyDescent="0.25">
      <c r="A528" s="46">
        <v>768</v>
      </c>
      <c r="B528" s="46" t="s">
        <v>37</v>
      </c>
      <c r="C528" s="46" t="s">
        <v>2443</v>
      </c>
      <c r="D528" s="98" t="str">
        <f>DEC2HEX(2^24*MOD(STRUCT!E159,2^8)+2^16*MOD(STRUCT!E160,2^8)+2^8*MOD(STRUCT!E157,2^8)+2^0*MOD(STRUCT!E158,2^8),8)</f>
        <v>0A0A0101</v>
      </c>
      <c r="E528" s="46" t="s">
        <v>2234</v>
      </c>
    </row>
    <row r="529" spans="1:5" x14ac:dyDescent="0.25">
      <c r="A529" s="46">
        <v>768</v>
      </c>
      <c r="B529" s="46" t="s">
        <v>37</v>
      </c>
      <c r="C529" s="46" t="s">
        <v>2453</v>
      </c>
      <c r="D529" s="98" t="str">
        <f>DEC2HEX(2^24*MOD(STRUCT!E159,2^8)+2^16*MOD(STRUCT!E160,2^8)+2^8*MOD(STRUCT!E157,2^8)+2^0*MOD(STRUCT!E158,2^8),8)</f>
        <v>0A0A0101</v>
      </c>
      <c r="E529" s="46" t="s">
        <v>2234</v>
      </c>
    </row>
    <row r="530" spans="1:5" x14ac:dyDescent="0.25">
      <c r="A530" s="46">
        <v>768</v>
      </c>
      <c r="B530" s="46" t="s">
        <v>37</v>
      </c>
      <c r="C530" s="46" t="s">
        <v>2457</v>
      </c>
      <c r="D530" s="98" t="str">
        <f>DEC2HEX(2^24*MOD(STRUCT!E163,2^8)+2^16*MOD(STRUCT!E164,2^8)+2^8*MOD(STRUCT!E161,2^8)+2^0*MOD(STRUCT!E162,2^8),8)</f>
        <v>0A0A0101</v>
      </c>
      <c r="E530" s="46" t="s">
        <v>2234</v>
      </c>
    </row>
    <row r="531" spans="1:5" x14ac:dyDescent="0.25">
      <c r="A531" s="46">
        <v>768</v>
      </c>
      <c r="B531" s="46" t="s">
        <v>37</v>
      </c>
      <c r="C531" s="46" t="s">
        <v>2463</v>
      </c>
      <c r="D531" s="98" t="str">
        <f>DEC2HEX(2^24*MOD(STRUCT!E167,2^8)+2^16*MOD(STRUCT!E168,2^8)+2^8*MOD(STRUCT!E165,2^8)+2^0*MOD(STRUCT!E166,2^8),8)</f>
        <v>0A0A0101</v>
      </c>
      <c r="E531" s="46" t="s">
        <v>2234</v>
      </c>
    </row>
    <row r="532" spans="1:5" x14ac:dyDescent="0.25">
      <c r="A532" s="46">
        <v>768</v>
      </c>
      <c r="B532" s="46" t="s">
        <v>37</v>
      </c>
      <c r="C532" s="46" t="s">
        <v>2446</v>
      </c>
      <c r="D532" s="98" t="str">
        <f>DEC2HEX(2^24*MOD(STRUCT!E171,2^8)+2^16*MOD(STRUCT!E172,2^8)+2^8*MOD(STRUCT!E169,2^8)+2^0*MOD(STRUCT!E170,2^8),8)</f>
        <v>0A0A0A0A</v>
      </c>
      <c r="E532" s="46" t="s">
        <v>2234</v>
      </c>
    </row>
    <row r="533" spans="1:5" x14ac:dyDescent="0.25">
      <c r="A533" s="46">
        <v>768</v>
      </c>
      <c r="B533" s="46" t="s">
        <v>37</v>
      </c>
      <c r="C533" s="46" t="s">
        <v>2454</v>
      </c>
      <c r="D533" s="98" t="str">
        <f>DEC2HEX(2^24*MOD(STRUCT!E175,2^8)+2^16*MOD(STRUCT!E176,2^8)+2^8*MOD(STRUCT!E173,2^8)+2^0*MOD(STRUCT!E174,2^8),8)</f>
        <v>0A0A0A0A</v>
      </c>
      <c r="E533" s="46" t="s">
        <v>2234</v>
      </c>
    </row>
    <row r="534" spans="1:5" x14ac:dyDescent="0.25">
      <c r="A534" s="46">
        <v>768</v>
      </c>
      <c r="B534" s="46" t="s">
        <v>37</v>
      </c>
      <c r="C534" s="46" t="s">
        <v>2458</v>
      </c>
      <c r="D534" s="98" t="str">
        <f>DEC2HEX(2^24*MOD(STRUCT!E179,2^8)+2^16*MOD(STRUCT!E180,2^8)+2^8*MOD(STRUCT!E177,2^8)+2^0*MOD(STRUCT!E178,2^8),8)</f>
        <v>0A0A0A0A</v>
      </c>
      <c r="E534" s="46" t="s">
        <v>2234</v>
      </c>
    </row>
    <row r="535" spans="1:5" x14ac:dyDescent="0.25">
      <c r="A535" s="46">
        <v>768</v>
      </c>
      <c r="B535" s="46" t="s">
        <v>37</v>
      </c>
      <c r="C535" s="46" t="s">
        <v>2465</v>
      </c>
      <c r="D535" s="98" t="str">
        <f>DEC2HEX(2^24*MOD(STRUCT!E183,2^8)+2^16*MOD(STRUCT!E184,2^8)+2^8*MOD(STRUCT!E181,2^8)+2^0*MOD(STRUCT!E182,2^8),8)</f>
        <v>0A0A0A0A</v>
      </c>
      <c r="E535" s="46" t="s">
        <v>2234</v>
      </c>
    </row>
    <row r="536" spans="1:5" x14ac:dyDescent="0.25">
      <c r="A536" s="46">
        <v>768</v>
      </c>
      <c r="B536" s="46" t="s">
        <v>37</v>
      </c>
      <c r="C536" s="46" t="s">
        <v>2399</v>
      </c>
      <c r="D536" s="98" t="str">
        <f>DEC2HEX(2^24*MOD(STRUCT!E185,2^8)+2^16*MOD(STRUCT!E186,2^8)+2^8*MOD(STRUCT!E187,2^8)+2^0*MOD(STRUCT!E188,2^8),8)</f>
        <v>019D9D9D</v>
      </c>
      <c r="E536" s="46" t="s">
        <v>2234</v>
      </c>
    </row>
    <row r="537" spans="1:5" x14ac:dyDescent="0.25">
      <c r="A537" s="46">
        <v>768</v>
      </c>
      <c r="B537" s="46" t="s">
        <v>37</v>
      </c>
      <c r="C537" s="46" t="s">
        <v>2396</v>
      </c>
      <c r="D537" s="98" t="str">
        <f>DEC2HEX(2^24*MOD(STRUCT!E189,2^8)+2^16*MOD(STRUCT!E190,2^8)+2^8*MOD(STRUCT!E191,2^8)+2^0*MOD(STRUCT!E192,2^8),8)</f>
        <v>9D9D9D9D</v>
      </c>
      <c r="E537" s="46" t="s">
        <v>2234</v>
      </c>
    </row>
    <row r="538" spans="1:5" x14ac:dyDescent="0.25">
      <c r="A538" s="46">
        <v>768</v>
      </c>
      <c r="B538" s="46" t="s">
        <v>37</v>
      </c>
      <c r="C538" s="46" t="s">
        <v>2404</v>
      </c>
      <c r="D538" s="98" t="str">
        <f>DEC2HEX(2^24*MOD(STRUCT!E193,2^8)+2^16*MOD(STRUCT!E194,2^8)+2^8*MOD(STRUCT!E195,2^8)+2^0*MOD(STRUCT!E196,2^8),8)</f>
        <v>019D9D9D</v>
      </c>
      <c r="E538" s="46" t="s">
        <v>2234</v>
      </c>
    </row>
    <row r="539" spans="1:5" x14ac:dyDescent="0.25">
      <c r="A539" s="46">
        <v>768</v>
      </c>
      <c r="B539" s="46" t="s">
        <v>37</v>
      </c>
      <c r="C539" s="46" t="s">
        <v>2403</v>
      </c>
      <c r="D539" s="98" t="str">
        <f>DEC2HEX(2^24*MOD(STRUCT!E197,2^8)+2^16*MOD(STRUCT!E198,2^8)+2^8*MOD(STRUCT!E199,2^8)+2^0*MOD(STRUCT!E200,2^8),8)</f>
        <v>9D9D9D9D</v>
      </c>
      <c r="E539" s="46" t="s">
        <v>2234</v>
      </c>
    </row>
    <row r="540" spans="1:5" x14ac:dyDescent="0.25">
      <c r="A540" s="46">
        <v>768</v>
      </c>
      <c r="B540" s="46" t="s">
        <v>37</v>
      </c>
      <c r="C540" s="46" t="s">
        <v>2407</v>
      </c>
      <c r="D540" s="98" t="str">
        <f>DEC2HEX(2^24*MOD(STRUCT!E201,2^8)+2^16*MOD(STRUCT!E202,2^8)+2^8*MOD(STRUCT!E203,2^8)+2^0*MOD(STRUCT!E204,2^8),8)</f>
        <v>019D9D9D</v>
      </c>
      <c r="E540" s="46" t="s">
        <v>2234</v>
      </c>
    </row>
    <row r="541" spans="1:5" x14ac:dyDescent="0.25">
      <c r="A541" s="46">
        <v>768</v>
      </c>
      <c r="B541" s="46" t="s">
        <v>37</v>
      </c>
      <c r="C541" s="46" t="s">
        <v>2406</v>
      </c>
      <c r="D541" s="98" t="str">
        <f>DEC2HEX(2^24*MOD(STRUCT!E205,2^8)+2^16*MOD(STRUCT!E206,2^8)+2^8*MOD(STRUCT!E207,2^8)+2^0*MOD(STRUCT!E208,2^8),8)</f>
        <v>9D9D9D9D</v>
      </c>
      <c r="E541" s="46" t="s">
        <v>2234</v>
      </c>
    </row>
    <row r="542" spans="1:5" x14ac:dyDescent="0.25">
      <c r="A542" s="46">
        <v>768</v>
      </c>
      <c r="B542" s="46" t="s">
        <v>37</v>
      </c>
      <c r="C542" s="46" t="s">
        <v>2410</v>
      </c>
      <c r="D542" s="98" t="str">
        <f>DEC2HEX(2^24*MOD(STRUCT!E209,2^8)+2^16*MOD(STRUCT!E210,2^8)+2^8*MOD(STRUCT!E211,2^8)+2^0*MOD(STRUCT!E212,2^8),8)</f>
        <v>019D9D9D</v>
      </c>
      <c r="E542" s="46" t="s">
        <v>2234</v>
      </c>
    </row>
    <row r="543" spans="1:5" x14ac:dyDescent="0.25">
      <c r="A543" s="46">
        <v>768</v>
      </c>
      <c r="B543" s="46" t="s">
        <v>37</v>
      </c>
      <c r="C543" s="46" t="s">
        <v>2409</v>
      </c>
      <c r="D543" s="98" t="str">
        <f>DEC2HEX(2^24*MOD(STRUCT!E213,2^8)+2^16*MOD(STRUCT!E214,2^8)+2^8*MOD(STRUCT!E215,2^8)+2^0*MOD(STRUCT!E216,2^8),8)</f>
        <v>9D9D9D9D</v>
      </c>
      <c r="E543" s="46" t="s">
        <v>2234</v>
      </c>
    </row>
    <row r="544" spans="1:5" x14ac:dyDescent="0.25">
      <c r="A544" s="46">
        <v>768</v>
      </c>
      <c r="B544" s="46" t="s">
        <v>37</v>
      </c>
      <c r="C544" s="63" t="s">
        <v>2429</v>
      </c>
      <c r="D544" s="98" t="str">
        <f>DEC2HEX(2^6*MOD(STRUCT!E217,2^1),8)</f>
        <v>00000000</v>
      </c>
      <c r="E544" s="46" t="s">
        <v>498</v>
      </c>
    </row>
    <row r="545" spans="1:6" x14ac:dyDescent="0.25">
      <c r="A545" s="46">
        <v>768</v>
      </c>
      <c r="B545" s="46" t="s">
        <v>37</v>
      </c>
      <c r="C545" s="63" t="s">
        <v>2433</v>
      </c>
      <c r="D545" s="98" t="str">
        <f>DEC2HEX(2^6*MOD(STRUCT!E218,2^1),8)</f>
        <v>00000000</v>
      </c>
      <c r="E545" s="46" t="s">
        <v>498</v>
      </c>
    </row>
    <row r="546" spans="1:6" x14ac:dyDescent="0.25">
      <c r="A546" s="46">
        <v>768</v>
      </c>
      <c r="B546" s="46" t="s">
        <v>37</v>
      </c>
      <c r="C546" s="63" t="s">
        <v>2438</v>
      </c>
      <c r="D546" s="98" t="str">
        <f>DEC2HEX(2^6*MOD(STRUCT!E219,2^1),8)</f>
        <v>00000000</v>
      </c>
      <c r="E546" s="46" t="s">
        <v>498</v>
      </c>
    </row>
    <row r="547" spans="1:6" x14ac:dyDescent="0.25">
      <c r="A547" s="46">
        <v>768</v>
      </c>
      <c r="B547" s="46" t="s">
        <v>37</v>
      </c>
      <c r="C547" s="63" t="s">
        <v>2442</v>
      </c>
      <c r="D547" s="98" t="str">
        <f>DEC2HEX(2^6*MOD(STRUCT!E220,2^1),8)</f>
        <v>00000000</v>
      </c>
      <c r="E547" s="46" t="s">
        <v>498</v>
      </c>
    </row>
    <row r="548" spans="1:6" x14ac:dyDescent="0.25">
      <c r="A548" s="46">
        <v>1017.6</v>
      </c>
      <c r="B548" s="46" t="s">
        <v>44</v>
      </c>
      <c r="C548" s="46" t="s">
        <v>78</v>
      </c>
      <c r="D548" s="98" t="str">
        <f>DEC2HEX(2^24*MOD(STRUCT!M14,2^8)+2^16*MOD(STRUCT!M15,2^8)+2^8*MOD(STRUCT!M16,2^8)+2^0*MOD(STRUCT!M17,2^8),8)</f>
        <v>020A0906</v>
      </c>
      <c r="E548" s="46" t="s">
        <v>2234</v>
      </c>
    </row>
    <row r="549" spans="1:6" x14ac:dyDescent="0.25">
      <c r="A549" s="46">
        <v>1017.6</v>
      </c>
      <c r="B549" s="46" t="s">
        <v>44</v>
      </c>
      <c r="C549" s="46" t="s">
        <v>86</v>
      </c>
      <c r="D549" s="98" t="str">
        <f>DEC2HEX(2^24*MOD(STRUCT!M18,2^8)+2^16*MOD(STRUCT!M19,2^8)+2^8*MOD(STRUCT!M20,2^8)+2^0*MOD(STRUCT!M21,2^8),8)</f>
        <v>010A0006</v>
      </c>
      <c r="E549" s="46" t="s">
        <v>2234</v>
      </c>
    </row>
    <row r="550" spans="1:6" x14ac:dyDescent="0.25">
      <c r="A550" s="46">
        <v>1017.6</v>
      </c>
      <c r="B550" s="46" t="s">
        <v>44</v>
      </c>
      <c r="C550" s="46" t="s">
        <v>7281</v>
      </c>
      <c r="D550" s="98" t="str">
        <f>DEC2HEX(2^20*MOD(STRUCT!M22,2^8)+2^0*MOD(STRUCT!M23,2^14),8)</f>
        <v>00400000</v>
      </c>
      <c r="E550" s="46" t="s">
        <v>2236</v>
      </c>
      <c r="F550" s="81" t="s">
        <v>7286</v>
      </c>
    </row>
    <row r="551" spans="1:6" x14ac:dyDescent="0.25">
      <c r="A551" s="46">
        <v>1017.6</v>
      </c>
      <c r="B551" s="46" t="s">
        <v>44</v>
      </c>
      <c r="C551" s="46" t="s">
        <v>7282</v>
      </c>
      <c r="D551" s="98" t="str">
        <f>DEC2HEX(2^20*MOD(STRUCT!M24,2^8)+2^0*MOD(STRUCT!M25,2^14),8)</f>
        <v>00400000</v>
      </c>
      <c r="E551" s="46" t="s">
        <v>2236</v>
      </c>
      <c r="F551" s="81" t="s">
        <v>7286</v>
      </c>
    </row>
    <row r="552" spans="1:6" x14ac:dyDescent="0.25">
      <c r="A552" s="46">
        <v>1017.6</v>
      </c>
      <c r="B552" s="46" t="s">
        <v>44</v>
      </c>
      <c r="C552" s="46" t="s">
        <v>7283</v>
      </c>
      <c r="D552" s="98" t="str">
        <f>DEC2HEX(2^20*MOD(STRUCT!M26,2^8)+2^0*MOD(STRUCT!M27,2^14),8)</f>
        <v>00300000</v>
      </c>
      <c r="E552" s="46" t="s">
        <v>2234</v>
      </c>
    </row>
    <row r="553" spans="1:6" x14ac:dyDescent="0.25">
      <c r="A553" s="46">
        <v>1017.6</v>
      </c>
      <c r="B553" s="46" t="s">
        <v>44</v>
      </c>
      <c r="C553" s="46" t="s">
        <v>7284</v>
      </c>
      <c r="D553" s="98" t="str">
        <f>DEC2HEX(2^20*MOD(STRUCT!M28,2^8)+2^0*MOD(STRUCT!M29,2^14),8)</f>
        <v>00300000</v>
      </c>
      <c r="E553" s="46" t="s">
        <v>2234</v>
      </c>
    </row>
    <row r="554" spans="1:6" x14ac:dyDescent="0.25">
      <c r="A554" s="46">
        <v>1017.6</v>
      </c>
      <c r="B554" s="46" t="s">
        <v>45</v>
      </c>
      <c r="C554" s="46" t="s">
        <v>139</v>
      </c>
      <c r="D554" s="98" t="str">
        <f>DEC2HEX(MOD(STRUCT!M46,2^1),8)</f>
        <v>00000001</v>
      </c>
      <c r="E554" s="46" t="s">
        <v>2234</v>
      </c>
    </row>
    <row r="555" spans="1:6" x14ac:dyDescent="0.25">
      <c r="A555" s="46">
        <v>1017.6</v>
      </c>
      <c r="B555" s="46" t="s">
        <v>45</v>
      </c>
      <c r="C555" s="46" t="s">
        <v>142</v>
      </c>
      <c r="D555" s="98" t="str">
        <f>DEC2HEX(MOD(STRUCT!M47,2^1),8)</f>
        <v>00000000</v>
      </c>
      <c r="E555" s="46" t="s">
        <v>2234</v>
      </c>
    </row>
    <row r="556" spans="1:6" x14ac:dyDescent="0.25">
      <c r="A556" s="46">
        <v>1017.6</v>
      </c>
      <c r="B556" s="46" t="s">
        <v>45</v>
      </c>
      <c r="C556" s="46" t="s">
        <v>143</v>
      </c>
      <c r="D556" s="98" t="str">
        <f>DEC2HEX(MOD(STRUCT!M48,2^1),8)</f>
        <v>00000001</v>
      </c>
      <c r="E556" s="46" t="s">
        <v>2234</v>
      </c>
    </row>
    <row r="557" spans="1:6" x14ac:dyDescent="0.25">
      <c r="A557" s="46">
        <v>1017.6</v>
      </c>
      <c r="B557" s="46" t="s">
        <v>45</v>
      </c>
      <c r="C557" s="46" t="s">
        <v>144</v>
      </c>
      <c r="D557" s="98" t="str">
        <f>DEC2HEX(MOD(STRUCT!M49,2^1),8)</f>
        <v>00000001</v>
      </c>
      <c r="E557" s="46" t="s">
        <v>2234</v>
      </c>
    </row>
    <row r="558" spans="1:6" x14ac:dyDescent="0.25">
      <c r="A558" s="46">
        <v>1017.6</v>
      </c>
      <c r="B558" s="46" t="s">
        <v>45</v>
      </c>
      <c r="C558" s="46" t="s">
        <v>145</v>
      </c>
      <c r="D558" s="98" t="str">
        <f>DEC2HEX(MOD(STRUCT!M50,2^1),8)</f>
        <v>00000001</v>
      </c>
      <c r="E558" s="46" t="s">
        <v>2234</v>
      </c>
    </row>
    <row r="559" spans="1:6" x14ac:dyDescent="0.25">
      <c r="A559" s="46">
        <v>1017.6</v>
      </c>
      <c r="B559" s="46" t="s">
        <v>45</v>
      </c>
      <c r="C559" s="46" t="s">
        <v>146</v>
      </c>
      <c r="D559" s="98" t="str">
        <f>DEC2HEX(MOD(STRUCT!M51,2^1),8)</f>
        <v>00000000</v>
      </c>
      <c r="E559" s="46" t="s">
        <v>2234</v>
      </c>
    </row>
    <row r="560" spans="1:6" x14ac:dyDescent="0.25">
      <c r="A560" s="46">
        <v>1017.6</v>
      </c>
      <c r="B560" s="46" t="s">
        <v>45</v>
      </c>
      <c r="C560" s="46" t="s">
        <v>147</v>
      </c>
      <c r="D560" s="98" t="str">
        <f>DEC2HEX(MOD(STRUCT!M52,2^1),8)</f>
        <v>00000000</v>
      </c>
      <c r="E560" s="46" t="s">
        <v>2234</v>
      </c>
    </row>
    <row r="561" spans="1:5" x14ac:dyDescent="0.25">
      <c r="A561" s="46">
        <v>1017.6</v>
      </c>
      <c r="B561" s="46" t="s">
        <v>45</v>
      </c>
      <c r="C561" s="46" t="s">
        <v>148</v>
      </c>
      <c r="D561" s="98" t="str">
        <f>DEC2HEX(MOD(STRUCT!M53,2^1),8)</f>
        <v>00000000</v>
      </c>
      <c r="E561" s="46" t="s">
        <v>2234</v>
      </c>
    </row>
    <row r="562" spans="1:5" x14ac:dyDescent="0.25">
      <c r="A562" s="46">
        <v>1017.6</v>
      </c>
      <c r="B562" s="46" t="s">
        <v>45</v>
      </c>
      <c r="C562" s="46" t="s">
        <v>149</v>
      </c>
      <c r="D562" s="98" t="str">
        <f>DEC2HEX(MOD(STRUCT!M54,2^1),8)</f>
        <v>00000001</v>
      </c>
      <c r="E562" s="46" t="s">
        <v>2234</v>
      </c>
    </row>
    <row r="563" spans="1:5" x14ac:dyDescent="0.25">
      <c r="A563" s="46">
        <v>1017.6</v>
      </c>
      <c r="B563" s="46" t="s">
        <v>45</v>
      </c>
      <c r="C563" s="46" t="s">
        <v>150</v>
      </c>
      <c r="D563" s="98" t="str">
        <f>DEC2HEX(MOD(STRUCT!M55,2^1),8)</f>
        <v>00000000</v>
      </c>
      <c r="E563" s="46" t="s">
        <v>2234</v>
      </c>
    </row>
    <row r="564" spans="1:5" x14ac:dyDescent="0.25">
      <c r="A564" s="46">
        <v>1017.6</v>
      </c>
      <c r="B564" s="46" t="s">
        <v>45</v>
      </c>
      <c r="C564" s="46" t="s">
        <v>151</v>
      </c>
      <c r="D564" s="98" t="str">
        <f>DEC2HEX(MOD(STRUCT!M56,2^1),8)</f>
        <v>00000001</v>
      </c>
      <c r="E564" s="46" t="s">
        <v>2234</v>
      </c>
    </row>
    <row r="565" spans="1:5" x14ac:dyDescent="0.25">
      <c r="A565" s="46">
        <v>1017.6</v>
      </c>
      <c r="B565" s="46" t="s">
        <v>45</v>
      </c>
      <c r="C565" s="46" t="s">
        <v>152</v>
      </c>
      <c r="D565" s="98" t="str">
        <f>DEC2HEX(MOD(STRUCT!M57,2^1),8)</f>
        <v>00000001</v>
      </c>
      <c r="E565" s="46" t="s">
        <v>2234</v>
      </c>
    </row>
    <row r="566" spans="1:5" x14ac:dyDescent="0.25">
      <c r="A566" s="46">
        <v>1017.6</v>
      </c>
      <c r="B566" s="46" t="s">
        <v>45</v>
      </c>
      <c r="C566" s="46" t="s">
        <v>153</v>
      </c>
      <c r="D566" s="98" t="str">
        <f>DEC2HEX(MOD(STRUCT!M58,2^1),8)</f>
        <v>00000001</v>
      </c>
      <c r="E566" s="46" t="s">
        <v>2234</v>
      </c>
    </row>
    <row r="567" spans="1:5" x14ac:dyDescent="0.25">
      <c r="A567" s="46">
        <v>1017.6</v>
      </c>
      <c r="B567" s="46" t="s">
        <v>45</v>
      </c>
      <c r="C567" s="46" t="s">
        <v>154</v>
      </c>
      <c r="D567" s="98" t="str">
        <f>DEC2HEX(MOD(STRUCT!M59,2^1),8)</f>
        <v>00000000</v>
      </c>
      <c r="E567" s="46" t="s">
        <v>2234</v>
      </c>
    </row>
    <row r="568" spans="1:5" x14ac:dyDescent="0.25">
      <c r="A568" s="46">
        <v>1017.6</v>
      </c>
      <c r="B568" s="46" t="s">
        <v>45</v>
      </c>
      <c r="C568" s="46" t="s">
        <v>155</v>
      </c>
      <c r="D568" s="98" t="str">
        <f>DEC2HEX(MOD(STRUCT!M60,2^1),8)</f>
        <v>00000001</v>
      </c>
      <c r="E568" s="46" t="s">
        <v>2234</v>
      </c>
    </row>
    <row r="569" spans="1:5" x14ac:dyDescent="0.25">
      <c r="A569" s="46">
        <v>1017.6</v>
      </c>
      <c r="B569" s="46" t="s">
        <v>45</v>
      </c>
      <c r="C569" s="46" t="s">
        <v>156</v>
      </c>
      <c r="D569" s="98" t="str">
        <f>DEC2HEX(MOD(STRUCT!M61,2^1),8)</f>
        <v>00000001</v>
      </c>
      <c r="E569" s="46" t="s">
        <v>2234</v>
      </c>
    </row>
    <row r="570" spans="1:5" x14ac:dyDescent="0.25">
      <c r="A570" s="46">
        <v>1017.6</v>
      </c>
      <c r="B570" s="46" t="s">
        <v>45</v>
      </c>
      <c r="C570" s="46" t="s">
        <v>103</v>
      </c>
      <c r="D570" s="98" t="str">
        <f>DEC2HEX(MOD(STRUCT!M30,2^8),8)</f>
        <v>00000000</v>
      </c>
      <c r="E570" s="46" t="str">
        <f t="shared" ref="E570:E585" si="14">DEC2HEX(2^0*(2^32-1),8)</f>
        <v>FFFFFFFF</v>
      </c>
    </row>
    <row r="571" spans="1:5" x14ac:dyDescent="0.25">
      <c r="A571" s="46">
        <v>1017.6</v>
      </c>
      <c r="B571" s="46" t="s">
        <v>45</v>
      </c>
      <c r="C571" s="46" t="s">
        <v>107</v>
      </c>
      <c r="D571" s="98" t="str">
        <f>DEC2HEX(MOD(STRUCT!M31,2^8),8)</f>
        <v>00000000</v>
      </c>
      <c r="E571" s="46" t="str">
        <f t="shared" si="14"/>
        <v>FFFFFFFF</v>
      </c>
    </row>
    <row r="572" spans="1:5" x14ac:dyDescent="0.25">
      <c r="A572" s="46">
        <v>1017.6</v>
      </c>
      <c r="B572" s="46" t="s">
        <v>45</v>
      </c>
      <c r="C572" s="46" t="s">
        <v>109</v>
      </c>
      <c r="D572" s="98" t="str">
        <f>DEC2HEX(MOD(STRUCT!M32,2^8),8)</f>
        <v>0000001D</v>
      </c>
      <c r="E572" s="46" t="str">
        <f t="shared" si="14"/>
        <v>FFFFFFFF</v>
      </c>
    </row>
    <row r="573" spans="1:5" x14ac:dyDescent="0.25">
      <c r="A573" s="46">
        <v>1017.6</v>
      </c>
      <c r="B573" s="46" t="s">
        <v>45</v>
      </c>
      <c r="C573" s="46" t="s">
        <v>112</v>
      </c>
      <c r="D573" s="98" t="str">
        <f>DEC2HEX(MOD(STRUCT!M33,2^8),8)</f>
        <v>0000001D</v>
      </c>
      <c r="E573" s="46" t="str">
        <f t="shared" si="14"/>
        <v>FFFFFFFF</v>
      </c>
    </row>
    <row r="574" spans="1:5" x14ac:dyDescent="0.25">
      <c r="A574" s="46">
        <v>1017.6</v>
      </c>
      <c r="B574" s="46" t="s">
        <v>45</v>
      </c>
      <c r="C574" s="46" t="s">
        <v>114</v>
      </c>
      <c r="D574" s="98" t="str">
        <f>DEC2HEX(MOD(STRUCT!M34,2^8),8)</f>
        <v>00000000</v>
      </c>
      <c r="E574" s="46" t="str">
        <f t="shared" si="14"/>
        <v>FFFFFFFF</v>
      </c>
    </row>
    <row r="575" spans="1:5" x14ac:dyDescent="0.25">
      <c r="A575" s="46">
        <v>1017.6</v>
      </c>
      <c r="B575" s="46" t="s">
        <v>45</v>
      </c>
      <c r="C575" s="46" t="s">
        <v>116</v>
      </c>
      <c r="D575" s="98" t="str">
        <f>DEC2HEX(MOD(STRUCT!M35,2^8),8)</f>
        <v>00000000</v>
      </c>
      <c r="E575" s="46" t="str">
        <f t="shared" si="14"/>
        <v>FFFFFFFF</v>
      </c>
    </row>
    <row r="576" spans="1:5" x14ac:dyDescent="0.25">
      <c r="A576" s="46">
        <v>1017.6</v>
      </c>
      <c r="B576" s="46" t="s">
        <v>45</v>
      </c>
      <c r="C576" s="46" t="s">
        <v>118</v>
      </c>
      <c r="D576" s="98" t="str">
        <f>DEC2HEX(MOD(STRUCT!M36,2^8),8)</f>
        <v>00000000</v>
      </c>
      <c r="E576" s="46" t="str">
        <f t="shared" si="14"/>
        <v>FFFFFFFF</v>
      </c>
    </row>
    <row r="577" spans="1:5" x14ac:dyDescent="0.25">
      <c r="A577" s="46">
        <v>1017.6</v>
      </c>
      <c r="B577" s="46" t="s">
        <v>45</v>
      </c>
      <c r="C577" s="46" t="s">
        <v>120</v>
      </c>
      <c r="D577" s="98" t="str">
        <f>DEC2HEX(MOD(STRUCT!M37,2^8),8)</f>
        <v>00000000</v>
      </c>
      <c r="E577" s="46" t="str">
        <f t="shared" si="14"/>
        <v>FFFFFFFF</v>
      </c>
    </row>
    <row r="578" spans="1:5" x14ac:dyDescent="0.25">
      <c r="A578" s="46">
        <v>1017.6</v>
      </c>
      <c r="B578" s="46" t="s">
        <v>45</v>
      </c>
      <c r="C578" s="46" t="s">
        <v>122</v>
      </c>
      <c r="D578" s="98" t="str">
        <f>DEC2HEX(MOD(STRUCT!M38,2^8),8)</f>
        <v>0000003E</v>
      </c>
      <c r="E578" s="46" t="str">
        <f t="shared" si="14"/>
        <v>FFFFFFFF</v>
      </c>
    </row>
    <row r="579" spans="1:5" x14ac:dyDescent="0.25">
      <c r="A579" s="46">
        <v>1017.6</v>
      </c>
      <c r="B579" s="46" t="s">
        <v>45</v>
      </c>
      <c r="C579" s="46" t="s">
        <v>125</v>
      </c>
      <c r="D579" s="98" t="str">
        <f>DEC2HEX(MOD(STRUCT!M39,2^8),8)</f>
        <v>00000000</v>
      </c>
      <c r="E579" s="46" t="str">
        <f t="shared" si="14"/>
        <v>FFFFFFFF</v>
      </c>
    </row>
    <row r="580" spans="1:5" x14ac:dyDescent="0.25">
      <c r="A580" s="46">
        <v>1017.6</v>
      </c>
      <c r="B580" s="46" t="s">
        <v>45</v>
      </c>
      <c r="C580" s="46" t="s">
        <v>127</v>
      </c>
      <c r="D580" s="98" t="str">
        <f>DEC2HEX(MOD(STRUCT!M40,2^8),8)</f>
        <v>00000000</v>
      </c>
      <c r="E580" s="46" t="str">
        <f t="shared" si="14"/>
        <v>FFFFFFFF</v>
      </c>
    </row>
    <row r="581" spans="1:5" x14ac:dyDescent="0.25">
      <c r="A581" s="46">
        <v>1017.6</v>
      </c>
      <c r="B581" s="46" t="s">
        <v>45</v>
      </c>
      <c r="C581" s="46" t="s">
        <v>129</v>
      </c>
      <c r="D581" s="98" t="str">
        <f>DEC2HEX(MOD(STRUCT!M41,2^8),8)</f>
        <v>0000001D</v>
      </c>
      <c r="E581" s="46" t="str">
        <f t="shared" si="14"/>
        <v>FFFFFFFF</v>
      </c>
    </row>
    <row r="582" spans="1:5" x14ac:dyDescent="0.25">
      <c r="A582" s="46">
        <v>1017.6</v>
      </c>
      <c r="B582" s="46" t="s">
        <v>45</v>
      </c>
      <c r="C582" s="46" t="s">
        <v>131</v>
      </c>
      <c r="D582" s="98" t="str">
        <f>DEC2HEX(MOD(STRUCT!M42,2^8),8)</f>
        <v>0000003E</v>
      </c>
      <c r="E582" s="46" t="str">
        <f t="shared" si="14"/>
        <v>FFFFFFFF</v>
      </c>
    </row>
    <row r="583" spans="1:5" x14ac:dyDescent="0.25">
      <c r="A583" s="46">
        <v>1017.6</v>
      </c>
      <c r="B583" s="46" t="s">
        <v>45</v>
      </c>
      <c r="C583" s="46" t="s">
        <v>133</v>
      </c>
      <c r="D583" s="98" t="str">
        <f>DEC2HEX(MOD(STRUCT!M43,2^8),8)</f>
        <v>00000000</v>
      </c>
      <c r="E583" s="46" t="str">
        <f t="shared" si="14"/>
        <v>FFFFFFFF</v>
      </c>
    </row>
    <row r="584" spans="1:5" x14ac:dyDescent="0.25">
      <c r="A584" s="46">
        <v>1017.6</v>
      </c>
      <c r="B584" s="46" t="s">
        <v>45</v>
      </c>
      <c r="C584" s="46" t="s">
        <v>135</v>
      </c>
      <c r="D584" s="98" t="str">
        <f>DEC2HEX(MOD(STRUCT!M44,2^8),8)</f>
        <v>0000001D</v>
      </c>
      <c r="E584" s="46" t="str">
        <f t="shared" si="14"/>
        <v>FFFFFFFF</v>
      </c>
    </row>
    <row r="585" spans="1:5" x14ac:dyDescent="0.25">
      <c r="A585" s="46">
        <v>1017.6</v>
      </c>
      <c r="B585" s="46" t="s">
        <v>45</v>
      </c>
      <c r="C585" s="46" t="s">
        <v>137</v>
      </c>
      <c r="D585" s="98" t="str">
        <f>DEC2HEX(MOD(STRUCT!M45,2^8),8)</f>
        <v>00000000</v>
      </c>
      <c r="E585" s="46" t="str">
        <f t="shared" si="14"/>
        <v>FFFFFFFF</v>
      </c>
    </row>
    <row r="586" spans="1:5" x14ac:dyDescent="0.25">
      <c r="A586" s="46">
        <v>1017.6</v>
      </c>
      <c r="B586" s="46" t="s">
        <v>45</v>
      </c>
      <c r="C586" s="46" t="s">
        <v>157</v>
      </c>
      <c r="D586" s="98" t="str">
        <f>DEC2HEX(2^16*MOD(STRUCT!M62,2^8)+2^0*MOD(STRUCT!M63,2^8),8)</f>
        <v>00300030</v>
      </c>
      <c r="E586" s="46" t="str">
        <f>DEC2HEX(2^16*(2^8-1)+2^0*(2^8-1),8)</f>
        <v>00FF00FF</v>
      </c>
    </row>
    <row r="587" spans="1:5" x14ac:dyDescent="0.25">
      <c r="A587" s="46">
        <v>1017.6</v>
      </c>
      <c r="B587" s="46" t="s">
        <v>45</v>
      </c>
      <c r="C587" s="46" t="s">
        <v>163</v>
      </c>
      <c r="D587" s="98" t="str">
        <f>DEC2HEX(2^16*MOD(STRUCT!M64,2^8)+2^0*MOD(STRUCT!M65,2^8),8)</f>
        <v>000D000D</v>
      </c>
      <c r="E587" s="46" t="str">
        <f t="shared" ref="E587:E602" si="15">DEC2HEX(2^0*(2^32-1),8)</f>
        <v>FFFFFFFF</v>
      </c>
    </row>
    <row r="588" spans="1:5" x14ac:dyDescent="0.25">
      <c r="A588" s="46">
        <v>1017.6</v>
      </c>
      <c r="B588" s="46" t="s">
        <v>26</v>
      </c>
      <c r="C588" s="46" t="s">
        <v>6753</v>
      </c>
      <c r="D588" s="98" t="str">
        <f>DEC2HEX(2^16*MOD(STRUCT!F96,2^8)+2^8*MOD(STRUCT!F97,2^8)+2^0*MOD(STRUCT!F98,2^8),8)</f>
        <v>00042404</v>
      </c>
      <c r="E588" s="46" t="str">
        <f t="shared" si="15"/>
        <v>FFFFFFFF</v>
      </c>
    </row>
    <row r="589" spans="1:5" x14ac:dyDescent="0.25">
      <c r="A589" s="46">
        <v>1017.6</v>
      </c>
      <c r="B589" s="46" t="s">
        <v>26</v>
      </c>
      <c r="C589" s="46" t="s">
        <v>6756</v>
      </c>
      <c r="D589" s="98" t="str">
        <f>DEC2HEX(2^24*MOD(STRUCT!F99,2^8)+2^16*MOD(STRUCT!F100,2^8)+2^8*MOD(STRUCT!F101,2^8)+2^0*MOD(STRUCT!F102,2^8),8)</f>
        <v>201C0004</v>
      </c>
      <c r="E589" s="46" t="str">
        <f t="shared" si="15"/>
        <v>FFFFFFFF</v>
      </c>
    </row>
    <row r="590" spans="1:5" x14ac:dyDescent="0.25">
      <c r="A590" s="46">
        <v>1017.6</v>
      </c>
      <c r="B590" s="46" t="s">
        <v>26</v>
      </c>
      <c r="C590" s="46" t="s">
        <v>6759</v>
      </c>
      <c r="D590" s="98" t="str">
        <f>DEC2HEX(2^0*MOD(STRUCT!F103,2^8),8)</f>
        <v>00000008</v>
      </c>
      <c r="E590" s="46" t="str">
        <f t="shared" si="15"/>
        <v>FFFFFFFF</v>
      </c>
    </row>
    <row r="591" spans="1:5" x14ac:dyDescent="0.25">
      <c r="A591" s="46">
        <v>1017.6</v>
      </c>
      <c r="B591" s="46" t="s">
        <v>26</v>
      </c>
      <c r="C591" s="46" t="s">
        <v>6760</v>
      </c>
      <c r="D591" s="98" t="str">
        <f>DEC2HEX(2^16*MOD(STRUCT!F104,2^8)+2^8*MOD(STRUCT!F105,2^8)+2^0*MOD(STRUCT!F106,2^8),8)</f>
        <v>00042404</v>
      </c>
      <c r="E591" s="46" t="str">
        <f t="shared" si="15"/>
        <v>FFFFFFFF</v>
      </c>
    </row>
    <row r="592" spans="1:5" x14ac:dyDescent="0.25">
      <c r="A592" s="46">
        <v>1017.6</v>
      </c>
      <c r="B592" s="46" t="s">
        <v>26</v>
      </c>
      <c r="C592" s="46" t="s">
        <v>6761</v>
      </c>
      <c r="D592" s="98" t="str">
        <f>DEC2HEX(2^24*MOD(STRUCT!F107,2^8)+2^16*MOD(STRUCT!F108,2^8)+2^8*MOD(STRUCT!F109,2^8)+2^0*MOD(STRUCT!F110,2^8),8)</f>
        <v>201C0004</v>
      </c>
      <c r="E592" s="46" t="str">
        <f t="shared" si="15"/>
        <v>FFFFFFFF</v>
      </c>
    </row>
    <row r="593" spans="1:6" x14ac:dyDescent="0.25">
      <c r="A593" s="46">
        <v>1017.6</v>
      </c>
      <c r="B593" s="46" t="s">
        <v>26</v>
      </c>
      <c r="C593" s="46" t="s">
        <v>6762</v>
      </c>
      <c r="D593" s="98" t="str">
        <f>DEC2HEX(2^0*MOD(STRUCT!F111,2^8),8)</f>
        <v>00000008</v>
      </c>
      <c r="E593" s="46" t="str">
        <f t="shared" si="15"/>
        <v>FFFFFFFF</v>
      </c>
    </row>
    <row r="594" spans="1:6" x14ac:dyDescent="0.25">
      <c r="A594" s="46">
        <v>1017.6</v>
      </c>
      <c r="B594" s="46" t="s">
        <v>26</v>
      </c>
      <c r="C594" s="46" t="s">
        <v>6763</v>
      </c>
      <c r="D594" s="98" t="str">
        <f>DEC2HEX(2^16*MOD(STRUCT!F112,2^8)+2^8*MOD(STRUCT!F113,2^8)+2^0*MOD(STRUCT!F114,2^8),8)</f>
        <v>00042404</v>
      </c>
      <c r="E594" s="46" t="str">
        <f t="shared" si="15"/>
        <v>FFFFFFFF</v>
      </c>
    </row>
    <row r="595" spans="1:6" x14ac:dyDescent="0.25">
      <c r="A595" s="46">
        <v>1017.6</v>
      </c>
      <c r="B595" s="46" t="s">
        <v>26</v>
      </c>
      <c r="C595" s="46" t="s">
        <v>6764</v>
      </c>
      <c r="D595" s="98" t="str">
        <f>DEC2HEX(2^24*MOD(STRUCT!F115,2^8)+2^16*MOD(STRUCT!F116,2^8)+2^8*MOD(STRUCT!F117,2^8)+2^0*MOD(STRUCT!F118,2^8),8)</f>
        <v>201C0004</v>
      </c>
      <c r="E595" s="46" t="str">
        <f t="shared" si="15"/>
        <v>FFFFFFFF</v>
      </c>
    </row>
    <row r="596" spans="1:6" x14ac:dyDescent="0.25">
      <c r="A596" s="46">
        <v>1017.6</v>
      </c>
      <c r="B596" s="46" t="s">
        <v>26</v>
      </c>
      <c r="C596" s="46" t="s">
        <v>6765</v>
      </c>
      <c r="D596" s="98" t="str">
        <f>DEC2HEX(2^0*MOD(STRUCT!F119,2^8),8)</f>
        <v>00000008</v>
      </c>
      <c r="E596" s="46" t="str">
        <f t="shared" si="15"/>
        <v>FFFFFFFF</v>
      </c>
    </row>
    <row r="597" spans="1:6" x14ac:dyDescent="0.25">
      <c r="A597" s="46">
        <v>1017.6</v>
      </c>
      <c r="B597" s="46" t="s">
        <v>26</v>
      </c>
      <c r="C597" s="46" t="s">
        <v>6766</v>
      </c>
      <c r="D597" s="98" t="str">
        <f>DEC2HEX(2^16*MOD(STRUCT!F120,2^8)+2^8*MOD(STRUCT!F121,2^8)+2^0*MOD(STRUCT!F122,2^8),8)</f>
        <v>00042404</v>
      </c>
      <c r="E597" s="46" t="str">
        <f t="shared" si="15"/>
        <v>FFFFFFFF</v>
      </c>
    </row>
    <row r="598" spans="1:6" x14ac:dyDescent="0.25">
      <c r="A598" s="46">
        <v>1017.6</v>
      </c>
      <c r="B598" s="46" t="s">
        <v>26</v>
      </c>
      <c r="C598" s="46" t="s">
        <v>6767</v>
      </c>
      <c r="D598" s="98" t="str">
        <f>DEC2HEX(2^24*MOD(STRUCT!F123,2^8)+2^16*MOD(STRUCT!F124,2^8)+2^8*MOD(STRUCT!F125,2^8)+2^0*MOD(STRUCT!F126,2^8),8)</f>
        <v>201C0004</v>
      </c>
      <c r="E598" s="46" t="str">
        <f t="shared" si="15"/>
        <v>FFFFFFFF</v>
      </c>
    </row>
    <row r="599" spans="1:6" x14ac:dyDescent="0.25">
      <c r="A599" s="46">
        <v>1017.6</v>
      </c>
      <c r="B599" s="46" t="s">
        <v>26</v>
      </c>
      <c r="C599" s="46" t="s">
        <v>6768</v>
      </c>
      <c r="D599" s="98" t="str">
        <f>DEC2HEX(2^0*MOD(STRUCT!F127,2^8),8)</f>
        <v>00000008</v>
      </c>
      <c r="E599" s="46" t="str">
        <f t="shared" si="15"/>
        <v>FFFFFFFF</v>
      </c>
    </row>
    <row r="600" spans="1:6" x14ac:dyDescent="0.25">
      <c r="A600" s="46">
        <v>1017.6</v>
      </c>
      <c r="B600" s="46" t="s">
        <v>32</v>
      </c>
      <c r="C600" s="46" t="s">
        <v>6703</v>
      </c>
      <c r="D600" s="98" t="str">
        <f>DEC2HEX(2^24*MOD(STRUCT!I78,2^8)+2^16*MOD(STRUCT!I79,2^8)+2^8*MOD(STRUCT!I80,2^8)+2^0*MOD(STRUCT!I81,2^8),8)</f>
        <v>030B4F01</v>
      </c>
      <c r="E600" s="46" t="str">
        <f t="shared" si="15"/>
        <v>FFFFFFFF</v>
      </c>
    </row>
    <row r="601" spans="1:6" x14ac:dyDescent="0.25">
      <c r="A601" s="46">
        <v>1017.6</v>
      </c>
      <c r="B601" s="46" t="s">
        <v>32</v>
      </c>
      <c r="C601" s="46" t="s">
        <v>6705</v>
      </c>
      <c r="D601" s="98" t="str">
        <f>DEC2HEX(2^24*MOD(STRUCT!I82,2^8)+2^16*MOD(STRUCT!I83,2^8)+2^8*MOD(STRUCT!I84,2^8)+2^0*MOD(STRUCT!I85,2^8),8)</f>
        <v>0000000B</v>
      </c>
      <c r="E601" s="46" t="str">
        <f t="shared" si="15"/>
        <v>FFFFFFFF</v>
      </c>
    </row>
    <row r="602" spans="1:6" x14ac:dyDescent="0.25">
      <c r="A602" s="46">
        <v>1017.6</v>
      </c>
      <c r="B602" s="46" t="s">
        <v>32</v>
      </c>
      <c r="C602" s="46" t="s">
        <v>6706</v>
      </c>
      <c r="D602" s="98" t="str">
        <f>DEC2HEX(2^0*MOD(STRUCT!I86,2^8),8)</f>
        <v>00000072</v>
      </c>
      <c r="E602" s="46" t="str">
        <f t="shared" si="15"/>
        <v>FFFFFFFF</v>
      </c>
    </row>
    <row r="603" spans="1:6" x14ac:dyDescent="0.25">
      <c r="A603" s="46">
        <v>1017.6</v>
      </c>
      <c r="B603" s="46" t="s">
        <v>25</v>
      </c>
      <c r="C603" s="46" t="s">
        <v>6592</v>
      </c>
      <c r="D603" s="98" t="str">
        <f>DEC2HEX(2^24*MOD(STRUCT!I87,2^8)+2^16*MOD(STRUCT!I88,2^8)+2^8*MOD(STRUCT!I89,2^8)+2^0*MOD(STRUCT!I90,2^8),8)</f>
        <v>030B1401</v>
      </c>
      <c r="E603" s="46" t="s">
        <v>2233</v>
      </c>
      <c r="F603" s="81" t="s">
        <v>7285</v>
      </c>
    </row>
    <row r="604" spans="1:6" x14ac:dyDescent="0.25">
      <c r="A604" s="46">
        <v>1017.6</v>
      </c>
      <c r="B604" s="46" t="s">
        <v>25</v>
      </c>
      <c r="C604" s="46" t="s">
        <v>6595</v>
      </c>
      <c r="D604" s="98" t="str">
        <f>DEC2HEX(2^24*MOD(STRUCT!I91,2^1)+2^16*MOD(STRUCT!I92,2^8)+2^8*MOD(STRUCT!I93,2^8)+2^0*MOD(STRUCT!I94,2^8),8)</f>
        <v>0000000B</v>
      </c>
      <c r="E604" s="46" t="s">
        <v>2233</v>
      </c>
      <c r="F604" s="81" t="s">
        <v>7285</v>
      </c>
    </row>
    <row r="605" spans="1:6" x14ac:dyDescent="0.25">
      <c r="A605" s="46">
        <v>1017.6</v>
      </c>
      <c r="B605" s="46" t="s">
        <v>25</v>
      </c>
      <c r="C605" s="46" t="s">
        <v>6596</v>
      </c>
      <c r="D605" s="98" t="str">
        <f>DEC2HEX(2^0*MOD(STRUCT!I95,2^8),8)</f>
        <v>0000001F</v>
      </c>
      <c r="E605" s="46" t="s">
        <v>2233</v>
      </c>
      <c r="F605" s="81" t="s">
        <v>7285</v>
      </c>
    </row>
    <row r="606" spans="1:6" x14ac:dyDescent="0.25">
      <c r="A606" s="46">
        <v>1017.6</v>
      </c>
      <c r="B606" s="46" t="s">
        <v>37</v>
      </c>
      <c r="C606" s="46" t="s">
        <v>2443</v>
      </c>
      <c r="D606" s="98" t="str">
        <f>DEC2HEX(2^24*MOD(STRUCT!F155,2^8)+2^16*MOD(STRUCT!F156,2^8)+2^8*MOD(STRUCT!F153,2^8)+2^0*MOD(STRUCT!F154,2^8),8)</f>
        <v>10100101</v>
      </c>
      <c r="E606" s="46" t="s">
        <v>2234</v>
      </c>
    </row>
    <row r="607" spans="1:6" x14ac:dyDescent="0.25">
      <c r="A607" s="46">
        <v>1017.6</v>
      </c>
      <c r="B607" s="46" t="s">
        <v>37</v>
      </c>
      <c r="C607" s="46" t="s">
        <v>2453</v>
      </c>
      <c r="D607" s="98" t="str">
        <f>DEC2HEX(2^24*MOD(STRUCT!F159,2^8)+2^16*MOD(STRUCT!F160,2^8)+2^8*MOD(STRUCT!F157,2^8)+2^0*MOD(STRUCT!F158,2^8),8)</f>
        <v>10100101</v>
      </c>
      <c r="E607" s="46" t="s">
        <v>2234</v>
      </c>
    </row>
    <row r="608" spans="1:6" x14ac:dyDescent="0.25">
      <c r="A608" s="46">
        <v>1017.6</v>
      </c>
      <c r="B608" s="46" t="s">
        <v>37</v>
      </c>
      <c r="C608" s="46" t="s">
        <v>2457</v>
      </c>
      <c r="D608" s="98" t="str">
        <f>DEC2HEX(2^24*MOD(STRUCT!F163,2^8)+2^16*MOD(STRUCT!F164,2^8)+2^8*MOD(STRUCT!F161,2^8)+2^0*MOD(STRUCT!F162,2^8),8)</f>
        <v>10100101</v>
      </c>
      <c r="E608" s="46" t="s">
        <v>2234</v>
      </c>
    </row>
    <row r="609" spans="1:5" x14ac:dyDescent="0.25">
      <c r="A609" s="46">
        <v>1017.6</v>
      </c>
      <c r="B609" s="46" t="s">
        <v>37</v>
      </c>
      <c r="C609" s="46" t="s">
        <v>2463</v>
      </c>
      <c r="D609" s="98" t="str">
        <f>DEC2HEX(2^24*MOD(STRUCT!F167,2^8)+2^16*MOD(STRUCT!F168,2^8)+2^8*MOD(STRUCT!F165,2^8)+2^0*MOD(STRUCT!F166,2^8),8)</f>
        <v>10100101</v>
      </c>
      <c r="E609" s="46" t="s">
        <v>2234</v>
      </c>
    </row>
    <row r="610" spans="1:5" x14ac:dyDescent="0.25">
      <c r="A610" s="46">
        <v>1017.6</v>
      </c>
      <c r="B610" s="46" t="s">
        <v>37</v>
      </c>
      <c r="C610" s="46" t="s">
        <v>2446</v>
      </c>
      <c r="D610" s="98" t="str">
        <f>DEC2HEX(2^24*MOD(STRUCT!F171,2^8)+2^16*MOD(STRUCT!F172,2^8)+2^8*MOD(STRUCT!F169,2^8)+2^0*MOD(STRUCT!F170,2^8),8)</f>
        <v>10101818</v>
      </c>
      <c r="E610" s="46" t="s">
        <v>2234</v>
      </c>
    </row>
    <row r="611" spans="1:5" x14ac:dyDescent="0.25">
      <c r="A611" s="46">
        <v>1017.6</v>
      </c>
      <c r="B611" s="46" t="s">
        <v>37</v>
      </c>
      <c r="C611" s="46" t="s">
        <v>2454</v>
      </c>
      <c r="D611" s="98" t="str">
        <f>DEC2HEX(2^24*MOD(STRUCT!F175,2^8)+2^16*MOD(STRUCT!F176,2^8)+2^8*MOD(STRUCT!F173,2^8)+2^0*MOD(STRUCT!F174,2^8),8)</f>
        <v>10101818</v>
      </c>
      <c r="E611" s="46" t="s">
        <v>2234</v>
      </c>
    </row>
    <row r="612" spans="1:5" x14ac:dyDescent="0.25">
      <c r="A612" s="46">
        <v>1017.6</v>
      </c>
      <c r="B612" s="46" t="s">
        <v>37</v>
      </c>
      <c r="C612" s="46" t="s">
        <v>2458</v>
      </c>
      <c r="D612" s="98" t="str">
        <f>DEC2HEX(2^24*MOD(STRUCT!F179,2^8)+2^16*MOD(STRUCT!F180,2^8)+2^8*MOD(STRUCT!F177,2^8)+2^0*MOD(STRUCT!F178,2^8),8)</f>
        <v>10101818</v>
      </c>
      <c r="E612" s="46" t="s">
        <v>2234</v>
      </c>
    </row>
    <row r="613" spans="1:5" x14ac:dyDescent="0.25">
      <c r="A613" s="46">
        <v>1017.6</v>
      </c>
      <c r="B613" s="46" t="s">
        <v>37</v>
      </c>
      <c r="C613" s="46" t="s">
        <v>2465</v>
      </c>
      <c r="D613" s="98" t="str">
        <f>DEC2HEX(2^24*MOD(STRUCT!F183,2^8)+2^16*MOD(STRUCT!F184,2^8)+2^8*MOD(STRUCT!F181,2^8)+2^0*MOD(STRUCT!F182,2^8),8)</f>
        <v>10101818</v>
      </c>
      <c r="E613" s="46" t="s">
        <v>2234</v>
      </c>
    </row>
    <row r="614" spans="1:5" x14ac:dyDescent="0.25">
      <c r="A614" s="46">
        <v>1017.6</v>
      </c>
      <c r="B614" s="46" t="s">
        <v>37</v>
      </c>
      <c r="C614" s="46" t="s">
        <v>2399</v>
      </c>
      <c r="D614" s="98" t="str">
        <f>DEC2HEX(2^24*MOD(STRUCT!F185,2^8)+2^16*MOD(STRUCT!F186,2^8)+2^8*MOD(STRUCT!F187,2^8)+2^0*MOD(STRUCT!F188,2^8),8)</f>
        <v>019D9D9D</v>
      </c>
      <c r="E614" s="46" t="s">
        <v>2234</v>
      </c>
    </row>
    <row r="615" spans="1:5" x14ac:dyDescent="0.25">
      <c r="A615" s="46">
        <v>1017.6</v>
      </c>
      <c r="B615" s="46" t="s">
        <v>37</v>
      </c>
      <c r="C615" s="46" t="s">
        <v>2396</v>
      </c>
      <c r="D615" s="98" t="str">
        <f>DEC2HEX(2^24*MOD(STRUCT!F189,2^8)+2^16*MOD(STRUCT!F190,2^8)+2^8*MOD(STRUCT!F191,2^8)+2^0*MOD(STRUCT!F192,2^8),8)</f>
        <v>9D9D9D9D</v>
      </c>
      <c r="E615" s="46" t="s">
        <v>2234</v>
      </c>
    </row>
    <row r="616" spans="1:5" x14ac:dyDescent="0.25">
      <c r="A616" s="46">
        <v>1017.6</v>
      </c>
      <c r="B616" s="46" t="s">
        <v>37</v>
      </c>
      <c r="C616" s="46" t="s">
        <v>2404</v>
      </c>
      <c r="D616" s="98" t="str">
        <f>DEC2HEX(2^24*MOD(STRUCT!F193,2^8)+2^16*MOD(STRUCT!F194,2^8)+2^8*MOD(STRUCT!F195,2^8)+2^0*MOD(STRUCT!F196,2^8),8)</f>
        <v>019D9D9D</v>
      </c>
      <c r="E616" s="46" t="s">
        <v>2234</v>
      </c>
    </row>
    <row r="617" spans="1:5" x14ac:dyDescent="0.25">
      <c r="A617" s="46">
        <v>1017.6</v>
      </c>
      <c r="B617" s="46" t="s">
        <v>37</v>
      </c>
      <c r="C617" s="46" t="s">
        <v>2403</v>
      </c>
      <c r="D617" s="98" t="str">
        <f>DEC2HEX(2^24*MOD(STRUCT!F197,2^8)+2^16*MOD(STRUCT!F198,2^8)+2^8*MOD(STRUCT!F199,2^8)+2^0*MOD(STRUCT!F200,2^8),8)</f>
        <v>9D9D9D9D</v>
      </c>
      <c r="E617" s="46" t="s">
        <v>2234</v>
      </c>
    </row>
    <row r="618" spans="1:5" x14ac:dyDescent="0.25">
      <c r="A618" s="46">
        <v>1017.6</v>
      </c>
      <c r="B618" s="46" t="s">
        <v>37</v>
      </c>
      <c r="C618" s="46" t="s">
        <v>2407</v>
      </c>
      <c r="D618" s="98" t="str">
        <f>DEC2HEX(2^24*MOD(STRUCT!F201,2^8)+2^16*MOD(STRUCT!F202,2^8)+2^8*MOD(STRUCT!F203,2^8)+2^0*MOD(STRUCT!F204,2^8),8)</f>
        <v>019D9D9D</v>
      </c>
      <c r="E618" s="46" t="s">
        <v>2234</v>
      </c>
    </row>
    <row r="619" spans="1:5" x14ac:dyDescent="0.25">
      <c r="A619" s="46">
        <v>1017.6</v>
      </c>
      <c r="B619" s="46" t="s">
        <v>37</v>
      </c>
      <c r="C619" s="46" t="s">
        <v>2406</v>
      </c>
      <c r="D619" s="98" t="str">
        <f>DEC2HEX(2^24*MOD(STRUCT!F205,2^8)+2^16*MOD(STRUCT!F206,2^8)+2^8*MOD(STRUCT!F207,2^8)+2^0*MOD(STRUCT!F208,2^8),8)</f>
        <v>9D9D9D9D</v>
      </c>
      <c r="E619" s="46" t="s">
        <v>2234</v>
      </c>
    </row>
    <row r="620" spans="1:5" x14ac:dyDescent="0.25">
      <c r="A620" s="46">
        <v>1017.6</v>
      </c>
      <c r="B620" s="46" t="s">
        <v>37</v>
      </c>
      <c r="C620" s="46" t="s">
        <v>2410</v>
      </c>
      <c r="D620" s="98" t="str">
        <f>DEC2HEX(2^24*MOD(STRUCT!F209,2^8)+2^16*MOD(STRUCT!F210,2^8)+2^8*MOD(STRUCT!F211,2^8)+2^0*MOD(STRUCT!F212,2^8),8)</f>
        <v>019D9D9D</v>
      </c>
      <c r="E620" s="46" t="s">
        <v>2234</v>
      </c>
    </row>
    <row r="621" spans="1:5" x14ac:dyDescent="0.25">
      <c r="A621" s="46">
        <v>1017.6</v>
      </c>
      <c r="B621" s="46" t="s">
        <v>37</v>
      </c>
      <c r="C621" s="46" t="s">
        <v>2409</v>
      </c>
      <c r="D621" s="98" t="str">
        <f>DEC2HEX(2^24*MOD(STRUCT!F213,2^8)+2^16*MOD(STRUCT!F214,2^8)+2^8*MOD(STRUCT!F215,2^8)+2^0*MOD(STRUCT!F216,2^8),8)</f>
        <v>9D9D9D9D</v>
      </c>
      <c r="E621" s="46" t="s">
        <v>2234</v>
      </c>
    </row>
    <row r="622" spans="1:5" x14ac:dyDescent="0.25">
      <c r="A622" s="46">
        <v>1017.6</v>
      </c>
      <c r="B622" s="46" t="s">
        <v>37</v>
      </c>
      <c r="C622" s="63" t="s">
        <v>2429</v>
      </c>
      <c r="D622" s="98" t="str">
        <f>DEC2HEX(2^6*MOD(STRUCT!F217,2^1),8)</f>
        <v>00000000</v>
      </c>
      <c r="E622" s="46" t="s">
        <v>498</v>
      </c>
    </row>
    <row r="623" spans="1:5" x14ac:dyDescent="0.25">
      <c r="A623" s="46">
        <v>1017.6</v>
      </c>
      <c r="B623" s="46" t="s">
        <v>37</v>
      </c>
      <c r="C623" s="63" t="s">
        <v>2433</v>
      </c>
      <c r="D623" s="98" t="str">
        <f>DEC2HEX(2^6*MOD(STRUCT!F218,2^1),8)</f>
        <v>00000000</v>
      </c>
      <c r="E623" s="46" t="s">
        <v>498</v>
      </c>
    </row>
    <row r="624" spans="1:5" x14ac:dyDescent="0.25">
      <c r="A624" s="46">
        <v>1017.6</v>
      </c>
      <c r="B624" s="46" t="s">
        <v>37</v>
      </c>
      <c r="C624" s="63" t="s">
        <v>2438</v>
      </c>
      <c r="D624" s="98" t="str">
        <f>DEC2HEX(2^6*MOD(STRUCT!F219,2^1),8)</f>
        <v>00000000</v>
      </c>
      <c r="E624" s="46" t="s">
        <v>498</v>
      </c>
    </row>
    <row r="625" spans="1:6" x14ac:dyDescent="0.25">
      <c r="A625" s="46">
        <v>1017.6</v>
      </c>
      <c r="B625" s="46" t="s">
        <v>37</v>
      </c>
      <c r="C625" s="63" t="s">
        <v>2442</v>
      </c>
      <c r="D625" s="98" t="str">
        <f>DEC2HEX(2^6*MOD(STRUCT!F220,2^1),8)</f>
        <v>00000000</v>
      </c>
      <c r="E625" s="46" t="s">
        <v>498</v>
      </c>
    </row>
    <row r="626" spans="1:6" x14ac:dyDescent="0.25">
      <c r="A626" s="46">
        <v>1353.6</v>
      </c>
      <c r="B626" s="46" t="s">
        <v>44</v>
      </c>
      <c r="C626" s="46" t="s">
        <v>78</v>
      </c>
      <c r="D626" s="98" t="str">
        <f>DEC2HEX(2^24*MOD(STRUCT!N14,2^8)+2^16*MOD(STRUCT!N15,2^8)+2^8*MOD(STRUCT!N16,2^8)+2^0*MOD(STRUCT!N17,2^8),8)</f>
        <v>02090806</v>
      </c>
      <c r="E626" s="46" t="s">
        <v>2234</v>
      </c>
    </row>
    <row r="627" spans="1:6" x14ac:dyDescent="0.25">
      <c r="A627" s="46">
        <v>1353.6</v>
      </c>
      <c r="B627" s="46" t="s">
        <v>44</v>
      </c>
      <c r="C627" s="46" t="s">
        <v>86</v>
      </c>
      <c r="D627" s="98" t="str">
        <f>DEC2HEX(2^24*MOD(STRUCT!N18,2^8)+2^16*MOD(STRUCT!N19,2^8)+2^8*MOD(STRUCT!N20,2^8)+2^0*MOD(STRUCT!N21,2^8),8)</f>
        <v>01090006</v>
      </c>
      <c r="E627" s="46" t="s">
        <v>2234</v>
      </c>
    </row>
    <row r="628" spans="1:6" x14ac:dyDescent="0.25">
      <c r="A628" s="46">
        <v>1353.6</v>
      </c>
      <c r="B628" s="46" t="s">
        <v>44</v>
      </c>
      <c r="C628" s="46" t="s">
        <v>7281</v>
      </c>
      <c r="D628" s="98" t="str">
        <f>DEC2HEX(2^20*MOD(STRUCT!N22,2^8)+2^0*MOD(STRUCT!N23,2^14),8)</f>
        <v>00400000</v>
      </c>
      <c r="E628" s="46" t="s">
        <v>2236</v>
      </c>
      <c r="F628" s="81" t="s">
        <v>7286</v>
      </c>
    </row>
    <row r="629" spans="1:6" x14ac:dyDescent="0.25">
      <c r="A629" s="46">
        <v>1353.6</v>
      </c>
      <c r="B629" s="46" t="s">
        <v>44</v>
      </c>
      <c r="C629" s="46" t="s">
        <v>7282</v>
      </c>
      <c r="D629" s="98" t="str">
        <f>DEC2HEX(2^20*MOD(STRUCT!N24,2^8)+2^0*MOD(STRUCT!N25,2^14),8)</f>
        <v>00400000</v>
      </c>
      <c r="E629" s="46" t="s">
        <v>2236</v>
      </c>
      <c r="F629" s="81" t="s">
        <v>7286</v>
      </c>
    </row>
    <row r="630" spans="1:6" x14ac:dyDescent="0.25">
      <c r="A630" s="46">
        <v>1353.6</v>
      </c>
      <c r="B630" s="46" t="s">
        <v>44</v>
      </c>
      <c r="C630" s="46" t="s">
        <v>7283</v>
      </c>
      <c r="D630" s="98" t="str">
        <f>DEC2HEX(2^20*MOD(STRUCT!N26,2^8)+2^0*MOD(STRUCT!N27,2^14),8)</f>
        <v>00300000</v>
      </c>
      <c r="E630" s="46" t="s">
        <v>2234</v>
      </c>
    </row>
    <row r="631" spans="1:6" x14ac:dyDescent="0.25">
      <c r="A631" s="46">
        <v>1353.6</v>
      </c>
      <c r="B631" s="46" t="s">
        <v>44</v>
      </c>
      <c r="C631" s="46" t="s">
        <v>7284</v>
      </c>
      <c r="D631" s="98" t="str">
        <f>DEC2HEX(2^20*MOD(STRUCT!N28,2^8)+2^0*MOD(STRUCT!N29,2^14),8)</f>
        <v>00300000</v>
      </c>
      <c r="E631" s="46" t="s">
        <v>2234</v>
      </c>
    </row>
    <row r="632" spans="1:6" x14ac:dyDescent="0.25">
      <c r="A632" s="46">
        <v>1353.6</v>
      </c>
      <c r="B632" s="46" t="s">
        <v>45</v>
      </c>
      <c r="C632" s="46" t="s">
        <v>139</v>
      </c>
      <c r="D632" s="98" t="str">
        <f>DEC2HEX(MOD(STRUCT!N46,2^1),8)</f>
        <v>00000001</v>
      </c>
      <c r="E632" s="46" t="s">
        <v>2234</v>
      </c>
    </row>
    <row r="633" spans="1:6" x14ac:dyDescent="0.25">
      <c r="A633" s="46">
        <v>1353.6</v>
      </c>
      <c r="B633" s="46" t="s">
        <v>45</v>
      </c>
      <c r="C633" s="46" t="s">
        <v>142</v>
      </c>
      <c r="D633" s="98" t="str">
        <f>DEC2HEX(MOD(STRUCT!N47,2^1),8)</f>
        <v>00000000</v>
      </c>
      <c r="E633" s="46" t="s">
        <v>2234</v>
      </c>
    </row>
    <row r="634" spans="1:6" x14ac:dyDescent="0.25">
      <c r="A634" s="46">
        <v>1353.6</v>
      </c>
      <c r="B634" s="46" t="s">
        <v>45</v>
      </c>
      <c r="C634" s="46" t="s">
        <v>143</v>
      </c>
      <c r="D634" s="98" t="str">
        <f>DEC2HEX(MOD(STRUCT!N48,2^1),8)</f>
        <v>00000001</v>
      </c>
      <c r="E634" s="46" t="s">
        <v>2234</v>
      </c>
    </row>
    <row r="635" spans="1:6" x14ac:dyDescent="0.25">
      <c r="A635" s="46">
        <v>1353.6</v>
      </c>
      <c r="B635" s="46" t="s">
        <v>45</v>
      </c>
      <c r="C635" s="46" t="s">
        <v>144</v>
      </c>
      <c r="D635" s="98" t="str">
        <f>DEC2HEX(MOD(STRUCT!N49,2^1),8)</f>
        <v>00000001</v>
      </c>
      <c r="E635" s="46" t="s">
        <v>2234</v>
      </c>
    </row>
    <row r="636" spans="1:6" x14ac:dyDescent="0.25">
      <c r="A636" s="46">
        <v>1353.6</v>
      </c>
      <c r="B636" s="46" t="s">
        <v>45</v>
      </c>
      <c r="C636" s="46" t="s">
        <v>145</v>
      </c>
      <c r="D636" s="98" t="str">
        <f>DEC2HEX(MOD(STRUCT!N50,2^1),8)</f>
        <v>00000001</v>
      </c>
      <c r="E636" s="46" t="s">
        <v>2234</v>
      </c>
    </row>
    <row r="637" spans="1:6" x14ac:dyDescent="0.25">
      <c r="A637" s="46">
        <v>1353.6</v>
      </c>
      <c r="B637" s="46" t="s">
        <v>45</v>
      </c>
      <c r="C637" s="46" t="s">
        <v>146</v>
      </c>
      <c r="D637" s="98" t="str">
        <f>DEC2HEX(MOD(STRUCT!N51,2^1),8)</f>
        <v>00000000</v>
      </c>
      <c r="E637" s="46" t="s">
        <v>2234</v>
      </c>
    </row>
    <row r="638" spans="1:6" x14ac:dyDescent="0.25">
      <c r="A638" s="46">
        <v>1353.6</v>
      </c>
      <c r="B638" s="46" t="s">
        <v>45</v>
      </c>
      <c r="C638" s="46" t="s">
        <v>147</v>
      </c>
      <c r="D638" s="98" t="str">
        <f>DEC2HEX(MOD(STRUCT!N52,2^1),8)</f>
        <v>00000000</v>
      </c>
      <c r="E638" s="46" t="s">
        <v>2234</v>
      </c>
    </row>
    <row r="639" spans="1:6" x14ac:dyDescent="0.25">
      <c r="A639" s="46">
        <v>1353.6</v>
      </c>
      <c r="B639" s="46" t="s">
        <v>45</v>
      </c>
      <c r="C639" s="46" t="s">
        <v>148</v>
      </c>
      <c r="D639" s="98" t="str">
        <f>DEC2HEX(MOD(STRUCT!N53,2^1),8)</f>
        <v>00000000</v>
      </c>
      <c r="E639" s="46" t="s">
        <v>2234</v>
      </c>
    </row>
    <row r="640" spans="1:6" x14ac:dyDescent="0.25">
      <c r="A640" s="46">
        <v>1353.6</v>
      </c>
      <c r="B640" s="46" t="s">
        <v>45</v>
      </c>
      <c r="C640" s="46" t="s">
        <v>149</v>
      </c>
      <c r="D640" s="98" t="str">
        <f>DEC2HEX(MOD(STRUCT!N54,2^1),8)</f>
        <v>00000001</v>
      </c>
      <c r="E640" s="46" t="s">
        <v>2234</v>
      </c>
    </row>
    <row r="641" spans="1:5" x14ac:dyDescent="0.25">
      <c r="A641" s="46">
        <v>1353.6</v>
      </c>
      <c r="B641" s="46" t="s">
        <v>45</v>
      </c>
      <c r="C641" s="46" t="s">
        <v>150</v>
      </c>
      <c r="D641" s="98" t="str">
        <f>DEC2HEX(MOD(STRUCT!N55,2^1),8)</f>
        <v>00000000</v>
      </c>
      <c r="E641" s="46" t="s">
        <v>2234</v>
      </c>
    </row>
    <row r="642" spans="1:5" x14ac:dyDescent="0.25">
      <c r="A642" s="46">
        <v>1353.6</v>
      </c>
      <c r="B642" s="46" t="s">
        <v>45</v>
      </c>
      <c r="C642" s="46" t="s">
        <v>151</v>
      </c>
      <c r="D642" s="98" t="str">
        <f>DEC2HEX(MOD(STRUCT!N56,2^1),8)</f>
        <v>00000001</v>
      </c>
      <c r="E642" s="46" t="s">
        <v>2234</v>
      </c>
    </row>
    <row r="643" spans="1:5" x14ac:dyDescent="0.25">
      <c r="A643" s="46">
        <v>1353.6</v>
      </c>
      <c r="B643" s="46" t="s">
        <v>45</v>
      </c>
      <c r="C643" s="46" t="s">
        <v>152</v>
      </c>
      <c r="D643" s="98" t="str">
        <f>DEC2HEX(MOD(STRUCT!N57,2^1),8)</f>
        <v>00000001</v>
      </c>
      <c r="E643" s="46" t="s">
        <v>2234</v>
      </c>
    </row>
    <row r="644" spans="1:5" x14ac:dyDescent="0.25">
      <c r="A644" s="46">
        <v>1353.6</v>
      </c>
      <c r="B644" s="46" t="s">
        <v>45</v>
      </c>
      <c r="C644" s="46" t="s">
        <v>153</v>
      </c>
      <c r="D644" s="98" t="str">
        <f>DEC2HEX(MOD(STRUCT!N58,2^1),8)</f>
        <v>00000001</v>
      </c>
      <c r="E644" s="46" t="s">
        <v>2234</v>
      </c>
    </row>
    <row r="645" spans="1:5" x14ac:dyDescent="0.25">
      <c r="A645" s="46">
        <v>1353.6</v>
      </c>
      <c r="B645" s="46" t="s">
        <v>45</v>
      </c>
      <c r="C645" s="46" t="s">
        <v>154</v>
      </c>
      <c r="D645" s="98" t="str">
        <f>DEC2HEX(MOD(STRUCT!N59,2^1),8)</f>
        <v>00000000</v>
      </c>
      <c r="E645" s="46" t="s">
        <v>2234</v>
      </c>
    </row>
    <row r="646" spans="1:5" x14ac:dyDescent="0.25">
      <c r="A646" s="46">
        <v>1353.6</v>
      </c>
      <c r="B646" s="46" t="s">
        <v>45</v>
      </c>
      <c r="C646" s="46" t="s">
        <v>155</v>
      </c>
      <c r="D646" s="98" t="str">
        <f>DEC2HEX(MOD(STRUCT!N60,2^1),8)</f>
        <v>00000001</v>
      </c>
      <c r="E646" s="46" t="s">
        <v>2234</v>
      </c>
    </row>
    <row r="647" spans="1:5" x14ac:dyDescent="0.25">
      <c r="A647" s="46">
        <v>1353.6</v>
      </c>
      <c r="B647" s="46" t="s">
        <v>45</v>
      </c>
      <c r="C647" s="46" t="s">
        <v>156</v>
      </c>
      <c r="D647" s="98" t="str">
        <f>DEC2HEX(MOD(STRUCT!N61,2^1),8)</f>
        <v>00000001</v>
      </c>
      <c r="E647" s="46" t="s">
        <v>2234</v>
      </c>
    </row>
    <row r="648" spans="1:5" x14ac:dyDescent="0.25">
      <c r="A648" s="46">
        <v>1353.6</v>
      </c>
      <c r="B648" s="46" t="s">
        <v>45</v>
      </c>
      <c r="C648" s="46" t="s">
        <v>103</v>
      </c>
      <c r="D648" s="98" t="str">
        <f>DEC2HEX(MOD(STRUCT!N30,2^8),8)</f>
        <v>00000000</v>
      </c>
      <c r="E648" s="46" t="str">
        <f t="shared" ref="E648:E663" si="16">DEC2HEX(2^0*(2^32-1),8)</f>
        <v>FFFFFFFF</v>
      </c>
    </row>
    <row r="649" spans="1:5" x14ac:dyDescent="0.25">
      <c r="A649" s="46">
        <v>1353.6</v>
      </c>
      <c r="B649" s="46" t="s">
        <v>45</v>
      </c>
      <c r="C649" s="46" t="s">
        <v>107</v>
      </c>
      <c r="D649" s="98" t="str">
        <f>DEC2HEX(MOD(STRUCT!N31,2^8),8)</f>
        <v>00000000</v>
      </c>
      <c r="E649" s="46" t="str">
        <f t="shared" si="16"/>
        <v>FFFFFFFF</v>
      </c>
    </row>
    <row r="650" spans="1:5" x14ac:dyDescent="0.25">
      <c r="A650" s="46">
        <v>1353.6</v>
      </c>
      <c r="B650" s="46" t="s">
        <v>45</v>
      </c>
      <c r="C650" s="46" t="s">
        <v>109</v>
      </c>
      <c r="D650" s="98" t="str">
        <f>DEC2HEX(MOD(STRUCT!N32,2^8),8)</f>
        <v>0000001D</v>
      </c>
      <c r="E650" s="46" t="str">
        <f t="shared" si="16"/>
        <v>FFFFFFFF</v>
      </c>
    </row>
    <row r="651" spans="1:5" x14ac:dyDescent="0.25">
      <c r="A651" s="46">
        <v>1353.6</v>
      </c>
      <c r="B651" s="46" t="s">
        <v>45</v>
      </c>
      <c r="C651" s="46" t="s">
        <v>112</v>
      </c>
      <c r="D651" s="98" t="str">
        <f>DEC2HEX(MOD(STRUCT!N33,2^8),8)</f>
        <v>0000001D</v>
      </c>
      <c r="E651" s="46" t="str">
        <f t="shared" si="16"/>
        <v>FFFFFFFF</v>
      </c>
    </row>
    <row r="652" spans="1:5" x14ac:dyDescent="0.25">
      <c r="A652" s="46">
        <v>1353.6</v>
      </c>
      <c r="B652" s="46" t="s">
        <v>45</v>
      </c>
      <c r="C652" s="46" t="s">
        <v>114</v>
      </c>
      <c r="D652" s="98" t="str">
        <f>DEC2HEX(MOD(STRUCT!N34,2^8),8)</f>
        <v>00000000</v>
      </c>
      <c r="E652" s="46" t="str">
        <f t="shared" si="16"/>
        <v>FFFFFFFF</v>
      </c>
    </row>
    <row r="653" spans="1:5" x14ac:dyDescent="0.25">
      <c r="A653" s="46">
        <v>1353.6</v>
      </c>
      <c r="B653" s="46" t="s">
        <v>45</v>
      </c>
      <c r="C653" s="46" t="s">
        <v>116</v>
      </c>
      <c r="D653" s="98" t="str">
        <f>DEC2HEX(MOD(STRUCT!N35,2^8),8)</f>
        <v>00000000</v>
      </c>
      <c r="E653" s="46" t="str">
        <f t="shared" si="16"/>
        <v>FFFFFFFF</v>
      </c>
    </row>
    <row r="654" spans="1:5" x14ac:dyDescent="0.25">
      <c r="A654" s="46">
        <v>1353.6</v>
      </c>
      <c r="B654" s="46" t="s">
        <v>45</v>
      </c>
      <c r="C654" s="46" t="s">
        <v>118</v>
      </c>
      <c r="D654" s="98" t="str">
        <f>DEC2HEX(MOD(STRUCT!N36,2^8),8)</f>
        <v>00000000</v>
      </c>
      <c r="E654" s="46" t="str">
        <f t="shared" si="16"/>
        <v>FFFFFFFF</v>
      </c>
    </row>
    <row r="655" spans="1:5" x14ac:dyDescent="0.25">
      <c r="A655" s="46">
        <v>1353.6</v>
      </c>
      <c r="B655" s="46" t="s">
        <v>45</v>
      </c>
      <c r="C655" s="46" t="s">
        <v>120</v>
      </c>
      <c r="D655" s="98" t="str">
        <f>DEC2HEX(MOD(STRUCT!N37,2^8),8)</f>
        <v>00000000</v>
      </c>
      <c r="E655" s="46" t="str">
        <f t="shared" si="16"/>
        <v>FFFFFFFF</v>
      </c>
    </row>
    <row r="656" spans="1:5" x14ac:dyDescent="0.25">
      <c r="A656" s="46">
        <v>1353.6</v>
      </c>
      <c r="B656" s="46" t="s">
        <v>45</v>
      </c>
      <c r="C656" s="46" t="s">
        <v>122</v>
      </c>
      <c r="D656" s="98" t="str">
        <f>DEC2HEX(MOD(STRUCT!N38,2^8),8)</f>
        <v>0000003E</v>
      </c>
      <c r="E656" s="46" t="str">
        <f t="shared" si="16"/>
        <v>FFFFFFFF</v>
      </c>
    </row>
    <row r="657" spans="1:5" x14ac:dyDescent="0.25">
      <c r="A657" s="46">
        <v>1353.6</v>
      </c>
      <c r="B657" s="46" t="s">
        <v>45</v>
      </c>
      <c r="C657" s="46" t="s">
        <v>125</v>
      </c>
      <c r="D657" s="98" t="str">
        <f>DEC2HEX(MOD(STRUCT!N39,2^8),8)</f>
        <v>00000000</v>
      </c>
      <c r="E657" s="46" t="str">
        <f t="shared" si="16"/>
        <v>FFFFFFFF</v>
      </c>
    </row>
    <row r="658" spans="1:5" x14ac:dyDescent="0.25">
      <c r="A658" s="46">
        <v>1353.6</v>
      </c>
      <c r="B658" s="46" t="s">
        <v>45</v>
      </c>
      <c r="C658" s="46" t="s">
        <v>127</v>
      </c>
      <c r="D658" s="98" t="str">
        <f>DEC2HEX(MOD(STRUCT!N40,2^8),8)</f>
        <v>00000000</v>
      </c>
      <c r="E658" s="46" t="str">
        <f t="shared" si="16"/>
        <v>FFFFFFFF</v>
      </c>
    </row>
    <row r="659" spans="1:5" x14ac:dyDescent="0.25">
      <c r="A659" s="46">
        <v>1353.6</v>
      </c>
      <c r="B659" s="46" t="s">
        <v>45</v>
      </c>
      <c r="C659" s="46" t="s">
        <v>129</v>
      </c>
      <c r="D659" s="98" t="str">
        <f>DEC2HEX(MOD(STRUCT!N41,2^8),8)</f>
        <v>0000001D</v>
      </c>
      <c r="E659" s="46" t="str">
        <f t="shared" si="16"/>
        <v>FFFFFFFF</v>
      </c>
    </row>
    <row r="660" spans="1:5" x14ac:dyDescent="0.25">
      <c r="A660" s="46">
        <v>1353.6</v>
      </c>
      <c r="B660" s="46" t="s">
        <v>45</v>
      </c>
      <c r="C660" s="46" t="s">
        <v>131</v>
      </c>
      <c r="D660" s="98" t="str">
        <f>DEC2HEX(MOD(STRUCT!N42,2^8),8)</f>
        <v>0000003E</v>
      </c>
      <c r="E660" s="46" t="str">
        <f t="shared" si="16"/>
        <v>FFFFFFFF</v>
      </c>
    </row>
    <row r="661" spans="1:5" x14ac:dyDescent="0.25">
      <c r="A661" s="46">
        <v>1353.6</v>
      </c>
      <c r="B661" s="46" t="s">
        <v>45</v>
      </c>
      <c r="C661" s="46" t="s">
        <v>133</v>
      </c>
      <c r="D661" s="98" t="str">
        <f>DEC2HEX(MOD(STRUCT!N43,2^8),8)</f>
        <v>00000000</v>
      </c>
      <c r="E661" s="46" t="str">
        <f t="shared" si="16"/>
        <v>FFFFFFFF</v>
      </c>
    </row>
    <row r="662" spans="1:5" x14ac:dyDescent="0.25">
      <c r="A662" s="46">
        <v>1353.6</v>
      </c>
      <c r="B662" s="46" t="s">
        <v>45</v>
      </c>
      <c r="C662" s="46" t="s">
        <v>135</v>
      </c>
      <c r="D662" s="98" t="str">
        <f>DEC2HEX(MOD(STRUCT!N44,2^8),8)</f>
        <v>0000001D</v>
      </c>
      <c r="E662" s="46" t="str">
        <f t="shared" si="16"/>
        <v>FFFFFFFF</v>
      </c>
    </row>
    <row r="663" spans="1:5" x14ac:dyDescent="0.25">
      <c r="A663" s="46">
        <v>1353.6</v>
      </c>
      <c r="B663" s="46" t="s">
        <v>45</v>
      </c>
      <c r="C663" s="46" t="s">
        <v>137</v>
      </c>
      <c r="D663" s="98" t="str">
        <f>DEC2HEX(MOD(STRUCT!N45,2^8),8)</f>
        <v>00000000</v>
      </c>
      <c r="E663" s="46" t="str">
        <f t="shared" si="16"/>
        <v>FFFFFFFF</v>
      </c>
    </row>
    <row r="664" spans="1:5" x14ac:dyDescent="0.25">
      <c r="A664" s="46">
        <v>1353.6</v>
      </c>
      <c r="B664" s="46" t="s">
        <v>45</v>
      </c>
      <c r="C664" s="46" t="s">
        <v>157</v>
      </c>
      <c r="D664" s="98" t="str">
        <f>DEC2HEX(2^16*MOD(STRUCT!N62,2^8)+2^0*MOD(STRUCT!N63,2^8),8)</f>
        <v>00300030</v>
      </c>
      <c r="E664" s="46" t="str">
        <f>DEC2HEX(2^16*(2^8-1)+2^0*(2^8-1),8)</f>
        <v>00FF00FF</v>
      </c>
    </row>
    <row r="665" spans="1:5" x14ac:dyDescent="0.25">
      <c r="A665" s="46">
        <v>1353.6</v>
      </c>
      <c r="B665" s="46" t="s">
        <v>45</v>
      </c>
      <c r="C665" s="46" t="s">
        <v>163</v>
      </c>
      <c r="D665" s="98" t="str">
        <f>DEC2HEX(2^16*MOD(STRUCT!N64,2^8)+2^0*MOD(STRUCT!N65,2^8),8)</f>
        <v>000D000D</v>
      </c>
      <c r="E665" s="46" t="str">
        <f t="shared" ref="E665:E680" si="17">DEC2HEX(2^0*(2^32-1),8)</f>
        <v>FFFFFFFF</v>
      </c>
    </row>
    <row r="666" spans="1:5" x14ac:dyDescent="0.25">
      <c r="A666" s="46">
        <v>1353.6</v>
      </c>
      <c r="B666" s="46" t="s">
        <v>26</v>
      </c>
      <c r="C666" s="46" t="s">
        <v>6753</v>
      </c>
      <c r="D666" s="98" t="str">
        <f>DEC2HEX(2^16*MOD(STRUCT!F96,2^8)+2^8*MOD(STRUCT!F97,2^8)+2^0*MOD(STRUCT!F98,2^8),8)</f>
        <v>00042404</v>
      </c>
      <c r="E666" s="46" t="str">
        <f t="shared" si="17"/>
        <v>FFFFFFFF</v>
      </c>
    </row>
    <row r="667" spans="1:5" x14ac:dyDescent="0.25">
      <c r="A667" s="46">
        <v>1353.6</v>
      </c>
      <c r="B667" s="46" t="s">
        <v>26</v>
      </c>
      <c r="C667" s="46" t="s">
        <v>6756</v>
      </c>
      <c r="D667" s="98" t="str">
        <f>DEC2HEX(2^24*MOD(STRUCT!F99,2^8)+2^16*MOD(STRUCT!F100,2^8)+2^8*MOD(STRUCT!F101,2^8)+2^0*MOD(STRUCT!F102,2^8),8)</f>
        <v>201C0004</v>
      </c>
      <c r="E667" s="46" t="str">
        <f t="shared" si="17"/>
        <v>FFFFFFFF</v>
      </c>
    </row>
    <row r="668" spans="1:5" x14ac:dyDescent="0.25">
      <c r="A668" s="46">
        <v>1353.6</v>
      </c>
      <c r="B668" s="46" t="s">
        <v>26</v>
      </c>
      <c r="C668" s="46" t="s">
        <v>6759</v>
      </c>
      <c r="D668" s="98" t="str">
        <f>DEC2HEX(2^0*MOD(STRUCT!F103,2^8),8)</f>
        <v>00000008</v>
      </c>
      <c r="E668" s="46" t="str">
        <f t="shared" si="17"/>
        <v>FFFFFFFF</v>
      </c>
    </row>
    <row r="669" spans="1:5" x14ac:dyDescent="0.25">
      <c r="A669" s="46">
        <v>1353.6</v>
      </c>
      <c r="B669" s="46" t="s">
        <v>26</v>
      </c>
      <c r="C669" s="46" t="s">
        <v>6760</v>
      </c>
      <c r="D669" s="98" t="str">
        <f>DEC2HEX(2^16*MOD(STRUCT!F104,2^8)+2^8*MOD(STRUCT!F105,2^8)+2^0*MOD(STRUCT!F106,2^8),8)</f>
        <v>00042404</v>
      </c>
      <c r="E669" s="46" t="str">
        <f t="shared" si="17"/>
        <v>FFFFFFFF</v>
      </c>
    </row>
    <row r="670" spans="1:5" x14ac:dyDescent="0.25">
      <c r="A670" s="46">
        <v>1353.6</v>
      </c>
      <c r="B670" s="46" t="s">
        <v>26</v>
      </c>
      <c r="C670" s="46" t="s">
        <v>6761</v>
      </c>
      <c r="D670" s="98" t="str">
        <f>DEC2HEX(2^24*MOD(STRUCT!F107,2^8)+2^16*MOD(STRUCT!F108,2^8)+2^8*MOD(STRUCT!F109,2^8)+2^0*MOD(STRUCT!F110,2^8),8)</f>
        <v>201C0004</v>
      </c>
      <c r="E670" s="46" t="str">
        <f t="shared" si="17"/>
        <v>FFFFFFFF</v>
      </c>
    </row>
    <row r="671" spans="1:5" x14ac:dyDescent="0.25">
      <c r="A671" s="46">
        <v>1353.6</v>
      </c>
      <c r="B671" s="46" t="s">
        <v>26</v>
      </c>
      <c r="C671" s="46" t="s">
        <v>6762</v>
      </c>
      <c r="D671" s="98" t="str">
        <f>DEC2HEX(2^0*MOD(STRUCT!F111,2^8),8)</f>
        <v>00000008</v>
      </c>
      <c r="E671" s="46" t="str">
        <f t="shared" si="17"/>
        <v>FFFFFFFF</v>
      </c>
    </row>
    <row r="672" spans="1:5" x14ac:dyDescent="0.25">
      <c r="A672" s="46">
        <v>1353.6</v>
      </c>
      <c r="B672" s="46" t="s">
        <v>26</v>
      </c>
      <c r="C672" s="46" t="s">
        <v>6763</v>
      </c>
      <c r="D672" s="98" t="str">
        <f>DEC2HEX(2^16*MOD(STRUCT!F112,2^8)+2^8*MOD(STRUCT!F113,2^8)+2^0*MOD(STRUCT!F114,2^8),8)</f>
        <v>00042404</v>
      </c>
      <c r="E672" s="46" t="str">
        <f t="shared" si="17"/>
        <v>FFFFFFFF</v>
      </c>
    </row>
    <row r="673" spans="1:6" x14ac:dyDescent="0.25">
      <c r="A673" s="46">
        <v>1353.6</v>
      </c>
      <c r="B673" s="46" t="s">
        <v>26</v>
      </c>
      <c r="C673" s="46" t="s">
        <v>6764</v>
      </c>
      <c r="D673" s="98" t="str">
        <f>DEC2HEX(2^24*MOD(STRUCT!F115,2^8)+2^16*MOD(STRUCT!F116,2^8)+2^8*MOD(STRUCT!F117,2^8)+2^0*MOD(STRUCT!F118,2^8),8)</f>
        <v>201C0004</v>
      </c>
      <c r="E673" s="46" t="str">
        <f t="shared" si="17"/>
        <v>FFFFFFFF</v>
      </c>
    </row>
    <row r="674" spans="1:6" x14ac:dyDescent="0.25">
      <c r="A674" s="46">
        <v>1353.6</v>
      </c>
      <c r="B674" s="46" t="s">
        <v>26</v>
      </c>
      <c r="C674" s="46" t="s">
        <v>6765</v>
      </c>
      <c r="D674" s="98" t="str">
        <f>DEC2HEX(2^0*MOD(STRUCT!F119,2^8),8)</f>
        <v>00000008</v>
      </c>
      <c r="E674" s="46" t="str">
        <f t="shared" si="17"/>
        <v>FFFFFFFF</v>
      </c>
    </row>
    <row r="675" spans="1:6" x14ac:dyDescent="0.25">
      <c r="A675" s="46">
        <v>1353.6</v>
      </c>
      <c r="B675" s="46" t="s">
        <v>26</v>
      </c>
      <c r="C675" s="46" t="s">
        <v>6766</v>
      </c>
      <c r="D675" s="98" t="str">
        <f>DEC2HEX(2^16*MOD(STRUCT!F120,2^8)+2^8*MOD(STRUCT!F121,2^8)+2^0*MOD(STRUCT!F122,2^8),8)</f>
        <v>00042404</v>
      </c>
      <c r="E675" s="46" t="str">
        <f t="shared" si="17"/>
        <v>FFFFFFFF</v>
      </c>
    </row>
    <row r="676" spans="1:6" x14ac:dyDescent="0.25">
      <c r="A676" s="46">
        <v>1353.6</v>
      </c>
      <c r="B676" s="46" t="s">
        <v>26</v>
      </c>
      <c r="C676" s="46" t="s">
        <v>6767</v>
      </c>
      <c r="D676" s="98" t="str">
        <f>DEC2HEX(2^24*MOD(STRUCT!F123,2^8)+2^16*MOD(STRUCT!F124,2^8)+2^8*MOD(STRUCT!F125,2^8)+2^0*MOD(STRUCT!F126,2^8),8)</f>
        <v>201C0004</v>
      </c>
      <c r="E676" s="46" t="str">
        <f t="shared" si="17"/>
        <v>FFFFFFFF</v>
      </c>
    </row>
    <row r="677" spans="1:6" x14ac:dyDescent="0.25">
      <c r="A677" s="46">
        <v>1353.6</v>
      </c>
      <c r="B677" s="46" t="s">
        <v>26</v>
      </c>
      <c r="C677" s="46" t="s">
        <v>6768</v>
      </c>
      <c r="D677" s="98" t="str">
        <f>DEC2HEX(2^0*MOD(STRUCT!F127,2^8),8)</f>
        <v>00000008</v>
      </c>
      <c r="E677" s="46" t="str">
        <f t="shared" si="17"/>
        <v>FFFFFFFF</v>
      </c>
    </row>
    <row r="678" spans="1:6" x14ac:dyDescent="0.25">
      <c r="A678" s="46">
        <v>1353.6</v>
      </c>
      <c r="B678" s="46" t="s">
        <v>32</v>
      </c>
      <c r="C678" s="46" t="s">
        <v>6703</v>
      </c>
      <c r="D678" s="98" t="str">
        <f>DEC2HEX(2^24*MOD(STRUCT!J78,2^8)+2^16*MOD(STRUCT!J79,2^8)+2^8*MOD(STRUCT!J80,2^8)+2^0*MOD(STRUCT!J81,2^8),8)</f>
        <v>030C4601</v>
      </c>
      <c r="E678" s="46" t="str">
        <f t="shared" si="17"/>
        <v>FFFFFFFF</v>
      </c>
    </row>
    <row r="679" spans="1:6" x14ac:dyDescent="0.25">
      <c r="A679" s="46">
        <v>1353.6</v>
      </c>
      <c r="B679" s="46" t="s">
        <v>32</v>
      </c>
      <c r="C679" s="46" t="s">
        <v>6705</v>
      </c>
      <c r="D679" s="98" t="str">
        <f>DEC2HEX(2^24*MOD(STRUCT!J82,2^8)+2^16*MOD(STRUCT!J83,2^8)+2^8*MOD(STRUCT!J84,2^8)+2^0*MOD(STRUCT!J85,2^8),8)</f>
        <v>0000000C</v>
      </c>
      <c r="E679" s="46" t="str">
        <f t="shared" si="17"/>
        <v>FFFFFFFF</v>
      </c>
    </row>
    <row r="680" spans="1:6" x14ac:dyDescent="0.25">
      <c r="A680" s="46">
        <v>1353.6</v>
      </c>
      <c r="B680" s="46" t="s">
        <v>32</v>
      </c>
      <c r="C680" s="46" t="s">
        <v>6706</v>
      </c>
      <c r="D680" s="98" t="str">
        <f>DEC2HEX(2^0*MOD(STRUCT!J86,2^8),8)</f>
        <v>00000066</v>
      </c>
      <c r="E680" s="46" t="str">
        <f t="shared" si="17"/>
        <v>FFFFFFFF</v>
      </c>
    </row>
    <row r="681" spans="1:6" x14ac:dyDescent="0.25">
      <c r="A681" s="46">
        <v>1353.6</v>
      </c>
      <c r="B681" s="46" t="s">
        <v>25</v>
      </c>
      <c r="C681" s="46" t="s">
        <v>6592</v>
      </c>
      <c r="D681" s="98" t="str">
        <f>DEC2HEX(2^24*MOD(STRUCT!K87,2^8)+2^16*MOD(STRUCT!K88,2^8)+2^8*MOD(STRUCT!K89,2^8)+2^0*MOD(STRUCT!K90,2^8),8)</f>
        <v>040E1A01</v>
      </c>
      <c r="E681" s="46" t="s">
        <v>2233</v>
      </c>
      <c r="F681" s="81" t="s">
        <v>7285</v>
      </c>
    </row>
    <row r="682" spans="1:6" x14ac:dyDescent="0.25">
      <c r="A682" s="46">
        <v>1353.6</v>
      </c>
      <c r="B682" s="46" t="s">
        <v>25</v>
      </c>
      <c r="C682" s="46" t="s">
        <v>6595</v>
      </c>
      <c r="D682" s="98" t="str">
        <f>DEC2HEX(2^24*MOD(STRUCT!K91,2^1)+2^16*MOD(STRUCT!K92,2^8)+2^8*MOD(STRUCT!K93,2^8)+2^0*MOD(STRUCT!K94,2^8),8)</f>
        <v>0000000E</v>
      </c>
      <c r="E682" s="46" t="s">
        <v>2233</v>
      </c>
      <c r="F682" s="81" t="s">
        <v>7285</v>
      </c>
    </row>
    <row r="683" spans="1:6" x14ac:dyDescent="0.25">
      <c r="A683" s="46">
        <v>1353.6</v>
      </c>
      <c r="B683" s="46" t="s">
        <v>25</v>
      </c>
      <c r="C683" s="46" t="s">
        <v>6596</v>
      </c>
      <c r="D683" s="98" t="str">
        <f>DEC2HEX(2^0*MOD(STRUCT!K95,2^8),8)</f>
        <v>00000028</v>
      </c>
      <c r="E683" s="46" t="s">
        <v>2233</v>
      </c>
      <c r="F683" s="81" t="s">
        <v>7285</v>
      </c>
    </row>
    <row r="684" spans="1:6" x14ac:dyDescent="0.25">
      <c r="A684" s="46">
        <v>1353.6</v>
      </c>
      <c r="B684" s="46" t="s">
        <v>37</v>
      </c>
      <c r="C684" s="46" t="s">
        <v>2443</v>
      </c>
      <c r="D684" s="98" t="str">
        <f>DEC2HEX(2^24*MOD(STRUCT!F155,2^8)+2^16*MOD(STRUCT!F156,2^8)+2^8*MOD(STRUCT!F153,2^8)+2^0*MOD(STRUCT!F154,2^8),8)</f>
        <v>10100101</v>
      </c>
      <c r="E684" s="46" t="s">
        <v>2234</v>
      </c>
    </row>
    <row r="685" spans="1:6" x14ac:dyDescent="0.25">
      <c r="A685" s="46">
        <v>1353.6</v>
      </c>
      <c r="B685" s="46" t="s">
        <v>37</v>
      </c>
      <c r="C685" s="46" t="s">
        <v>2453</v>
      </c>
      <c r="D685" s="98" t="str">
        <f>DEC2HEX(2^24*MOD(STRUCT!F159,2^8)+2^16*MOD(STRUCT!F160,2^8)+2^8*MOD(STRUCT!F157,2^8)+2^0*MOD(STRUCT!F158,2^8),8)</f>
        <v>10100101</v>
      </c>
      <c r="E685" s="46" t="s">
        <v>2234</v>
      </c>
    </row>
    <row r="686" spans="1:6" x14ac:dyDescent="0.25">
      <c r="A686" s="46">
        <v>1353.6</v>
      </c>
      <c r="B686" s="46" t="s">
        <v>37</v>
      </c>
      <c r="C686" s="46" t="s">
        <v>2457</v>
      </c>
      <c r="D686" s="98" t="str">
        <f>DEC2HEX(2^24*MOD(STRUCT!F163,2^8)+2^16*MOD(STRUCT!F164,2^8)+2^8*MOD(STRUCT!F161,2^8)+2^0*MOD(STRUCT!F162,2^8),8)</f>
        <v>10100101</v>
      </c>
      <c r="E686" s="46" t="s">
        <v>2234</v>
      </c>
    </row>
    <row r="687" spans="1:6" x14ac:dyDescent="0.25">
      <c r="A687" s="46">
        <v>1353.6</v>
      </c>
      <c r="B687" s="46" t="s">
        <v>37</v>
      </c>
      <c r="C687" s="46" t="s">
        <v>2463</v>
      </c>
      <c r="D687" s="98" t="str">
        <f>DEC2HEX(2^24*MOD(STRUCT!F167,2^8)+2^16*MOD(STRUCT!F168,2^8)+2^8*MOD(STRUCT!F165,2^8)+2^0*MOD(STRUCT!F166,2^8),8)</f>
        <v>10100101</v>
      </c>
      <c r="E687" s="46" t="s">
        <v>2234</v>
      </c>
    </row>
    <row r="688" spans="1:6" x14ac:dyDescent="0.25">
      <c r="A688" s="46">
        <v>1353.6</v>
      </c>
      <c r="B688" s="46" t="s">
        <v>37</v>
      </c>
      <c r="C688" s="46" t="s">
        <v>2446</v>
      </c>
      <c r="D688" s="98" t="str">
        <f>DEC2HEX(2^24*MOD(STRUCT!F171,2^8)+2^16*MOD(STRUCT!F172,2^8)+2^8*MOD(STRUCT!F169,2^8)+2^0*MOD(STRUCT!F170,2^8),8)</f>
        <v>10101818</v>
      </c>
      <c r="E688" s="46" t="s">
        <v>2234</v>
      </c>
    </row>
    <row r="689" spans="1:5" x14ac:dyDescent="0.25">
      <c r="A689" s="46">
        <v>1353.6</v>
      </c>
      <c r="B689" s="46" t="s">
        <v>37</v>
      </c>
      <c r="C689" s="46" t="s">
        <v>2454</v>
      </c>
      <c r="D689" s="98" t="str">
        <f>DEC2HEX(2^24*MOD(STRUCT!F175,2^8)+2^16*MOD(STRUCT!F176,2^8)+2^8*MOD(STRUCT!F173,2^8)+2^0*MOD(STRUCT!F174,2^8),8)</f>
        <v>10101818</v>
      </c>
      <c r="E689" s="46" t="s">
        <v>2234</v>
      </c>
    </row>
    <row r="690" spans="1:5" x14ac:dyDescent="0.25">
      <c r="A690" s="46">
        <v>1353.6</v>
      </c>
      <c r="B690" s="46" t="s">
        <v>37</v>
      </c>
      <c r="C690" s="46" t="s">
        <v>2458</v>
      </c>
      <c r="D690" s="98" t="str">
        <f>DEC2HEX(2^24*MOD(STRUCT!F179,2^8)+2^16*MOD(STRUCT!F180,2^8)+2^8*MOD(STRUCT!F177,2^8)+2^0*MOD(STRUCT!F178,2^8),8)</f>
        <v>10101818</v>
      </c>
      <c r="E690" s="46" t="s">
        <v>2234</v>
      </c>
    </row>
    <row r="691" spans="1:5" x14ac:dyDescent="0.25">
      <c r="A691" s="46">
        <v>1353.6</v>
      </c>
      <c r="B691" s="46" t="s">
        <v>37</v>
      </c>
      <c r="C691" s="46" t="s">
        <v>2465</v>
      </c>
      <c r="D691" s="98" t="str">
        <f>DEC2HEX(2^24*MOD(STRUCT!F183,2^8)+2^16*MOD(STRUCT!F184,2^8)+2^8*MOD(STRUCT!F181,2^8)+2^0*MOD(STRUCT!F182,2^8),8)</f>
        <v>10101818</v>
      </c>
      <c r="E691" s="46" t="s">
        <v>2234</v>
      </c>
    </row>
    <row r="692" spans="1:5" x14ac:dyDescent="0.25">
      <c r="A692" s="46">
        <v>1353.6</v>
      </c>
      <c r="B692" s="46" t="s">
        <v>37</v>
      </c>
      <c r="C692" s="46" t="s">
        <v>2399</v>
      </c>
      <c r="D692" s="98" t="str">
        <f>DEC2HEX(2^24*MOD(STRUCT!F185,2^8)+2^16*MOD(STRUCT!F186,2^8)+2^8*MOD(STRUCT!F187,2^8)+2^0*MOD(STRUCT!F188,2^8),8)</f>
        <v>019D9D9D</v>
      </c>
      <c r="E692" s="46" t="s">
        <v>2234</v>
      </c>
    </row>
    <row r="693" spans="1:5" x14ac:dyDescent="0.25">
      <c r="A693" s="46">
        <v>1353.6</v>
      </c>
      <c r="B693" s="46" t="s">
        <v>37</v>
      </c>
      <c r="C693" s="46" t="s">
        <v>2396</v>
      </c>
      <c r="D693" s="98" t="str">
        <f>DEC2HEX(2^24*MOD(STRUCT!F189,2^8)+2^16*MOD(STRUCT!F190,2^8)+2^8*MOD(STRUCT!F191,2^8)+2^0*MOD(STRUCT!F192,2^8),8)</f>
        <v>9D9D9D9D</v>
      </c>
      <c r="E693" s="46" t="s">
        <v>2234</v>
      </c>
    </row>
    <row r="694" spans="1:5" x14ac:dyDescent="0.25">
      <c r="A694" s="46">
        <v>1353.6</v>
      </c>
      <c r="B694" s="46" t="s">
        <v>37</v>
      </c>
      <c r="C694" s="46" t="s">
        <v>2404</v>
      </c>
      <c r="D694" s="98" t="str">
        <f>DEC2HEX(2^24*MOD(STRUCT!F193,2^8)+2^16*MOD(STRUCT!F194,2^8)+2^8*MOD(STRUCT!F195,2^8)+2^0*MOD(STRUCT!F196,2^8),8)</f>
        <v>019D9D9D</v>
      </c>
      <c r="E694" s="46" t="s">
        <v>2234</v>
      </c>
    </row>
    <row r="695" spans="1:5" x14ac:dyDescent="0.25">
      <c r="A695" s="46">
        <v>1353.6</v>
      </c>
      <c r="B695" s="46" t="s">
        <v>37</v>
      </c>
      <c r="C695" s="46" t="s">
        <v>2403</v>
      </c>
      <c r="D695" s="98" t="str">
        <f>DEC2HEX(2^24*MOD(STRUCT!F197,2^8)+2^16*MOD(STRUCT!F198,2^8)+2^8*MOD(STRUCT!F199,2^8)+2^0*MOD(STRUCT!F200,2^8),8)</f>
        <v>9D9D9D9D</v>
      </c>
      <c r="E695" s="46" t="s">
        <v>2234</v>
      </c>
    </row>
    <row r="696" spans="1:5" x14ac:dyDescent="0.25">
      <c r="A696" s="46">
        <v>1353.6</v>
      </c>
      <c r="B696" s="46" t="s">
        <v>37</v>
      </c>
      <c r="C696" s="46" t="s">
        <v>2407</v>
      </c>
      <c r="D696" s="98" t="str">
        <f>DEC2HEX(2^24*MOD(STRUCT!F201,2^8)+2^16*MOD(STRUCT!F202,2^8)+2^8*MOD(STRUCT!F203,2^8)+2^0*MOD(STRUCT!F204,2^8),8)</f>
        <v>019D9D9D</v>
      </c>
      <c r="E696" s="46" t="s">
        <v>2234</v>
      </c>
    </row>
    <row r="697" spans="1:5" x14ac:dyDescent="0.25">
      <c r="A697" s="46">
        <v>1353.6</v>
      </c>
      <c r="B697" s="46" t="s">
        <v>37</v>
      </c>
      <c r="C697" s="46" t="s">
        <v>2406</v>
      </c>
      <c r="D697" s="98" t="str">
        <f>DEC2HEX(2^24*MOD(STRUCT!F205,2^8)+2^16*MOD(STRUCT!F206,2^8)+2^8*MOD(STRUCT!F207,2^8)+2^0*MOD(STRUCT!F208,2^8),8)</f>
        <v>9D9D9D9D</v>
      </c>
      <c r="E697" s="46" t="s">
        <v>2234</v>
      </c>
    </row>
    <row r="698" spans="1:5" x14ac:dyDescent="0.25">
      <c r="A698" s="46">
        <v>1353.6</v>
      </c>
      <c r="B698" s="46" t="s">
        <v>37</v>
      </c>
      <c r="C698" s="46" t="s">
        <v>2410</v>
      </c>
      <c r="D698" s="98" t="str">
        <f>DEC2HEX(2^24*MOD(STRUCT!F209,2^8)+2^16*MOD(STRUCT!F210,2^8)+2^8*MOD(STRUCT!F211,2^8)+2^0*MOD(STRUCT!F212,2^8),8)</f>
        <v>019D9D9D</v>
      </c>
      <c r="E698" s="46" t="s">
        <v>2234</v>
      </c>
    </row>
    <row r="699" spans="1:5" x14ac:dyDescent="0.25">
      <c r="A699" s="46">
        <v>1353.6</v>
      </c>
      <c r="B699" s="46" t="s">
        <v>37</v>
      </c>
      <c r="C699" s="46" t="s">
        <v>2409</v>
      </c>
      <c r="D699" s="98" t="str">
        <f>DEC2HEX(2^24*MOD(STRUCT!F213,2^8)+2^16*MOD(STRUCT!F214,2^8)+2^8*MOD(STRUCT!F215,2^8)+2^0*MOD(STRUCT!F216,2^8),8)</f>
        <v>9D9D9D9D</v>
      </c>
      <c r="E699" s="46" t="s">
        <v>2234</v>
      </c>
    </row>
    <row r="700" spans="1:5" x14ac:dyDescent="0.25">
      <c r="A700" s="46">
        <v>1353.6</v>
      </c>
      <c r="B700" s="46" t="s">
        <v>37</v>
      </c>
      <c r="C700" s="63" t="s">
        <v>2429</v>
      </c>
      <c r="D700" s="98" t="str">
        <f>DEC2HEX(2^6*MOD(STRUCT!F217,2^1),8)</f>
        <v>00000000</v>
      </c>
      <c r="E700" s="46" t="s">
        <v>498</v>
      </c>
    </row>
    <row r="701" spans="1:5" x14ac:dyDescent="0.25">
      <c r="A701" s="46">
        <v>1353.6</v>
      </c>
      <c r="B701" s="46" t="s">
        <v>37</v>
      </c>
      <c r="C701" s="63" t="s">
        <v>2433</v>
      </c>
      <c r="D701" s="98" t="str">
        <f>DEC2HEX(2^6*MOD(STRUCT!F218,2^1),8)</f>
        <v>00000000</v>
      </c>
      <c r="E701" s="46" t="s">
        <v>498</v>
      </c>
    </row>
    <row r="702" spans="1:5" x14ac:dyDescent="0.25">
      <c r="A702" s="46">
        <v>1353.6</v>
      </c>
      <c r="B702" s="46" t="s">
        <v>37</v>
      </c>
      <c r="C702" s="63" t="s">
        <v>2438</v>
      </c>
      <c r="D702" s="98" t="str">
        <f>DEC2HEX(2^6*MOD(STRUCT!F219,2^1),8)</f>
        <v>00000000</v>
      </c>
      <c r="E702" s="46" t="s">
        <v>498</v>
      </c>
    </row>
    <row r="703" spans="1:5" x14ac:dyDescent="0.25">
      <c r="A703" s="46">
        <v>1353.6</v>
      </c>
      <c r="B703" s="46" t="s">
        <v>37</v>
      </c>
      <c r="C703" s="63" t="s">
        <v>2442</v>
      </c>
      <c r="D703" s="98" t="str">
        <f>DEC2HEX(2^6*MOD(STRUCT!F220,2^1),8)</f>
        <v>00000000</v>
      </c>
      <c r="E703" s="46" t="s">
        <v>498</v>
      </c>
    </row>
    <row r="704" spans="1:5" x14ac:dyDescent="0.25">
      <c r="A704" s="46">
        <v>1555.2</v>
      </c>
      <c r="B704" s="46" t="s">
        <v>44</v>
      </c>
      <c r="C704" s="46" t="s">
        <v>78</v>
      </c>
      <c r="D704" s="98" t="str">
        <f>DEC2HEX(2^24*MOD(STRUCT!O14,2^8)+2^16*MOD(STRUCT!O15,2^8)+2^8*MOD(STRUCT!O16,2^8)+2^0*MOD(STRUCT!O17,2^8),8)</f>
        <v>02090706</v>
      </c>
      <c r="E704" s="46" t="s">
        <v>2234</v>
      </c>
    </row>
    <row r="705" spans="1:6" x14ac:dyDescent="0.25">
      <c r="A705" s="46">
        <v>1555.2</v>
      </c>
      <c r="B705" s="46" t="s">
        <v>44</v>
      </c>
      <c r="C705" s="46" t="s">
        <v>86</v>
      </c>
      <c r="D705" s="98" t="str">
        <f>DEC2HEX(2^24*MOD(STRUCT!O18,2^8)+2^16*MOD(STRUCT!O19,2^8)+2^8*MOD(STRUCT!O20,2^8)+2^0*MOD(STRUCT!O21,2^8),8)</f>
        <v>01090006</v>
      </c>
      <c r="E705" s="46" t="s">
        <v>2234</v>
      </c>
    </row>
    <row r="706" spans="1:6" x14ac:dyDescent="0.25">
      <c r="A706" s="46">
        <v>1555.2</v>
      </c>
      <c r="B706" s="46" t="s">
        <v>44</v>
      </c>
      <c r="C706" s="46" t="s">
        <v>7281</v>
      </c>
      <c r="D706" s="98" t="str">
        <f>DEC2HEX(2^20*MOD(STRUCT!O22,2^8)+2^0*MOD(STRUCT!O23,2^14),8)</f>
        <v>00400000</v>
      </c>
      <c r="E706" s="46" t="s">
        <v>2236</v>
      </c>
      <c r="F706" s="81" t="s">
        <v>7286</v>
      </c>
    </row>
    <row r="707" spans="1:6" x14ac:dyDescent="0.25">
      <c r="A707" s="46">
        <v>1555.2</v>
      </c>
      <c r="B707" s="46" t="s">
        <v>44</v>
      </c>
      <c r="C707" s="46" t="s">
        <v>7282</v>
      </c>
      <c r="D707" s="98" t="str">
        <f>DEC2HEX(2^20*MOD(STRUCT!O24,2^8)+2^0*MOD(STRUCT!O25,2^14),8)</f>
        <v>00400000</v>
      </c>
      <c r="E707" s="46" t="s">
        <v>2236</v>
      </c>
      <c r="F707" s="81" t="s">
        <v>7286</v>
      </c>
    </row>
    <row r="708" spans="1:6" x14ac:dyDescent="0.25">
      <c r="A708" s="46">
        <v>1555.2</v>
      </c>
      <c r="B708" s="46" t="s">
        <v>44</v>
      </c>
      <c r="C708" s="46" t="s">
        <v>7283</v>
      </c>
      <c r="D708" s="98" t="str">
        <f>DEC2HEX(2^20*MOD(STRUCT!O26,2^8)+2^0*MOD(STRUCT!O27,2^14),8)</f>
        <v>00300000</v>
      </c>
      <c r="E708" s="46" t="s">
        <v>2234</v>
      </c>
    </row>
    <row r="709" spans="1:6" x14ac:dyDescent="0.25">
      <c r="A709" s="46">
        <v>1555.2</v>
      </c>
      <c r="B709" s="46" t="s">
        <v>44</v>
      </c>
      <c r="C709" s="46" t="s">
        <v>7284</v>
      </c>
      <c r="D709" s="98" t="str">
        <f>DEC2HEX(2^20*MOD(STRUCT!O28,2^8)+2^0*MOD(STRUCT!O29,2^14),8)</f>
        <v>00300000</v>
      </c>
      <c r="E709" s="46" t="s">
        <v>2234</v>
      </c>
    </row>
    <row r="710" spans="1:6" x14ac:dyDescent="0.25">
      <c r="A710" s="46">
        <v>1555.2</v>
      </c>
      <c r="B710" s="46" t="s">
        <v>45</v>
      </c>
      <c r="C710" s="46" t="s">
        <v>139</v>
      </c>
      <c r="D710" s="98" t="str">
        <f>DEC2HEX(MOD(STRUCT!O46,2^1),8)</f>
        <v>00000001</v>
      </c>
      <c r="E710" s="46" t="s">
        <v>2234</v>
      </c>
    </row>
    <row r="711" spans="1:6" x14ac:dyDescent="0.25">
      <c r="A711" s="46">
        <v>1555.2</v>
      </c>
      <c r="B711" s="46" t="s">
        <v>45</v>
      </c>
      <c r="C711" s="46" t="s">
        <v>142</v>
      </c>
      <c r="D711" s="98" t="str">
        <f>DEC2HEX(MOD(STRUCT!O47,2^1),8)</f>
        <v>00000000</v>
      </c>
      <c r="E711" s="46" t="s">
        <v>2234</v>
      </c>
    </row>
    <row r="712" spans="1:6" x14ac:dyDescent="0.25">
      <c r="A712" s="46">
        <v>1555.2</v>
      </c>
      <c r="B712" s="46" t="s">
        <v>45</v>
      </c>
      <c r="C712" s="46" t="s">
        <v>143</v>
      </c>
      <c r="D712" s="98" t="str">
        <f>DEC2HEX(MOD(STRUCT!O48,2^1),8)</f>
        <v>00000001</v>
      </c>
      <c r="E712" s="46" t="s">
        <v>2234</v>
      </c>
    </row>
    <row r="713" spans="1:6" x14ac:dyDescent="0.25">
      <c r="A713" s="46">
        <v>1555.2</v>
      </c>
      <c r="B713" s="46" t="s">
        <v>45</v>
      </c>
      <c r="C713" s="46" t="s">
        <v>144</v>
      </c>
      <c r="D713" s="98" t="str">
        <f>DEC2HEX(MOD(STRUCT!O49,2^1),8)</f>
        <v>00000001</v>
      </c>
      <c r="E713" s="46" t="s">
        <v>2234</v>
      </c>
    </row>
    <row r="714" spans="1:6" x14ac:dyDescent="0.25">
      <c r="A714" s="46">
        <v>1555.2</v>
      </c>
      <c r="B714" s="46" t="s">
        <v>45</v>
      </c>
      <c r="C714" s="46" t="s">
        <v>145</v>
      </c>
      <c r="D714" s="98" t="str">
        <f>DEC2HEX(MOD(STRUCT!O50,2^1),8)</f>
        <v>00000001</v>
      </c>
      <c r="E714" s="46" t="s">
        <v>2234</v>
      </c>
    </row>
    <row r="715" spans="1:6" x14ac:dyDescent="0.25">
      <c r="A715" s="46">
        <v>1555.2</v>
      </c>
      <c r="B715" s="46" t="s">
        <v>45</v>
      </c>
      <c r="C715" s="46" t="s">
        <v>146</v>
      </c>
      <c r="D715" s="98" t="str">
        <f>DEC2HEX(MOD(STRUCT!O51,2^1),8)</f>
        <v>00000000</v>
      </c>
      <c r="E715" s="46" t="s">
        <v>2234</v>
      </c>
    </row>
    <row r="716" spans="1:6" x14ac:dyDescent="0.25">
      <c r="A716" s="46">
        <v>1555.2</v>
      </c>
      <c r="B716" s="46" t="s">
        <v>45</v>
      </c>
      <c r="C716" s="46" t="s">
        <v>147</v>
      </c>
      <c r="D716" s="98" t="str">
        <f>DEC2HEX(MOD(STRUCT!O52,2^1),8)</f>
        <v>00000000</v>
      </c>
      <c r="E716" s="46" t="s">
        <v>2234</v>
      </c>
    </row>
    <row r="717" spans="1:6" x14ac:dyDescent="0.25">
      <c r="A717" s="46">
        <v>1555.2</v>
      </c>
      <c r="B717" s="46" t="s">
        <v>45</v>
      </c>
      <c r="C717" s="46" t="s">
        <v>148</v>
      </c>
      <c r="D717" s="98" t="str">
        <f>DEC2HEX(MOD(STRUCT!O53,2^1),8)</f>
        <v>00000000</v>
      </c>
      <c r="E717" s="46" t="s">
        <v>2234</v>
      </c>
    </row>
    <row r="718" spans="1:6" x14ac:dyDescent="0.25">
      <c r="A718" s="46">
        <v>1555.2</v>
      </c>
      <c r="B718" s="46" t="s">
        <v>45</v>
      </c>
      <c r="C718" s="46" t="s">
        <v>149</v>
      </c>
      <c r="D718" s="98" t="str">
        <f>DEC2HEX(MOD(STRUCT!O54,2^1),8)</f>
        <v>00000001</v>
      </c>
      <c r="E718" s="46" t="s">
        <v>2234</v>
      </c>
    </row>
    <row r="719" spans="1:6" x14ac:dyDescent="0.25">
      <c r="A719" s="46">
        <v>1555.2</v>
      </c>
      <c r="B719" s="46" t="s">
        <v>45</v>
      </c>
      <c r="C719" s="46" t="s">
        <v>150</v>
      </c>
      <c r="D719" s="98" t="str">
        <f>DEC2HEX(MOD(STRUCT!O55,2^1),8)</f>
        <v>00000000</v>
      </c>
      <c r="E719" s="46" t="s">
        <v>2234</v>
      </c>
    </row>
    <row r="720" spans="1:6" x14ac:dyDescent="0.25">
      <c r="A720" s="46">
        <v>1555.2</v>
      </c>
      <c r="B720" s="46" t="s">
        <v>45</v>
      </c>
      <c r="C720" s="46" t="s">
        <v>151</v>
      </c>
      <c r="D720" s="98" t="str">
        <f>DEC2HEX(MOD(STRUCT!O56,2^1),8)</f>
        <v>00000001</v>
      </c>
      <c r="E720" s="46" t="s">
        <v>2234</v>
      </c>
    </row>
    <row r="721" spans="1:5" x14ac:dyDescent="0.25">
      <c r="A721" s="46">
        <v>1555.2</v>
      </c>
      <c r="B721" s="46" t="s">
        <v>45</v>
      </c>
      <c r="C721" s="46" t="s">
        <v>152</v>
      </c>
      <c r="D721" s="98" t="str">
        <f>DEC2HEX(MOD(STRUCT!O57,2^1),8)</f>
        <v>00000001</v>
      </c>
      <c r="E721" s="46" t="s">
        <v>2234</v>
      </c>
    </row>
    <row r="722" spans="1:5" x14ac:dyDescent="0.25">
      <c r="A722" s="46">
        <v>1555.2</v>
      </c>
      <c r="B722" s="46" t="s">
        <v>45</v>
      </c>
      <c r="C722" s="46" t="s">
        <v>153</v>
      </c>
      <c r="D722" s="98" t="str">
        <f>DEC2HEX(MOD(STRUCT!O58,2^1),8)</f>
        <v>00000001</v>
      </c>
      <c r="E722" s="46" t="s">
        <v>2234</v>
      </c>
    </row>
    <row r="723" spans="1:5" x14ac:dyDescent="0.25">
      <c r="A723" s="46">
        <v>1555.2</v>
      </c>
      <c r="B723" s="46" t="s">
        <v>45</v>
      </c>
      <c r="C723" s="46" t="s">
        <v>154</v>
      </c>
      <c r="D723" s="98" t="str">
        <f>DEC2HEX(MOD(STRUCT!O59,2^1),8)</f>
        <v>00000000</v>
      </c>
      <c r="E723" s="46" t="s">
        <v>2234</v>
      </c>
    </row>
    <row r="724" spans="1:5" x14ac:dyDescent="0.25">
      <c r="A724" s="46">
        <v>1555.2</v>
      </c>
      <c r="B724" s="46" t="s">
        <v>45</v>
      </c>
      <c r="C724" s="46" t="s">
        <v>155</v>
      </c>
      <c r="D724" s="98" t="str">
        <f>DEC2HEX(MOD(STRUCT!O60,2^1),8)</f>
        <v>00000001</v>
      </c>
      <c r="E724" s="46" t="s">
        <v>2234</v>
      </c>
    </row>
    <row r="725" spans="1:5" x14ac:dyDescent="0.25">
      <c r="A725" s="46">
        <v>1555.2</v>
      </c>
      <c r="B725" s="46" t="s">
        <v>45</v>
      </c>
      <c r="C725" s="46" t="s">
        <v>156</v>
      </c>
      <c r="D725" s="98" t="str">
        <f>DEC2HEX(MOD(STRUCT!O61,2^1),8)</f>
        <v>00000001</v>
      </c>
      <c r="E725" s="46" t="s">
        <v>2234</v>
      </c>
    </row>
    <row r="726" spans="1:5" x14ac:dyDescent="0.25">
      <c r="A726" s="46">
        <v>1555.2</v>
      </c>
      <c r="B726" s="46" t="s">
        <v>45</v>
      </c>
      <c r="C726" s="46" t="s">
        <v>103</v>
      </c>
      <c r="D726" s="98" t="str">
        <f>DEC2HEX(MOD(STRUCT!O30,2^8),8)</f>
        <v>00000000</v>
      </c>
      <c r="E726" s="46" t="str">
        <f t="shared" ref="E726:E741" si="18">DEC2HEX(2^0*(2^32-1),8)</f>
        <v>FFFFFFFF</v>
      </c>
    </row>
    <row r="727" spans="1:5" x14ac:dyDescent="0.25">
      <c r="A727" s="46">
        <v>1555.2</v>
      </c>
      <c r="B727" s="46" t="s">
        <v>45</v>
      </c>
      <c r="C727" s="46" t="s">
        <v>107</v>
      </c>
      <c r="D727" s="98" t="str">
        <f>DEC2HEX(MOD(STRUCT!O31,2^8),8)</f>
        <v>00000000</v>
      </c>
      <c r="E727" s="46" t="str">
        <f t="shared" si="18"/>
        <v>FFFFFFFF</v>
      </c>
    </row>
    <row r="728" spans="1:5" x14ac:dyDescent="0.25">
      <c r="A728" s="46">
        <v>1555.2</v>
      </c>
      <c r="B728" s="46" t="s">
        <v>45</v>
      </c>
      <c r="C728" s="46" t="s">
        <v>109</v>
      </c>
      <c r="D728" s="98" t="str">
        <f>DEC2HEX(MOD(STRUCT!O32,2^8),8)</f>
        <v>0000001D</v>
      </c>
      <c r="E728" s="46" t="str">
        <f t="shared" si="18"/>
        <v>FFFFFFFF</v>
      </c>
    </row>
    <row r="729" spans="1:5" x14ac:dyDescent="0.25">
      <c r="A729" s="46">
        <v>1555.2</v>
      </c>
      <c r="B729" s="46" t="s">
        <v>45</v>
      </c>
      <c r="C729" s="46" t="s">
        <v>112</v>
      </c>
      <c r="D729" s="98" t="str">
        <f>DEC2HEX(MOD(STRUCT!O33,2^8),8)</f>
        <v>0000001D</v>
      </c>
      <c r="E729" s="46" t="str">
        <f t="shared" si="18"/>
        <v>FFFFFFFF</v>
      </c>
    </row>
    <row r="730" spans="1:5" x14ac:dyDescent="0.25">
      <c r="A730" s="46">
        <v>1555.2</v>
      </c>
      <c r="B730" s="46" t="s">
        <v>45</v>
      </c>
      <c r="C730" s="46" t="s">
        <v>114</v>
      </c>
      <c r="D730" s="98" t="str">
        <f>DEC2HEX(MOD(STRUCT!O34,2^8),8)</f>
        <v>00000000</v>
      </c>
      <c r="E730" s="46" t="str">
        <f t="shared" si="18"/>
        <v>FFFFFFFF</v>
      </c>
    </row>
    <row r="731" spans="1:5" x14ac:dyDescent="0.25">
      <c r="A731" s="46">
        <v>1555.2</v>
      </c>
      <c r="B731" s="46" t="s">
        <v>45</v>
      </c>
      <c r="C731" s="46" t="s">
        <v>116</v>
      </c>
      <c r="D731" s="98" t="str">
        <f>DEC2HEX(MOD(STRUCT!O35,2^8),8)</f>
        <v>00000000</v>
      </c>
      <c r="E731" s="46" t="str">
        <f t="shared" si="18"/>
        <v>FFFFFFFF</v>
      </c>
    </row>
    <row r="732" spans="1:5" x14ac:dyDescent="0.25">
      <c r="A732" s="46">
        <v>1555.2</v>
      </c>
      <c r="B732" s="46" t="s">
        <v>45</v>
      </c>
      <c r="C732" s="46" t="s">
        <v>118</v>
      </c>
      <c r="D732" s="98" t="str">
        <f>DEC2HEX(MOD(STRUCT!O36,2^8),8)</f>
        <v>00000000</v>
      </c>
      <c r="E732" s="46" t="str">
        <f t="shared" si="18"/>
        <v>FFFFFFFF</v>
      </c>
    </row>
    <row r="733" spans="1:5" x14ac:dyDescent="0.25">
      <c r="A733" s="46">
        <v>1555.2</v>
      </c>
      <c r="B733" s="46" t="s">
        <v>45</v>
      </c>
      <c r="C733" s="46" t="s">
        <v>120</v>
      </c>
      <c r="D733" s="98" t="str">
        <f>DEC2HEX(MOD(STRUCT!O37,2^8),8)</f>
        <v>00000000</v>
      </c>
      <c r="E733" s="46" t="str">
        <f t="shared" si="18"/>
        <v>FFFFFFFF</v>
      </c>
    </row>
    <row r="734" spans="1:5" x14ac:dyDescent="0.25">
      <c r="A734" s="46">
        <v>1555.2</v>
      </c>
      <c r="B734" s="46" t="s">
        <v>45</v>
      </c>
      <c r="C734" s="46" t="s">
        <v>122</v>
      </c>
      <c r="D734" s="98" t="str">
        <f>DEC2HEX(MOD(STRUCT!O38,2^8),8)</f>
        <v>0000003E</v>
      </c>
      <c r="E734" s="46" t="str">
        <f t="shared" si="18"/>
        <v>FFFFFFFF</v>
      </c>
    </row>
    <row r="735" spans="1:5" x14ac:dyDescent="0.25">
      <c r="A735" s="46">
        <v>1555.2</v>
      </c>
      <c r="B735" s="46" t="s">
        <v>45</v>
      </c>
      <c r="C735" s="46" t="s">
        <v>125</v>
      </c>
      <c r="D735" s="98" t="str">
        <f>DEC2HEX(MOD(STRUCT!O39,2^8),8)</f>
        <v>00000000</v>
      </c>
      <c r="E735" s="46" t="str">
        <f t="shared" si="18"/>
        <v>FFFFFFFF</v>
      </c>
    </row>
    <row r="736" spans="1:5" x14ac:dyDescent="0.25">
      <c r="A736" s="46">
        <v>1555.2</v>
      </c>
      <c r="B736" s="46" t="s">
        <v>45</v>
      </c>
      <c r="C736" s="46" t="s">
        <v>127</v>
      </c>
      <c r="D736" s="98" t="str">
        <f>DEC2HEX(MOD(STRUCT!O40,2^8),8)</f>
        <v>00000000</v>
      </c>
      <c r="E736" s="46" t="str">
        <f t="shared" si="18"/>
        <v>FFFFFFFF</v>
      </c>
    </row>
    <row r="737" spans="1:5" x14ac:dyDescent="0.25">
      <c r="A737" s="46">
        <v>1555.2</v>
      </c>
      <c r="B737" s="46" t="s">
        <v>45</v>
      </c>
      <c r="C737" s="46" t="s">
        <v>129</v>
      </c>
      <c r="D737" s="98" t="str">
        <f>DEC2HEX(MOD(STRUCT!O41,2^8),8)</f>
        <v>0000001D</v>
      </c>
      <c r="E737" s="46" t="str">
        <f t="shared" si="18"/>
        <v>FFFFFFFF</v>
      </c>
    </row>
    <row r="738" spans="1:5" x14ac:dyDescent="0.25">
      <c r="A738" s="46">
        <v>1555.2</v>
      </c>
      <c r="B738" s="46" t="s">
        <v>45</v>
      </c>
      <c r="C738" s="46" t="s">
        <v>131</v>
      </c>
      <c r="D738" s="98" t="str">
        <f>DEC2HEX(MOD(STRUCT!O42,2^8),8)</f>
        <v>0000003E</v>
      </c>
      <c r="E738" s="46" t="str">
        <f t="shared" si="18"/>
        <v>FFFFFFFF</v>
      </c>
    </row>
    <row r="739" spans="1:5" x14ac:dyDescent="0.25">
      <c r="A739" s="46">
        <v>1555.2</v>
      </c>
      <c r="B739" s="46" t="s">
        <v>45</v>
      </c>
      <c r="C739" s="46" t="s">
        <v>133</v>
      </c>
      <c r="D739" s="98" t="str">
        <f>DEC2HEX(MOD(STRUCT!O43,2^8),8)</f>
        <v>00000000</v>
      </c>
      <c r="E739" s="46" t="str">
        <f t="shared" si="18"/>
        <v>FFFFFFFF</v>
      </c>
    </row>
    <row r="740" spans="1:5" x14ac:dyDescent="0.25">
      <c r="A740" s="46">
        <v>1555.2</v>
      </c>
      <c r="B740" s="46" t="s">
        <v>45</v>
      </c>
      <c r="C740" s="46" t="s">
        <v>135</v>
      </c>
      <c r="D740" s="98" t="str">
        <f>DEC2HEX(MOD(STRUCT!O44,2^8),8)</f>
        <v>0000001D</v>
      </c>
      <c r="E740" s="46" t="str">
        <f t="shared" si="18"/>
        <v>FFFFFFFF</v>
      </c>
    </row>
    <row r="741" spans="1:5" x14ac:dyDescent="0.25">
      <c r="A741" s="46">
        <v>1555.2</v>
      </c>
      <c r="B741" s="46" t="s">
        <v>45</v>
      </c>
      <c r="C741" s="46" t="s">
        <v>137</v>
      </c>
      <c r="D741" s="98" t="str">
        <f>DEC2HEX(MOD(STRUCT!O45,2^8),8)</f>
        <v>00000000</v>
      </c>
      <c r="E741" s="46" t="str">
        <f t="shared" si="18"/>
        <v>FFFFFFFF</v>
      </c>
    </row>
    <row r="742" spans="1:5" x14ac:dyDescent="0.25">
      <c r="A742" s="46">
        <v>1555.2</v>
      </c>
      <c r="B742" s="46" t="s">
        <v>45</v>
      </c>
      <c r="C742" s="46" t="s">
        <v>157</v>
      </c>
      <c r="D742" s="98" t="str">
        <f>DEC2HEX(2^16*MOD(STRUCT!O62,2^8)+2^0*MOD(STRUCT!O63,2^8),8)</f>
        <v>00300030</v>
      </c>
      <c r="E742" s="46" t="str">
        <f>DEC2HEX(2^16*(2^8-1)+2^0*(2^8-1),8)</f>
        <v>00FF00FF</v>
      </c>
    </row>
    <row r="743" spans="1:5" x14ac:dyDescent="0.25">
      <c r="A743" s="46">
        <v>1555.2</v>
      </c>
      <c r="B743" s="46" t="s">
        <v>45</v>
      </c>
      <c r="C743" s="46" t="s">
        <v>163</v>
      </c>
      <c r="D743" s="98" t="str">
        <f>DEC2HEX(2^16*MOD(STRUCT!O64,2^8)+2^0*MOD(STRUCT!O65,2^8),8)</f>
        <v>000D000D</v>
      </c>
      <c r="E743" s="46" t="str">
        <f t="shared" ref="E743:E758" si="19">DEC2HEX(2^0*(2^32-1),8)</f>
        <v>FFFFFFFF</v>
      </c>
    </row>
    <row r="744" spans="1:5" x14ac:dyDescent="0.25">
      <c r="A744" s="46">
        <v>1555.2</v>
      </c>
      <c r="B744" s="46" t="s">
        <v>26</v>
      </c>
      <c r="C744" s="46" t="s">
        <v>6753</v>
      </c>
      <c r="D744" s="98" t="str">
        <f>DEC2HEX(2^16*MOD(STRUCT!F96,2^8)+2^8*MOD(STRUCT!F97,2^8)+2^0*MOD(STRUCT!F98,2^8),8)</f>
        <v>00042404</v>
      </c>
      <c r="E744" s="46" t="str">
        <f t="shared" si="19"/>
        <v>FFFFFFFF</v>
      </c>
    </row>
    <row r="745" spans="1:5" x14ac:dyDescent="0.25">
      <c r="A745" s="46">
        <v>1555.2</v>
      </c>
      <c r="B745" s="46" t="s">
        <v>26</v>
      </c>
      <c r="C745" s="46" t="s">
        <v>6756</v>
      </c>
      <c r="D745" s="98" t="str">
        <f>DEC2HEX(2^24*MOD(STRUCT!F99,2^8)+2^16*MOD(STRUCT!F100,2^8)+2^8*MOD(STRUCT!F101,2^8)+2^0*MOD(STRUCT!F102,2^8),8)</f>
        <v>201C0004</v>
      </c>
      <c r="E745" s="46" t="str">
        <f t="shared" si="19"/>
        <v>FFFFFFFF</v>
      </c>
    </row>
    <row r="746" spans="1:5" x14ac:dyDescent="0.25">
      <c r="A746" s="46">
        <v>1555.2</v>
      </c>
      <c r="B746" s="46" t="s">
        <v>26</v>
      </c>
      <c r="C746" s="46" t="s">
        <v>6759</v>
      </c>
      <c r="D746" s="98" t="str">
        <f>DEC2HEX(2^0*MOD(STRUCT!F103,2^8),8)</f>
        <v>00000008</v>
      </c>
      <c r="E746" s="46" t="str">
        <f t="shared" si="19"/>
        <v>FFFFFFFF</v>
      </c>
    </row>
    <row r="747" spans="1:5" x14ac:dyDescent="0.25">
      <c r="A747" s="46">
        <v>1555.2</v>
      </c>
      <c r="B747" s="46" t="s">
        <v>26</v>
      </c>
      <c r="C747" s="46" t="s">
        <v>6760</v>
      </c>
      <c r="D747" s="98" t="str">
        <f>DEC2HEX(2^16*MOD(STRUCT!F104,2^8)+2^8*MOD(STRUCT!F105,2^8)+2^0*MOD(STRUCT!F106,2^8),8)</f>
        <v>00042404</v>
      </c>
      <c r="E747" s="46" t="str">
        <f t="shared" si="19"/>
        <v>FFFFFFFF</v>
      </c>
    </row>
    <row r="748" spans="1:5" x14ac:dyDescent="0.25">
      <c r="A748" s="46">
        <v>1555.2</v>
      </c>
      <c r="B748" s="46" t="s">
        <v>26</v>
      </c>
      <c r="C748" s="46" t="s">
        <v>6761</v>
      </c>
      <c r="D748" s="98" t="str">
        <f>DEC2HEX(2^24*MOD(STRUCT!F107,2^8)+2^16*MOD(STRUCT!F108,2^8)+2^8*MOD(STRUCT!F109,2^8)+2^0*MOD(STRUCT!F110,2^8),8)</f>
        <v>201C0004</v>
      </c>
      <c r="E748" s="46" t="str">
        <f t="shared" si="19"/>
        <v>FFFFFFFF</v>
      </c>
    </row>
    <row r="749" spans="1:5" x14ac:dyDescent="0.25">
      <c r="A749" s="46">
        <v>1555.2</v>
      </c>
      <c r="B749" s="46" t="s">
        <v>26</v>
      </c>
      <c r="C749" s="46" t="s">
        <v>6762</v>
      </c>
      <c r="D749" s="98" t="str">
        <f>DEC2HEX(2^0*MOD(STRUCT!F111,2^8),8)</f>
        <v>00000008</v>
      </c>
      <c r="E749" s="46" t="str">
        <f t="shared" si="19"/>
        <v>FFFFFFFF</v>
      </c>
    </row>
    <row r="750" spans="1:5" x14ac:dyDescent="0.25">
      <c r="A750" s="46">
        <v>1555.2</v>
      </c>
      <c r="B750" s="46" t="s">
        <v>26</v>
      </c>
      <c r="C750" s="46" t="s">
        <v>6763</v>
      </c>
      <c r="D750" s="98" t="str">
        <f>DEC2HEX(2^16*MOD(STRUCT!F112,2^8)+2^8*MOD(STRUCT!F113,2^8)+2^0*MOD(STRUCT!F114,2^8),8)</f>
        <v>00042404</v>
      </c>
      <c r="E750" s="46" t="str">
        <f t="shared" si="19"/>
        <v>FFFFFFFF</v>
      </c>
    </row>
    <row r="751" spans="1:5" x14ac:dyDescent="0.25">
      <c r="A751" s="46">
        <v>1555.2</v>
      </c>
      <c r="B751" s="46" t="s">
        <v>26</v>
      </c>
      <c r="C751" s="46" t="s">
        <v>6764</v>
      </c>
      <c r="D751" s="98" t="str">
        <f>DEC2HEX(2^24*MOD(STRUCT!F115,2^8)+2^16*MOD(STRUCT!F116,2^8)+2^8*MOD(STRUCT!F117,2^8)+2^0*MOD(STRUCT!F118,2^8),8)</f>
        <v>201C0004</v>
      </c>
      <c r="E751" s="46" t="str">
        <f t="shared" si="19"/>
        <v>FFFFFFFF</v>
      </c>
    </row>
    <row r="752" spans="1:5" x14ac:dyDescent="0.25">
      <c r="A752" s="46">
        <v>1555.2</v>
      </c>
      <c r="B752" s="46" t="s">
        <v>26</v>
      </c>
      <c r="C752" s="46" t="s">
        <v>6765</v>
      </c>
      <c r="D752" s="98" t="str">
        <f>DEC2HEX(2^0*MOD(STRUCT!F119,2^8),8)</f>
        <v>00000008</v>
      </c>
      <c r="E752" s="46" t="str">
        <f t="shared" si="19"/>
        <v>FFFFFFFF</v>
      </c>
    </row>
    <row r="753" spans="1:6" x14ac:dyDescent="0.25">
      <c r="A753" s="46">
        <v>1555.2</v>
      </c>
      <c r="B753" s="46" t="s">
        <v>26</v>
      </c>
      <c r="C753" s="46" t="s">
        <v>6766</v>
      </c>
      <c r="D753" s="98" t="str">
        <f>DEC2HEX(2^16*MOD(STRUCT!F120,2^8)+2^8*MOD(STRUCT!F121,2^8)+2^0*MOD(STRUCT!F122,2^8),8)</f>
        <v>00042404</v>
      </c>
      <c r="E753" s="46" t="str">
        <f t="shared" si="19"/>
        <v>FFFFFFFF</v>
      </c>
    </row>
    <row r="754" spans="1:6" x14ac:dyDescent="0.25">
      <c r="A754" s="46">
        <v>1555.2</v>
      </c>
      <c r="B754" s="46" t="s">
        <v>26</v>
      </c>
      <c r="C754" s="46" t="s">
        <v>6767</v>
      </c>
      <c r="D754" s="98" t="str">
        <f>DEC2HEX(2^24*MOD(STRUCT!F123,2^8)+2^16*MOD(STRUCT!F124,2^8)+2^8*MOD(STRUCT!F125,2^8)+2^0*MOD(STRUCT!F126,2^8),8)</f>
        <v>201C0004</v>
      </c>
      <c r="E754" s="46" t="str">
        <f t="shared" si="19"/>
        <v>FFFFFFFF</v>
      </c>
    </row>
    <row r="755" spans="1:6" x14ac:dyDescent="0.25">
      <c r="A755" s="46">
        <v>1555.2</v>
      </c>
      <c r="B755" s="46" t="s">
        <v>26</v>
      </c>
      <c r="C755" s="46" t="s">
        <v>6768</v>
      </c>
      <c r="D755" s="98" t="str">
        <f>DEC2HEX(2^0*MOD(STRUCT!F127,2^8),8)</f>
        <v>00000008</v>
      </c>
      <c r="E755" s="46" t="str">
        <f t="shared" si="19"/>
        <v>FFFFFFFF</v>
      </c>
    </row>
    <row r="756" spans="1:6" x14ac:dyDescent="0.25">
      <c r="A756" s="46">
        <v>1555.2</v>
      </c>
      <c r="B756" s="46" t="s">
        <v>32</v>
      </c>
      <c r="C756" s="46" t="s">
        <v>6703</v>
      </c>
      <c r="D756" s="98" t="str">
        <f>DEC2HEX(2^24*MOD(STRUCT!J78,2^8)+2^16*MOD(STRUCT!J79,2^8)+2^8*MOD(STRUCT!J80,2^8)+2^0*MOD(STRUCT!J81,2^8),8)</f>
        <v>030C4601</v>
      </c>
      <c r="E756" s="46" t="str">
        <f t="shared" si="19"/>
        <v>FFFFFFFF</v>
      </c>
    </row>
    <row r="757" spans="1:6" x14ac:dyDescent="0.25">
      <c r="A757" s="46">
        <v>1555.2</v>
      </c>
      <c r="B757" s="46" t="s">
        <v>32</v>
      </c>
      <c r="C757" s="46" t="s">
        <v>6705</v>
      </c>
      <c r="D757" s="98" t="str">
        <f>DEC2HEX(2^24*MOD(STRUCT!J82,2^8)+2^16*MOD(STRUCT!J83,2^8)+2^8*MOD(STRUCT!J84,2^8)+2^0*MOD(STRUCT!J85,2^8),8)</f>
        <v>0000000C</v>
      </c>
      <c r="E757" s="46" t="str">
        <f t="shared" si="19"/>
        <v>FFFFFFFF</v>
      </c>
    </row>
    <row r="758" spans="1:6" x14ac:dyDescent="0.25">
      <c r="A758" s="46">
        <v>1555.2</v>
      </c>
      <c r="B758" s="46" t="s">
        <v>32</v>
      </c>
      <c r="C758" s="46" t="s">
        <v>6706</v>
      </c>
      <c r="D758" s="98" t="str">
        <f>DEC2HEX(2^0*MOD(STRUCT!J86,2^8),8)</f>
        <v>00000066</v>
      </c>
      <c r="E758" s="46" t="str">
        <f t="shared" si="19"/>
        <v>FFFFFFFF</v>
      </c>
    </row>
    <row r="759" spans="1:6" x14ac:dyDescent="0.25">
      <c r="A759" s="46">
        <v>1555.2</v>
      </c>
      <c r="B759" s="46" t="s">
        <v>25</v>
      </c>
      <c r="C759" s="46" t="s">
        <v>6592</v>
      </c>
      <c r="D759" s="98" t="str">
        <f>DEC2HEX(2^24*MOD(STRUCT!K87,2^8)+2^16*MOD(STRUCT!K88,2^8)+2^8*MOD(STRUCT!K89,2^8)+2^0*MOD(STRUCT!K90,2^8),8)</f>
        <v>040E1A01</v>
      </c>
      <c r="E759" s="46" t="s">
        <v>2233</v>
      </c>
      <c r="F759" s="81" t="s">
        <v>7285</v>
      </c>
    </row>
    <row r="760" spans="1:6" x14ac:dyDescent="0.25">
      <c r="A760" s="46">
        <v>1555.2</v>
      </c>
      <c r="B760" s="46" t="s">
        <v>25</v>
      </c>
      <c r="C760" s="46" t="s">
        <v>6595</v>
      </c>
      <c r="D760" s="98" t="str">
        <f>DEC2HEX(2^24*MOD(STRUCT!K91,2^1)+2^16*MOD(STRUCT!K92,2^8)+2^8*MOD(STRUCT!K93,2^8)+2^0*MOD(STRUCT!K94,2^8),8)</f>
        <v>0000000E</v>
      </c>
      <c r="E760" s="46" t="s">
        <v>2233</v>
      </c>
      <c r="F760" s="81" t="s">
        <v>7285</v>
      </c>
    </row>
    <row r="761" spans="1:6" x14ac:dyDescent="0.25">
      <c r="A761" s="46">
        <v>1555.2</v>
      </c>
      <c r="B761" s="46" t="s">
        <v>25</v>
      </c>
      <c r="C761" s="46" t="s">
        <v>6596</v>
      </c>
      <c r="D761" s="98" t="str">
        <f>DEC2HEX(2^0*MOD(STRUCT!K95,2^8),8)</f>
        <v>00000028</v>
      </c>
      <c r="E761" s="46" t="s">
        <v>2233</v>
      </c>
      <c r="F761" s="81" t="s">
        <v>7285</v>
      </c>
    </row>
    <row r="762" spans="1:6" x14ac:dyDescent="0.25">
      <c r="A762" s="46">
        <v>1555.2</v>
      </c>
      <c r="B762" s="46" t="s">
        <v>37</v>
      </c>
      <c r="C762" s="46" t="s">
        <v>2443</v>
      </c>
      <c r="D762" s="98" t="str">
        <f>DEC2HEX(2^24*MOD(STRUCT!F155,2^8)+2^16*MOD(STRUCT!F156,2^8)+2^8*MOD(STRUCT!F153,2^8)+2^0*MOD(STRUCT!F154,2^8),8)</f>
        <v>10100101</v>
      </c>
      <c r="E762" s="46" t="s">
        <v>2234</v>
      </c>
    </row>
    <row r="763" spans="1:6" x14ac:dyDescent="0.25">
      <c r="A763" s="46">
        <v>1555.2</v>
      </c>
      <c r="B763" s="46" t="s">
        <v>37</v>
      </c>
      <c r="C763" s="46" t="s">
        <v>2453</v>
      </c>
      <c r="D763" s="98" t="str">
        <f>DEC2HEX(2^24*MOD(STRUCT!F159,2^8)+2^16*MOD(STRUCT!F160,2^8)+2^8*MOD(STRUCT!F157,2^8)+2^0*MOD(STRUCT!F158,2^8),8)</f>
        <v>10100101</v>
      </c>
      <c r="E763" s="46" t="s">
        <v>2234</v>
      </c>
    </row>
    <row r="764" spans="1:6" x14ac:dyDescent="0.25">
      <c r="A764" s="46">
        <v>1555.2</v>
      </c>
      <c r="B764" s="46" t="s">
        <v>37</v>
      </c>
      <c r="C764" s="46" t="s">
        <v>2457</v>
      </c>
      <c r="D764" s="98" t="str">
        <f>DEC2HEX(2^24*MOD(STRUCT!F163,2^8)+2^16*MOD(STRUCT!F164,2^8)+2^8*MOD(STRUCT!F161,2^8)+2^0*MOD(STRUCT!F162,2^8),8)</f>
        <v>10100101</v>
      </c>
      <c r="E764" s="46" t="s">
        <v>2234</v>
      </c>
    </row>
    <row r="765" spans="1:6" x14ac:dyDescent="0.25">
      <c r="A765" s="46">
        <v>1555.2</v>
      </c>
      <c r="B765" s="46" t="s">
        <v>37</v>
      </c>
      <c r="C765" s="46" t="s">
        <v>2463</v>
      </c>
      <c r="D765" s="98" t="str">
        <f>DEC2HEX(2^24*MOD(STRUCT!F167,2^8)+2^16*MOD(STRUCT!F168,2^8)+2^8*MOD(STRUCT!F165,2^8)+2^0*MOD(STRUCT!F166,2^8),8)</f>
        <v>10100101</v>
      </c>
      <c r="E765" s="46" t="s">
        <v>2234</v>
      </c>
    </row>
    <row r="766" spans="1:6" x14ac:dyDescent="0.25">
      <c r="A766" s="46">
        <v>1555.2</v>
      </c>
      <c r="B766" s="46" t="s">
        <v>37</v>
      </c>
      <c r="C766" s="46" t="s">
        <v>2446</v>
      </c>
      <c r="D766" s="98" t="str">
        <f>DEC2HEX(2^24*MOD(STRUCT!F171,2^8)+2^16*MOD(STRUCT!F172,2^8)+2^8*MOD(STRUCT!F169,2^8)+2^0*MOD(STRUCT!F170,2^8),8)</f>
        <v>10101818</v>
      </c>
      <c r="E766" s="46" t="s">
        <v>2234</v>
      </c>
    </row>
    <row r="767" spans="1:6" x14ac:dyDescent="0.25">
      <c r="A767" s="46">
        <v>1555.2</v>
      </c>
      <c r="B767" s="46" t="s">
        <v>37</v>
      </c>
      <c r="C767" s="46" t="s">
        <v>2454</v>
      </c>
      <c r="D767" s="98" t="str">
        <f>DEC2HEX(2^24*MOD(STRUCT!F175,2^8)+2^16*MOD(STRUCT!F176,2^8)+2^8*MOD(STRUCT!F173,2^8)+2^0*MOD(STRUCT!F174,2^8),8)</f>
        <v>10101818</v>
      </c>
      <c r="E767" s="46" t="s">
        <v>2234</v>
      </c>
    </row>
    <row r="768" spans="1:6" x14ac:dyDescent="0.25">
      <c r="A768" s="46">
        <v>1555.2</v>
      </c>
      <c r="B768" s="46" t="s">
        <v>37</v>
      </c>
      <c r="C768" s="46" t="s">
        <v>2458</v>
      </c>
      <c r="D768" s="98" t="str">
        <f>DEC2HEX(2^24*MOD(STRUCT!F179,2^8)+2^16*MOD(STRUCT!F180,2^8)+2^8*MOD(STRUCT!F177,2^8)+2^0*MOD(STRUCT!F178,2^8),8)</f>
        <v>10101818</v>
      </c>
      <c r="E768" s="46" t="s">
        <v>2234</v>
      </c>
    </row>
    <row r="769" spans="1:6" x14ac:dyDescent="0.25">
      <c r="A769" s="46">
        <v>1555.2</v>
      </c>
      <c r="B769" s="46" t="s">
        <v>37</v>
      </c>
      <c r="C769" s="46" t="s">
        <v>2465</v>
      </c>
      <c r="D769" s="98" t="str">
        <f>DEC2HEX(2^24*MOD(STRUCT!F183,2^8)+2^16*MOD(STRUCT!F184,2^8)+2^8*MOD(STRUCT!F181,2^8)+2^0*MOD(STRUCT!F182,2^8),8)</f>
        <v>10101818</v>
      </c>
      <c r="E769" s="46" t="s">
        <v>2234</v>
      </c>
    </row>
    <row r="770" spans="1:6" x14ac:dyDescent="0.25">
      <c r="A770" s="46">
        <v>1555.2</v>
      </c>
      <c r="B770" s="46" t="s">
        <v>37</v>
      </c>
      <c r="C770" s="46" t="s">
        <v>2399</v>
      </c>
      <c r="D770" s="98" t="str">
        <f>DEC2HEX(2^24*MOD(STRUCT!F185,2^8)+2^16*MOD(STRUCT!F186,2^8)+2^8*MOD(STRUCT!F187,2^8)+2^0*MOD(STRUCT!F188,2^8),8)</f>
        <v>019D9D9D</v>
      </c>
      <c r="E770" s="46" t="s">
        <v>2234</v>
      </c>
    </row>
    <row r="771" spans="1:6" x14ac:dyDescent="0.25">
      <c r="A771" s="46">
        <v>1555.2</v>
      </c>
      <c r="B771" s="46" t="s">
        <v>37</v>
      </c>
      <c r="C771" s="46" t="s">
        <v>2396</v>
      </c>
      <c r="D771" s="98" t="str">
        <f>DEC2HEX(2^24*MOD(STRUCT!F189,2^8)+2^16*MOD(STRUCT!F190,2^8)+2^8*MOD(STRUCT!F191,2^8)+2^0*MOD(STRUCT!F192,2^8),8)</f>
        <v>9D9D9D9D</v>
      </c>
      <c r="E771" s="46" t="s">
        <v>2234</v>
      </c>
    </row>
    <row r="772" spans="1:6" x14ac:dyDescent="0.25">
      <c r="A772" s="46">
        <v>1555.2</v>
      </c>
      <c r="B772" s="46" t="s">
        <v>37</v>
      </c>
      <c r="C772" s="46" t="s">
        <v>2404</v>
      </c>
      <c r="D772" s="98" t="str">
        <f>DEC2HEX(2^24*MOD(STRUCT!F193,2^8)+2^16*MOD(STRUCT!F194,2^8)+2^8*MOD(STRUCT!F195,2^8)+2^0*MOD(STRUCT!F196,2^8),8)</f>
        <v>019D9D9D</v>
      </c>
      <c r="E772" s="46" t="s">
        <v>2234</v>
      </c>
    </row>
    <row r="773" spans="1:6" x14ac:dyDescent="0.25">
      <c r="A773" s="46">
        <v>1555.2</v>
      </c>
      <c r="B773" s="46" t="s">
        <v>37</v>
      </c>
      <c r="C773" s="46" t="s">
        <v>2403</v>
      </c>
      <c r="D773" s="98" t="str">
        <f>DEC2HEX(2^24*MOD(STRUCT!F197,2^8)+2^16*MOD(STRUCT!F198,2^8)+2^8*MOD(STRUCT!F199,2^8)+2^0*MOD(STRUCT!F200,2^8),8)</f>
        <v>9D9D9D9D</v>
      </c>
      <c r="E773" s="46" t="s">
        <v>2234</v>
      </c>
    </row>
    <row r="774" spans="1:6" x14ac:dyDescent="0.25">
      <c r="A774" s="46">
        <v>1555.2</v>
      </c>
      <c r="B774" s="46" t="s">
        <v>37</v>
      </c>
      <c r="C774" s="46" t="s">
        <v>2407</v>
      </c>
      <c r="D774" s="98" t="str">
        <f>DEC2HEX(2^24*MOD(STRUCT!F201,2^8)+2^16*MOD(STRUCT!F202,2^8)+2^8*MOD(STRUCT!F203,2^8)+2^0*MOD(STRUCT!F204,2^8),8)</f>
        <v>019D9D9D</v>
      </c>
      <c r="E774" s="46" t="s">
        <v>2234</v>
      </c>
    </row>
    <row r="775" spans="1:6" x14ac:dyDescent="0.25">
      <c r="A775" s="46">
        <v>1555.2</v>
      </c>
      <c r="B775" s="46" t="s">
        <v>37</v>
      </c>
      <c r="C775" s="46" t="s">
        <v>2406</v>
      </c>
      <c r="D775" s="98" t="str">
        <f>DEC2HEX(2^24*MOD(STRUCT!F205,2^8)+2^16*MOD(STRUCT!F206,2^8)+2^8*MOD(STRUCT!F207,2^8)+2^0*MOD(STRUCT!F208,2^8),8)</f>
        <v>9D9D9D9D</v>
      </c>
      <c r="E775" s="46" t="s">
        <v>2234</v>
      </c>
    </row>
    <row r="776" spans="1:6" x14ac:dyDescent="0.25">
      <c r="A776" s="46">
        <v>1555.2</v>
      </c>
      <c r="B776" s="46" t="s">
        <v>37</v>
      </c>
      <c r="C776" s="46" t="s">
        <v>2410</v>
      </c>
      <c r="D776" s="98" t="str">
        <f>DEC2HEX(2^24*MOD(STRUCT!F209,2^8)+2^16*MOD(STRUCT!F210,2^8)+2^8*MOD(STRUCT!F211,2^8)+2^0*MOD(STRUCT!F212,2^8),8)</f>
        <v>019D9D9D</v>
      </c>
      <c r="E776" s="46" t="s">
        <v>2234</v>
      </c>
    </row>
    <row r="777" spans="1:6" x14ac:dyDescent="0.25">
      <c r="A777" s="46">
        <v>1555.2</v>
      </c>
      <c r="B777" s="46" t="s">
        <v>37</v>
      </c>
      <c r="C777" s="46" t="s">
        <v>2409</v>
      </c>
      <c r="D777" s="98" t="str">
        <f>DEC2HEX(2^24*MOD(STRUCT!F213,2^8)+2^16*MOD(STRUCT!F214,2^8)+2^8*MOD(STRUCT!F215,2^8)+2^0*MOD(STRUCT!F216,2^8),8)</f>
        <v>9D9D9D9D</v>
      </c>
      <c r="E777" s="46" t="s">
        <v>2234</v>
      </c>
    </row>
    <row r="778" spans="1:6" x14ac:dyDescent="0.25">
      <c r="A778" s="46">
        <v>1555.2</v>
      </c>
      <c r="B778" s="46" t="s">
        <v>37</v>
      </c>
      <c r="C778" s="63" t="s">
        <v>2429</v>
      </c>
      <c r="D778" s="98" t="str">
        <f>DEC2HEX(2^6*MOD(STRUCT!F217,2^1),8)</f>
        <v>00000000</v>
      </c>
      <c r="E778" s="46" t="s">
        <v>498</v>
      </c>
    </row>
    <row r="779" spans="1:6" x14ac:dyDescent="0.25">
      <c r="A779" s="46">
        <v>1555.2</v>
      </c>
      <c r="B779" s="46" t="s">
        <v>37</v>
      </c>
      <c r="C779" s="63" t="s">
        <v>2433</v>
      </c>
      <c r="D779" s="98" t="str">
        <f>DEC2HEX(2^6*MOD(STRUCT!F218,2^1),8)</f>
        <v>00000000</v>
      </c>
      <c r="E779" s="46" t="s">
        <v>498</v>
      </c>
    </row>
    <row r="780" spans="1:6" x14ac:dyDescent="0.25">
      <c r="A780" s="46">
        <v>1555.2</v>
      </c>
      <c r="B780" s="46" t="s">
        <v>37</v>
      </c>
      <c r="C780" s="63" t="s">
        <v>2438</v>
      </c>
      <c r="D780" s="98" t="str">
        <f>DEC2HEX(2^6*MOD(STRUCT!F219,2^1),8)</f>
        <v>00000000</v>
      </c>
      <c r="E780" s="46" t="s">
        <v>498</v>
      </c>
    </row>
    <row r="781" spans="1:6" x14ac:dyDescent="0.25">
      <c r="A781" s="46">
        <v>1555.2</v>
      </c>
      <c r="B781" s="46" t="s">
        <v>37</v>
      </c>
      <c r="C781" s="63" t="s">
        <v>2442</v>
      </c>
      <c r="D781" s="98" t="str">
        <f>DEC2HEX(2^6*MOD(STRUCT!F220,2^1),8)</f>
        <v>00000000</v>
      </c>
      <c r="E781" s="46" t="s">
        <v>498</v>
      </c>
    </row>
    <row r="782" spans="1:6" x14ac:dyDescent="0.25">
      <c r="A782" s="46">
        <v>1804.8</v>
      </c>
      <c r="B782" s="46" t="s">
        <v>44</v>
      </c>
      <c r="C782" s="46" t="s">
        <v>78</v>
      </c>
      <c r="D782" s="98" t="str">
        <f>DEC2HEX(2^24*MOD(STRUCT!P14,2^8)+2^16*MOD(STRUCT!P15,2^8)+2^8*MOD(STRUCT!P16,2^8)+2^0*MOD(STRUCT!P17,2^8),8)</f>
        <v>02070606</v>
      </c>
      <c r="E782" s="46" t="s">
        <v>2234</v>
      </c>
    </row>
    <row r="783" spans="1:6" x14ac:dyDescent="0.25">
      <c r="A783" s="46">
        <v>1804.8</v>
      </c>
      <c r="B783" s="46" t="s">
        <v>44</v>
      </c>
      <c r="C783" s="46" t="s">
        <v>86</v>
      </c>
      <c r="D783" s="98" t="str">
        <f>DEC2HEX(2^24*MOD(STRUCT!P18,2^8)+2^16*MOD(STRUCT!P19,2^8)+2^8*MOD(STRUCT!P20,2^8)+2^0*MOD(STRUCT!P21,2^8),8)</f>
        <v>01070006</v>
      </c>
      <c r="E783" s="46" t="s">
        <v>2234</v>
      </c>
    </row>
    <row r="784" spans="1:6" x14ac:dyDescent="0.25">
      <c r="A784" s="46">
        <v>1804.8</v>
      </c>
      <c r="B784" s="46" t="s">
        <v>44</v>
      </c>
      <c r="C784" s="46" t="s">
        <v>7281</v>
      </c>
      <c r="D784" s="98" t="str">
        <f>DEC2HEX(2^20*MOD(STRUCT!P22,2^8)+2^0*MOD(STRUCT!P23,2^14),8)</f>
        <v>00400000</v>
      </c>
      <c r="E784" s="46" t="s">
        <v>2236</v>
      </c>
      <c r="F784" s="81" t="s">
        <v>7286</v>
      </c>
    </row>
    <row r="785" spans="1:6" x14ac:dyDescent="0.25">
      <c r="A785" s="46">
        <v>1804.8</v>
      </c>
      <c r="B785" s="46" t="s">
        <v>44</v>
      </c>
      <c r="C785" s="46" t="s">
        <v>7282</v>
      </c>
      <c r="D785" s="98" t="str">
        <f>DEC2HEX(2^20*MOD(STRUCT!P24,2^8)+2^0*MOD(STRUCT!P25,2^14),8)</f>
        <v>00400000</v>
      </c>
      <c r="E785" s="46" t="s">
        <v>2236</v>
      </c>
      <c r="F785" s="81" t="s">
        <v>7286</v>
      </c>
    </row>
    <row r="786" spans="1:6" x14ac:dyDescent="0.25">
      <c r="A786" s="46">
        <v>1804.8</v>
      </c>
      <c r="B786" s="46" t="s">
        <v>44</v>
      </c>
      <c r="C786" s="46" t="s">
        <v>7283</v>
      </c>
      <c r="D786" s="98" t="str">
        <f>DEC2HEX(2^20*MOD(STRUCT!P26,2^8)+2^0*MOD(STRUCT!P27,2^14),8)</f>
        <v>00300000</v>
      </c>
      <c r="E786" s="46" t="s">
        <v>2234</v>
      </c>
    </row>
    <row r="787" spans="1:6" x14ac:dyDescent="0.25">
      <c r="A787" s="46">
        <v>1804.8</v>
      </c>
      <c r="B787" s="46" t="s">
        <v>44</v>
      </c>
      <c r="C787" s="46" t="s">
        <v>7284</v>
      </c>
      <c r="D787" s="98" t="str">
        <f>DEC2HEX(2^20*MOD(STRUCT!P28,2^8)+2^0*MOD(STRUCT!P29,2^14),8)</f>
        <v>00300000</v>
      </c>
      <c r="E787" s="46" t="s">
        <v>2234</v>
      </c>
    </row>
    <row r="788" spans="1:6" x14ac:dyDescent="0.25">
      <c r="A788" s="46">
        <v>1804.8</v>
      </c>
      <c r="B788" s="46" t="s">
        <v>45</v>
      </c>
      <c r="C788" s="46" t="s">
        <v>139</v>
      </c>
      <c r="D788" s="98" t="str">
        <f>DEC2HEX(MOD(STRUCT!P46,2^1),8)</f>
        <v>00000001</v>
      </c>
      <c r="E788" s="46" t="s">
        <v>2234</v>
      </c>
    </row>
    <row r="789" spans="1:6" x14ac:dyDescent="0.25">
      <c r="A789" s="46">
        <v>1804.8</v>
      </c>
      <c r="B789" s="46" t="s">
        <v>45</v>
      </c>
      <c r="C789" s="46" t="s">
        <v>142</v>
      </c>
      <c r="D789" s="98" t="str">
        <f>DEC2HEX(MOD(STRUCT!P47,2^1),8)</f>
        <v>00000000</v>
      </c>
      <c r="E789" s="46" t="s">
        <v>2234</v>
      </c>
    </row>
    <row r="790" spans="1:6" x14ac:dyDescent="0.25">
      <c r="A790" s="46">
        <v>1804.8</v>
      </c>
      <c r="B790" s="46" t="s">
        <v>45</v>
      </c>
      <c r="C790" s="46" t="s">
        <v>143</v>
      </c>
      <c r="D790" s="98" t="str">
        <f>DEC2HEX(MOD(STRUCT!P48,2^1),8)</f>
        <v>00000001</v>
      </c>
      <c r="E790" s="46" t="s">
        <v>2234</v>
      </c>
    </row>
    <row r="791" spans="1:6" x14ac:dyDescent="0.25">
      <c r="A791" s="46">
        <v>1804.8</v>
      </c>
      <c r="B791" s="46" t="s">
        <v>45</v>
      </c>
      <c r="C791" s="46" t="s">
        <v>144</v>
      </c>
      <c r="D791" s="98" t="str">
        <f>DEC2HEX(MOD(STRUCT!P49,2^1),8)</f>
        <v>00000001</v>
      </c>
      <c r="E791" s="46" t="s">
        <v>2234</v>
      </c>
    </row>
    <row r="792" spans="1:6" x14ac:dyDescent="0.25">
      <c r="A792" s="46">
        <v>1804.8</v>
      </c>
      <c r="B792" s="46" t="s">
        <v>45</v>
      </c>
      <c r="C792" s="46" t="s">
        <v>145</v>
      </c>
      <c r="D792" s="98" t="str">
        <f>DEC2HEX(MOD(STRUCT!P50,2^1),8)</f>
        <v>00000001</v>
      </c>
      <c r="E792" s="46" t="s">
        <v>2234</v>
      </c>
    </row>
    <row r="793" spans="1:6" x14ac:dyDescent="0.25">
      <c r="A793" s="46">
        <v>1804.8</v>
      </c>
      <c r="B793" s="46" t="s">
        <v>45</v>
      </c>
      <c r="C793" s="46" t="s">
        <v>146</v>
      </c>
      <c r="D793" s="98" t="str">
        <f>DEC2HEX(MOD(STRUCT!P51,2^1),8)</f>
        <v>00000000</v>
      </c>
      <c r="E793" s="46" t="s">
        <v>2234</v>
      </c>
    </row>
    <row r="794" spans="1:6" x14ac:dyDescent="0.25">
      <c r="A794" s="46">
        <v>1804.8</v>
      </c>
      <c r="B794" s="46" t="s">
        <v>45</v>
      </c>
      <c r="C794" s="46" t="s">
        <v>147</v>
      </c>
      <c r="D794" s="98" t="str">
        <f>DEC2HEX(MOD(STRUCT!P52,2^1),8)</f>
        <v>00000000</v>
      </c>
      <c r="E794" s="46" t="s">
        <v>2234</v>
      </c>
    </row>
    <row r="795" spans="1:6" x14ac:dyDescent="0.25">
      <c r="A795" s="46">
        <v>1804.8</v>
      </c>
      <c r="B795" s="46" t="s">
        <v>45</v>
      </c>
      <c r="C795" s="46" t="s">
        <v>148</v>
      </c>
      <c r="D795" s="98" t="str">
        <f>DEC2HEX(MOD(STRUCT!P53,2^1),8)</f>
        <v>00000000</v>
      </c>
      <c r="E795" s="46" t="s">
        <v>2234</v>
      </c>
    </row>
    <row r="796" spans="1:6" x14ac:dyDescent="0.25">
      <c r="A796" s="46">
        <v>1804.8</v>
      </c>
      <c r="B796" s="46" t="s">
        <v>45</v>
      </c>
      <c r="C796" s="46" t="s">
        <v>149</v>
      </c>
      <c r="D796" s="98" t="str">
        <f>DEC2HEX(MOD(STRUCT!P54,2^1),8)</f>
        <v>00000001</v>
      </c>
      <c r="E796" s="46" t="s">
        <v>2234</v>
      </c>
    </row>
    <row r="797" spans="1:6" x14ac:dyDescent="0.25">
      <c r="A797" s="46">
        <v>1804.8</v>
      </c>
      <c r="B797" s="46" t="s">
        <v>45</v>
      </c>
      <c r="C797" s="46" t="s">
        <v>150</v>
      </c>
      <c r="D797" s="98" t="str">
        <f>DEC2HEX(MOD(STRUCT!P55,2^1),8)</f>
        <v>00000000</v>
      </c>
      <c r="E797" s="46" t="s">
        <v>2234</v>
      </c>
    </row>
    <row r="798" spans="1:6" x14ac:dyDescent="0.25">
      <c r="A798" s="46">
        <v>1804.8</v>
      </c>
      <c r="B798" s="46" t="s">
        <v>45</v>
      </c>
      <c r="C798" s="46" t="s">
        <v>151</v>
      </c>
      <c r="D798" s="98" t="str">
        <f>DEC2HEX(MOD(STRUCT!P56,2^1),8)</f>
        <v>00000001</v>
      </c>
      <c r="E798" s="46" t="s">
        <v>2234</v>
      </c>
    </row>
    <row r="799" spans="1:6" x14ac:dyDescent="0.25">
      <c r="A799" s="46">
        <v>1804.8</v>
      </c>
      <c r="B799" s="46" t="s">
        <v>45</v>
      </c>
      <c r="C799" s="46" t="s">
        <v>152</v>
      </c>
      <c r="D799" s="98" t="str">
        <f>DEC2HEX(MOD(STRUCT!P57,2^1),8)</f>
        <v>00000001</v>
      </c>
      <c r="E799" s="46" t="s">
        <v>2234</v>
      </c>
    </row>
    <row r="800" spans="1:6" x14ac:dyDescent="0.25">
      <c r="A800" s="46">
        <v>1804.8</v>
      </c>
      <c r="B800" s="46" t="s">
        <v>45</v>
      </c>
      <c r="C800" s="46" t="s">
        <v>153</v>
      </c>
      <c r="D800" s="98" t="str">
        <f>DEC2HEX(MOD(STRUCT!P58,2^1),8)</f>
        <v>00000001</v>
      </c>
      <c r="E800" s="46" t="s">
        <v>2234</v>
      </c>
    </row>
    <row r="801" spans="1:5" x14ac:dyDescent="0.25">
      <c r="A801" s="46">
        <v>1804.8</v>
      </c>
      <c r="B801" s="46" t="s">
        <v>45</v>
      </c>
      <c r="C801" s="46" t="s">
        <v>154</v>
      </c>
      <c r="D801" s="98" t="str">
        <f>DEC2HEX(MOD(STRUCT!P59,2^1),8)</f>
        <v>00000000</v>
      </c>
      <c r="E801" s="46" t="s">
        <v>2234</v>
      </c>
    </row>
    <row r="802" spans="1:5" x14ac:dyDescent="0.25">
      <c r="A802" s="46">
        <v>1804.8</v>
      </c>
      <c r="B802" s="46" t="s">
        <v>45</v>
      </c>
      <c r="C802" s="46" t="s">
        <v>155</v>
      </c>
      <c r="D802" s="98" t="str">
        <f>DEC2HEX(MOD(STRUCT!P60,2^1),8)</f>
        <v>00000001</v>
      </c>
      <c r="E802" s="46" t="s">
        <v>2234</v>
      </c>
    </row>
    <row r="803" spans="1:5" x14ac:dyDescent="0.25">
      <c r="A803" s="46">
        <v>1804.8</v>
      </c>
      <c r="B803" s="46" t="s">
        <v>45</v>
      </c>
      <c r="C803" s="46" t="s">
        <v>156</v>
      </c>
      <c r="D803" s="98" t="str">
        <f>DEC2HEX(MOD(STRUCT!P61,2^1),8)</f>
        <v>00000001</v>
      </c>
      <c r="E803" s="46" t="s">
        <v>2234</v>
      </c>
    </row>
    <row r="804" spans="1:5" x14ac:dyDescent="0.25">
      <c r="A804" s="46">
        <v>1804.8</v>
      </c>
      <c r="B804" s="46" t="s">
        <v>45</v>
      </c>
      <c r="C804" s="46" t="s">
        <v>103</v>
      </c>
      <c r="D804" s="98" t="str">
        <f>DEC2HEX(MOD(STRUCT!P30,2^8),8)</f>
        <v>00000000</v>
      </c>
      <c r="E804" s="46" t="str">
        <f t="shared" ref="E804:E819" si="20">DEC2HEX(2^0*(2^32-1),8)</f>
        <v>FFFFFFFF</v>
      </c>
    </row>
    <row r="805" spans="1:5" x14ac:dyDescent="0.25">
      <c r="A805" s="46">
        <v>1804.8</v>
      </c>
      <c r="B805" s="46" t="s">
        <v>45</v>
      </c>
      <c r="C805" s="46" t="s">
        <v>107</v>
      </c>
      <c r="D805" s="98" t="str">
        <f>DEC2HEX(MOD(STRUCT!P31,2^8),8)</f>
        <v>00000000</v>
      </c>
      <c r="E805" s="46" t="str">
        <f t="shared" si="20"/>
        <v>FFFFFFFF</v>
      </c>
    </row>
    <row r="806" spans="1:5" x14ac:dyDescent="0.25">
      <c r="A806" s="46">
        <v>1804.8</v>
      </c>
      <c r="B806" s="46" t="s">
        <v>45</v>
      </c>
      <c r="C806" s="46" t="s">
        <v>109</v>
      </c>
      <c r="D806" s="98" t="str">
        <f>DEC2HEX(MOD(STRUCT!P32,2^8),8)</f>
        <v>0000001D</v>
      </c>
      <c r="E806" s="46" t="str">
        <f t="shared" si="20"/>
        <v>FFFFFFFF</v>
      </c>
    </row>
    <row r="807" spans="1:5" x14ac:dyDescent="0.25">
      <c r="A807" s="46">
        <v>1804.8</v>
      </c>
      <c r="B807" s="46" t="s">
        <v>45</v>
      </c>
      <c r="C807" s="46" t="s">
        <v>112</v>
      </c>
      <c r="D807" s="98" t="str">
        <f>DEC2HEX(MOD(STRUCT!P33,2^8),8)</f>
        <v>0000001D</v>
      </c>
      <c r="E807" s="46" t="str">
        <f t="shared" si="20"/>
        <v>FFFFFFFF</v>
      </c>
    </row>
    <row r="808" spans="1:5" x14ac:dyDescent="0.25">
      <c r="A808" s="46">
        <v>1804.8</v>
      </c>
      <c r="B808" s="46" t="s">
        <v>45</v>
      </c>
      <c r="C808" s="46" t="s">
        <v>114</v>
      </c>
      <c r="D808" s="98" t="str">
        <f>DEC2HEX(MOD(STRUCT!P34,2^8),8)</f>
        <v>00000000</v>
      </c>
      <c r="E808" s="46" t="str">
        <f t="shared" si="20"/>
        <v>FFFFFFFF</v>
      </c>
    </row>
    <row r="809" spans="1:5" x14ac:dyDescent="0.25">
      <c r="A809" s="46">
        <v>1804.8</v>
      </c>
      <c r="B809" s="46" t="s">
        <v>45</v>
      </c>
      <c r="C809" s="46" t="s">
        <v>116</v>
      </c>
      <c r="D809" s="98" t="str">
        <f>DEC2HEX(MOD(STRUCT!P35,2^8),8)</f>
        <v>00000000</v>
      </c>
      <c r="E809" s="46" t="str">
        <f t="shared" si="20"/>
        <v>FFFFFFFF</v>
      </c>
    </row>
    <row r="810" spans="1:5" x14ac:dyDescent="0.25">
      <c r="A810" s="46">
        <v>1804.8</v>
      </c>
      <c r="B810" s="46" t="s">
        <v>45</v>
      </c>
      <c r="C810" s="46" t="s">
        <v>118</v>
      </c>
      <c r="D810" s="98" t="str">
        <f>DEC2HEX(MOD(STRUCT!P36,2^8),8)</f>
        <v>00000000</v>
      </c>
      <c r="E810" s="46" t="str">
        <f t="shared" si="20"/>
        <v>FFFFFFFF</v>
      </c>
    </row>
    <row r="811" spans="1:5" x14ac:dyDescent="0.25">
      <c r="A811" s="46">
        <v>1804.8</v>
      </c>
      <c r="B811" s="46" t="s">
        <v>45</v>
      </c>
      <c r="C811" s="46" t="s">
        <v>120</v>
      </c>
      <c r="D811" s="98" t="str">
        <f>DEC2HEX(MOD(STRUCT!P37,2^8),8)</f>
        <v>00000000</v>
      </c>
      <c r="E811" s="46" t="str">
        <f t="shared" si="20"/>
        <v>FFFFFFFF</v>
      </c>
    </row>
    <row r="812" spans="1:5" x14ac:dyDescent="0.25">
      <c r="A812" s="46">
        <v>1804.8</v>
      </c>
      <c r="B812" s="46" t="s">
        <v>45</v>
      </c>
      <c r="C812" s="46" t="s">
        <v>122</v>
      </c>
      <c r="D812" s="98" t="str">
        <f>DEC2HEX(MOD(STRUCT!P38,2^8),8)</f>
        <v>0000003E</v>
      </c>
      <c r="E812" s="46" t="str">
        <f t="shared" si="20"/>
        <v>FFFFFFFF</v>
      </c>
    </row>
    <row r="813" spans="1:5" x14ac:dyDescent="0.25">
      <c r="A813" s="46">
        <v>1804.8</v>
      </c>
      <c r="B813" s="46" t="s">
        <v>45</v>
      </c>
      <c r="C813" s="46" t="s">
        <v>125</v>
      </c>
      <c r="D813" s="98" t="str">
        <f>DEC2HEX(MOD(STRUCT!P39,2^8),8)</f>
        <v>00000000</v>
      </c>
      <c r="E813" s="46" t="str">
        <f t="shared" si="20"/>
        <v>FFFFFFFF</v>
      </c>
    </row>
    <row r="814" spans="1:5" x14ac:dyDescent="0.25">
      <c r="A814" s="46">
        <v>1804.8</v>
      </c>
      <c r="B814" s="46" t="s">
        <v>45</v>
      </c>
      <c r="C814" s="46" t="s">
        <v>127</v>
      </c>
      <c r="D814" s="98" t="str">
        <f>DEC2HEX(MOD(STRUCT!P40,2^8),8)</f>
        <v>00000000</v>
      </c>
      <c r="E814" s="46" t="str">
        <f t="shared" si="20"/>
        <v>FFFFFFFF</v>
      </c>
    </row>
    <row r="815" spans="1:5" x14ac:dyDescent="0.25">
      <c r="A815" s="46">
        <v>1804.8</v>
      </c>
      <c r="B815" s="46" t="s">
        <v>45</v>
      </c>
      <c r="C815" s="46" t="s">
        <v>129</v>
      </c>
      <c r="D815" s="98" t="str">
        <f>DEC2HEX(MOD(STRUCT!P41,2^8),8)</f>
        <v>0000001D</v>
      </c>
      <c r="E815" s="46" t="str">
        <f t="shared" si="20"/>
        <v>FFFFFFFF</v>
      </c>
    </row>
    <row r="816" spans="1:5" x14ac:dyDescent="0.25">
      <c r="A816" s="46">
        <v>1804.8</v>
      </c>
      <c r="B816" s="46" t="s">
        <v>45</v>
      </c>
      <c r="C816" s="46" t="s">
        <v>131</v>
      </c>
      <c r="D816" s="98" t="str">
        <f>DEC2HEX(MOD(STRUCT!P42,2^8),8)</f>
        <v>0000003E</v>
      </c>
      <c r="E816" s="46" t="str">
        <f t="shared" si="20"/>
        <v>FFFFFFFF</v>
      </c>
    </row>
    <row r="817" spans="1:5" x14ac:dyDescent="0.25">
      <c r="A817" s="46">
        <v>1804.8</v>
      </c>
      <c r="B817" s="46" t="s">
        <v>45</v>
      </c>
      <c r="C817" s="46" t="s">
        <v>133</v>
      </c>
      <c r="D817" s="98" t="str">
        <f>DEC2HEX(MOD(STRUCT!P43,2^8),8)</f>
        <v>00000000</v>
      </c>
      <c r="E817" s="46" t="str">
        <f t="shared" si="20"/>
        <v>FFFFFFFF</v>
      </c>
    </row>
    <row r="818" spans="1:5" x14ac:dyDescent="0.25">
      <c r="A818" s="46">
        <v>1804.8</v>
      </c>
      <c r="B818" s="46" t="s">
        <v>45</v>
      </c>
      <c r="C818" s="46" t="s">
        <v>135</v>
      </c>
      <c r="D818" s="98" t="str">
        <f>DEC2HEX(MOD(STRUCT!P44,2^8),8)</f>
        <v>0000001D</v>
      </c>
      <c r="E818" s="46" t="str">
        <f t="shared" si="20"/>
        <v>FFFFFFFF</v>
      </c>
    </row>
    <row r="819" spans="1:5" x14ac:dyDescent="0.25">
      <c r="A819" s="46">
        <v>1804.8</v>
      </c>
      <c r="B819" s="46" t="s">
        <v>45</v>
      </c>
      <c r="C819" s="46" t="s">
        <v>137</v>
      </c>
      <c r="D819" s="98" t="str">
        <f>DEC2HEX(MOD(STRUCT!P45,2^8),8)</f>
        <v>00000000</v>
      </c>
      <c r="E819" s="46" t="str">
        <f t="shared" si="20"/>
        <v>FFFFFFFF</v>
      </c>
    </row>
    <row r="820" spans="1:5" x14ac:dyDescent="0.25">
      <c r="A820" s="46">
        <v>1804.8</v>
      </c>
      <c r="B820" s="46" t="s">
        <v>45</v>
      </c>
      <c r="C820" s="46" t="s">
        <v>157</v>
      </c>
      <c r="D820" s="98" t="str">
        <f>DEC2HEX(2^16*MOD(STRUCT!P62,2^8)+2^0*MOD(STRUCT!P63,2^8),8)</f>
        <v>00300030</v>
      </c>
      <c r="E820" s="46" t="str">
        <f>DEC2HEX(2^16*(2^8-1)+2^0*(2^8-1),8)</f>
        <v>00FF00FF</v>
      </c>
    </row>
    <row r="821" spans="1:5" x14ac:dyDescent="0.25">
      <c r="A821" s="46">
        <v>1804.8</v>
      </c>
      <c r="B821" s="46" t="s">
        <v>45</v>
      </c>
      <c r="C821" s="46" t="s">
        <v>163</v>
      </c>
      <c r="D821" s="98" t="str">
        <f>DEC2HEX(2^16*MOD(STRUCT!P64,2^8)+2^0*MOD(STRUCT!P65,2^8),8)</f>
        <v>000D000D</v>
      </c>
      <c r="E821" s="46" t="str">
        <f t="shared" ref="E821:E836" si="21">DEC2HEX(2^0*(2^32-1),8)</f>
        <v>FFFFFFFF</v>
      </c>
    </row>
    <row r="822" spans="1:5" x14ac:dyDescent="0.25">
      <c r="A822" s="46">
        <v>1804.8</v>
      </c>
      <c r="B822" s="46" t="s">
        <v>26</v>
      </c>
      <c r="C822" s="46" t="s">
        <v>6753</v>
      </c>
      <c r="D822" s="98" t="str">
        <f>DEC2HEX(2^16*MOD(STRUCT!F96,2^8)+2^8*MOD(STRUCT!F97,2^8)+2^0*MOD(STRUCT!F98,2^8),8)</f>
        <v>00042404</v>
      </c>
      <c r="E822" s="46" t="str">
        <f t="shared" si="21"/>
        <v>FFFFFFFF</v>
      </c>
    </row>
    <row r="823" spans="1:5" x14ac:dyDescent="0.25">
      <c r="A823" s="46">
        <v>1804.8</v>
      </c>
      <c r="B823" s="46" t="s">
        <v>26</v>
      </c>
      <c r="C823" s="46" t="s">
        <v>6756</v>
      </c>
      <c r="D823" s="98" t="str">
        <f>DEC2HEX(2^24*MOD(STRUCT!F99,2^8)+2^16*MOD(STRUCT!F100,2^8)+2^8*MOD(STRUCT!F101,2^8)+2^0*MOD(STRUCT!F102,2^8),8)</f>
        <v>201C0004</v>
      </c>
      <c r="E823" s="46" t="str">
        <f t="shared" si="21"/>
        <v>FFFFFFFF</v>
      </c>
    </row>
    <row r="824" spans="1:5" x14ac:dyDescent="0.25">
      <c r="A824" s="46">
        <v>1804.8</v>
      </c>
      <c r="B824" s="46" t="s">
        <v>26</v>
      </c>
      <c r="C824" s="46" t="s">
        <v>6759</v>
      </c>
      <c r="D824" s="98" t="str">
        <f>DEC2HEX(2^0*MOD(STRUCT!F103,2^8),8)</f>
        <v>00000008</v>
      </c>
      <c r="E824" s="46" t="str">
        <f t="shared" si="21"/>
        <v>FFFFFFFF</v>
      </c>
    </row>
    <row r="825" spans="1:5" x14ac:dyDescent="0.25">
      <c r="A825" s="46">
        <v>1804.8</v>
      </c>
      <c r="B825" s="46" t="s">
        <v>26</v>
      </c>
      <c r="C825" s="46" t="s">
        <v>6760</v>
      </c>
      <c r="D825" s="98" t="str">
        <f>DEC2HEX(2^16*MOD(STRUCT!F104,2^8)+2^8*MOD(STRUCT!F105,2^8)+2^0*MOD(STRUCT!F106,2^8),8)</f>
        <v>00042404</v>
      </c>
      <c r="E825" s="46" t="str">
        <f t="shared" si="21"/>
        <v>FFFFFFFF</v>
      </c>
    </row>
    <row r="826" spans="1:5" x14ac:dyDescent="0.25">
      <c r="A826" s="46">
        <v>1804.8</v>
      </c>
      <c r="B826" s="46" t="s">
        <v>26</v>
      </c>
      <c r="C826" s="46" t="s">
        <v>6761</v>
      </c>
      <c r="D826" s="98" t="str">
        <f>DEC2HEX(2^24*MOD(STRUCT!F107,2^8)+2^16*MOD(STRUCT!F108,2^8)+2^8*MOD(STRUCT!F109,2^8)+2^0*MOD(STRUCT!F110,2^8),8)</f>
        <v>201C0004</v>
      </c>
      <c r="E826" s="46" t="str">
        <f t="shared" si="21"/>
        <v>FFFFFFFF</v>
      </c>
    </row>
    <row r="827" spans="1:5" x14ac:dyDescent="0.25">
      <c r="A827" s="46">
        <v>1804.8</v>
      </c>
      <c r="B827" s="46" t="s">
        <v>26</v>
      </c>
      <c r="C827" s="46" t="s">
        <v>6762</v>
      </c>
      <c r="D827" s="98" t="str">
        <f>DEC2HEX(2^0*MOD(STRUCT!F111,2^8),8)</f>
        <v>00000008</v>
      </c>
      <c r="E827" s="46" t="str">
        <f t="shared" si="21"/>
        <v>FFFFFFFF</v>
      </c>
    </row>
    <row r="828" spans="1:5" x14ac:dyDescent="0.25">
      <c r="A828" s="46">
        <v>1804.8</v>
      </c>
      <c r="B828" s="46" t="s">
        <v>26</v>
      </c>
      <c r="C828" s="46" t="s">
        <v>6763</v>
      </c>
      <c r="D828" s="98" t="str">
        <f>DEC2HEX(2^16*MOD(STRUCT!F112,2^8)+2^8*MOD(STRUCT!F113,2^8)+2^0*MOD(STRUCT!F114,2^8),8)</f>
        <v>00042404</v>
      </c>
      <c r="E828" s="46" t="str">
        <f t="shared" si="21"/>
        <v>FFFFFFFF</v>
      </c>
    </row>
    <row r="829" spans="1:5" x14ac:dyDescent="0.25">
      <c r="A829" s="46">
        <v>1804.8</v>
      </c>
      <c r="B829" s="46" t="s">
        <v>26</v>
      </c>
      <c r="C829" s="46" t="s">
        <v>6764</v>
      </c>
      <c r="D829" s="98" t="str">
        <f>DEC2HEX(2^24*MOD(STRUCT!F115,2^8)+2^16*MOD(STRUCT!F116,2^8)+2^8*MOD(STRUCT!F117,2^8)+2^0*MOD(STRUCT!F118,2^8),8)</f>
        <v>201C0004</v>
      </c>
      <c r="E829" s="46" t="str">
        <f t="shared" si="21"/>
        <v>FFFFFFFF</v>
      </c>
    </row>
    <row r="830" spans="1:5" x14ac:dyDescent="0.25">
      <c r="A830" s="46">
        <v>1804.8</v>
      </c>
      <c r="B830" s="46" t="s">
        <v>26</v>
      </c>
      <c r="C830" s="46" t="s">
        <v>6765</v>
      </c>
      <c r="D830" s="98" t="str">
        <f>DEC2HEX(2^0*MOD(STRUCT!F119,2^8),8)</f>
        <v>00000008</v>
      </c>
      <c r="E830" s="46" t="str">
        <f t="shared" si="21"/>
        <v>FFFFFFFF</v>
      </c>
    </row>
    <row r="831" spans="1:5" x14ac:dyDescent="0.25">
      <c r="A831" s="46">
        <v>1804.8</v>
      </c>
      <c r="B831" s="46" t="s">
        <v>26</v>
      </c>
      <c r="C831" s="46" t="s">
        <v>6766</v>
      </c>
      <c r="D831" s="98" t="str">
        <f>DEC2HEX(2^16*MOD(STRUCT!F120,2^8)+2^8*MOD(STRUCT!F121,2^8)+2^0*MOD(STRUCT!F122,2^8),8)</f>
        <v>00042404</v>
      </c>
      <c r="E831" s="46" t="str">
        <f t="shared" si="21"/>
        <v>FFFFFFFF</v>
      </c>
    </row>
    <row r="832" spans="1:5" x14ac:dyDescent="0.25">
      <c r="A832" s="46">
        <v>1804.8</v>
      </c>
      <c r="B832" s="46" t="s">
        <v>26</v>
      </c>
      <c r="C832" s="46" t="s">
        <v>6767</v>
      </c>
      <c r="D832" s="98" t="str">
        <f>DEC2HEX(2^24*MOD(STRUCT!F123,2^8)+2^16*MOD(STRUCT!F124,2^8)+2^8*MOD(STRUCT!F125,2^8)+2^0*MOD(STRUCT!F126,2^8),8)</f>
        <v>201C0004</v>
      </c>
      <c r="E832" s="46" t="str">
        <f t="shared" si="21"/>
        <v>FFFFFFFF</v>
      </c>
    </row>
    <row r="833" spans="1:6" x14ac:dyDescent="0.25">
      <c r="A833" s="46">
        <v>1804.8</v>
      </c>
      <c r="B833" s="46" t="s">
        <v>26</v>
      </c>
      <c r="C833" s="46" t="s">
        <v>6768</v>
      </c>
      <c r="D833" s="98" t="str">
        <f>DEC2HEX(2^0*MOD(STRUCT!F127,2^8),8)</f>
        <v>00000008</v>
      </c>
      <c r="E833" s="46" t="str">
        <f t="shared" si="21"/>
        <v>FFFFFFFF</v>
      </c>
    </row>
    <row r="834" spans="1:6" x14ac:dyDescent="0.25">
      <c r="A834" s="46">
        <v>1804.8</v>
      </c>
      <c r="B834" s="46" t="s">
        <v>32</v>
      </c>
      <c r="C834" s="46" t="s">
        <v>6703</v>
      </c>
      <c r="D834" s="98" t="str">
        <f>DEC2HEX(2^24*MOD(STRUCT!K78,2^8)+2^16*MOD(STRUCT!K79,2^8)+2^8*MOD(STRUCT!K80,2^8)+2^0*MOD(STRUCT!K81,2^8),8)</f>
        <v>040E3E01</v>
      </c>
      <c r="E834" s="46" t="str">
        <f t="shared" si="21"/>
        <v>FFFFFFFF</v>
      </c>
    </row>
    <row r="835" spans="1:6" x14ac:dyDescent="0.25">
      <c r="A835" s="46">
        <v>1804.8</v>
      </c>
      <c r="B835" s="46" t="s">
        <v>32</v>
      </c>
      <c r="C835" s="46" t="s">
        <v>6705</v>
      </c>
      <c r="D835" s="98" t="str">
        <f>DEC2HEX(2^24*MOD(STRUCT!K82,2^8)+2^16*MOD(STRUCT!K83,2^8)+2^8*MOD(STRUCT!K84,2^8)+2^0*MOD(STRUCT!K85,2^8),8)</f>
        <v>0000000E</v>
      </c>
      <c r="E835" s="46" t="str">
        <f t="shared" si="21"/>
        <v>FFFFFFFF</v>
      </c>
    </row>
    <row r="836" spans="1:6" x14ac:dyDescent="0.25">
      <c r="A836" s="46">
        <v>1804.8</v>
      </c>
      <c r="B836" s="46" t="s">
        <v>32</v>
      </c>
      <c r="C836" s="46" t="s">
        <v>6706</v>
      </c>
      <c r="D836" s="98" t="str">
        <f>DEC2HEX(2^0*MOD(STRUCT!K86,2^8),8)</f>
        <v>0000005B</v>
      </c>
      <c r="E836" s="46" t="str">
        <f t="shared" si="21"/>
        <v>FFFFFFFF</v>
      </c>
    </row>
    <row r="837" spans="1:6" x14ac:dyDescent="0.25">
      <c r="A837" s="46">
        <v>1804.8</v>
      </c>
      <c r="B837" s="46" t="s">
        <v>25</v>
      </c>
      <c r="C837" s="46" t="s">
        <v>6592</v>
      </c>
      <c r="D837" s="98" t="str">
        <f>DEC2HEX(2^24*MOD(STRUCT!K87,2^8)+2^16*MOD(STRUCT!K88,2^8)+2^8*MOD(STRUCT!K89,2^8)+2^0*MOD(STRUCT!K90,2^8),8)</f>
        <v>040E1A01</v>
      </c>
      <c r="E837" s="46" t="s">
        <v>2233</v>
      </c>
      <c r="F837" s="81" t="s">
        <v>7285</v>
      </c>
    </row>
    <row r="838" spans="1:6" x14ac:dyDescent="0.25">
      <c r="A838" s="46">
        <v>1804.8</v>
      </c>
      <c r="B838" s="46" t="s">
        <v>25</v>
      </c>
      <c r="C838" s="46" t="s">
        <v>6595</v>
      </c>
      <c r="D838" s="98" t="str">
        <f>DEC2HEX(2^24*MOD(STRUCT!K91,2^1)+2^16*MOD(STRUCT!K92,2^8)+2^8*MOD(STRUCT!K93,2^8)+2^0*MOD(STRUCT!K94,2^8),8)</f>
        <v>0000000E</v>
      </c>
      <c r="E838" s="46" t="s">
        <v>2233</v>
      </c>
      <c r="F838" s="81" t="s">
        <v>7285</v>
      </c>
    </row>
    <row r="839" spans="1:6" x14ac:dyDescent="0.25">
      <c r="A839" s="46">
        <v>1804.8</v>
      </c>
      <c r="B839" s="46" t="s">
        <v>25</v>
      </c>
      <c r="C839" s="46" t="s">
        <v>6596</v>
      </c>
      <c r="D839" s="98" t="str">
        <f>DEC2HEX(2^0*MOD(STRUCT!K95,2^8),8)</f>
        <v>00000028</v>
      </c>
      <c r="E839" s="46" t="s">
        <v>2233</v>
      </c>
      <c r="F839" s="81" t="s">
        <v>7285</v>
      </c>
    </row>
    <row r="840" spans="1:6" x14ac:dyDescent="0.25">
      <c r="A840" s="46">
        <v>1804.8</v>
      </c>
      <c r="B840" s="46" t="s">
        <v>37</v>
      </c>
      <c r="C840" s="46" t="s">
        <v>2443</v>
      </c>
      <c r="D840" s="98" t="str">
        <f>DEC2HEX(2^24*MOD(STRUCT!F155,2^8)+2^16*MOD(STRUCT!F156,2^8)+2^8*MOD(STRUCT!F153,2^8)+2^0*MOD(STRUCT!F154,2^8),8)</f>
        <v>10100101</v>
      </c>
      <c r="E840" s="46" t="s">
        <v>2234</v>
      </c>
    </row>
    <row r="841" spans="1:6" x14ac:dyDescent="0.25">
      <c r="A841" s="46">
        <v>1804.8</v>
      </c>
      <c r="B841" s="46" t="s">
        <v>37</v>
      </c>
      <c r="C841" s="46" t="s">
        <v>2453</v>
      </c>
      <c r="D841" s="98" t="str">
        <f>DEC2HEX(2^24*MOD(STRUCT!F159,2^8)+2^16*MOD(STRUCT!F160,2^8)+2^8*MOD(STRUCT!F157,2^8)+2^0*MOD(STRUCT!F158,2^8),8)</f>
        <v>10100101</v>
      </c>
      <c r="E841" s="46" t="s">
        <v>2234</v>
      </c>
    </row>
    <row r="842" spans="1:6" x14ac:dyDescent="0.25">
      <c r="A842" s="46">
        <v>1804.8</v>
      </c>
      <c r="B842" s="46" t="s">
        <v>37</v>
      </c>
      <c r="C842" s="46" t="s">
        <v>2457</v>
      </c>
      <c r="D842" s="98" t="str">
        <f>DEC2HEX(2^24*MOD(STRUCT!F163,2^8)+2^16*MOD(STRUCT!F164,2^8)+2^8*MOD(STRUCT!F161,2^8)+2^0*MOD(STRUCT!F162,2^8),8)</f>
        <v>10100101</v>
      </c>
      <c r="E842" s="46" t="s">
        <v>2234</v>
      </c>
    </row>
    <row r="843" spans="1:6" x14ac:dyDescent="0.25">
      <c r="A843" s="46">
        <v>1804.8</v>
      </c>
      <c r="B843" s="46" t="s">
        <v>37</v>
      </c>
      <c r="C843" s="46" t="s">
        <v>2463</v>
      </c>
      <c r="D843" s="98" t="str">
        <f>DEC2HEX(2^24*MOD(STRUCT!F167,2^8)+2^16*MOD(STRUCT!F168,2^8)+2^8*MOD(STRUCT!F165,2^8)+2^0*MOD(STRUCT!F166,2^8),8)</f>
        <v>10100101</v>
      </c>
      <c r="E843" s="46" t="s">
        <v>2234</v>
      </c>
    </row>
    <row r="844" spans="1:6" x14ac:dyDescent="0.25">
      <c r="A844" s="46">
        <v>1804.8</v>
      </c>
      <c r="B844" s="46" t="s">
        <v>37</v>
      </c>
      <c r="C844" s="46" t="s">
        <v>2446</v>
      </c>
      <c r="D844" s="98" t="str">
        <f>DEC2HEX(2^24*MOD(STRUCT!F171,2^8)+2^16*MOD(STRUCT!F172,2^8)+2^8*MOD(STRUCT!F169,2^8)+2^0*MOD(STRUCT!F170,2^8),8)</f>
        <v>10101818</v>
      </c>
      <c r="E844" s="46" t="s">
        <v>2234</v>
      </c>
    </row>
    <row r="845" spans="1:6" x14ac:dyDescent="0.25">
      <c r="A845" s="46">
        <v>1804.8</v>
      </c>
      <c r="B845" s="46" t="s">
        <v>37</v>
      </c>
      <c r="C845" s="46" t="s">
        <v>2454</v>
      </c>
      <c r="D845" s="98" t="str">
        <f>DEC2HEX(2^24*MOD(STRUCT!F175,2^8)+2^16*MOD(STRUCT!F176,2^8)+2^8*MOD(STRUCT!F173,2^8)+2^0*MOD(STRUCT!F174,2^8),8)</f>
        <v>10101818</v>
      </c>
      <c r="E845" s="46" t="s">
        <v>2234</v>
      </c>
    </row>
    <row r="846" spans="1:6" x14ac:dyDescent="0.25">
      <c r="A846" s="46">
        <v>1804.8</v>
      </c>
      <c r="B846" s="46" t="s">
        <v>37</v>
      </c>
      <c r="C846" s="46" t="s">
        <v>2458</v>
      </c>
      <c r="D846" s="98" t="str">
        <f>DEC2HEX(2^24*MOD(STRUCT!F179,2^8)+2^16*MOD(STRUCT!F180,2^8)+2^8*MOD(STRUCT!F177,2^8)+2^0*MOD(STRUCT!F178,2^8),8)</f>
        <v>10101818</v>
      </c>
      <c r="E846" s="46" t="s">
        <v>2234</v>
      </c>
    </row>
    <row r="847" spans="1:6" x14ac:dyDescent="0.25">
      <c r="A847" s="46">
        <v>1804.8</v>
      </c>
      <c r="B847" s="46" t="s">
        <v>37</v>
      </c>
      <c r="C847" s="46" t="s">
        <v>2465</v>
      </c>
      <c r="D847" s="98" t="str">
        <f>DEC2HEX(2^24*MOD(STRUCT!F183,2^8)+2^16*MOD(STRUCT!F184,2^8)+2^8*MOD(STRUCT!F181,2^8)+2^0*MOD(STRUCT!F182,2^8),8)</f>
        <v>10101818</v>
      </c>
      <c r="E847" s="46" t="s">
        <v>2234</v>
      </c>
    </row>
    <row r="848" spans="1:6" x14ac:dyDescent="0.25">
      <c r="A848" s="46">
        <v>1804.8</v>
      </c>
      <c r="B848" s="46" t="s">
        <v>37</v>
      </c>
      <c r="C848" s="46" t="s">
        <v>2399</v>
      </c>
      <c r="D848" s="98" t="str">
        <f>DEC2HEX(2^24*MOD(STRUCT!F185,2^8)+2^16*MOD(STRUCT!F186,2^8)+2^8*MOD(STRUCT!F187,2^8)+2^0*MOD(STRUCT!F188,2^8),8)</f>
        <v>019D9D9D</v>
      </c>
      <c r="E848" s="46" t="s">
        <v>2234</v>
      </c>
    </row>
    <row r="849" spans="1:5" x14ac:dyDescent="0.25">
      <c r="A849" s="46">
        <v>1804.8</v>
      </c>
      <c r="B849" s="46" t="s">
        <v>37</v>
      </c>
      <c r="C849" s="46" t="s">
        <v>2396</v>
      </c>
      <c r="D849" s="98" t="str">
        <f>DEC2HEX(2^24*MOD(STRUCT!F189,2^8)+2^16*MOD(STRUCT!F190,2^8)+2^8*MOD(STRUCT!F191,2^8)+2^0*MOD(STRUCT!F192,2^8),8)</f>
        <v>9D9D9D9D</v>
      </c>
      <c r="E849" s="46" t="s">
        <v>2234</v>
      </c>
    </row>
    <row r="850" spans="1:5" x14ac:dyDescent="0.25">
      <c r="A850" s="46">
        <v>1804.8</v>
      </c>
      <c r="B850" s="46" t="s">
        <v>37</v>
      </c>
      <c r="C850" s="46" t="s">
        <v>2404</v>
      </c>
      <c r="D850" s="98" t="str">
        <f>DEC2HEX(2^24*MOD(STRUCT!F193,2^8)+2^16*MOD(STRUCT!F194,2^8)+2^8*MOD(STRUCT!F195,2^8)+2^0*MOD(STRUCT!F196,2^8),8)</f>
        <v>019D9D9D</v>
      </c>
      <c r="E850" s="46" t="s">
        <v>2234</v>
      </c>
    </row>
    <row r="851" spans="1:5" x14ac:dyDescent="0.25">
      <c r="A851" s="46">
        <v>1804.8</v>
      </c>
      <c r="B851" s="46" t="s">
        <v>37</v>
      </c>
      <c r="C851" s="46" t="s">
        <v>2403</v>
      </c>
      <c r="D851" s="98" t="str">
        <f>DEC2HEX(2^24*MOD(STRUCT!F197,2^8)+2^16*MOD(STRUCT!F198,2^8)+2^8*MOD(STRUCT!F199,2^8)+2^0*MOD(STRUCT!F200,2^8),8)</f>
        <v>9D9D9D9D</v>
      </c>
      <c r="E851" s="46" t="s">
        <v>2234</v>
      </c>
    </row>
    <row r="852" spans="1:5" x14ac:dyDescent="0.25">
      <c r="A852" s="46">
        <v>1804.8</v>
      </c>
      <c r="B852" s="46" t="s">
        <v>37</v>
      </c>
      <c r="C852" s="46" t="s">
        <v>2407</v>
      </c>
      <c r="D852" s="98" t="str">
        <f>DEC2HEX(2^24*MOD(STRUCT!F201,2^8)+2^16*MOD(STRUCT!F202,2^8)+2^8*MOD(STRUCT!F203,2^8)+2^0*MOD(STRUCT!F204,2^8),8)</f>
        <v>019D9D9D</v>
      </c>
      <c r="E852" s="46" t="s">
        <v>2234</v>
      </c>
    </row>
    <row r="853" spans="1:5" x14ac:dyDescent="0.25">
      <c r="A853" s="46">
        <v>1804.8</v>
      </c>
      <c r="B853" s="46" t="s">
        <v>37</v>
      </c>
      <c r="C853" s="46" t="s">
        <v>2406</v>
      </c>
      <c r="D853" s="98" t="str">
        <f>DEC2HEX(2^24*MOD(STRUCT!F205,2^8)+2^16*MOD(STRUCT!F206,2^8)+2^8*MOD(STRUCT!F207,2^8)+2^0*MOD(STRUCT!F208,2^8),8)</f>
        <v>9D9D9D9D</v>
      </c>
      <c r="E853" s="46" t="s">
        <v>2234</v>
      </c>
    </row>
    <row r="854" spans="1:5" x14ac:dyDescent="0.25">
      <c r="A854" s="46">
        <v>1804.8</v>
      </c>
      <c r="B854" s="46" t="s">
        <v>37</v>
      </c>
      <c r="C854" s="46" t="s">
        <v>2410</v>
      </c>
      <c r="D854" s="98" t="str">
        <f>DEC2HEX(2^24*MOD(STRUCT!F209,2^8)+2^16*MOD(STRUCT!F210,2^8)+2^8*MOD(STRUCT!F211,2^8)+2^0*MOD(STRUCT!F212,2^8),8)</f>
        <v>019D9D9D</v>
      </c>
      <c r="E854" s="46" t="s">
        <v>2234</v>
      </c>
    </row>
    <row r="855" spans="1:5" x14ac:dyDescent="0.25">
      <c r="A855" s="46">
        <v>1804.8</v>
      </c>
      <c r="B855" s="46" t="s">
        <v>37</v>
      </c>
      <c r="C855" s="46" t="s">
        <v>2409</v>
      </c>
      <c r="D855" s="98" t="str">
        <f>DEC2HEX(2^24*MOD(STRUCT!F213,2^8)+2^16*MOD(STRUCT!F214,2^8)+2^8*MOD(STRUCT!F215,2^8)+2^0*MOD(STRUCT!F216,2^8),8)</f>
        <v>9D9D9D9D</v>
      </c>
      <c r="E855" s="46" t="s">
        <v>2234</v>
      </c>
    </row>
    <row r="856" spans="1:5" x14ac:dyDescent="0.25">
      <c r="A856" s="46">
        <v>1804.8</v>
      </c>
      <c r="B856" s="46" t="s">
        <v>37</v>
      </c>
      <c r="C856" s="63" t="s">
        <v>2429</v>
      </c>
      <c r="D856" s="98" t="str">
        <f>DEC2HEX(2^6*MOD(STRUCT!F217,2^1),8)</f>
        <v>00000000</v>
      </c>
      <c r="E856" s="46" t="s">
        <v>498</v>
      </c>
    </row>
    <row r="857" spans="1:5" x14ac:dyDescent="0.25">
      <c r="A857" s="46">
        <v>1804.8</v>
      </c>
      <c r="B857" s="46" t="s">
        <v>37</v>
      </c>
      <c r="C857" s="63" t="s">
        <v>2433</v>
      </c>
      <c r="D857" s="98" t="str">
        <f>DEC2HEX(2^6*MOD(STRUCT!F218,2^1),8)</f>
        <v>00000000</v>
      </c>
      <c r="E857" s="46" t="s">
        <v>498</v>
      </c>
    </row>
    <row r="858" spans="1:5" x14ac:dyDescent="0.25">
      <c r="A858" s="46">
        <v>1804.8</v>
      </c>
      <c r="B858" s="46" t="s">
        <v>37</v>
      </c>
      <c r="C858" s="63" t="s">
        <v>2438</v>
      </c>
      <c r="D858" s="98" t="str">
        <f>DEC2HEX(2^6*MOD(STRUCT!F219,2^1),8)</f>
        <v>00000000</v>
      </c>
      <c r="E858" s="46" t="s">
        <v>498</v>
      </c>
    </row>
    <row r="859" spans="1:5" x14ac:dyDescent="0.25">
      <c r="A859" s="46">
        <v>1804.8</v>
      </c>
      <c r="B859" s="46" t="s">
        <v>37</v>
      </c>
      <c r="C859" s="63" t="s">
        <v>2442</v>
      </c>
      <c r="D859" s="98" t="str">
        <f>DEC2HEX(2^6*MOD(STRUCT!F220,2^1),8)</f>
        <v>00000000</v>
      </c>
      <c r="E859" s="46" t="s">
        <v>498</v>
      </c>
    </row>
  </sheetData>
  <autoFilter ref="A1:E671" xr:uid="{00000000-0009-0000-0000-000008000000}"/>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C00000"/>
  </sheetPr>
  <dimension ref="A1:E1013"/>
  <sheetViews>
    <sheetView topLeftCell="A688" workbookViewId="0">
      <selection activeCell="C709" sqref="C709"/>
    </sheetView>
  </sheetViews>
  <sheetFormatPr defaultColWidth="11.42578125" defaultRowHeight="15" x14ac:dyDescent="0.25"/>
  <sheetData>
    <row r="1" spans="1:5" x14ac:dyDescent="0.25">
      <c r="A1" t="s">
        <v>13</v>
      </c>
      <c r="B1" t="s">
        <v>49</v>
      </c>
      <c r="C1" t="s">
        <v>50</v>
      </c>
      <c r="D1" t="s">
        <v>476</v>
      </c>
      <c r="E1" t="s">
        <v>477</v>
      </c>
    </row>
    <row r="2" spans="1:5" x14ac:dyDescent="0.25">
      <c r="A2" t="s">
        <v>40</v>
      </c>
      <c r="B2" t="s">
        <v>7287</v>
      </c>
      <c r="C2" t="s">
        <v>7288</v>
      </c>
      <c r="D2">
        <v>1</v>
      </c>
      <c r="E2">
        <v>1</v>
      </c>
    </row>
    <row r="3" spans="1:5" x14ac:dyDescent="0.25">
      <c r="A3" t="s">
        <v>40</v>
      </c>
      <c r="B3" t="s">
        <v>7289</v>
      </c>
      <c r="C3" t="s">
        <v>7290</v>
      </c>
      <c r="D3">
        <v>1</v>
      </c>
      <c r="E3">
        <v>1</v>
      </c>
    </row>
    <row r="4" spans="1:5" x14ac:dyDescent="0.25">
      <c r="A4" t="s">
        <v>40</v>
      </c>
      <c r="B4" t="s">
        <v>7291</v>
      </c>
      <c r="C4" t="s">
        <v>7292</v>
      </c>
      <c r="D4">
        <v>1</v>
      </c>
      <c r="E4">
        <v>1</v>
      </c>
    </row>
    <row r="5" spans="1:5" x14ac:dyDescent="0.25">
      <c r="A5" t="s">
        <v>40</v>
      </c>
      <c r="B5" t="s">
        <v>7293</v>
      </c>
      <c r="C5" t="s">
        <v>7294</v>
      </c>
      <c r="D5">
        <v>1</v>
      </c>
      <c r="E5">
        <v>1</v>
      </c>
    </row>
    <row r="6" spans="1:5" x14ac:dyDescent="0.25">
      <c r="A6" t="s">
        <v>40</v>
      </c>
      <c r="B6" t="s">
        <v>7295</v>
      </c>
      <c r="C6" t="s">
        <v>7296</v>
      </c>
      <c r="D6">
        <v>1</v>
      </c>
      <c r="E6">
        <v>1</v>
      </c>
    </row>
    <row r="7" spans="1:5" x14ac:dyDescent="0.25">
      <c r="A7" t="s">
        <v>40</v>
      </c>
      <c r="B7" t="s">
        <v>7297</v>
      </c>
      <c r="C7" t="s">
        <v>7298</v>
      </c>
      <c r="D7">
        <v>1</v>
      </c>
      <c r="E7">
        <v>1</v>
      </c>
    </row>
    <row r="8" spans="1:5" x14ac:dyDescent="0.25">
      <c r="A8" t="s">
        <v>40</v>
      </c>
      <c r="B8" t="s">
        <v>7299</v>
      </c>
      <c r="C8" t="s">
        <v>7300</v>
      </c>
      <c r="D8">
        <v>1</v>
      </c>
      <c r="E8">
        <v>1</v>
      </c>
    </row>
    <row r="9" spans="1:5" x14ac:dyDescent="0.25">
      <c r="A9" t="s">
        <v>40</v>
      </c>
      <c r="B9" t="s">
        <v>7301</v>
      </c>
      <c r="C9" t="s">
        <v>7302</v>
      </c>
      <c r="D9">
        <v>1</v>
      </c>
      <c r="E9">
        <v>1</v>
      </c>
    </row>
    <row r="10" spans="1:5" x14ac:dyDescent="0.25">
      <c r="A10" t="s">
        <v>40</v>
      </c>
      <c r="B10" t="s">
        <v>7303</v>
      </c>
      <c r="C10" t="s">
        <v>7304</v>
      </c>
      <c r="D10">
        <v>1</v>
      </c>
      <c r="E10">
        <v>1</v>
      </c>
    </row>
    <row r="11" spans="1:5" x14ac:dyDescent="0.25">
      <c r="A11" t="s">
        <v>40</v>
      </c>
      <c r="B11" t="s">
        <v>7305</v>
      </c>
      <c r="C11" t="s">
        <v>7306</v>
      </c>
      <c r="D11">
        <v>1</v>
      </c>
      <c r="E11">
        <v>1</v>
      </c>
    </row>
    <row r="12" spans="1:5" x14ac:dyDescent="0.25">
      <c r="A12" t="s">
        <v>40</v>
      </c>
      <c r="B12" t="s">
        <v>7307</v>
      </c>
      <c r="C12" t="s">
        <v>7308</v>
      </c>
      <c r="D12">
        <v>1</v>
      </c>
      <c r="E12">
        <v>1</v>
      </c>
    </row>
    <row r="13" spans="1:5" x14ac:dyDescent="0.25">
      <c r="A13" t="s">
        <v>40</v>
      </c>
      <c r="B13" t="s">
        <v>7309</v>
      </c>
      <c r="C13" t="s">
        <v>7310</v>
      </c>
      <c r="D13">
        <v>1</v>
      </c>
      <c r="E13">
        <v>1</v>
      </c>
    </row>
    <row r="14" spans="1:5" x14ac:dyDescent="0.25">
      <c r="A14" t="s">
        <v>40</v>
      </c>
      <c r="B14" t="s">
        <v>7311</v>
      </c>
      <c r="C14" t="s">
        <v>7312</v>
      </c>
      <c r="D14">
        <v>1</v>
      </c>
      <c r="E14">
        <v>1</v>
      </c>
    </row>
    <row r="15" spans="1:5" x14ac:dyDescent="0.25">
      <c r="A15" t="s">
        <v>40</v>
      </c>
      <c r="B15" t="s">
        <v>7313</v>
      </c>
      <c r="C15" t="s">
        <v>7314</v>
      </c>
      <c r="D15">
        <v>1</v>
      </c>
      <c r="E15">
        <v>1</v>
      </c>
    </row>
    <row r="16" spans="1:5" x14ac:dyDescent="0.25">
      <c r="A16" t="s">
        <v>40</v>
      </c>
      <c r="B16" t="s">
        <v>7315</v>
      </c>
      <c r="C16" t="s">
        <v>7316</v>
      </c>
      <c r="D16">
        <v>1</v>
      </c>
      <c r="E16">
        <v>1</v>
      </c>
    </row>
    <row r="17" spans="1:5" x14ac:dyDescent="0.25">
      <c r="A17" t="s">
        <v>40</v>
      </c>
      <c r="B17" t="s">
        <v>7317</v>
      </c>
      <c r="C17" t="s">
        <v>7318</v>
      </c>
      <c r="D17">
        <v>1</v>
      </c>
      <c r="E17">
        <v>1</v>
      </c>
    </row>
    <row r="18" spans="1:5" x14ac:dyDescent="0.25">
      <c r="A18" t="s">
        <v>36</v>
      </c>
      <c r="B18" t="s">
        <v>7319</v>
      </c>
      <c r="C18" t="s">
        <v>7320</v>
      </c>
      <c r="D18">
        <v>2</v>
      </c>
      <c r="E18">
        <v>0</v>
      </c>
    </row>
    <row r="19" spans="1:5" x14ac:dyDescent="0.25">
      <c r="A19" t="s">
        <v>36</v>
      </c>
      <c r="B19" t="s">
        <v>7321</v>
      </c>
      <c r="C19" t="s">
        <v>7322</v>
      </c>
      <c r="D19">
        <v>2</v>
      </c>
      <c r="E19">
        <v>0</v>
      </c>
    </row>
    <row r="20" spans="1:5" x14ac:dyDescent="0.25">
      <c r="A20" t="s">
        <v>36</v>
      </c>
      <c r="B20" t="s">
        <v>7323</v>
      </c>
      <c r="C20" t="s">
        <v>7324</v>
      </c>
      <c r="D20">
        <v>2</v>
      </c>
      <c r="E20">
        <v>0</v>
      </c>
    </row>
    <row r="21" spans="1:5" x14ac:dyDescent="0.25">
      <c r="A21" t="s">
        <v>36</v>
      </c>
      <c r="B21" t="s">
        <v>7325</v>
      </c>
      <c r="C21" t="s">
        <v>7326</v>
      </c>
      <c r="D21">
        <v>2</v>
      </c>
      <c r="E21">
        <v>0</v>
      </c>
    </row>
    <row r="22" spans="1:5" x14ac:dyDescent="0.25">
      <c r="A22" t="s">
        <v>36</v>
      </c>
      <c r="B22" t="s">
        <v>7327</v>
      </c>
      <c r="C22" t="s">
        <v>7328</v>
      </c>
      <c r="D22">
        <v>3</v>
      </c>
      <c r="E22">
        <v>0</v>
      </c>
    </row>
    <row r="23" spans="1:5" x14ac:dyDescent="0.25">
      <c r="A23" t="s">
        <v>36</v>
      </c>
      <c r="B23" t="s">
        <v>7329</v>
      </c>
      <c r="C23" t="s">
        <v>7330</v>
      </c>
      <c r="D23">
        <v>3</v>
      </c>
      <c r="E23">
        <v>0</v>
      </c>
    </row>
    <row r="24" spans="1:5" x14ac:dyDescent="0.25">
      <c r="A24" t="s">
        <v>36</v>
      </c>
      <c r="B24" t="s">
        <v>7331</v>
      </c>
      <c r="C24" t="s">
        <v>7332</v>
      </c>
      <c r="D24">
        <v>3</v>
      </c>
      <c r="E24">
        <v>0</v>
      </c>
    </row>
    <row r="25" spans="1:5" x14ac:dyDescent="0.25">
      <c r="A25" t="s">
        <v>36</v>
      </c>
      <c r="B25" t="s">
        <v>7333</v>
      </c>
      <c r="C25" t="s">
        <v>7334</v>
      </c>
      <c r="D25">
        <v>3</v>
      </c>
      <c r="E25">
        <v>0</v>
      </c>
    </row>
    <row r="26" spans="1:5" x14ac:dyDescent="0.25">
      <c r="A26" t="s">
        <v>36</v>
      </c>
      <c r="B26" t="s">
        <v>7335</v>
      </c>
      <c r="C26" t="s">
        <v>7336</v>
      </c>
      <c r="D26">
        <v>2</v>
      </c>
      <c r="E26">
        <v>0</v>
      </c>
    </row>
    <row r="27" spans="1:5" x14ac:dyDescent="0.25">
      <c r="A27" t="s">
        <v>36</v>
      </c>
      <c r="B27" t="s">
        <v>7337</v>
      </c>
      <c r="C27" t="s">
        <v>7338</v>
      </c>
      <c r="D27">
        <v>2</v>
      </c>
      <c r="E27">
        <v>0</v>
      </c>
    </row>
    <row r="28" spans="1:5" x14ac:dyDescent="0.25">
      <c r="A28" t="s">
        <v>36</v>
      </c>
      <c r="B28" t="s">
        <v>7339</v>
      </c>
      <c r="C28" t="s">
        <v>7340</v>
      </c>
      <c r="D28">
        <v>2</v>
      </c>
      <c r="E28">
        <v>0</v>
      </c>
    </row>
    <row r="29" spans="1:5" x14ac:dyDescent="0.25">
      <c r="A29" t="s">
        <v>36</v>
      </c>
      <c r="B29" t="s">
        <v>7341</v>
      </c>
      <c r="C29" t="s">
        <v>7342</v>
      </c>
      <c r="D29">
        <v>2</v>
      </c>
      <c r="E29">
        <v>0</v>
      </c>
    </row>
    <row r="30" spans="1:5" x14ac:dyDescent="0.25">
      <c r="A30" t="s">
        <v>36</v>
      </c>
      <c r="B30" t="s">
        <v>7343</v>
      </c>
      <c r="C30" t="s">
        <v>7344</v>
      </c>
      <c r="D30">
        <v>1</v>
      </c>
      <c r="E30">
        <v>0</v>
      </c>
    </row>
    <row r="31" spans="1:5" x14ac:dyDescent="0.25">
      <c r="A31" t="s">
        <v>36</v>
      </c>
      <c r="B31" t="s">
        <v>7345</v>
      </c>
      <c r="C31" t="s">
        <v>7346</v>
      </c>
      <c r="D31">
        <v>1</v>
      </c>
      <c r="E31">
        <v>0</v>
      </c>
    </row>
    <row r="32" spans="1:5" x14ac:dyDescent="0.25">
      <c r="A32" t="s">
        <v>36</v>
      </c>
      <c r="B32" t="s">
        <v>7347</v>
      </c>
      <c r="C32" t="s">
        <v>7348</v>
      </c>
      <c r="D32">
        <v>1</v>
      </c>
      <c r="E32">
        <v>0</v>
      </c>
    </row>
    <row r="33" spans="1:5" x14ac:dyDescent="0.25">
      <c r="A33" t="s">
        <v>36</v>
      </c>
      <c r="B33" t="s">
        <v>7349</v>
      </c>
      <c r="C33" t="s">
        <v>7350</v>
      </c>
      <c r="D33">
        <v>1</v>
      </c>
      <c r="E33">
        <v>0</v>
      </c>
    </row>
    <row r="34" spans="1:5" x14ac:dyDescent="0.25">
      <c r="A34" t="s">
        <v>36</v>
      </c>
      <c r="B34" t="s">
        <v>7351</v>
      </c>
      <c r="C34" t="s">
        <v>7352</v>
      </c>
      <c r="D34">
        <v>2</v>
      </c>
      <c r="E34">
        <v>0</v>
      </c>
    </row>
    <row r="35" spans="1:5" x14ac:dyDescent="0.25">
      <c r="A35" t="s">
        <v>36</v>
      </c>
      <c r="B35" t="s">
        <v>7353</v>
      </c>
      <c r="C35" t="s">
        <v>7354</v>
      </c>
      <c r="D35">
        <v>2</v>
      </c>
      <c r="E35">
        <v>0</v>
      </c>
    </row>
    <row r="36" spans="1:5" x14ac:dyDescent="0.25">
      <c r="A36" t="s">
        <v>36</v>
      </c>
      <c r="B36" t="s">
        <v>7355</v>
      </c>
      <c r="C36" t="s">
        <v>7356</v>
      </c>
      <c r="D36">
        <v>2</v>
      </c>
      <c r="E36">
        <v>0</v>
      </c>
    </row>
    <row r="37" spans="1:5" x14ac:dyDescent="0.25">
      <c r="A37" t="s">
        <v>36</v>
      </c>
      <c r="B37" t="s">
        <v>7357</v>
      </c>
      <c r="C37" t="s">
        <v>7358</v>
      </c>
      <c r="D37">
        <v>2</v>
      </c>
      <c r="E37">
        <v>0</v>
      </c>
    </row>
    <row r="38" spans="1:5" x14ac:dyDescent="0.25">
      <c r="A38" t="s">
        <v>36</v>
      </c>
      <c r="B38" t="s">
        <v>7359</v>
      </c>
      <c r="C38" t="s">
        <v>7360</v>
      </c>
      <c r="D38">
        <v>1</v>
      </c>
      <c r="E38">
        <v>0</v>
      </c>
    </row>
    <row r="39" spans="1:5" x14ac:dyDescent="0.25">
      <c r="A39" t="s">
        <v>36</v>
      </c>
      <c r="B39" t="s">
        <v>7361</v>
      </c>
      <c r="C39" t="s">
        <v>7362</v>
      </c>
      <c r="D39">
        <v>1</v>
      </c>
      <c r="E39">
        <v>0</v>
      </c>
    </row>
    <row r="40" spans="1:5" x14ac:dyDescent="0.25">
      <c r="A40" t="s">
        <v>36</v>
      </c>
      <c r="B40" t="s">
        <v>7363</v>
      </c>
      <c r="C40" t="s">
        <v>7364</v>
      </c>
      <c r="D40">
        <v>1</v>
      </c>
      <c r="E40">
        <v>0</v>
      </c>
    </row>
    <row r="41" spans="1:5" x14ac:dyDescent="0.25">
      <c r="A41" t="s">
        <v>36</v>
      </c>
      <c r="B41" t="s">
        <v>7365</v>
      </c>
      <c r="C41" t="s">
        <v>7366</v>
      </c>
      <c r="D41">
        <v>1</v>
      </c>
      <c r="E41">
        <v>0</v>
      </c>
    </row>
    <row r="42" spans="1:5" x14ac:dyDescent="0.25">
      <c r="A42" t="s">
        <v>36</v>
      </c>
      <c r="B42" t="s">
        <v>7367</v>
      </c>
      <c r="C42" t="s">
        <v>7368</v>
      </c>
      <c r="D42">
        <v>3</v>
      </c>
      <c r="E42">
        <v>0</v>
      </c>
    </row>
    <row r="43" spans="1:5" x14ac:dyDescent="0.25">
      <c r="A43" t="s">
        <v>36</v>
      </c>
      <c r="B43" t="s">
        <v>7369</v>
      </c>
      <c r="C43" t="s">
        <v>7370</v>
      </c>
      <c r="D43">
        <v>3</v>
      </c>
      <c r="E43">
        <v>0</v>
      </c>
    </row>
    <row r="44" spans="1:5" x14ac:dyDescent="0.25">
      <c r="A44" t="s">
        <v>36</v>
      </c>
      <c r="B44" t="s">
        <v>7371</v>
      </c>
      <c r="C44" t="s">
        <v>7372</v>
      </c>
      <c r="D44">
        <v>3</v>
      </c>
      <c r="E44">
        <v>0</v>
      </c>
    </row>
    <row r="45" spans="1:5" x14ac:dyDescent="0.25">
      <c r="A45" t="s">
        <v>36</v>
      </c>
      <c r="B45" t="s">
        <v>7373</v>
      </c>
      <c r="C45" t="s">
        <v>7374</v>
      </c>
      <c r="D45">
        <v>3</v>
      </c>
      <c r="E45">
        <v>0</v>
      </c>
    </row>
    <row r="46" spans="1:5" x14ac:dyDescent="0.25">
      <c r="A46" t="s">
        <v>36</v>
      </c>
      <c r="B46" t="s">
        <v>7375</v>
      </c>
      <c r="C46" t="s">
        <v>7376</v>
      </c>
      <c r="D46">
        <v>1</v>
      </c>
      <c r="E46">
        <v>0</v>
      </c>
    </row>
    <row r="47" spans="1:5" x14ac:dyDescent="0.25">
      <c r="A47" t="s">
        <v>36</v>
      </c>
      <c r="B47" t="s">
        <v>7377</v>
      </c>
      <c r="C47" t="s">
        <v>7378</v>
      </c>
      <c r="D47">
        <v>1</v>
      </c>
      <c r="E47">
        <v>0</v>
      </c>
    </row>
    <row r="48" spans="1:5" x14ac:dyDescent="0.25">
      <c r="A48" t="s">
        <v>36</v>
      </c>
      <c r="B48" t="s">
        <v>7379</v>
      </c>
      <c r="C48" t="s">
        <v>7380</v>
      </c>
      <c r="D48">
        <v>1</v>
      </c>
      <c r="E48">
        <v>0</v>
      </c>
    </row>
    <row r="49" spans="1:5" x14ac:dyDescent="0.25">
      <c r="A49" t="s">
        <v>36</v>
      </c>
      <c r="B49" t="s">
        <v>7381</v>
      </c>
      <c r="C49" t="s">
        <v>7382</v>
      </c>
      <c r="D49">
        <v>1</v>
      </c>
      <c r="E49">
        <v>0</v>
      </c>
    </row>
    <row r="50" spans="1:5" x14ac:dyDescent="0.25">
      <c r="A50" t="s">
        <v>36</v>
      </c>
      <c r="B50" t="s">
        <v>7383</v>
      </c>
      <c r="C50" t="s">
        <v>7384</v>
      </c>
      <c r="D50">
        <v>3</v>
      </c>
      <c r="E50">
        <v>0</v>
      </c>
    </row>
    <row r="51" spans="1:5" x14ac:dyDescent="0.25">
      <c r="A51" t="s">
        <v>36</v>
      </c>
      <c r="B51" t="s">
        <v>7385</v>
      </c>
      <c r="C51" t="s">
        <v>7386</v>
      </c>
      <c r="D51">
        <v>3</v>
      </c>
      <c r="E51">
        <v>0</v>
      </c>
    </row>
    <row r="52" spans="1:5" x14ac:dyDescent="0.25">
      <c r="A52" t="s">
        <v>36</v>
      </c>
      <c r="B52" t="s">
        <v>7387</v>
      </c>
      <c r="C52" t="s">
        <v>7388</v>
      </c>
      <c r="D52">
        <v>3</v>
      </c>
      <c r="E52">
        <v>0</v>
      </c>
    </row>
    <row r="53" spans="1:5" x14ac:dyDescent="0.25">
      <c r="A53" t="s">
        <v>36</v>
      </c>
      <c r="B53" t="s">
        <v>7389</v>
      </c>
      <c r="C53" t="s">
        <v>7390</v>
      </c>
      <c r="D53">
        <v>3</v>
      </c>
      <c r="E53">
        <v>0</v>
      </c>
    </row>
    <row r="54" spans="1:5" x14ac:dyDescent="0.25">
      <c r="A54" t="s">
        <v>36</v>
      </c>
      <c r="B54" t="s">
        <v>7391</v>
      </c>
      <c r="C54" t="s">
        <v>7392</v>
      </c>
      <c r="D54">
        <v>2</v>
      </c>
      <c r="E54">
        <v>0</v>
      </c>
    </row>
    <row r="55" spans="1:5" x14ac:dyDescent="0.25">
      <c r="A55" t="s">
        <v>36</v>
      </c>
      <c r="B55" t="s">
        <v>7393</v>
      </c>
      <c r="C55" t="s">
        <v>7394</v>
      </c>
      <c r="D55">
        <v>2</v>
      </c>
      <c r="E55">
        <v>0</v>
      </c>
    </row>
    <row r="56" spans="1:5" x14ac:dyDescent="0.25">
      <c r="A56" t="s">
        <v>36</v>
      </c>
      <c r="B56" t="s">
        <v>7395</v>
      </c>
      <c r="C56" t="s">
        <v>7396</v>
      </c>
      <c r="D56">
        <v>2</v>
      </c>
      <c r="E56">
        <v>0</v>
      </c>
    </row>
    <row r="57" spans="1:5" x14ac:dyDescent="0.25">
      <c r="A57" t="s">
        <v>36</v>
      </c>
      <c r="B57" t="s">
        <v>7397</v>
      </c>
      <c r="C57" t="s">
        <v>7398</v>
      </c>
      <c r="D57">
        <v>2</v>
      </c>
      <c r="E57">
        <v>0</v>
      </c>
    </row>
    <row r="58" spans="1:5" x14ac:dyDescent="0.25">
      <c r="A58" t="s">
        <v>36</v>
      </c>
      <c r="B58" t="s">
        <v>7399</v>
      </c>
      <c r="C58" t="s">
        <v>7400</v>
      </c>
      <c r="D58">
        <v>3</v>
      </c>
      <c r="E58">
        <v>0</v>
      </c>
    </row>
    <row r="59" spans="1:5" x14ac:dyDescent="0.25">
      <c r="A59" t="s">
        <v>36</v>
      </c>
      <c r="B59" t="s">
        <v>7401</v>
      </c>
      <c r="C59" t="s">
        <v>7402</v>
      </c>
      <c r="D59">
        <v>3</v>
      </c>
      <c r="E59">
        <v>0</v>
      </c>
    </row>
    <row r="60" spans="1:5" x14ac:dyDescent="0.25">
      <c r="A60" t="s">
        <v>36</v>
      </c>
      <c r="B60" t="s">
        <v>7403</v>
      </c>
      <c r="C60" t="s">
        <v>7404</v>
      </c>
      <c r="D60">
        <v>3</v>
      </c>
      <c r="E60">
        <v>0</v>
      </c>
    </row>
    <row r="61" spans="1:5" x14ac:dyDescent="0.25">
      <c r="A61" t="s">
        <v>36</v>
      </c>
      <c r="B61" t="s">
        <v>7405</v>
      </c>
      <c r="C61" t="s">
        <v>7406</v>
      </c>
      <c r="D61">
        <v>3</v>
      </c>
      <c r="E61">
        <v>0</v>
      </c>
    </row>
    <row r="62" spans="1:5" x14ac:dyDescent="0.25">
      <c r="A62" t="s">
        <v>36</v>
      </c>
      <c r="B62" t="s">
        <v>7407</v>
      </c>
      <c r="C62" t="s">
        <v>7408</v>
      </c>
      <c r="D62">
        <v>3</v>
      </c>
      <c r="E62">
        <v>0</v>
      </c>
    </row>
    <row r="63" spans="1:5" x14ac:dyDescent="0.25">
      <c r="A63" t="s">
        <v>36</v>
      </c>
      <c r="B63" t="s">
        <v>7409</v>
      </c>
      <c r="C63" t="s">
        <v>7410</v>
      </c>
      <c r="D63">
        <v>3</v>
      </c>
      <c r="E63">
        <v>0</v>
      </c>
    </row>
    <row r="64" spans="1:5" x14ac:dyDescent="0.25">
      <c r="A64" t="s">
        <v>36</v>
      </c>
      <c r="B64" t="s">
        <v>7411</v>
      </c>
      <c r="C64" t="s">
        <v>7412</v>
      </c>
      <c r="D64">
        <v>3</v>
      </c>
      <c r="E64">
        <v>0</v>
      </c>
    </row>
    <row r="65" spans="1:5" x14ac:dyDescent="0.25">
      <c r="A65" t="s">
        <v>36</v>
      </c>
      <c r="B65" t="s">
        <v>7413</v>
      </c>
      <c r="C65" t="s">
        <v>7414</v>
      </c>
      <c r="D65">
        <v>3</v>
      </c>
      <c r="E65">
        <v>0</v>
      </c>
    </row>
    <row r="66" spans="1:5" x14ac:dyDescent="0.25">
      <c r="A66" t="s">
        <v>36</v>
      </c>
      <c r="B66" t="s">
        <v>7415</v>
      </c>
      <c r="C66" t="s">
        <v>7416</v>
      </c>
      <c r="D66">
        <v>1</v>
      </c>
      <c r="E66">
        <v>0</v>
      </c>
    </row>
    <row r="67" spans="1:5" x14ac:dyDescent="0.25">
      <c r="A67" t="s">
        <v>36</v>
      </c>
      <c r="B67" t="s">
        <v>7417</v>
      </c>
      <c r="C67" t="s">
        <v>7418</v>
      </c>
      <c r="D67">
        <v>1</v>
      </c>
      <c r="E67">
        <v>0</v>
      </c>
    </row>
    <row r="68" spans="1:5" x14ac:dyDescent="0.25">
      <c r="A68" t="s">
        <v>36</v>
      </c>
      <c r="B68" t="s">
        <v>7419</v>
      </c>
      <c r="C68" t="s">
        <v>7420</v>
      </c>
      <c r="D68">
        <v>1</v>
      </c>
      <c r="E68">
        <v>0</v>
      </c>
    </row>
    <row r="69" spans="1:5" x14ac:dyDescent="0.25">
      <c r="A69" t="s">
        <v>36</v>
      </c>
      <c r="B69" t="s">
        <v>7421</v>
      </c>
      <c r="C69" t="s">
        <v>7422</v>
      </c>
      <c r="D69">
        <v>1</v>
      </c>
      <c r="E69">
        <v>0</v>
      </c>
    </row>
    <row r="70" spans="1:5" x14ac:dyDescent="0.25">
      <c r="A70" t="s">
        <v>36</v>
      </c>
      <c r="B70" t="s">
        <v>7423</v>
      </c>
      <c r="C70" t="s">
        <v>7424</v>
      </c>
      <c r="D70">
        <v>2</v>
      </c>
      <c r="E70">
        <v>0</v>
      </c>
    </row>
    <row r="71" spans="1:5" x14ac:dyDescent="0.25">
      <c r="A71" t="s">
        <v>36</v>
      </c>
      <c r="B71" t="s">
        <v>7425</v>
      </c>
      <c r="C71" t="s">
        <v>7426</v>
      </c>
      <c r="D71">
        <v>2</v>
      </c>
      <c r="E71">
        <v>0</v>
      </c>
    </row>
    <row r="72" spans="1:5" x14ac:dyDescent="0.25">
      <c r="A72" t="s">
        <v>36</v>
      </c>
      <c r="B72" t="s">
        <v>7427</v>
      </c>
      <c r="C72" t="s">
        <v>7428</v>
      </c>
      <c r="D72">
        <v>2</v>
      </c>
      <c r="E72">
        <v>0</v>
      </c>
    </row>
    <row r="73" spans="1:5" x14ac:dyDescent="0.25">
      <c r="A73" t="s">
        <v>36</v>
      </c>
      <c r="B73" t="s">
        <v>7429</v>
      </c>
      <c r="C73" t="s">
        <v>7430</v>
      </c>
      <c r="D73">
        <v>2</v>
      </c>
      <c r="E73">
        <v>0</v>
      </c>
    </row>
    <row r="74" spans="1:5" x14ac:dyDescent="0.25">
      <c r="A74" t="s">
        <v>36</v>
      </c>
      <c r="B74" t="s">
        <v>7431</v>
      </c>
      <c r="C74" t="s">
        <v>7432</v>
      </c>
      <c r="D74">
        <v>3</v>
      </c>
      <c r="E74">
        <v>0</v>
      </c>
    </row>
    <row r="75" spans="1:5" x14ac:dyDescent="0.25">
      <c r="A75" t="s">
        <v>36</v>
      </c>
      <c r="B75" t="s">
        <v>7433</v>
      </c>
      <c r="C75" t="s">
        <v>7434</v>
      </c>
      <c r="D75">
        <v>3</v>
      </c>
      <c r="E75">
        <v>0</v>
      </c>
    </row>
    <row r="76" spans="1:5" x14ac:dyDescent="0.25">
      <c r="A76" t="s">
        <v>36</v>
      </c>
      <c r="B76" t="s">
        <v>7435</v>
      </c>
      <c r="C76" t="s">
        <v>7436</v>
      </c>
      <c r="D76">
        <v>3</v>
      </c>
      <c r="E76">
        <v>0</v>
      </c>
    </row>
    <row r="77" spans="1:5" x14ac:dyDescent="0.25">
      <c r="A77" t="s">
        <v>36</v>
      </c>
      <c r="B77" t="s">
        <v>7437</v>
      </c>
      <c r="C77" t="s">
        <v>7438</v>
      </c>
      <c r="D77">
        <v>3</v>
      </c>
      <c r="E77">
        <v>0</v>
      </c>
    </row>
    <row r="78" spans="1:5" x14ac:dyDescent="0.25">
      <c r="A78" t="s">
        <v>36</v>
      </c>
      <c r="B78" t="s">
        <v>7439</v>
      </c>
      <c r="C78" t="s">
        <v>7440</v>
      </c>
      <c r="D78">
        <v>2</v>
      </c>
      <c r="E78">
        <v>0</v>
      </c>
    </row>
    <row r="79" spans="1:5" x14ac:dyDescent="0.25">
      <c r="A79" t="s">
        <v>36</v>
      </c>
      <c r="B79" t="s">
        <v>7441</v>
      </c>
      <c r="C79" t="s">
        <v>7442</v>
      </c>
      <c r="D79">
        <v>2</v>
      </c>
      <c r="E79">
        <v>0</v>
      </c>
    </row>
    <row r="80" spans="1:5" x14ac:dyDescent="0.25">
      <c r="A80" t="s">
        <v>36</v>
      </c>
      <c r="B80" t="s">
        <v>7443</v>
      </c>
      <c r="C80" t="s">
        <v>7444</v>
      </c>
      <c r="D80">
        <v>2</v>
      </c>
      <c r="E80">
        <v>0</v>
      </c>
    </row>
    <row r="81" spans="1:5" x14ac:dyDescent="0.25">
      <c r="A81" t="s">
        <v>36</v>
      </c>
      <c r="B81" t="s">
        <v>7445</v>
      </c>
      <c r="C81" t="s">
        <v>7446</v>
      </c>
      <c r="D81">
        <v>2</v>
      </c>
      <c r="E81">
        <v>0</v>
      </c>
    </row>
    <row r="82" spans="1:5" x14ac:dyDescent="0.25">
      <c r="A82" t="s">
        <v>36</v>
      </c>
      <c r="B82" t="s">
        <v>7447</v>
      </c>
      <c r="C82" t="s">
        <v>7448</v>
      </c>
      <c r="D82">
        <v>3</v>
      </c>
      <c r="E82">
        <v>0</v>
      </c>
    </row>
    <row r="83" spans="1:5" x14ac:dyDescent="0.25">
      <c r="A83" t="s">
        <v>36</v>
      </c>
      <c r="B83" t="s">
        <v>7449</v>
      </c>
      <c r="C83" t="s">
        <v>7450</v>
      </c>
      <c r="D83">
        <v>3</v>
      </c>
      <c r="E83">
        <v>0</v>
      </c>
    </row>
    <row r="84" spans="1:5" x14ac:dyDescent="0.25">
      <c r="A84" t="s">
        <v>36</v>
      </c>
      <c r="B84" t="s">
        <v>7451</v>
      </c>
      <c r="C84" t="s">
        <v>7452</v>
      </c>
      <c r="D84">
        <v>3</v>
      </c>
      <c r="E84">
        <v>0</v>
      </c>
    </row>
    <row r="85" spans="1:5" x14ac:dyDescent="0.25">
      <c r="A85" t="s">
        <v>36</v>
      </c>
      <c r="B85" t="s">
        <v>7453</v>
      </c>
      <c r="C85" t="s">
        <v>7454</v>
      </c>
      <c r="D85">
        <v>3</v>
      </c>
      <c r="E85">
        <v>0</v>
      </c>
    </row>
    <row r="86" spans="1:5" x14ac:dyDescent="0.25">
      <c r="A86" t="s">
        <v>36</v>
      </c>
      <c r="B86" t="s">
        <v>7455</v>
      </c>
      <c r="C86" t="s">
        <v>7456</v>
      </c>
      <c r="D86">
        <v>3</v>
      </c>
      <c r="E86">
        <v>0</v>
      </c>
    </row>
    <row r="87" spans="1:5" x14ac:dyDescent="0.25">
      <c r="A87" t="s">
        <v>36</v>
      </c>
      <c r="B87" t="s">
        <v>7457</v>
      </c>
      <c r="C87" t="s">
        <v>7458</v>
      </c>
      <c r="D87">
        <v>3</v>
      </c>
      <c r="E87">
        <v>0</v>
      </c>
    </row>
    <row r="88" spans="1:5" x14ac:dyDescent="0.25">
      <c r="A88" t="s">
        <v>36</v>
      </c>
      <c r="B88" t="s">
        <v>7459</v>
      </c>
      <c r="C88" t="s">
        <v>7460</v>
      </c>
      <c r="D88">
        <v>3</v>
      </c>
      <c r="E88">
        <v>0</v>
      </c>
    </row>
    <row r="89" spans="1:5" x14ac:dyDescent="0.25">
      <c r="A89" t="s">
        <v>36</v>
      </c>
      <c r="B89" t="s">
        <v>7461</v>
      </c>
      <c r="C89" t="s">
        <v>7462</v>
      </c>
      <c r="D89">
        <v>3</v>
      </c>
      <c r="E89">
        <v>0</v>
      </c>
    </row>
    <row r="90" spans="1:5" x14ac:dyDescent="0.25">
      <c r="A90" t="s">
        <v>36</v>
      </c>
      <c r="B90" t="s">
        <v>7463</v>
      </c>
      <c r="C90" t="s">
        <v>7464</v>
      </c>
      <c r="D90">
        <v>3</v>
      </c>
      <c r="E90">
        <v>0</v>
      </c>
    </row>
    <row r="91" spans="1:5" x14ac:dyDescent="0.25">
      <c r="A91" t="s">
        <v>36</v>
      </c>
      <c r="B91" t="s">
        <v>7465</v>
      </c>
      <c r="C91" t="s">
        <v>7466</v>
      </c>
      <c r="D91">
        <v>3</v>
      </c>
      <c r="E91">
        <v>0</v>
      </c>
    </row>
    <row r="92" spans="1:5" x14ac:dyDescent="0.25">
      <c r="A92" t="s">
        <v>36</v>
      </c>
      <c r="B92" t="s">
        <v>7467</v>
      </c>
      <c r="C92" t="s">
        <v>7468</v>
      </c>
      <c r="D92">
        <v>3</v>
      </c>
      <c r="E92">
        <v>0</v>
      </c>
    </row>
    <row r="93" spans="1:5" x14ac:dyDescent="0.25">
      <c r="A93" t="s">
        <v>36</v>
      </c>
      <c r="B93" t="s">
        <v>7469</v>
      </c>
      <c r="C93" t="s">
        <v>7470</v>
      </c>
      <c r="D93">
        <v>3</v>
      </c>
      <c r="E93">
        <v>0</v>
      </c>
    </row>
    <row r="94" spans="1:5" x14ac:dyDescent="0.25">
      <c r="A94" t="s">
        <v>43</v>
      </c>
      <c r="B94" t="s">
        <v>7471</v>
      </c>
      <c r="C94" t="s">
        <v>7472</v>
      </c>
      <c r="D94">
        <v>2</v>
      </c>
      <c r="E94">
        <v>0</v>
      </c>
    </row>
    <row r="95" spans="1:5" x14ac:dyDescent="0.25">
      <c r="A95" t="s">
        <v>43</v>
      </c>
      <c r="B95" t="s">
        <v>7473</v>
      </c>
      <c r="C95" t="s">
        <v>7474</v>
      </c>
      <c r="D95">
        <v>2</v>
      </c>
      <c r="E95">
        <v>0</v>
      </c>
    </row>
    <row r="96" spans="1:5" x14ac:dyDescent="0.25">
      <c r="A96" t="s">
        <v>43</v>
      </c>
      <c r="B96" t="s">
        <v>7475</v>
      </c>
      <c r="C96" t="s">
        <v>7476</v>
      </c>
      <c r="D96">
        <v>2</v>
      </c>
      <c r="E96">
        <v>0</v>
      </c>
    </row>
    <row r="97" spans="1:5" x14ac:dyDescent="0.25">
      <c r="A97" t="s">
        <v>43</v>
      </c>
      <c r="B97" t="s">
        <v>7477</v>
      </c>
      <c r="C97" t="s">
        <v>7478</v>
      </c>
      <c r="D97">
        <v>2</v>
      </c>
      <c r="E97">
        <v>0</v>
      </c>
    </row>
    <row r="98" spans="1:5" x14ac:dyDescent="0.25">
      <c r="A98" t="s">
        <v>43</v>
      </c>
      <c r="B98" t="s">
        <v>7479</v>
      </c>
      <c r="C98" t="s">
        <v>7480</v>
      </c>
      <c r="D98">
        <v>1</v>
      </c>
      <c r="E98">
        <v>3</v>
      </c>
    </row>
    <row r="99" spans="1:5" x14ac:dyDescent="0.25">
      <c r="A99" t="s">
        <v>43</v>
      </c>
      <c r="B99" t="s">
        <v>7481</v>
      </c>
      <c r="C99" t="s">
        <v>7482</v>
      </c>
      <c r="D99">
        <v>1</v>
      </c>
      <c r="E99">
        <v>3</v>
      </c>
    </row>
    <row r="100" spans="1:5" x14ac:dyDescent="0.25">
      <c r="A100" t="s">
        <v>43</v>
      </c>
      <c r="B100" t="s">
        <v>7483</v>
      </c>
      <c r="C100" t="s">
        <v>7484</v>
      </c>
      <c r="D100">
        <v>1</v>
      </c>
      <c r="E100">
        <v>3</v>
      </c>
    </row>
    <row r="101" spans="1:5" x14ac:dyDescent="0.25">
      <c r="A101" t="s">
        <v>43</v>
      </c>
      <c r="B101" t="s">
        <v>7485</v>
      </c>
      <c r="C101" t="s">
        <v>7486</v>
      </c>
      <c r="D101">
        <v>1</v>
      </c>
      <c r="E101">
        <v>3</v>
      </c>
    </row>
    <row r="102" spans="1:5" x14ac:dyDescent="0.25">
      <c r="A102" t="s">
        <v>43</v>
      </c>
      <c r="B102" t="s">
        <v>7487</v>
      </c>
      <c r="C102" t="s">
        <v>7488</v>
      </c>
      <c r="D102">
        <v>3</v>
      </c>
      <c r="E102">
        <v>3</v>
      </c>
    </row>
    <row r="103" spans="1:5" x14ac:dyDescent="0.25">
      <c r="A103" t="s">
        <v>43</v>
      </c>
      <c r="B103" t="s">
        <v>7489</v>
      </c>
      <c r="C103" t="s">
        <v>7490</v>
      </c>
      <c r="D103">
        <v>3</v>
      </c>
      <c r="E103">
        <v>3</v>
      </c>
    </row>
    <row r="104" spans="1:5" x14ac:dyDescent="0.25">
      <c r="A104" t="s">
        <v>43</v>
      </c>
      <c r="B104" t="s">
        <v>7491</v>
      </c>
      <c r="C104" t="s">
        <v>7492</v>
      </c>
      <c r="D104">
        <v>3</v>
      </c>
      <c r="E104">
        <v>3</v>
      </c>
    </row>
    <row r="105" spans="1:5" x14ac:dyDescent="0.25">
      <c r="A105" t="s">
        <v>43</v>
      </c>
      <c r="B105" t="s">
        <v>7493</v>
      </c>
      <c r="C105" t="s">
        <v>7494</v>
      </c>
      <c r="D105">
        <v>3</v>
      </c>
      <c r="E105">
        <v>3</v>
      </c>
    </row>
    <row r="106" spans="1:5" x14ac:dyDescent="0.25">
      <c r="A106" t="s">
        <v>43</v>
      </c>
      <c r="B106" t="s">
        <v>7495</v>
      </c>
      <c r="C106" t="s">
        <v>7496</v>
      </c>
      <c r="D106">
        <v>2</v>
      </c>
      <c r="E106">
        <v>0</v>
      </c>
    </row>
    <row r="107" spans="1:5" x14ac:dyDescent="0.25">
      <c r="A107" t="s">
        <v>43</v>
      </c>
      <c r="B107" t="s">
        <v>7497</v>
      </c>
      <c r="C107" t="s">
        <v>7498</v>
      </c>
      <c r="D107">
        <v>2</v>
      </c>
      <c r="E107">
        <v>0</v>
      </c>
    </row>
    <row r="108" spans="1:5" x14ac:dyDescent="0.25">
      <c r="A108" t="s">
        <v>43</v>
      </c>
      <c r="B108" t="s">
        <v>7499</v>
      </c>
      <c r="C108" t="s">
        <v>7500</v>
      </c>
      <c r="D108">
        <v>2</v>
      </c>
      <c r="E108">
        <v>0</v>
      </c>
    </row>
    <row r="109" spans="1:5" x14ac:dyDescent="0.25">
      <c r="A109" t="s">
        <v>43</v>
      </c>
      <c r="B109" t="s">
        <v>7501</v>
      </c>
      <c r="C109" t="s">
        <v>7502</v>
      </c>
      <c r="D109">
        <v>2</v>
      </c>
      <c r="E109">
        <v>0</v>
      </c>
    </row>
    <row r="110" spans="1:5" x14ac:dyDescent="0.25">
      <c r="A110" t="s">
        <v>43</v>
      </c>
      <c r="B110" t="s">
        <v>7503</v>
      </c>
      <c r="C110" t="s">
        <v>7504</v>
      </c>
      <c r="D110">
        <v>3</v>
      </c>
      <c r="E110">
        <v>3</v>
      </c>
    </row>
    <row r="111" spans="1:5" x14ac:dyDescent="0.25">
      <c r="A111" t="s">
        <v>43</v>
      </c>
      <c r="B111" t="s">
        <v>7505</v>
      </c>
      <c r="C111" t="s">
        <v>7506</v>
      </c>
      <c r="D111">
        <v>3</v>
      </c>
      <c r="E111">
        <v>3</v>
      </c>
    </row>
    <row r="112" spans="1:5" x14ac:dyDescent="0.25">
      <c r="A112" t="s">
        <v>43</v>
      </c>
      <c r="B112" t="s">
        <v>7507</v>
      </c>
      <c r="C112" t="s">
        <v>7508</v>
      </c>
      <c r="D112">
        <v>3</v>
      </c>
      <c r="E112">
        <v>3</v>
      </c>
    </row>
    <row r="113" spans="1:5" x14ac:dyDescent="0.25">
      <c r="A113" t="s">
        <v>43</v>
      </c>
      <c r="B113" t="s">
        <v>7509</v>
      </c>
      <c r="C113" t="s">
        <v>7510</v>
      </c>
      <c r="D113">
        <v>3</v>
      </c>
      <c r="E113">
        <v>3</v>
      </c>
    </row>
    <row r="114" spans="1:5" x14ac:dyDescent="0.25">
      <c r="A114" t="s">
        <v>43</v>
      </c>
      <c r="B114" t="s">
        <v>7511</v>
      </c>
      <c r="C114" t="s">
        <v>7512</v>
      </c>
      <c r="D114">
        <v>3</v>
      </c>
      <c r="E114">
        <v>3</v>
      </c>
    </row>
    <row r="115" spans="1:5" x14ac:dyDescent="0.25">
      <c r="A115" t="s">
        <v>43</v>
      </c>
      <c r="B115" t="s">
        <v>7513</v>
      </c>
      <c r="C115" t="s">
        <v>7514</v>
      </c>
      <c r="D115">
        <v>3</v>
      </c>
      <c r="E115">
        <v>3</v>
      </c>
    </row>
    <row r="116" spans="1:5" x14ac:dyDescent="0.25">
      <c r="A116" t="s">
        <v>43</v>
      </c>
      <c r="B116" t="s">
        <v>7515</v>
      </c>
      <c r="C116" t="s">
        <v>7516</v>
      </c>
      <c r="D116">
        <v>3</v>
      </c>
      <c r="E116">
        <v>3</v>
      </c>
    </row>
    <row r="117" spans="1:5" x14ac:dyDescent="0.25">
      <c r="A117" t="s">
        <v>43</v>
      </c>
      <c r="B117" t="s">
        <v>7517</v>
      </c>
      <c r="C117" t="s">
        <v>7518</v>
      </c>
      <c r="D117">
        <v>3</v>
      </c>
      <c r="E117">
        <v>3</v>
      </c>
    </row>
    <row r="118" spans="1:5" x14ac:dyDescent="0.25">
      <c r="A118" t="s">
        <v>43</v>
      </c>
      <c r="B118" t="s">
        <v>7519</v>
      </c>
      <c r="C118" t="s">
        <v>7520</v>
      </c>
      <c r="D118">
        <v>1</v>
      </c>
      <c r="E118">
        <v>3</v>
      </c>
    </row>
    <row r="119" spans="1:5" x14ac:dyDescent="0.25">
      <c r="A119" t="s">
        <v>43</v>
      </c>
      <c r="B119" t="s">
        <v>7521</v>
      </c>
      <c r="C119" t="s">
        <v>7522</v>
      </c>
      <c r="D119">
        <v>1</v>
      </c>
      <c r="E119">
        <v>3</v>
      </c>
    </row>
    <row r="120" spans="1:5" x14ac:dyDescent="0.25">
      <c r="A120" t="s">
        <v>43</v>
      </c>
      <c r="B120" t="s">
        <v>7523</v>
      </c>
      <c r="C120" t="s">
        <v>7524</v>
      </c>
      <c r="D120">
        <v>1</v>
      </c>
      <c r="E120">
        <v>3</v>
      </c>
    </row>
    <row r="121" spans="1:5" x14ac:dyDescent="0.25">
      <c r="A121" t="s">
        <v>43</v>
      </c>
      <c r="B121" t="s">
        <v>7525</v>
      </c>
      <c r="C121" t="s">
        <v>7526</v>
      </c>
      <c r="D121">
        <v>1</v>
      </c>
      <c r="E121">
        <v>3</v>
      </c>
    </row>
    <row r="122" spans="1:5" x14ac:dyDescent="0.25">
      <c r="A122" t="s">
        <v>43</v>
      </c>
      <c r="B122" t="s">
        <v>7527</v>
      </c>
      <c r="C122" t="s">
        <v>7528</v>
      </c>
      <c r="D122">
        <v>3</v>
      </c>
      <c r="E122">
        <v>3</v>
      </c>
    </row>
    <row r="123" spans="1:5" x14ac:dyDescent="0.25">
      <c r="A123" t="s">
        <v>43</v>
      </c>
      <c r="B123" t="s">
        <v>7529</v>
      </c>
      <c r="C123" t="s">
        <v>7530</v>
      </c>
      <c r="D123">
        <v>3</v>
      </c>
      <c r="E123">
        <v>3</v>
      </c>
    </row>
    <row r="124" spans="1:5" x14ac:dyDescent="0.25">
      <c r="A124" t="s">
        <v>43</v>
      </c>
      <c r="B124" t="s">
        <v>7531</v>
      </c>
      <c r="C124" t="s">
        <v>7532</v>
      </c>
      <c r="D124">
        <v>3</v>
      </c>
      <c r="E124">
        <v>3</v>
      </c>
    </row>
    <row r="125" spans="1:5" x14ac:dyDescent="0.25">
      <c r="A125" t="s">
        <v>43</v>
      </c>
      <c r="B125" t="s">
        <v>7533</v>
      </c>
      <c r="C125" t="s">
        <v>7534</v>
      </c>
      <c r="D125">
        <v>3</v>
      </c>
      <c r="E125">
        <v>3</v>
      </c>
    </row>
    <row r="126" spans="1:5" x14ac:dyDescent="0.25">
      <c r="A126" t="s">
        <v>43</v>
      </c>
      <c r="B126" t="s">
        <v>7535</v>
      </c>
      <c r="C126" t="s">
        <v>7536</v>
      </c>
      <c r="D126">
        <v>3</v>
      </c>
      <c r="E126">
        <v>3</v>
      </c>
    </row>
    <row r="127" spans="1:5" x14ac:dyDescent="0.25">
      <c r="A127" t="s">
        <v>43</v>
      </c>
      <c r="B127" t="s">
        <v>7537</v>
      </c>
      <c r="C127" t="s">
        <v>7538</v>
      </c>
      <c r="D127">
        <v>3</v>
      </c>
      <c r="E127">
        <v>3</v>
      </c>
    </row>
    <row r="128" spans="1:5" x14ac:dyDescent="0.25">
      <c r="A128" t="s">
        <v>43</v>
      </c>
      <c r="B128" t="s">
        <v>7539</v>
      </c>
      <c r="C128" t="s">
        <v>7540</v>
      </c>
      <c r="D128">
        <v>3</v>
      </c>
      <c r="E128">
        <v>3</v>
      </c>
    </row>
    <row r="129" spans="1:5" x14ac:dyDescent="0.25">
      <c r="A129" t="s">
        <v>43</v>
      </c>
      <c r="B129" t="s">
        <v>7541</v>
      </c>
      <c r="C129" t="s">
        <v>7542</v>
      </c>
      <c r="D129">
        <v>3</v>
      </c>
      <c r="E129">
        <v>3</v>
      </c>
    </row>
    <row r="130" spans="1:5" x14ac:dyDescent="0.25">
      <c r="A130" t="s">
        <v>43</v>
      </c>
      <c r="B130" t="s">
        <v>7543</v>
      </c>
      <c r="C130" t="s">
        <v>7544</v>
      </c>
      <c r="D130">
        <v>2</v>
      </c>
      <c r="E130">
        <v>0</v>
      </c>
    </row>
    <row r="131" spans="1:5" x14ac:dyDescent="0.25">
      <c r="A131" t="s">
        <v>43</v>
      </c>
      <c r="B131" t="s">
        <v>7545</v>
      </c>
      <c r="C131" t="s">
        <v>7546</v>
      </c>
      <c r="D131">
        <v>2</v>
      </c>
      <c r="E131">
        <v>0</v>
      </c>
    </row>
    <row r="132" spans="1:5" x14ac:dyDescent="0.25">
      <c r="A132" t="s">
        <v>43</v>
      </c>
      <c r="B132" t="s">
        <v>7547</v>
      </c>
      <c r="C132" t="s">
        <v>7548</v>
      </c>
      <c r="D132">
        <v>2</v>
      </c>
      <c r="E132">
        <v>0</v>
      </c>
    </row>
    <row r="133" spans="1:5" x14ac:dyDescent="0.25">
      <c r="A133" t="s">
        <v>43</v>
      </c>
      <c r="B133" t="s">
        <v>7549</v>
      </c>
      <c r="C133" t="s">
        <v>7550</v>
      </c>
      <c r="D133">
        <v>2</v>
      </c>
      <c r="E133">
        <v>0</v>
      </c>
    </row>
    <row r="134" spans="1:5" x14ac:dyDescent="0.25">
      <c r="A134" t="s">
        <v>43</v>
      </c>
      <c r="B134" t="s">
        <v>7551</v>
      </c>
      <c r="C134" t="s">
        <v>7552</v>
      </c>
      <c r="D134">
        <v>2</v>
      </c>
      <c r="E134">
        <v>0</v>
      </c>
    </row>
    <row r="135" spans="1:5" x14ac:dyDescent="0.25">
      <c r="A135" t="s">
        <v>43</v>
      </c>
      <c r="B135" t="s">
        <v>7553</v>
      </c>
      <c r="C135" t="s">
        <v>7554</v>
      </c>
      <c r="D135">
        <v>2</v>
      </c>
      <c r="E135">
        <v>0</v>
      </c>
    </row>
    <row r="136" spans="1:5" x14ac:dyDescent="0.25">
      <c r="A136" t="s">
        <v>43</v>
      </c>
      <c r="B136" t="s">
        <v>7555</v>
      </c>
      <c r="C136" t="s">
        <v>7556</v>
      </c>
      <c r="D136">
        <v>2</v>
      </c>
      <c r="E136">
        <v>0</v>
      </c>
    </row>
    <row r="137" spans="1:5" x14ac:dyDescent="0.25">
      <c r="A137" t="s">
        <v>43</v>
      </c>
      <c r="B137" t="s">
        <v>7557</v>
      </c>
      <c r="C137" t="s">
        <v>7558</v>
      </c>
      <c r="D137">
        <v>2</v>
      </c>
      <c r="E137">
        <v>0</v>
      </c>
    </row>
    <row r="138" spans="1:5" x14ac:dyDescent="0.25">
      <c r="A138" t="s">
        <v>43</v>
      </c>
      <c r="B138" t="s">
        <v>7559</v>
      </c>
      <c r="C138" t="s">
        <v>7560</v>
      </c>
      <c r="D138">
        <v>2</v>
      </c>
      <c r="E138">
        <v>0</v>
      </c>
    </row>
    <row r="139" spans="1:5" x14ac:dyDescent="0.25">
      <c r="A139" t="s">
        <v>43</v>
      </c>
      <c r="B139" t="s">
        <v>7561</v>
      </c>
      <c r="C139" t="s">
        <v>7562</v>
      </c>
      <c r="D139">
        <v>2</v>
      </c>
      <c r="E139">
        <v>0</v>
      </c>
    </row>
    <row r="140" spans="1:5" x14ac:dyDescent="0.25">
      <c r="A140" t="s">
        <v>43</v>
      </c>
      <c r="B140" t="s">
        <v>7563</v>
      </c>
      <c r="C140" t="s">
        <v>7564</v>
      </c>
      <c r="D140">
        <v>2</v>
      </c>
      <c r="E140">
        <v>0</v>
      </c>
    </row>
    <row r="141" spans="1:5" x14ac:dyDescent="0.25">
      <c r="A141" t="s">
        <v>43</v>
      </c>
      <c r="B141" t="s">
        <v>7565</v>
      </c>
      <c r="C141" t="s">
        <v>7566</v>
      </c>
      <c r="D141">
        <v>2</v>
      </c>
      <c r="E141">
        <v>0</v>
      </c>
    </row>
    <row r="142" spans="1:5" x14ac:dyDescent="0.25">
      <c r="A142" t="s">
        <v>43</v>
      </c>
      <c r="B142" t="s">
        <v>7567</v>
      </c>
      <c r="C142" t="s">
        <v>7568</v>
      </c>
      <c r="D142">
        <v>2</v>
      </c>
      <c r="E142">
        <v>0</v>
      </c>
    </row>
    <row r="143" spans="1:5" x14ac:dyDescent="0.25">
      <c r="A143" t="s">
        <v>43</v>
      </c>
      <c r="B143" t="s">
        <v>7569</v>
      </c>
      <c r="C143" t="s">
        <v>7570</v>
      </c>
      <c r="D143">
        <v>2</v>
      </c>
      <c r="E143">
        <v>0</v>
      </c>
    </row>
    <row r="144" spans="1:5" x14ac:dyDescent="0.25">
      <c r="A144" t="s">
        <v>43</v>
      </c>
      <c r="B144" t="s">
        <v>7571</v>
      </c>
      <c r="C144" t="s">
        <v>7572</v>
      </c>
      <c r="D144">
        <v>2</v>
      </c>
      <c r="E144">
        <v>0</v>
      </c>
    </row>
    <row r="145" spans="1:5" x14ac:dyDescent="0.25">
      <c r="A145" t="s">
        <v>43</v>
      </c>
      <c r="B145" t="s">
        <v>7573</v>
      </c>
      <c r="C145" t="s">
        <v>7574</v>
      </c>
      <c r="D145">
        <v>2</v>
      </c>
      <c r="E145">
        <v>0</v>
      </c>
    </row>
    <row r="146" spans="1:5" x14ac:dyDescent="0.25">
      <c r="A146" t="s">
        <v>43</v>
      </c>
      <c r="B146" t="s">
        <v>7575</v>
      </c>
      <c r="C146" t="s">
        <v>7576</v>
      </c>
      <c r="D146">
        <v>3</v>
      </c>
      <c r="E146">
        <v>3</v>
      </c>
    </row>
    <row r="147" spans="1:5" x14ac:dyDescent="0.25">
      <c r="A147" t="s">
        <v>43</v>
      </c>
      <c r="B147" t="s">
        <v>7577</v>
      </c>
      <c r="C147" t="s">
        <v>7578</v>
      </c>
      <c r="D147">
        <v>3</v>
      </c>
      <c r="E147">
        <v>3</v>
      </c>
    </row>
    <row r="148" spans="1:5" x14ac:dyDescent="0.25">
      <c r="A148" t="s">
        <v>43</v>
      </c>
      <c r="B148" t="s">
        <v>7579</v>
      </c>
      <c r="C148" t="s">
        <v>7580</v>
      </c>
      <c r="D148">
        <v>3</v>
      </c>
      <c r="E148">
        <v>3</v>
      </c>
    </row>
    <row r="149" spans="1:5" x14ac:dyDescent="0.25">
      <c r="A149" t="s">
        <v>43</v>
      </c>
      <c r="B149" t="s">
        <v>7581</v>
      </c>
      <c r="C149" t="s">
        <v>7582</v>
      </c>
      <c r="D149">
        <v>3</v>
      </c>
      <c r="E149">
        <v>3</v>
      </c>
    </row>
    <row r="150" spans="1:5" x14ac:dyDescent="0.25">
      <c r="A150" t="s">
        <v>43</v>
      </c>
      <c r="B150" t="s">
        <v>7583</v>
      </c>
      <c r="C150" t="s">
        <v>7584</v>
      </c>
      <c r="D150">
        <v>3</v>
      </c>
      <c r="E150">
        <v>3</v>
      </c>
    </row>
    <row r="151" spans="1:5" x14ac:dyDescent="0.25">
      <c r="A151" t="s">
        <v>43</v>
      </c>
      <c r="B151" t="s">
        <v>7585</v>
      </c>
      <c r="C151" t="s">
        <v>7586</v>
      </c>
      <c r="D151">
        <v>3</v>
      </c>
      <c r="E151">
        <v>3</v>
      </c>
    </row>
    <row r="152" spans="1:5" x14ac:dyDescent="0.25">
      <c r="A152" t="s">
        <v>43</v>
      </c>
      <c r="B152" t="s">
        <v>7587</v>
      </c>
      <c r="C152" t="s">
        <v>7588</v>
      </c>
      <c r="D152">
        <v>3</v>
      </c>
      <c r="E152">
        <v>3</v>
      </c>
    </row>
    <row r="153" spans="1:5" x14ac:dyDescent="0.25">
      <c r="A153" t="s">
        <v>43</v>
      </c>
      <c r="B153" t="s">
        <v>7589</v>
      </c>
      <c r="C153" t="s">
        <v>7590</v>
      </c>
      <c r="D153">
        <v>3</v>
      </c>
      <c r="E153">
        <v>3</v>
      </c>
    </row>
    <row r="154" spans="1:5" x14ac:dyDescent="0.25">
      <c r="A154" t="s">
        <v>43</v>
      </c>
      <c r="B154" t="s">
        <v>7591</v>
      </c>
      <c r="C154" t="s">
        <v>7592</v>
      </c>
      <c r="D154">
        <v>3</v>
      </c>
      <c r="E154">
        <v>3</v>
      </c>
    </row>
    <row r="155" spans="1:5" x14ac:dyDescent="0.25">
      <c r="A155" t="s">
        <v>43</v>
      </c>
      <c r="B155" t="s">
        <v>7593</v>
      </c>
      <c r="C155" t="s">
        <v>7594</v>
      </c>
      <c r="D155">
        <v>3</v>
      </c>
      <c r="E155">
        <v>3</v>
      </c>
    </row>
    <row r="156" spans="1:5" x14ac:dyDescent="0.25">
      <c r="A156" t="s">
        <v>43</v>
      </c>
      <c r="B156" t="s">
        <v>7595</v>
      </c>
      <c r="C156" t="s">
        <v>7596</v>
      </c>
      <c r="D156">
        <v>3</v>
      </c>
      <c r="E156">
        <v>3</v>
      </c>
    </row>
    <row r="157" spans="1:5" x14ac:dyDescent="0.25">
      <c r="A157" t="s">
        <v>43</v>
      </c>
      <c r="B157" t="s">
        <v>7597</v>
      </c>
      <c r="C157" t="s">
        <v>7598</v>
      </c>
      <c r="D157">
        <v>3</v>
      </c>
      <c r="E157">
        <v>3</v>
      </c>
    </row>
    <row r="158" spans="1:5" x14ac:dyDescent="0.25">
      <c r="A158" t="s">
        <v>43</v>
      </c>
      <c r="B158" t="s">
        <v>7599</v>
      </c>
      <c r="C158" t="s">
        <v>7600</v>
      </c>
      <c r="D158">
        <v>2</v>
      </c>
      <c r="E158">
        <v>0</v>
      </c>
    </row>
    <row r="159" spans="1:5" x14ac:dyDescent="0.25">
      <c r="A159" t="s">
        <v>43</v>
      </c>
      <c r="B159" t="s">
        <v>7601</v>
      </c>
      <c r="C159" t="s">
        <v>7602</v>
      </c>
      <c r="D159">
        <v>2</v>
      </c>
      <c r="E159">
        <v>0</v>
      </c>
    </row>
    <row r="160" spans="1:5" x14ac:dyDescent="0.25">
      <c r="A160" t="s">
        <v>43</v>
      </c>
      <c r="B160" t="s">
        <v>7603</v>
      </c>
      <c r="C160" t="s">
        <v>7604</v>
      </c>
      <c r="D160">
        <v>2</v>
      </c>
      <c r="E160">
        <v>0</v>
      </c>
    </row>
    <row r="161" spans="1:5" x14ac:dyDescent="0.25">
      <c r="A161" t="s">
        <v>43</v>
      </c>
      <c r="B161" t="s">
        <v>7605</v>
      </c>
      <c r="C161" t="s">
        <v>7606</v>
      </c>
      <c r="D161">
        <v>2</v>
      </c>
      <c r="E161">
        <v>0</v>
      </c>
    </row>
    <row r="162" spans="1:5" x14ac:dyDescent="0.25">
      <c r="A162" t="s">
        <v>43</v>
      </c>
      <c r="B162" t="s">
        <v>7607</v>
      </c>
      <c r="C162" t="s">
        <v>7608</v>
      </c>
      <c r="D162">
        <v>2</v>
      </c>
      <c r="E162">
        <v>0</v>
      </c>
    </row>
    <row r="163" spans="1:5" x14ac:dyDescent="0.25">
      <c r="A163" t="s">
        <v>43</v>
      </c>
      <c r="B163" t="s">
        <v>7609</v>
      </c>
      <c r="C163" t="s">
        <v>7610</v>
      </c>
      <c r="D163">
        <v>2</v>
      </c>
      <c r="E163">
        <v>0</v>
      </c>
    </row>
    <row r="164" spans="1:5" x14ac:dyDescent="0.25">
      <c r="A164" t="s">
        <v>43</v>
      </c>
      <c r="B164" t="s">
        <v>7611</v>
      </c>
      <c r="C164" t="s">
        <v>7612</v>
      </c>
      <c r="D164">
        <v>2</v>
      </c>
      <c r="E164">
        <v>0</v>
      </c>
    </row>
    <row r="165" spans="1:5" x14ac:dyDescent="0.25">
      <c r="A165" t="s">
        <v>43</v>
      </c>
      <c r="B165" t="s">
        <v>7613</v>
      </c>
      <c r="C165" t="s">
        <v>7614</v>
      </c>
      <c r="D165">
        <v>2</v>
      </c>
      <c r="E165">
        <v>0</v>
      </c>
    </row>
    <row r="166" spans="1:5" x14ac:dyDescent="0.25">
      <c r="A166" t="s">
        <v>43</v>
      </c>
      <c r="B166" t="s">
        <v>7615</v>
      </c>
      <c r="C166" t="s">
        <v>7616</v>
      </c>
      <c r="D166">
        <v>3</v>
      </c>
      <c r="E166">
        <v>3</v>
      </c>
    </row>
    <row r="167" spans="1:5" x14ac:dyDescent="0.25">
      <c r="A167" t="s">
        <v>43</v>
      </c>
      <c r="B167" t="s">
        <v>7617</v>
      </c>
      <c r="C167" t="s">
        <v>7618</v>
      </c>
      <c r="D167">
        <v>3</v>
      </c>
      <c r="E167">
        <v>3</v>
      </c>
    </row>
    <row r="168" spans="1:5" x14ac:dyDescent="0.25">
      <c r="A168" t="s">
        <v>43</v>
      </c>
      <c r="B168" t="s">
        <v>7619</v>
      </c>
      <c r="C168" t="s">
        <v>7620</v>
      </c>
      <c r="D168">
        <v>3</v>
      </c>
      <c r="E168">
        <v>3</v>
      </c>
    </row>
    <row r="169" spans="1:5" x14ac:dyDescent="0.25">
      <c r="A169" t="s">
        <v>43</v>
      </c>
      <c r="B169" t="s">
        <v>7621</v>
      </c>
      <c r="C169" t="s">
        <v>7622</v>
      </c>
      <c r="D169">
        <v>3</v>
      </c>
      <c r="E169">
        <v>3</v>
      </c>
    </row>
    <row r="170" spans="1:5" x14ac:dyDescent="0.25">
      <c r="A170" t="s">
        <v>43</v>
      </c>
      <c r="B170" t="s">
        <v>7623</v>
      </c>
      <c r="C170" t="s">
        <v>7624</v>
      </c>
      <c r="D170">
        <v>2</v>
      </c>
      <c r="E170">
        <v>0</v>
      </c>
    </row>
    <row r="171" spans="1:5" x14ac:dyDescent="0.25">
      <c r="A171" t="s">
        <v>43</v>
      </c>
      <c r="B171" t="s">
        <v>7625</v>
      </c>
      <c r="C171" t="s">
        <v>7626</v>
      </c>
      <c r="D171">
        <v>2</v>
      </c>
      <c r="E171">
        <v>0</v>
      </c>
    </row>
    <row r="172" spans="1:5" x14ac:dyDescent="0.25">
      <c r="A172" t="s">
        <v>43</v>
      </c>
      <c r="B172" t="s">
        <v>7627</v>
      </c>
      <c r="C172" t="s">
        <v>7628</v>
      </c>
      <c r="D172">
        <v>2</v>
      </c>
      <c r="E172">
        <v>0</v>
      </c>
    </row>
    <row r="173" spans="1:5" x14ac:dyDescent="0.25">
      <c r="A173" t="s">
        <v>43</v>
      </c>
      <c r="B173" t="s">
        <v>7629</v>
      </c>
      <c r="C173" t="s">
        <v>7630</v>
      </c>
      <c r="D173">
        <v>2</v>
      </c>
      <c r="E173">
        <v>0</v>
      </c>
    </row>
    <row r="174" spans="1:5" x14ac:dyDescent="0.25">
      <c r="A174" t="s">
        <v>43</v>
      </c>
      <c r="B174" t="s">
        <v>7631</v>
      </c>
      <c r="C174" t="s">
        <v>7632</v>
      </c>
      <c r="D174">
        <v>2</v>
      </c>
      <c r="E174">
        <v>0</v>
      </c>
    </row>
    <row r="175" spans="1:5" x14ac:dyDescent="0.25">
      <c r="A175" t="s">
        <v>43</v>
      </c>
      <c r="B175" t="s">
        <v>7633</v>
      </c>
      <c r="C175" t="s">
        <v>7634</v>
      </c>
      <c r="D175">
        <v>2</v>
      </c>
      <c r="E175">
        <v>0</v>
      </c>
    </row>
    <row r="176" spans="1:5" x14ac:dyDescent="0.25">
      <c r="A176" t="s">
        <v>43</v>
      </c>
      <c r="B176" t="s">
        <v>7635</v>
      </c>
      <c r="C176" t="s">
        <v>7636</v>
      </c>
      <c r="D176">
        <v>2</v>
      </c>
      <c r="E176">
        <v>0</v>
      </c>
    </row>
    <row r="177" spans="1:5" x14ac:dyDescent="0.25">
      <c r="A177" t="s">
        <v>43</v>
      </c>
      <c r="B177" t="s">
        <v>7637</v>
      </c>
      <c r="C177" t="s">
        <v>7638</v>
      </c>
      <c r="D177">
        <v>2</v>
      </c>
      <c r="E177">
        <v>0</v>
      </c>
    </row>
    <row r="178" spans="1:5" x14ac:dyDescent="0.25">
      <c r="A178" t="s">
        <v>43</v>
      </c>
      <c r="B178" t="s">
        <v>7639</v>
      </c>
      <c r="C178" t="s">
        <v>7640</v>
      </c>
      <c r="D178">
        <v>2</v>
      </c>
      <c r="E178">
        <v>0</v>
      </c>
    </row>
    <row r="179" spans="1:5" x14ac:dyDescent="0.25">
      <c r="A179" t="s">
        <v>43</v>
      </c>
      <c r="B179" t="s">
        <v>7641</v>
      </c>
      <c r="C179" t="s">
        <v>7642</v>
      </c>
      <c r="D179">
        <v>2</v>
      </c>
      <c r="E179">
        <v>0</v>
      </c>
    </row>
    <row r="180" spans="1:5" x14ac:dyDescent="0.25">
      <c r="A180" t="s">
        <v>43</v>
      </c>
      <c r="B180" t="s">
        <v>7643</v>
      </c>
      <c r="C180" t="s">
        <v>7644</v>
      </c>
      <c r="D180">
        <v>2</v>
      </c>
      <c r="E180">
        <v>0</v>
      </c>
    </row>
    <row r="181" spans="1:5" x14ac:dyDescent="0.25">
      <c r="A181" t="s">
        <v>43</v>
      </c>
      <c r="B181" t="s">
        <v>7645</v>
      </c>
      <c r="C181" t="s">
        <v>7646</v>
      </c>
      <c r="D181">
        <v>2</v>
      </c>
      <c r="E181">
        <v>0</v>
      </c>
    </row>
    <row r="182" spans="1:5" x14ac:dyDescent="0.25">
      <c r="A182" t="s">
        <v>43</v>
      </c>
      <c r="B182" t="s">
        <v>7647</v>
      </c>
      <c r="C182" t="s">
        <v>7648</v>
      </c>
      <c r="D182">
        <v>2</v>
      </c>
      <c r="E182">
        <v>0</v>
      </c>
    </row>
    <row r="183" spans="1:5" x14ac:dyDescent="0.25">
      <c r="A183" t="s">
        <v>43</v>
      </c>
      <c r="B183" t="s">
        <v>7649</v>
      </c>
      <c r="C183" t="s">
        <v>7650</v>
      </c>
      <c r="D183">
        <v>2</v>
      </c>
      <c r="E183">
        <v>0</v>
      </c>
    </row>
    <row r="184" spans="1:5" x14ac:dyDescent="0.25">
      <c r="A184" t="s">
        <v>43</v>
      </c>
      <c r="B184" t="s">
        <v>7651</v>
      </c>
      <c r="C184" t="s">
        <v>7652</v>
      </c>
      <c r="D184">
        <v>2</v>
      </c>
      <c r="E184">
        <v>0</v>
      </c>
    </row>
    <row r="185" spans="1:5" x14ac:dyDescent="0.25">
      <c r="A185" t="s">
        <v>43</v>
      </c>
      <c r="B185" t="s">
        <v>7653</v>
      </c>
      <c r="C185" t="s">
        <v>7654</v>
      </c>
      <c r="D185">
        <v>2</v>
      </c>
      <c r="E185">
        <v>0</v>
      </c>
    </row>
    <row r="186" spans="1:5" x14ac:dyDescent="0.25">
      <c r="A186" t="s">
        <v>43</v>
      </c>
      <c r="B186" t="s">
        <v>7655</v>
      </c>
      <c r="C186" t="s">
        <v>7656</v>
      </c>
      <c r="D186">
        <v>3</v>
      </c>
      <c r="E186">
        <v>3</v>
      </c>
    </row>
    <row r="187" spans="1:5" x14ac:dyDescent="0.25">
      <c r="A187" t="s">
        <v>43</v>
      </c>
      <c r="B187" t="s">
        <v>7657</v>
      </c>
      <c r="C187" t="s">
        <v>7658</v>
      </c>
      <c r="D187">
        <v>3</v>
      </c>
      <c r="E187">
        <v>3</v>
      </c>
    </row>
    <row r="188" spans="1:5" x14ac:dyDescent="0.25">
      <c r="A188" t="s">
        <v>43</v>
      </c>
      <c r="B188" t="s">
        <v>7659</v>
      </c>
      <c r="C188" t="s">
        <v>7660</v>
      </c>
      <c r="D188">
        <v>3</v>
      </c>
      <c r="E188">
        <v>3</v>
      </c>
    </row>
    <row r="189" spans="1:5" x14ac:dyDescent="0.25">
      <c r="A189" t="s">
        <v>43</v>
      </c>
      <c r="B189" t="s">
        <v>7661</v>
      </c>
      <c r="C189" t="s">
        <v>7662</v>
      </c>
      <c r="D189">
        <v>3</v>
      </c>
      <c r="E189">
        <v>3</v>
      </c>
    </row>
    <row r="190" spans="1:5" x14ac:dyDescent="0.25">
      <c r="A190" t="s">
        <v>43</v>
      </c>
      <c r="B190" t="s">
        <v>7663</v>
      </c>
      <c r="C190" t="s">
        <v>7664</v>
      </c>
      <c r="D190">
        <v>2</v>
      </c>
      <c r="E190">
        <v>0</v>
      </c>
    </row>
    <row r="191" spans="1:5" x14ac:dyDescent="0.25">
      <c r="A191" t="s">
        <v>43</v>
      </c>
      <c r="B191" t="s">
        <v>7665</v>
      </c>
      <c r="C191" t="s">
        <v>7666</v>
      </c>
      <c r="D191">
        <v>2</v>
      </c>
      <c r="E191">
        <v>0</v>
      </c>
    </row>
    <row r="192" spans="1:5" x14ac:dyDescent="0.25">
      <c r="A192" t="s">
        <v>43</v>
      </c>
      <c r="B192" t="s">
        <v>7667</v>
      </c>
      <c r="C192" t="s">
        <v>7668</v>
      </c>
      <c r="D192">
        <v>2</v>
      </c>
      <c r="E192">
        <v>0</v>
      </c>
    </row>
    <row r="193" spans="1:5" x14ac:dyDescent="0.25">
      <c r="A193" t="s">
        <v>43</v>
      </c>
      <c r="B193" t="s">
        <v>7669</v>
      </c>
      <c r="C193" t="s">
        <v>7670</v>
      </c>
      <c r="D193">
        <v>2</v>
      </c>
      <c r="E193">
        <v>0</v>
      </c>
    </row>
    <row r="194" spans="1:5" x14ac:dyDescent="0.25">
      <c r="A194" t="s">
        <v>43</v>
      </c>
      <c r="B194" t="s">
        <v>7671</v>
      </c>
      <c r="C194" t="s">
        <v>7672</v>
      </c>
      <c r="D194">
        <v>2</v>
      </c>
      <c r="E194">
        <v>0</v>
      </c>
    </row>
    <row r="195" spans="1:5" x14ac:dyDescent="0.25">
      <c r="A195" t="s">
        <v>43</v>
      </c>
      <c r="B195" t="s">
        <v>7673</v>
      </c>
      <c r="C195" t="s">
        <v>7674</v>
      </c>
      <c r="D195">
        <v>2</v>
      </c>
      <c r="E195">
        <v>0</v>
      </c>
    </row>
    <row r="196" spans="1:5" x14ac:dyDescent="0.25">
      <c r="A196" t="s">
        <v>43</v>
      </c>
      <c r="B196" t="s">
        <v>7675</v>
      </c>
      <c r="C196" t="s">
        <v>7676</v>
      </c>
      <c r="D196">
        <v>2</v>
      </c>
      <c r="E196">
        <v>0</v>
      </c>
    </row>
    <row r="197" spans="1:5" x14ac:dyDescent="0.25">
      <c r="A197" t="s">
        <v>43</v>
      </c>
      <c r="B197" t="s">
        <v>7677</v>
      </c>
      <c r="C197" t="s">
        <v>7678</v>
      </c>
      <c r="D197">
        <v>2</v>
      </c>
      <c r="E197">
        <v>0</v>
      </c>
    </row>
    <row r="198" spans="1:5" x14ac:dyDescent="0.25">
      <c r="A198" t="s">
        <v>43</v>
      </c>
      <c r="B198" t="s">
        <v>7679</v>
      </c>
      <c r="C198" t="s">
        <v>7680</v>
      </c>
      <c r="D198">
        <v>3</v>
      </c>
      <c r="E198">
        <v>3</v>
      </c>
    </row>
    <row r="199" spans="1:5" x14ac:dyDescent="0.25">
      <c r="A199" t="s">
        <v>43</v>
      </c>
      <c r="B199" t="s">
        <v>7681</v>
      </c>
      <c r="C199" t="s">
        <v>7682</v>
      </c>
      <c r="D199">
        <v>3</v>
      </c>
      <c r="E199">
        <v>3</v>
      </c>
    </row>
    <row r="200" spans="1:5" x14ac:dyDescent="0.25">
      <c r="A200" t="s">
        <v>43</v>
      </c>
      <c r="B200" t="s">
        <v>7683</v>
      </c>
      <c r="C200" t="s">
        <v>7684</v>
      </c>
      <c r="D200">
        <v>3</v>
      </c>
      <c r="E200">
        <v>3</v>
      </c>
    </row>
    <row r="201" spans="1:5" x14ac:dyDescent="0.25">
      <c r="A201" t="s">
        <v>43</v>
      </c>
      <c r="B201" t="s">
        <v>7685</v>
      </c>
      <c r="C201" t="s">
        <v>7686</v>
      </c>
      <c r="D201">
        <v>3</v>
      </c>
      <c r="E201">
        <v>3</v>
      </c>
    </row>
    <row r="202" spans="1:5" x14ac:dyDescent="0.25">
      <c r="A202" t="s">
        <v>43</v>
      </c>
      <c r="B202" t="s">
        <v>7687</v>
      </c>
      <c r="C202" t="s">
        <v>7688</v>
      </c>
      <c r="D202">
        <v>2</v>
      </c>
      <c r="E202">
        <v>0</v>
      </c>
    </row>
    <row r="203" spans="1:5" x14ac:dyDescent="0.25">
      <c r="A203" t="s">
        <v>43</v>
      </c>
      <c r="B203" t="s">
        <v>7689</v>
      </c>
      <c r="C203" t="s">
        <v>7690</v>
      </c>
      <c r="D203">
        <v>2</v>
      </c>
      <c r="E203">
        <v>0</v>
      </c>
    </row>
    <row r="204" spans="1:5" x14ac:dyDescent="0.25">
      <c r="A204" t="s">
        <v>43</v>
      </c>
      <c r="B204" t="s">
        <v>7691</v>
      </c>
      <c r="C204" t="s">
        <v>7692</v>
      </c>
      <c r="D204">
        <v>2</v>
      </c>
      <c r="E204">
        <v>0</v>
      </c>
    </row>
    <row r="205" spans="1:5" x14ac:dyDescent="0.25">
      <c r="A205" t="s">
        <v>43</v>
      </c>
      <c r="B205" t="s">
        <v>7693</v>
      </c>
      <c r="C205" t="s">
        <v>7694</v>
      </c>
      <c r="D205">
        <v>2</v>
      </c>
      <c r="E205">
        <v>0</v>
      </c>
    </row>
    <row r="206" spans="1:5" x14ac:dyDescent="0.25">
      <c r="A206" t="s">
        <v>43</v>
      </c>
      <c r="B206" t="s">
        <v>7695</v>
      </c>
      <c r="C206" t="s">
        <v>7696</v>
      </c>
      <c r="D206">
        <v>3</v>
      </c>
      <c r="E206">
        <v>3</v>
      </c>
    </row>
    <row r="207" spans="1:5" x14ac:dyDescent="0.25">
      <c r="A207" t="s">
        <v>43</v>
      </c>
      <c r="B207" t="s">
        <v>7697</v>
      </c>
      <c r="C207" t="s">
        <v>7698</v>
      </c>
      <c r="D207">
        <v>3</v>
      </c>
      <c r="E207">
        <v>3</v>
      </c>
    </row>
    <row r="208" spans="1:5" x14ac:dyDescent="0.25">
      <c r="A208" t="s">
        <v>43</v>
      </c>
      <c r="B208" t="s">
        <v>7699</v>
      </c>
      <c r="C208" t="s">
        <v>7700</v>
      </c>
      <c r="D208">
        <v>3</v>
      </c>
      <c r="E208">
        <v>3</v>
      </c>
    </row>
    <row r="209" spans="1:5" x14ac:dyDescent="0.25">
      <c r="A209" t="s">
        <v>43</v>
      </c>
      <c r="B209" t="s">
        <v>7701</v>
      </c>
      <c r="C209" t="s">
        <v>7702</v>
      </c>
      <c r="D209">
        <v>3</v>
      </c>
      <c r="E209">
        <v>3</v>
      </c>
    </row>
    <row r="210" spans="1:5" x14ac:dyDescent="0.25">
      <c r="A210" t="s">
        <v>43</v>
      </c>
      <c r="B210" t="s">
        <v>7703</v>
      </c>
      <c r="C210" t="s">
        <v>7704</v>
      </c>
      <c r="D210">
        <v>2</v>
      </c>
      <c r="E210">
        <v>0</v>
      </c>
    </row>
    <row r="211" spans="1:5" x14ac:dyDescent="0.25">
      <c r="A211" t="s">
        <v>43</v>
      </c>
      <c r="B211" t="s">
        <v>7705</v>
      </c>
      <c r="C211" t="s">
        <v>7706</v>
      </c>
      <c r="D211">
        <v>2</v>
      </c>
      <c r="E211">
        <v>0</v>
      </c>
    </row>
    <row r="212" spans="1:5" x14ac:dyDescent="0.25">
      <c r="A212" t="s">
        <v>43</v>
      </c>
      <c r="B212" t="s">
        <v>7707</v>
      </c>
      <c r="C212" t="s">
        <v>7708</v>
      </c>
      <c r="D212">
        <v>2</v>
      </c>
      <c r="E212">
        <v>0</v>
      </c>
    </row>
    <row r="213" spans="1:5" x14ac:dyDescent="0.25">
      <c r="A213" t="s">
        <v>43</v>
      </c>
      <c r="B213" t="s">
        <v>7709</v>
      </c>
      <c r="C213" t="s">
        <v>7710</v>
      </c>
      <c r="D213">
        <v>2</v>
      </c>
      <c r="E213">
        <v>0</v>
      </c>
    </row>
    <row r="214" spans="1:5" x14ac:dyDescent="0.25">
      <c r="A214" t="s">
        <v>43</v>
      </c>
      <c r="B214" t="s">
        <v>7711</v>
      </c>
      <c r="C214" t="s">
        <v>7712</v>
      </c>
      <c r="D214">
        <v>2</v>
      </c>
      <c r="E214">
        <v>0</v>
      </c>
    </row>
    <row r="215" spans="1:5" x14ac:dyDescent="0.25">
      <c r="A215" t="s">
        <v>43</v>
      </c>
      <c r="B215" t="s">
        <v>7713</v>
      </c>
      <c r="C215" t="s">
        <v>7714</v>
      </c>
      <c r="D215">
        <v>2</v>
      </c>
      <c r="E215">
        <v>0</v>
      </c>
    </row>
    <row r="216" spans="1:5" x14ac:dyDescent="0.25">
      <c r="A216" t="s">
        <v>43</v>
      </c>
      <c r="B216" t="s">
        <v>7715</v>
      </c>
      <c r="C216" t="s">
        <v>7716</v>
      </c>
      <c r="D216">
        <v>2</v>
      </c>
      <c r="E216">
        <v>0</v>
      </c>
    </row>
    <row r="217" spans="1:5" x14ac:dyDescent="0.25">
      <c r="A217" t="s">
        <v>43</v>
      </c>
      <c r="B217" t="s">
        <v>7717</v>
      </c>
      <c r="C217" t="s">
        <v>7718</v>
      </c>
      <c r="D217">
        <v>2</v>
      </c>
      <c r="E217">
        <v>0</v>
      </c>
    </row>
    <row r="218" spans="1:5" x14ac:dyDescent="0.25">
      <c r="A218" t="s">
        <v>43</v>
      </c>
      <c r="B218" t="s">
        <v>7719</v>
      </c>
      <c r="C218" t="s">
        <v>7720</v>
      </c>
      <c r="D218">
        <v>1</v>
      </c>
      <c r="E218">
        <v>3</v>
      </c>
    </row>
    <row r="219" spans="1:5" x14ac:dyDescent="0.25">
      <c r="A219" t="s">
        <v>43</v>
      </c>
      <c r="B219" t="s">
        <v>7721</v>
      </c>
      <c r="C219" t="s">
        <v>7722</v>
      </c>
      <c r="D219">
        <v>1</v>
      </c>
      <c r="E219">
        <v>3</v>
      </c>
    </row>
    <row r="220" spans="1:5" x14ac:dyDescent="0.25">
      <c r="A220" t="s">
        <v>43</v>
      </c>
      <c r="B220" t="s">
        <v>7723</v>
      </c>
      <c r="C220" t="s">
        <v>7724</v>
      </c>
      <c r="D220">
        <v>1</v>
      </c>
      <c r="E220">
        <v>3</v>
      </c>
    </row>
    <row r="221" spans="1:5" x14ac:dyDescent="0.25">
      <c r="A221" t="s">
        <v>43</v>
      </c>
      <c r="B221" t="s">
        <v>7725</v>
      </c>
      <c r="C221" t="s">
        <v>7726</v>
      </c>
      <c r="D221">
        <v>1</v>
      </c>
      <c r="E221">
        <v>3</v>
      </c>
    </row>
    <row r="222" spans="1:5" x14ac:dyDescent="0.25">
      <c r="A222" t="s">
        <v>43</v>
      </c>
      <c r="B222" t="s">
        <v>7727</v>
      </c>
      <c r="C222" t="s">
        <v>7728</v>
      </c>
      <c r="D222">
        <v>2</v>
      </c>
      <c r="E222">
        <v>0</v>
      </c>
    </row>
    <row r="223" spans="1:5" x14ac:dyDescent="0.25">
      <c r="A223" t="s">
        <v>43</v>
      </c>
      <c r="B223" t="s">
        <v>7729</v>
      </c>
      <c r="C223" t="s">
        <v>7730</v>
      </c>
      <c r="D223">
        <v>2</v>
      </c>
      <c r="E223">
        <v>0</v>
      </c>
    </row>
    <row r="224" spans="1:5" x14ac:dyDescent="0.25">
      <c r="A224" t="s">
        <v>43</v>
      </c>
      <c r="B224" t="s">
        <v>7731</v>
      </c>
      <c r="C224" t="s">
        <v>7732</v>
      </c>
      <c r="D224">
        <v>2</v>
      </c>
      <c r="E224">
        <v>0</v>
      </c>
    </row>
    <row r="225" spans="1:5" x14ac:dyDescent="0.25">
      <c r="A225" t="s">
        <v>43</v>
      </c>
      <c r="B225" t="s">
        <v>7733</v>
      </c>
      <c r="C225" t="s">
        <v>7734</v>
      </c>
      <c r="D225">
        <v>2</v>
      </c>
      <c r="E225">
        <v>0</v>
      </c>
    </row>
    <row r="226" spans="1:5" x14ac:dyDescent="0.25">
      <c r="A226" t="s">
        <v>43</v>
      </c>
      <c r="B226" t="s">
        <v>7735</v>
      </c>
      <c r="C226" t="s">
        <v>7736</v>
      </c>
      <c r="D226">
        <v>3</v>
      </c>
      <c r="E226">
        <v>3</v>
      </c>
    </row>
    <row r="227" spans="1:5" x14ac:dyDescent="0.25">
      <c r="A227" t="s">
        <v>43</v>
      </c>
      <c r="B227" t="s">
        <v>7737</v>
      </c>
      <c r="C227" t="s">
        <v>7738</v>
      </c>
      <c r="D227">
        <v>3</v>
      </c>
      <c r="E227">
        <v>3</v>
      </c>
    </row>
    <row r="228" spans="1:5" x14ac:dyDescent="0.25">
      <c r="A228" t="s">
        <v>43</v>
      </c>
      <c r="B228" t="s">
        <v>7739</v>
      </c>
      <c r="C228" t="s">
        <v>7740</v>
      </c>
      <c r="D228">
        <v>3</v>
      </c>
      <c r="E228">
        <v>3</v>
      </c>
    </row>
    <row r="229" spans="1:5" x14ac:dyDescent="0.25">
      <c r="A229" t="s">
        <v>43</v>
      </c>
      <c r="B229" t="s">
        <v>7741</v>
      </c>
      <c r="C229" t="s">
        <v>7742</v>
      </c>
      <c r="D229">
        <v>3</v>
      </c>
      <c r="E229">
        <v>3</v>
      </c>
    </row>
    <row r="230" spans="1:5" x14ac:dyDescent="0.25">
      <c r="A230" t="s">
        <v>43</v>
      </c>
      <c r="B230" t="s">
        <v>7743</v>
      </c>
      <c r="C230" t="s">
        <v>7744</v>
      </c>
      <c r="D230">
        <v>2</v>
      </c>
      <c r="E230">
        <v>0</v>
      </c>
    </row>
    <row r="231" spans="1:5" x14ac:dyDescent="0.25">
      <c r="A231" t="s">
        <v>43</v>
      </c>
      <c r="B231" t="s">
        <v>7745</v>
      </c>
      <c r="C231" t="s">
        <v>7746</v>
      </c>
      <c r="D231">
        <v>2</v>
      </c>
      <c r="E231">
        <v>0</v>
      </c>
    </row>
    <row r="232" spans="1:5" x14ac:dyDescent="0.25">
      <c r="A232" t="s">
        <v>43</v>
      </c>
      <c r="B232" t="s">
        <v>7747</v>
      </c>
      <c r="C232" t="s">
        <v>7748</v>
      </c>
      <c r="D232">
        <v>2</v>
      </c>
      <c r="E232">
        <v>0</v>
      </c>
    </row>
    <row r="233" spans="1:5" x14ac:dyDescent="0.25">
      <c r="A233" t="s">
        <v>43</v>
      </c>
      <c r="B233" t="s">
        <v>7749</v>
      </c>
      <c r="C233" t="s">
        <v>7750</v>
      </c>
      <c r="D233">
        <v>2</v>
      </c>
      <c r="E233">
        <v>0</v>
      </c>
    </row>
    <row r="234" spans="1:5" x14ac:dyDescent="0.25">
      <c r="A234" t="s">
        <v>43</v>
      </c>
      <c r="B234" t="s">
        <v>7751</v>
      </c>
      <c r="C234" t="s">
        <v>7752</v>
      </c>
      <c r="D234">
        <v>3</v>
      </c>
      <c r="E234">
        <v>3</v>
      </c>
    </row>
    <row r="235" spans="1:5" x14ac:dyDescent="0.25">
      <c r="A235" t="s">
        <v>43</v>
      </c>
      <c r="B235" t="s">
        <v>7753</v>
      </c>
      <c r="C235" t="s">
        <v>7754</v>
      </c>
      <c r="D235">
        <v>3</v>
      </c>
      <c r="E235">
        <v>3</v>
      </c>
    </row>
    <row r="236" spans="1:5" x14ac:dyDescent="0.25">
      <c r="A236" t="s">
        <v>43</v>
      </c>
      <c r="B236" t="s">
        <v>7755</v>
      </c>
      <c r="C236" t="s">
        <v>7756</v>
      </c>
      <c r="D236">
        <v>3</v>
      </c>
      <c r="E236">
        <v>3</v>
      </c>
    </row>
    <row r="237" spans="1:5" x14ac:dyDescent="0.25">
      <c r="A237" t="s">
        <v>43</v>
      </c>
      <c r="B237" t="s">
        <v>7757</v>
      </c>
      <c r="C237" t="s">
        <v>7758</v>
      </c>
      <c r="D237">
        <v>3</v>
      </c>
      <c r="E237">
        <v>3</v>
      </c>
    </row>
    <row r="238" spans="1:5" x14ac:dyDescent="0.25">
      <c r="A238" t="s">
        <v>43</v>
      </c>
      <c r="B238" t="s">
        <v>7759</v>
      </c>
      <c r="C238" t="s">
        <v>7760</v>
      </c>
      <c r="D238">
        <v>2</v>
      </c>
      <c r="E238">
        <v>0</v>
      </c>
    </row>
    <row r="239" spans="1:5" x14ac:dyDescent="0.25">
      <c r="A239" t="s">
        <v>43</v>
      </c>
      <c r="B239" t="s">
        <v>7761</v>
      </c>
      <c r="C239" t="s">
        <v>7762</v>
      </c>
      <c r="D239">
        <v>2</v>
      </c>
      <c r="E239">
        <v>0</v>
      </c>
    </row>
    <row r="240" spans="1:5" x14ac:dyDescent="0.25">
      <c r="A240" t="s">
        <v>43</v>
      </c>
      <c r="B240" t="s">
        <v>7763</v>
      </c>
      <c r="C240" t="s">
        <v>7764</v>
      </c>
      <c r="D240">
        <v>2</v>
      </c>
      <c r="E240">
        <v>0</v>
      </c>
    </row>
    <row r="241" spans="1:5" x14ac:dyDescent="0.25">
      <c r="A241" t="s">
        <v>43</v>
      </c>
      <c r="B241" t="s">
        <v>7765</v>
      </c>
      <c r="C241" t="s">
        <v>7766</v>
      </c>
      <c r="D241">
        <v>2</v>
      </c>
      <c r="E241">
        <v>0</v>
      </c>
    </row>
    <row r="242" spans="1:5" x14ac:dyDescent="0.25">
      <c r="A242" t="s">
        <v>43</v>
      </c>
      <c r="B242" t="s">
        <v>7767</v>
      </c>
      <c r="C242" t="s">
        <v>7768</v>
      </c>
      <c r="D242">
        <v>3</v>
      </c>
      <c r="E242">
        <v>3</v>
      </c>
    </row>
    <row r="243" spans="1:5" x14ac:dyDescent="0.25">
      <c r="A243" t="s">
        <v>43</v>
      </c>
      <c r="B243" t="s">
        <v>7769</v>
      </c>
      <c r="C243" t="s">
        <v>7770</v>
      </c>
      <c r="D243">
        <v>3</v>
      </c>
      <c r="E243">
        <v>3</v>
      </c>
    </row>
    <row r="244" spans="1:5" x14ac:dyDescent="0.25">
      <c r="A244" t="s">
        <v>43</v>
      </c>
      <c r="B244" t="s">
        <v>7771</v>
      </c>
      <c r="C244" t="s">
        <v>7772</v>
      </c>
      <c r="D244">
        <v>3</v>
      </c>
      <c r="E244">
        <v>3</v>
      </c>
    </row>
    <row r="245" spans="1:5" x14ac:dyDescent="0.25">
      <c r="A245" t="s">
        <v>43</v>
      </c>
      <c r="B245" t="s">
        <v>7773</v>
      </c>
      <c r="C245" t="s">
        <v>7774</v>
      </c>
      <c r="D245">
        <v>3</v>
      </c>
      <c r="E245">
        <v>3</v>
      </c>
    </row>
    <row r="246" spans="1:5" x14ac:dyDescent="0.25">
      <c r="A246" t="s">
        <v>43</v>
      </c>
      <c r="B246" t="s">
        <v>7775</v>
      </c>
      <c r="C246" t="s">
        <v>7776</v>
      </c>
      <c r="D246">
        <v>3</v>
      </c>
      <c r="E246">
        <v>3</v>
      </c>
    </row>
    <row r="247" spans="1:5" x14ac:dyDescent="0.25">
      <c r="A247" t="s">
        <v>43</v>
      </c>
      <c r="B247" t="s">
        <v>7777</v>
      </c>
      <c r="C247" t="s">
        <v>7778</v>
      </c>
      <c r="D247">
        <v>3</v>
      </c>
      <c r="E247">
        <v>3</v>
      </c>
    </row>
    <row r="248" spans="1:5" x14ac:dyDescent="0.25">
      <c r="A248" t="s">
        <v>43</v>
      </c>
      <c r="B248" t="s">
        <v>7779</v>
      </c>
      <c r="C248" t="s">
        <v>7780</v>
      </c>
      <c r="D248">
        <v>3</v>
      </c>
      <c r="E248">
        <v>3</v>
      </c>
    </row>
    <row r="249" spans="1:5" x14ac:dyDescent="0.25">
      <c r="A249" t="s">
        <v>43</v>
      </c>
      <c r="B249" t="s">
        <v>7781</v>
      </c>
      <c r="C249" t="s">
        <v>7782</v>
      </c>
      <c r="D249">
        <v>3</v>
      </c>
      <c r="E249">
        <v>3</v>
      </c>
    </row>
    <row r="250" spans="1:5" x14ac:dyDescent="0.25">
      <c r="A250" t="s">
        <v>43</v>
      </c>
      <c r="B250" t="s">
        <v>7783</v>
      </c>
      <c r="C250" t="s">
        <v>7784</v>
      </c>
      <c r="D250">
        <v>3</v>
      </c>
      <c r="E250">
        <v>3</v>
      </c>
    </row>
    <row r="251" spans="1:5" x14ac:dyDescent="0.25">
      <c r="A251" t="s">
        <v>43</v>
      </c>
      <c r="B251" t="s">
        <v>7785</v>
      </c>
      <c r="C251" t="s">
        <v>7786</v>
      </c>
      <c r="D251">
        <v>3</v>
      </c>
      <c r="E251">
        <v>3</v>
      </c>
    </row>
    <row r="252" spans="1:5" x14ac:dyDescent="0.25">
      <c r="A252" t="s">
        <v>43</v>
      </c>
      <c r="B252" t="s">
        <v>7787</v>
      </c>
      <c r="C252" t="s">
        <v>7788</v>
      </c>
      <c r="D252">
        <v>3</v>
      </c>
      <c r="E252">
        <v>3</v>
      </c>
    </row>
    <row r="253" spans="1:5" x14ac:dyDescent="0.25">
      <c r="A253" t="s">
        <v>43</v>
      </c>
      <c r="B253" t="s">
        <v>7789</v>
      </c>
      <c r="C253" t="s">
        <v>7790</v>
      </c>
      <c r="D253">
        <v>3</v>
      </c>
      <c r="E253">
        <v>3</v>
      </c>
    </row>
    <row r="254" spans="1:5" x14ac:dyDescent="0.25">
      <c r="A254" t="s">
        <v>43</v>
      </c>
      <c r="B254" t="s">
        <v>7791</v>
      </c>
      <c r="C254" t="s">
        <v>7792</v>
      </c>
      <c r="D254">
        <v>3</v>
      </c>
      <c r="E254">
        <v>3</v>
      </c>
    </row>
    <row r="255" spans="1:5" x14ac:dyDescent="0.25">
      <c r="A255" t="s">
        <v>43</v>
      </c>
      <c r="B255" t="s">
        <v>7793</v>
      </c>
      <c r="C255" t="s">
        <v>7794</v>
      </c>
      <c r="D255">
        <v>3</v>
      </c>
      <c r="E255">
        <v>3</v>
      </c>
    </row>
    <row r="256" spans="1:5" x14ac:dyDescent="0.25">
      <c r="A256" t="s">
        <v>43</v>
      </c>
      <c r="B256" t="s">
        <v>7795</v>
      </c>
      <c r="C256" t="s">
        <v>7796</v>
      </c>
      <c r="D256">
        <v>3</v>
      </c>
      <c r="E256">
        <v>3</v>
      </c>
    </row>
    <row r="257" spans="1:5" x14ac:dyDescent="0.25">
      <c r="A257" t="s">
        <v>43</v>
      </c>
      <c r="B257" t="s">
        <v>7797</v>
      </c>
      <c r="C257" t="s">
        <v>7798</v>
      </c>
      <c r="D257">
        <v>3</v>
      </c>
      <c r="E257">
        <v>3</v>
      </c>
    </row>
    <row r="258" spans="1:5" x14ac:dyDescent="0.25">
      <c r="A258" t="s">
        <v>43</v>
      </c>
      <c r="B258" t="s">
        <v>7799</v>
      </c>
      <c r="C258" t="s">
        <v>7800</v>
      </c>
      <c r="D258">
        <v>2</v>
      </c>
      <c r="E258">
        <v>0</v>
      </c>
    </row>
    <row r="259" spans="1:5" x14ac:dyDescent="0.25">
      <c r="A259" t="s">
        <v>43</v>
      </c>
      <c r="B259" t="s">
        <v>7801</v>
      </c>
      <c r="C259" t="s">
        <v>7802</v>
      </c>
      <c r="D259">
        <v>2</v>
      </c>
      <c r="E259">
        <v>0</v>
      </c>
    </row>
    <row r="260" spans="1:5" x14ac:dyDescent="0.25">
      <c r="A260" t="s">
        <v>43</v>
      </c>
      <c r="B260" t="s">
        <v>7803</v>
      </c>
      <c r="C260" t="s">
        <v>7804</v>
      </c>
      <c r="D260">
        <v>2</v>
      </c>
      <c r="E260">
        <v>0</v>
      </c>
    </row>
    <row r="261" spans="1:5" x14ac:dyDescent="0.25">
      <c r="A261" t="s">
        <v>43</v>
      </c>
      <c r="B261" t="s">
        <v>7805</v>
      </c>
      <c r="C261" t="s">
        <v>7806</v>
      </c>
      <c r="D261">
        <v>2</v>
      </c>
      <c r="E261">
        <v>0</v>
      </c>
    </row>
    <row r="262" spans="1:5" x14ac:dyDescent="0.25">
      <c r="A262" t="s">
        <v>43</v>
      </c>
      <c r="B262" t="s">
        <v>7807</v>
      </c>
      <c r="C262" t="s">
        <v>7808</v>
      </c>
      <c r="D262">
        <v>1</v>
      </c>
      <c r="E262">
        <v>3</v>
      </c>
    </row>
    <row r="263" spans="1:5" x14ac:dyDescent="0.25">
      <c r="A263" t="s">
        <v>43</v>
      </c>
      <c r="B263" t="s">
        <v>7809</v>
      </c>
      <c r="C263" t="s">
        <v>7810</v>
      </c>
      <c r="D263">
        <v>1</v>
      </c>
      <c r="E263">
        <v>3</v>
      </c>
    </row>
    <row r="264" spans="1:5" x14ac:dyDescent="0.25">
      <c r="A264" t="s">
        <v>43</v>
      </c>
      <c r="B264" t="s">
        <v>7811</v>
      </c>
      <c r="C264" t="s">
        <v>7812</v>
      </c>
      <c r="D264">
        <v>1</v>
      </c>
      <c r="E264">
        <v>3</v>
      </c>
    </row>
    <row r="265" spans="1:5" x14ac:dyDescent="0.25">
      <c r="A265" t="s">
        <v>43</v>
      </c>
      <c r="B265" t="s">
        <v>7813</v>
      </c>
      <c r="C265" t="s">
        <v>7814</v>
      </c>
      <c r="D265">
        <v>1</v>
      </c>
      <c r="E265">
        <v>3</v>
      </c>
    </row>
    <row r="266" spans="1:5" x14ac:dyDescent="0.25">
      <c r="A266" t="s">
        <v>43</v>
      </c>
      <c r="B266" t="s">
        <v>7815</v>
      </c>
      <c r="C266" t="s">
        <v>7816</v>
      </c>
      <c r="D266">
        <v>3</v>
      </c>
      <c r="E266">
        <v>3</v>
      </c>
    </row>
    <row r="267" spans="1:5" x14ac:dyDescent="0.25">
      <c r="A267" t="s">
        <v>43</v>
      </c>
      <c r="B267" t="s">
        <v>7817</v>
      </c>
      <c r="C267" t="s">
        <v>7818</v>
      </c>
      <c r="D267">
        <v>3</v>
      </c>
      <c r="E267">
        <v>3</v>
      </c>
    </row>
    <row r="268" spans="1:5" x14ac:dyDescent="0.25">
      <c r="A268" t="s">
        <v>43</v>
      </c>
      <c r="B268" t="s">
        <v>7819</v>
      </c>
      <c r="C268" t="s">
        <v>7820</v>
      </c>
      <c r="D268">
        <v>3</v>
      </c>
      <c r="E268">
        <v>3</v>
      </c>
    </row>
    <row r="269" spans="1:5" x14ac:dyDescent="0.25">
      <c r="A269" t="s">
        <v>43</v>
      </c>
      <c r="B269" t="s">
        <v>7821</v>
      </c>
      <c r="C269" t="s">
        <v>7822</v>
      </c>
      <c r="D269">
        <v>3</v>
      </c>
      <c r="E269">
        <v>3</v>
      </c>
    </row>
    <row r="270" spans="1:5" x14ac:dyDescent="0.25">
      <c r="A270" t="s">
        <v>43</v>
      </c>
      <c r="B270" t="s">
        <v>7823</v>
      </c>
      <c r="C270" t="s">
        <v>7824</v>
      </c>
      <c r="D270">
        <v>3</v>
      </c>
      <c r="E270">
        <v>3</v>
      </c>
    </row>
    <row r="271" spans="1:5" x14ac:dyDescent="0.25">
      <c r="A271" t="s">
        <v>43</v>
      </c>
      <c r="B271" t="s">
        <v>7825</v>
      </c>
      <c r="C271" t="s">
        <v>7826</v>
      </c>
      <c r="D271">
        <v>3</v>
      </c>
      <c r="E271">
        <v>3</v>
      </c>
    </row>
    <row r="272" spans="1:5" x14ac:dyDescent="0.25">
      <c r="A272" t="s">
        <v>43</v>
      </c>
      <c r="B272" t="s">
        <v>7827</v>
      </c>
      <c r="C272" t="s">
        <v>7828</v>
      </c>
      <c r="D272">
        <v>3</v>
      </c>
      <c r="E272">
        <v>3</v>
      </c>
    </row>
    <row r="273" spans="1:5" x14ac:dyDescent="0.25">
      <c r="A273" t="s">
        <v>43</v>
      </c>
      <c r="B273" t="s">
        <v>7829</v>
      </c>
      <c r="C273" t="s">
        <v>7830</v>
      </c>
      <c r="D273">
        <v>3</v>
      </c>
      <c r="E273">
        <v>3</v>
      </c>
    </row>
    <row r="274" spans="1:5" x14ac:dyDescent="0.25">
      <c r="A274" t="s">
        <v>43</v>
      </c>
      <c r="B274" t="s">
        <v>7831</v>
      </c>
      <c r="C274" t="s">
        <v>7832</v>
      </c>
      <c r="D274">
        <v>3</v>
      </c>
      <c r="E274">
        <v>3</v>
      </c>
    </row>
    <row r="275" spans="1:5" x14ac:dyDescent="0.25">
      <c r="A275" t="s">
        <v>43</v>
      </c>
      <c r="B275" t="s">
        <v>7833</v>
      </c>
      <c r="C275" t="s">
        <v>7834</v>
      </c>
      <c r="D275">
        <v>3</v>
      </c>
      <c r="E275">
        <v>3</v>
      </c>
    </row>
    <row r="276" spans="1:5" x14ac:dyDescent="0.25">
      <c r="A276" t="s">
        <v>43</v>
      </c>
      <c r="B276" t="s">
        <v>7835</v>
      </c>
      <c r="C276" t="s">
        <v>7836</v>
      </c>
      <c r="D276">
        <v>3</v>
      </c>
      <c r="E276">
        <v>3</v>
      </c>
    </row>
    <row r="277" spans="1:5" x14ac:dyDescent="0.25">
      <c r="A277" t="s">
        <v>43</v>
      </c>
      <c r="B277" t="s">
        <v>7837</v>
      </c>
      <c r="C277" t="s">
        <v>7838</v>
      </c>
      <c r="D277">
        <v>3</v>
      </c>
      <c r="E277">
        <v>3</v>
      </c>
    </row>
    <row r="278" spans="1:5" x14ac:dyDescent="0.25">
      <c r="A278" t="s">
        <v>43</v>
      </c>
      <c r="B278" t="s">
        <v>7839</v>
      </c>
      <c r="C278" t="s">
        <v>7840</v>
      </c>
      <c r="D278">
        <v>2</v>
      </c>
      <c r="E278">
        <v>0</v>
      </c>
    </row>
    <row r="279" spans="1:5" x14ac:dyDescent="0.25">
      <c r="A279" t="s">
        <v>43</v>
      </c>
      <c r="B279" t="s">
        <v>7841</v>
      </c>
      <c r="C279" t="s">
        <v>7842</v>
      </c>
      <c r="D279">
        <v>2</v>
      </c>
      <c r="E279">
        <v>0</v>
      </c>
    </row>
    <row r="280" spans="1:5" x14ac:dyDescent="0.25">
      <c r="A280" t="s">
        <v>43</v>
      </c>
      <c r="B280" t="s">
        <v>7843</v>
      </c>
      <c r="C280" t="s">
        <v>7844</v>
      </c>
      <c r="D280">
        <v>2</v>
      </c>
      <c r="E280">
        <v>0</v>
      </c>
    </row>
    <row r="281" spans="1:5" x14ac:dyDescent="0.25">
      <c r="A281" t="s">
        <v>43</v>
      </c>
      <c r="B281" t="s">
        <v>7845</v>
      </c>
      <c r="C281" t="s">
        <v>7846</v>
      </c>
      <c r="D281">
        <v>2</v>
      </c>
      <c r="E281">
        <v>0</v>
      </c>
    </row>
    <row r="282" spans="1:5" x14ac:dyDescent="0.25">
      <c r="A282" t="s">
        <v>43</v>
      </c>
      <c r="B282" t="s">
        <v>7847</v>
      </c>
      <c r="C282" t="s">
        <v>7848</v>
      </c>
      <c r="D282">
        <v>3</v>
      </c>
      <c r="E282">
        <v>3</v>
      </c>
    </row>
    <row r="283" spans="1:5" x14ac:dyDescent="0.25">
      <c r="A283" t="s">
        <v>43</v>
      </c>
      <c r="B283" t="s">
        <v>7849</v>
      </c>
      <c r="C283" t="s">
        <v>7850</v>
      </c>
      <c r="D283">
        <v>3</v>
      </c>
      <c r="E283">
        <v>3</v>
      </c>
    </row>
    <row r="284" spans="1:5" x14ac:dyDescent="0.25">
      <c r="A284" t="s">
        <v>43</v>
      </c>
      <c r="B284" t="s">
        <v>7851</v>
      </c>
      <c r="C284" t="s">
        <v>7852</v>
      </c>
      <c r="D284">
        <v>3</v>
      </c>
      <c r="E284">
        <v>3</v>
      </c>
    </row>
    <row r="285" spans="1:5" x14ac:dyDescent="0.25">
      <c r="A285" t="s">
        <v>43</v>
      </c>
      <c r="B285" t="s">
        <v>7853</v>
      </c>
      <c r="C285" t="s">
        <v>7854</v>
      </c>
      <c r="D285">
        <v>3</v>
      </c>
      <c r="E285">
        <v>3</v>
      </c>
    </row>
    <row r="286" spans="1:5" x14ac:dyDescent="0.25">
      <c r="A286" t="s">
        <v>43</v>
      </c>
      <c r="B286" t="s">
        <v>7855</v>
      </c>
      <c r="C286" t="s">
        <v>7856</v>
      </c>
      <c r="D286">
        <v>2</v>
      </c>
      <c r="E286">
        <v>0</v>
      </c>
    </row>
    <row r="287" spans="1:5" x14ac:dyDescent="0.25">
      <c r="A287" t="s">
        <v>43</v>
      </c>
      <c r="B287" t="s">
        <v>7857</v>
      </c>
      <c r="C287" t="s">
        <v>7858</v>
      </c>
      <c r="D287">
        <v>2</v>
      </c>
      <c r="E287">
        <v>0</v>
      </c>
    </row>
    <row r="288" spans="1:5" x14ac:dyDescent="0.25">
      <c r="A288" t="s">
        <v>43</v>
      </c>
      <c r="B288" t="s">
        <v>7859</v>
      </c>
      <c r="C288" t="s">
        <v>7860</v>
      </c>
      <c r="D288">
        <v>2</v>
      </c>
      <c r="E288">
        <v>0</v>
      </c>
    </row>
    <row r="289" spans="1:5" x14ac:dyDescent="0.25">
      <c r="A289" t="s">
        <v>43</v>
      </c>
      <c r="B289" t="s">
        <v>7861</v>
      </c>
      <c r="C289" t="s">
        <v>7862</v>
      </c>
      <c r="D289">
        <v>2</v>
      </c>
      <c r="E289">
        <v>0</v>
      </c>
    </row>
    <row r="290" spans="1:5" x14ac:dyDescent="0.25">
      <c r="A290" t="s">
        <v>43</v>
      </c>
      <c r="B290" t="s">
        <v>7863</v>
      </c>
      <c r="C290" t="s">
        <v>7864</v>
      </c>
      <c r="D290">
        <v>2</v>
      </c>
      <c r="E290">
        <v>0</v>
      </c>
    </row>
    <row r="291" spans="1:5" x14ac:dyDescent="0.25">
      <c r="A291" t="s">
        <v>43</v>
      </c>
      <c r="B291" t="s">
        <v>7865</v>
      </c>
      <c r="C291" t="s">
        <v>7866</v>
      </c>
      <c r="D291">
        <v>2</v>
      </c>
      <c r="E291">
        <v>0</v>
      </c>
    </row>
    <row r="292" spans="1:5" x14ac:dyDescent="0.25">
      <c r="A292" t="s">
        <v>43</v>
      </c>
      <c r="B292" t="s">
        <v>7867</v>
      </c>
      <c r="C292" t="s">
        <v>7868</v>
      </c>
      <c r="D292">
        <v>2</v>
      </c>
      <c r="E292">
        <v>0</v>
      </c>
    </row>
    <row r="293" spans="1:5" x14ac:dyDescent="0.25">
      <c r="A293" t="s">
        <v>43</v>
      </c>
      <c r="B293" t="s">
        <v>7869</v>
      </c>
      <c r="C293" t="s">
        <v>7870</v>
      </c>
      <c r="D293">
        <v>2</v>
      </c>
      <c r="E293">
        <v>0</v>
      </c>
    </row>
    <row r="294" spans="1:5" x14ac:dyDescent="0.25">
      <c r="A294" t="s">
        <v>43</v>
      </c>
      <c r="B294" t="s">
        <v>7871</v>
      </c>
      <c r="C294" t="s">
        <v>7872</v>
      </c>
      <c r="D294">
        <v>2</v>
      </c>
      <c r="E294">
        <v>0</v>
      </c>
    </row>
    <row r="295" spans="1:5" x14ac:dyDescent="0.25">
      <c r="A295" t="s">
        <v>43</v>
      </c>
      <c r="B295" t="s">
        <v>7873</v>
      </c>
      <c r="C295" t="s">
        <v>7874</v>
      </c>
      <c r="D295">
        <v>2</v>
      </c>
      <c r="E295">
        <v>0</v>
      </c>
    </row>
    <row r="296" spans="1:5" x14ac:dyDescent="0.25">
      <c r="A296" t="s">
        <v>43</v>
      </c>
      <c r="B296" t="s">
        <v>7875</v>
      </c>
      <c r="C296" t="s">
        <v>7876</v>
      </c>
      <c r="D296">
        <v>2</v>
      </c>
      <c r="E296">
        <v>0</v>
      </c>
    </row>
    <row r="297" spans="1:5" x14ac:dyDescent="0.25">
      <c r="A297" t="s">
        <v>43</v>
      </c>
      <c r="B297" t="s">
        <v>7877</v>
      </c>
      <c r="C297" t="s">
        <v>7878</v>
      </c>
      <c r="D297">
        <v>2</v>
      </c>
      <c r="E297">
        <v>0</v>
      </c>
    </row>
    <row r="298" spans="1:5" x14ac:dyDescent="0.25">
      <c r="A298" t="s">
        <v>43</v>
      </c>
      <c r="B298" t="s">
        <v>7879</v>
      </c>
      <c r="C298" t="s">
        <v>7880</v>
      </c>
      <c r="D298">
        <v>2</v>
      </c>
      <c r="E298">
        <v>0</v>
      </c>
    </row>
    <row r="299" spans="1:5" x14ac:dyDescent="0.25">
      <c r="A299" t="s">
        <v>43</v>
      </c>
      <c r="B299" t="s">
        <v>7881</v>
      </c>
      <c r="C299" t="s">
        <v>7882</v>
      </c>
      <c r="D299">
        <v>2</v>
      </c>
      <c r="E299">
        <v>0</v>
      </c>
    </row>
    <row r="300" spans="1:5" x14ac:dyDescent="0.25">
      <c r="A300" t="s">
        <v>43</v>
      </c>
      <c r="B300" t="s">
        <v>7883</v>
      </c>
      <c r="C300" t="s">
        <v>7884</v>
      </c>
      <c r="D300">
        <v>2</v>
      </c>
      <c r="E300">
        <v>0</v>
      </c>
    </row>
    <row r="301" spans="1:5" x14ac:dyDescent="0.25">
      <c r="A301" t="s">
        <v>43</v>
      </c>
      <c r="B301" t="s">
        <v>7885</v>
      </c>
      <c r="C301" t="s">
        <v>7886</v>
      </c>
      <c r="D301">
        <v>2</v>
      </c>
      <c r="E301">
        <v>0</v>
      </c>
    </row>
    <row r="302" spans="1:5" x14ac:dyDescent="0.25">
      <c r="A302" t="s">
        <v>43</v>
      </c>
      <c r="B302" t="s">
        <v>7887</v>
      </c>
      <c r="C302" t="s">
        <v>7888</v>
      </c>
      <c r="D302">
        <v>2</v>
      </c>
      <c r="E302">
        <v>0</v>
      </c>
    </row>
    <row r="303" spans="1:5" x14ac:dyDescent="0.25">
      <c r="A303" t="s">
        <v>43</v>
      </c>
      <c r="B303" t="s">
        <v>7889</v>
      </c>
      <c r="C303" t="s">
        <v>7890</v>
      </c>
      <c r="D303">
        <v>2</v>
      </c>
      <c r="E303">
        <v>0</v>
      </c>
    </row>
    <row r="304" spans="1:5" x14ac:dyDescent="0.25">
      <c r="A304" t="s">
        <v>43</v>
      </c>
      <c r="B304" t="s">
        <v>7891</v>
      </c>
      <c r="C304" t="s">
        <v>7892</v>
      </c>
      <c r="D304">
        <v>2</v>
      </c>
      <c r="E304">
        <v>0</v>
      </c>
    </row>
    <row r="305" spans="1:5" x14ac:dyDescent="0.25">
      <c r="A305" t="s">
        <v>43</v>
      </c>
      <c r="B305" t="s">
        <v>7893</v>
      </c>
      <c r="C305" t="s">
        <v>7894</v>
      </c>
      <c r="D305">
        <v>2</v>
      </c>
      <c r="E305">
        <v>0</v>
      </c>
    </row>
    <row r="306" spans="1:5" x14ac:dyDescent="0.25">
      <c r="A306" t="s">
        <v>43</v>
      </c>
      <c r="B306" t="s">
        <v>7895</v>
      </c>
      <c r="C306" t="s">
        <v>7896</v>
      </c>
      <c r="D306">
        <v>3</v>
      </c>
      <c r="E306">
        <v>3</v>
      </c>
    </row>
    <row r="307" spans="1:5" x14ac:dyDescent="0.25">
      <c r="A307" t="s">
        <v>43</v>
      </c>
      <c r="B307" t="s">
        <v>7897</v>
      </c>
      <c r="C307" t="s">
        <v>7898</v>
      </c>
      <c r="D307">
        <v>3</v>
      </c>
      <c r="E307">
        <v>3</v>
      </c>
    </row>
    <row r="308" spans="1:5" x14ac:dyDescent="0.25">
      <c r="A308" t="s">
        <v>43</v>
      </c>
      <c r="B308" t="s">
        <v>7899</v>
      </c>
      <c r="C308" t="s">
        <v>7900</v>
      </c>
      <c r="D308">
        <v>3</v>
      </c>
      <c r="E308">
        <v>3</v>
      </c>
    </row>
    <row r="309" spans="1:5" x14ac:dyDescent="0.25">
      <c r="A309" t="s">
        <v>43</v>
      </c>
      <c r="B309" t="s">
        <v>7901</v>
      </c>
      <c r="C309" t="s">
        <v>7902</v>
      </c>
      <c r="D309">
        <v>3</v>
      </c>
      <c r="E309">
        <v>3</v>
      </c>
    </row>
    <row r="310" spans="1:5" x14ac:dyDescent="0.25">
      <c r="A310" t="s">
        <v>43</v>
      </c>
      <c r="B310" t="s">
        <v>7903</v>
      </c>
      <c r="C310" t="s">
        <v>7904</v>
      </c>
      <c r="D310">
        <v>3</v>
      </c>
      <c r="E310">
        <v>3</v>
      </c>
    </row>
    <row r="311" spans="1:5" x14ac:dyDescent="0.25">
      <c r="A311" t="s">
        <v>43</v>
      </c>
      <c r="B311" t="s">
        <v>7905</v>
      </c>
      <c r="C311" t="s">
        <v>7906</v>
      </c>
      <c r="D311">
        <v>3</v>
      </c>
      <c r="E311">
        <v>3</v>
      </c>
    </row>
    <row r="312" spans="1:5" x14ac:dyDescent="0.25">
      <c r="A312" t="s">
        <v>43</v>
      </c>
      <c r="B312" t="s">
        <v>7907</v>
      </c>
      <c r="C312" t="s">
        <v>7908</v>
      </c>
      <c r="D312">
        <v>3</v>
      </c>
      <c r="E312">
        <v>3</v>
      </c>
    </row>
    <row r="313" spans="1:5" x14ac:dyDescent="0.25">
      <c r="A313" t="s">
        <v>43</v>
      </c>
      <c r="B313" t="s">
        <v>7909</v>
      </c>
      <c r="C313" t="s">
        <v>7910</v>
      </c>
      <c r="D313">
        <v>3</v>
      </c>
      <c r="E313">
        <v>3</v>
      </c>
    </row>
    <row r="314" spans="1:5" x14ac:dyDescent="0.25">
      <c r="A314" t="s">
        <v>43</v>
      </c>
      <c r="B314" t="s">
        <v>7911</v>
      </c>
      <c r="C314" t="s">
        <v>7912</v>
      </c>
      <c r="D314">
        <v>2</v>
      </c>
      <c r="E314">
        <v>0</v>
      </c>
    </row>
    <row r="315" spans="1:5" x14ac:dyDescent="0.25">
      <c r="A315" t="s">
        <v>43</v>
      </c>
      <c r="B315" t="s">
        <v>7913</v>
      </c>
      <c r="C315" t="s">
        <v>7914</v>
      </c>
      <c r="D315">
        <v>2</v>
      </c>
      <c r="E315">
        <v>0</v>
      </c>
    </row>
    <row r="316" spans="1:5" x14ac:dyDescent="0.25">
      <c r="A316" t="s">
        <v>43</v>
      </c>
      <c r="B316" t="s">
        <v>7915</v>
      </c>
      <c r="C316" t="s">
        <v>7916</v>
      </c>
      <c r="D316">
        <v>2</v>
      </c>
      <c r="E316">
        <v>0</v>
      </c>
    </row>
    <row r="317" spans="1:5" x14ac:dyDescent="0.25">
      <c r="A317" t="s">
        <v>43</v>
      </c>
      <c r="B317" t="s">
        <v>7917</v>
      </c>
      <c r="C317" t="s">
        <v>7918</v>
      </c>
      <c r="D317">
        <v>2</v>
      </c>
      <c r="E317">
        <v>0</v>
      </c>
    </row>
    <row r="318" spans="1:5" x14ac:dyDescent="0.25">
      <c r="A318" t="s">
        <v>43</v>
      </c>
      <c r="B318" t="s">
        <v>7919</v>
      </c>
      <c r="C318" t="s">
        <v>7920</v>
      </c>
      <c r="D318">
        <v>2</v>
      </c>
      <c r="E318">
        <v>0</v>
      </c>
    </row>
    <row r="319" spans="1:5" x14ac:dyDescent="0.25">
      <c r="A319" t="s">
        <v>43</v>
      </c>
      <c r="B319" t="s">
        <v>7921</v>
      </c>
      <c r="C319" t="s">
        <v>7922</v>
      </c>
      <c r="D319">
        <v>2</v>
      </c>
      <c r="E319">
        <v>0</v>
      </c>
    </row>
    <row r="320" spans="1:5" x14ac:dyDescent="0.25">
      <c r="A320" t="s">
        <v>43</v>
      </c>
      <c r="B320" t="s">
        <v>7923</v>
      </c>
      <c r="C320" t="s">
        <v>7924</v>
      </c>
      <c r="D320">
        <v>2</v>
      </c>
      <c r="E320">
        <v>0</v>
      </c>
    </row>
    <row r="321" spans="1:5" x14ac:dyDescent="0.25">
      <c r="A321" t="s">
        <v>43</v>
      </c>
      <c r="B321" t="s">
        <v>7925</v>
      </c>
      <c r="C321" t="s">
        <v>7926</v>
      </c>
      <c r="D321">
        <v>2</v>
      </c>
      <c r="E321">
        <v>0</v>
      </c>
    </row>
    <row r="322" spans="1:5" x14ac:dyDescent="0.25">
      <c r="A322" t="s">
        <v>43</v>
      </c>
      <c r="B322" t="s">
        <v>7927</v>
      </c>
      <c r="C322" t="s">
        <v>7928</v>
      </c>
      <c r="D322">
        <v>3</v>
      </c>
      <c r="E322">
        <v>3</v>
      </c>
    </row>
    <row r="323" spans="1:5" x14ac:dyDescent="0.25">
      <c r="A323" t="s">
        <v>43</v>
      </c>
      <c r="B323" t="s">
        <v>7929</v>
      </c>
      <c r="C323" t="s">
        <v>7930</v>
      </c>
      <c r="D323">
        <v>3</v>
      </c>
      <c r="E323">
        <v>3</v>
      </c>
    </row>
    <row r="324" spans="1:5" x14ac:dyDescent="0.25">
      <c r="A324" t="s">
        <v>43</v>
      </c>
      <c r="B324" t="s">
        <v>7931</v>
      </c>
      <c r="C324" t="s">
        <v>7932</v>
      </c>
      <c r="D324">
        <v>3</v>
      </c>
      <c r="E324">
        <v>3</v>
      </c>
    </row>
    <row r="325" spans="1:5" x14ac:dyDescent="0.25">
      <c r="A325" t="s">
        <v>43</v>
      </c>
      <c r="B325" t="s">
        <v>7933</v>
      </c>
      <c r="C325" t="s">
        <v>7934</v>
      </c>
      <c r="D325">
        <v>3</v>
      </c>
      <c r="E325">
        <v>3</v>
      </c>
    </row>
    <row r="326" spans="1:5" x14ac:dyDescent="0.25">
      <c r="A326" t="s">
        <v>43</v>
      </c>
      <c r="B326" t="s">
        <v>7935</v>
      </c>
      <c r="C326" t="s">
        <v>7936</v>
      </c>
      <c r="D326">
        <v>3</v>
      </c>
      <c r="E326">
        <v>3</v>
      </c>
    </row>
    <row r="327" spans="1:5" x14ac:dyDescent="0.25">
      <c r="A327" t="s">
        <v>43</v>
      </c>
      <c r="B327" t="s">
        <v>7937</v>
      </c>
      <c r="C327" t="s">
        <v>7938</v>
      </c>
      <c r="D327">
        <v>3</v>
      </c>
      <c r="E327">
        <v>3</v>
      </c>
    </row>
    <row r="328" spans="1:5" x14ac:dyDescent="0.25">
      <c r="A328" t="s">
        <v>43</v>
      </c>
      <c r="B328" t="s">
        <v>7939</v>
      </c>
      <c r="C328" t="s">
        <v>7940</v>
      </c>
      <c r="D328">
        <v>3</v>
      </c>
      <c r="E328">
        <v>3</v>
      </c>
    </row>
    <row r="329" spans="1:5" x14ac:dyDescent="0.25">
      <c r="A329" t="s">
        <v>43</v>
      </c>
      <c r="B329" t="s">
        <v>7941</v>
      </c>
      <c r="C329" t="s">
        <v>7942</v>
      </c>
      <c r="D329">
        <v>3</v>
      </c>
      <c r="E329">
        <v>3</v>
      </c>
    </row>
    <row r="330" spans="1:5" x14ac:dyDescent="0.25">
      <c r="A330" t="s">
        <v>43</v>
      </c>
      <c r="B330" t="s">
        <v>7943</v>
      </c>
      <c r="C330" t="s">
        <v>7944</v>
      </c>
      <c r="D330">
        <v>3</v>
      </c>
      <c r="E330">
        <v>3</v>
      </c>
    </row>
    <row r="331" spans="1:5" x14ac:dyDescent="0.25">
      <c r="A331" t="s">
        <v>43</v>
      </c>
      <c r="B331" t="s">
        <v>7945</v>
      </c>
      <c r="C331" t="s">
        <v>7946</v>
      </c>
      <c r="D331">
        <v>3</v>
      </c>
      <c r="E331">
        <v>3</v>
      </c>
    </row>
    <row r="332" spans="1:5" x14ac:dyDescent="0.25">
      <c r="A332" t="s">
        <v>43</v>
      </c>
      <c r="B332" t="s">
        <v>7947</v>
      </c>
      <c r="C332" t="s">
        <v>7948</v>
      </c>
      <c r="D332">
        <v>3</v>
      </c>
      <c r="E332">
        <v>3</v>
      </c>
    </row>
    <row r="333" spans="1:5" x14ac:dyDescent="0.25">
      <c r="A333" t="s">
        <v>43</v>
      </c>
      <c r="B333" t="s">
        <v>7949</v>
      </c>
      <c r="C333" t="s">
        <v>7950</v>
      </c>
      <c r="D333">
        <v>3</v>
      </c>
      <c r="E333">
        <v>3</v>
      </c>
    </row>
    <row r="334" spans="1:5" x14ac:dyDescent="0.25">
      <c r="A334" t="s">
        <v>43</v>
      </c>
      <c r="B334" t="s">
        <v>7951</v>
      </c>
      <c r="C334" t="s">
        <v>7952</v>
      </c>
      <c r="D334">
        <v>3</v>
      </c>
      <c r="E334">
        <v>3</v>
      </c>
    </row>
    <row r="335" spans="1:5" x14ac:dyDescent="0.25">
      <c r="A335" t="s">
        <v>43</v>
      </c>
      <c r="B335" t="s">
        <v>7953</v>
      </c>
      <c r="C335" t="s">
        <v>7954</v>
      </c>
      <c r="D335">
        <v>3</v>
      </c>
      <c r="E335">
        <v>3</v>
      </c>
    </row>
    <row r="336" spans="1:5" x14ac:dyDescent="0.25">
      <c r="A336" t="s">
        <v>43</v>
      </c>
      <c r="B336" t="s">
        <v>7955</v>
      </c>
      <c r="C336" t="s">
        <v>7956</v>
      </c>
      <c r="D336">
        <v>3</v>
      </c>
      <c r="E336">
        <v>3</v>
      </c>
    </row>
    <row r="337" spans="1:5" x14ac:dyDescent="0.25">
      <c r="A337" t="s">
        <v>43</v>
      </c>
      <c r="B337" t="s">
        <v>7957</v>
      </c>
      <c r="C337" t="s">
        <v>7958</v>
      </c>
      <c r="D337">
        <v>3</v>
      </c>
      <c r="E337">
        <v>3</v>
      </c>
    </row>
    <row r="338" spans="1:5" x14ac:dyDescent="0.25">
      <c r="A338" t="s">
        <v>43</v>
      </c>
      <c r="B338" t="s">
        <v>7959</v>
      </c>
      <c r="C338" t="s">
        <v>7960</v>
      </c>
      <c r="D338">
        <v>3</v>
      </c>
      <c r="E338">
        <v>3</v>
      </c>
    </row>
    <row r="339" spans="1:5" x14ac:dyDescent="0.25">
      <c r="A339" t="s">
        <v>43</v>
      </c>
      <c r="B339" t="s">
        <v>7961</v>
      </c>
      <c r="C339" t="s">
        <v>7962</v>
      </c>
      <c r="D339">
        <v>3</v>
      </c>
      <c r="E339">
        <v>3</v>
      </c>
    </row>
    <row r="340" spans="1:5" x14ac:dyDescent="0.25">
      <c r="A340" t="s">
        <v>43</v>
      </c>
      <c r="B340" t="s">
        <v>7963</v>
      </c>
      <c r="C340" t="s">
        <v>7964</v>
      </c>
      <c r="D340">
        <v>3</v>
      </c>
      <c r="E340">
        <v>3</v>
      </c>
    </row>
    <row r="341" spans="1:5" x14ac:dyDescent="0.25">
      <c r="A341" t="s">
        <v>43</v>
      </c>
      <c r="B341" t="s">
        <v>7965</v>
      </c>
      <c r="C341" t="s">
        <v>7966</v>
      </c>
      <c r="D341">
        <v>3</v>
      </c>
      <c r="E341">
        <v>3</v>
      </c>
    </row>
    <row r="342" spans="1:5" x14ac:dyDescent="0.25">
      <c r="A342" t="s">
        <v>43</v>
      </c>
      <c r="B342" t="s">
        <v>7967</v>
      </c>
      <c r="C342" t="s">
        <v>7968</v>
      </c>
      <c r="D342">
        <v>2</v>
      </c>
      <c r="E342">
        <v>0</v>
      </c>
    </row>
    <row r="343" spans="1:5" x14ac:dyDescent="0.25">
      <c r="A343" t="s">
        <v>43</v>
      </c>
      <c r="B343" t="s">
        <v>7969</v>
      </c>
      <c r="C343" t="s">
        <v>7970</v>
      </c>
      <c r="D343">
        <v>2</v>
      </c>
      <c r="E343">
        <v>0</v>
      </c>
    </row>
    <row r="344" spans="1:5" x14ac:dyDescent="0.25">
      <c r="A344" t="s">
        <v>43</v>
      </c>
      <c r="B344" t="s">
        <v>7971</v>
      </c>
      <c r="C344" t="s">
        <v>7972</v>
      </c>
      <c r="D344">
        <v>2</v>
      </c>
      <c r="E344">
        <v>0</v>
      </c>
    </row>
    <row r="345" spans="1:5" x14ac:dyDescent="0.25">
      <c r="A345" t="s">
        <v>43</v>
      </c>
      <c r="B345" t="s">
        <v>7973</v>
      </c>
      <c r="C345" t="s">
        <v>7974</v>
      </c>
      <c r="D345">
        <v>2</v>
      </c>
      <c r="E345">
        <v>0</v>
      </c>
    </row>
    <row r="346" spans="1:5" x14ac:dyDescent="0.25">
      <c r="A346" t="s">
        <v>43</v>
      </c>
      <c r="B346" t="s">
        <v>7975</v>
      </c>
      <c r="C346" t="s">
        <v>7976</v>
      </c>
      <c r="D346">
        <v>2</v>
      </c>
      <c r="E346">
        <v>0</v>
      </c>
    </row>
    <row r="347" spans="1:5" x14ac:dyDescent="0.25">
      <c r="A347" t="s">
        <v>43</v>
      </c>
      <c r="B347" t="s">
        <v>7977</v>
      </c>
      <c r="C347" t="s">
        <v>7978</v>
      </c>
      <c r="D347">
        <v>2</v>
      </c>
      <c r="E347">
        <v>0</v>
      </c>
    </row>
    <row r="348" spans="1:5" x14ac:dyDescent="0.25">
      <c r="A348" t="s">
        <v>43</v>
      </c>
      <c r="B348" t="s">
        <v>7979</v>
      </c>
      <c r="C348" t="s">
        <v>7980</v>
      </c>
      <c r="D348">
        <v>2</v>
      </c>
      <c r="E348">
        <v>0</v>
      </c>
    </row>
    <row r="349" spans="1:5" x14ac:dyDescent="0.25">
      <c r="A349" t="s">
        <v>43</v>
      </c>
      <c r="B349" t="s">
        <v>7981</v>
      </c>
      <c r="C349" t="s">
        <v>7982</v>
      </c>
      <c r="D349">
        <v>2</v>
      </c>
      <c r="E349">
        <v>0</v>
      </c>
    </row>
    <row r="350" spans="1:5" x14ac:dyDescent="0.25">
      <c r="A350" t="s">
        <v>43</v>
      </c>
      <c r="B350" t="s">
        <v>7983</v>
      </c>
      <c r="C350" t="s">
        <v>7984</v>
      </c>
      <c r="D350">
        <v>2</v>
      </c>
      <c r="E350">
        <v>0</v>
      </c>
    </row>
    <row r="351" spans="1:5" x14ac:dyDescent="0.25">
      <c r="A351" t="s">
        <v>43</v>
      </c>
      <c r="B351" t="s">
        <v>7985</v>
      </c>
      <c r="C351" t="s">
        <v>7986</v>
      </c>
      <c r="D351">
        <v>2</v>
      </c>
      <c r="E351">
        <v>0</v>
      </c>
    </row>
    <row r="352" spans="1:5" x14ac:dyDescent="0.25">
      <c r="A352" t="s">
        <v>43</v>
      </c>
      <c r="B352" t="s">
        <v>7987</v>
      </c>
      <c r="C352" t="s">
        <v>7988</v>
      </c>
      <c r="D352">
        <v>2</v>
      </c>
      <c r="E352">
        <v>0</v>
      </c>
    </row>
    <row r="353" spans="1:5" x14ac:dyDescent="0.25">
      <c r="A353" t="s">
        <v>43</v>
      </c>
      <c r="B353" t="s">
        <v>7989</v>
      </c>
      <c r="C353" t="s">
        <v>7990</v>
      </c>
      <c r="D353">
        <v>2</v>
      </c>
      <c r="E353">
        <v>0</v>
      </c>
    </row>
    <row r="354" spans="1:5" x14ac:dyDescent="0.25">
      <c r="A354" t="s">
        <v>43</v>
      </c>
      <c r="B354" t="s">
        <v>7991</v>
      </c>
      <c r="C354" t="s">
        <v>7992</v>
      </c>
      <c r="D354">
        <v>3</v>
      </c>
      <c r="E354">
        <v>3</v>
      </c>
    </row>
    <row r="355" spans="1:5" x14ac:dyDescent="0.25">
      <c r="A355" t="s">
        <v>43</v>
      </c>
      <c r="B355" t="s">
        <v>7993</v>
      </c>
      <c r="C355" t="s">
        <v>7994</v>
      </c>
      <c r="D355">
        <v>3</v>
      </c>
      <c r="E355">
        <v>3</v>
      </c>
    </row>
    <row r="356" spans="1:5" x14ac:dyDescent="0.25">
      <c r="A356" t="s">
        <v>43</v>
      </c>
      <c r="B356" t="s">
        <v>7995</v>
      </c>
      <c r="C356" t="s">
        <v>7996</v>
      </c>
      <c r="D356">
        <v>3</v>
      </c>
      <c r="E356">
        <v>3</v>
      </c>
    </row>
    <row r="357" spans="1:5" x14ac:dyDescent="0.25">
      <c r="A357" t="s">
        <v>43</v>
      </c>
      <c r="B357" t="s">
        <v>7997</v>
      </c>
      <c r="C357" t="s">
        <v>7998</v>
      </c>
      <c r="D357">
        <v>3</v>
      </c>
      <c r="E357">
        <v>3</v>
      </c>
    </row>
    <row r="358" spans="1:5" x14ac:dyDescent="0.25">
      <c r="A358" t="s">
        <v>43</v>
      </c>
      <c r="B358" t="s">
        <v>7999</v>
      </c>
      <c r="C358" t="s">
        <v>8000</v>
      </c>
      <c r="D358">
        <v>2</v>
      </c>
      <c r="E358">
        <v>0</v>
      </c>
    </row>
    <row r="359" spans="1:5" x14ac:dyDescent="0.25">
      <c r="A359" t="s">
        <v>43</v>
      </c>
      <c r="B359" t="s">
        <v>8001</v>
      </c>
      <c r="C359" t="s">
        <v>8002</v>
      </c>
      <c r="D359">
        <v>2</v>
      </c>
      <c r="E359">
        <v>0</v>
      </c>
    </row>
    <row r="360" spans="1:5" x14ac:dyDescent="0.25">
      <c r="A360" t="s">
        <v>43</v>
      </c>
      <c r="B360" t="s">
        <v>8003</v>
      </c>
      <c r="C360" t="s">
        <v>8004</v>
      </c>
      <c r="D360">
        <v>2</v>
      </c>
      <c r="E360">
        <v>0</v>
      </c>
    </row>
    <row r="361" spans="1:5" x14ac:dyDescent="0.25">
      <c r="A361" t="s">
        <v>43</v>
      </c>
      <c r="B361" t="s">
        <v>8005</v>
      </c>
      <c r="C361" t="s">
        <v>8006</v>
      </c>
      <c r="D361">
        <v>2</v>
      </c>
      <c r="E361">
        <v>0</v>
      </c>
    </row>
    <row r="362" spans="1:5" x14ac:dyDescent="0.25">
      <c r="A362" t="s">
        <v>43</v>
      </c>
      <c r="B362" t="s">
        <v>8007</v>
      </c>
      <c r="C362" t="s">
        <v>8008</v>
      </c>
      <c r="D362">
        <v>3</v>
      </c>
      <c r="E362">
        <v>3</v>
      </c>
    </row>
    <row r="363" spans="1:5" x14ac:dyDescent="0.25">
      <c r="A363" t="s">
        <v>43</v>
      </c>
      <c r="B363" t="s">
        <v>8009</v>
      </c>
      <c r="C363" t="s">
        <v>8010</v>
      </c>
      <c r="D363">
        <v>3</v>
      </c>
      <c r="E363">
        <v>3</v>
      </c>
    </row>
    <row r="364" spans="1:5" x14ac:dyDescent="0.25">
      <c r="A364" t="s">
        <v>43</v>
      </c>
      <c r="B364" t="s">
        <v>8011</v>
      </c>
      <c r="C364" t="s">
        <v>8012</v>
      </c>
      <c r="D364">
        <v>3</v>
      </c>
      <c r="E364">
        <v>3</v>
      </c>
    </row>
    <row r="365" spans="1:5" x14ac:dyDescent="0.25">
      <c r="A365" t="s">
        <v>43</v>
      </c>
      <c r="B365" t="s">
        <v>8013</v>
      </c>
      <c r="C365" t="s">
        <v>8014</v>
      </c>
      <c r="D365">
        <v>3</v>
      </c>
      <c r="E365">
        <v>3</v>
      </c>
    </row>
    <row r="366" spans="1:5" x14ac:dyDescent="0.25">
      <c r="A366" t="s">
        <v>43</v>
      </c>
      <c r="B366" t="s">
        <v>8015</v>
      </c>
      <c r="C366" t="s">
        <v>8016</v>
      </c>
      <c r="D366">
        <v>2</v>
      </c>
      <c r="E366">
        <v>0</v>
      </c>
    </row>
    <row r="367" spans="1:5" x14ac:dyDescent="0.25">
      <c r="A367" t="s">
        <v>43</v>
      </c>
      <c r="B367" t="s">
        <v>8017</v>
      </c>
      <c r="C367" t="s">
        <v>8018</v>
      </c>
      <c r="D367">
        <v>2</v>
      </c>
      <c r="E367">
        <v>0</v>
      </c>
    </row>
    <row r="368" spans="1:5" x14ac:dyDescent="0.25">
      <c r="A368" t="s">
        <v>43</v>
      </c>
      <c r="B368" t="s">
        <v>8019</v>
      </c>
      <c r="C368" t="s">
        <v>8020</v>
      </c>
      <c r="D368">
        <v>2</v>
      </c>
      <c r="E368">
        <v>0</v>
      </c>
    </row>
    <row r="369" spans="1:5" x14ac:dyDescent="0.25">
      <c r="A369" t="s">
        <v>43</v>
      </c>
      <c r="B369" t="s">
        <v>8021</v>
      </c>
      <c r="C369" t="s">
        <v>8022</v>
      </c>
      <c r="D369">
        <v>2</v>
      </c>
      <c r="E369">
        <v>0</v>
      </c>
    </row>
    <row r="370" spans="1:5" x14ac:dyDescent="0.25">
      <c r="A370" t="s">
        <v>43</v>
      </c>
      <c r="B370" t="s">
        <v>8023</v>
      </c>
      <c r="C370" t="s">
        <v>8024</v>
      </c>
      <c r="D370">
        <v>3</v>
      </c>
      <c r="E370">
        <v>3</v>
      </c>
    </row>
    <row r="371" spans="1:5" x14ac:dyDescent="0.25">
      <c r="A371" t="s">
        <v>43</v>
      </c>
      <c r="B371" t="s">
        <v>8025</v>
      </c>
      <c r="C371" t="s">
        <v>8026</v>
      </c>
      <c r="D371">
        <v>3</v>
      </c>
      <c r="E371">
        <v>3</v>
      </c>
    </row>
    <row r="372" spans="1:5" x14ac:dyDescent="0.25">
      <c r="A372" t="s">
        <v>43</v>
      </c>
      <c r="B372" t="s">
        <v>8027</v>
      </c>
      <c r="C372" t="s">
        <v>8028</v>
      </c>
      <c r="D372">
        <v>3</v>
      </c>
      <c r="E372">
        <v>3</v>
      </c>
    </row>
    <row r="373" spans="1:5" x14ac:dyDescent="0.25">
      <c r="A373" t="s">
        <v>43</v>
      </c>
      <c r="B373" t="s">
        <v>8029</v>
      </c>
      <c r="C373" t="s">
        <v>8030</v>
      </c>
      <c r="D373">
        <v>3</v>
      </c>
      <c r="E373">
        <v>3</v>
      </c>
    </row>
    <row r="374" spans="1:5" x14ac:dyDescent="0.25">
      <c r="A374" t="s">
        <v>43</v>
      </c>
      <c r="B374" t="s">
        <v>8031</v>
      </c>
      <c r="C374" t="s">
        <v>8032</v>
      </c>
      <c r="D374">
        <v>3</v>
      </c>
      <c r="E374">
        <v>3</v>
      </c>
    </row>
    <row r="375" spans="1:5" x14ac:dyDescent="0.25">
      <c r="A375" t="s">
        <v>43</v>
      </c>
      <c r="B375" t="s">
        <v>8033</v>
      </c>
      <c r="C375" t="s">
        <v>8034</v>
      </c>
      <c r="D375">
        <v>3</v>
      </c>
      <c r="E375">
        <v>3</v>
      </c>
    </row>
    <row r="376" spans="1:5" x14ac:dyDescent="0.25">
      <c r="A376" t="s">
        <v>43</v>
      </c>
      <c r="B376" t="s">
        <v>8035</v>
      </c>
      <c r="C376" t="s">
        <v>8036</v>
      </c>
      <c r="D376">
        <v>3</v>
      </c>
      <c r="E376">
        <v>3</v>
      </c>
    </row>
    <row r="377" spans="1:5" x14ac:dyDescent="0.25">
      <c r="A377" t="s">
        <v>43</v>
      </c>
      <c r="B377" t="s">
        <v>8037</v>
      </c>
      <c r="C377" t="s">
        <v>8038</v>
      </c>
      <c r="D377">
        <v>3</v>
      </c>
      <c r="E377">
        <v>3</v>
      </c>
    </row>
    <row r="378" spans="1:5" x14ac:dyDescent="0.25">
      <c r="A378" t="s">
        <v>43</v>
      </c>
      <c r="B378" t="s">
        <v>8039</v>
      </c>
      <c r="C378" t="s">
        <v>8040</v>
      </c>
      <c r="D378">
        <v>1</v>
      </c>
      <c r="E378">
        <v>3</v>
      </c>
    </row>
    <row r="379" spans="1:5" x14ac:dyDescent="0.25">
      <c r="A379" t="s">
        <v>43</v>
      </c>
      <c r="B379" t="s">
        <v>8041</v>
      </c>
      <c r="C379" t="s">
        <v>8042</v>
      </c>
      <c r="D379">
        <v>1</v>
      </c>
      <c r="E379">
        <v>3</v>
      </c>
    </row>
    <row r="380" spans="1:5" x14ac:dyDescent="0.25">
      <c r="A380" t="s">
        <v>43</v>
      </c>
      <c r="B380" t="s">
        <v>8043</v>
      </c>
      <c r="C380" t="s">
        <v>8044</v>
      </c>
      <c r="D380">
        <v>1</v>
      </c>
      <c r="E380">
        <v>3</v>
      </c>
    </row>
    <row r="381" spans="1:5" x14ac:dyDescent="0.25">
      <c r="A381" t="s">
        <v>43</v>
      </c>
      <c r="B381" t="s">
        <v>8045</v>
      </c>
      <c r="C381" t="s">
        <v>8046</v>
      </c>
      <c r="D381">
        <v>1</v>
      </c>
      <c r="E381">
        <v>3</v>
      </c>
    </row>
    <row r="382" spans="1:5" x14ac:dyDescent="0.25">
      <c r="A382" t="s">
        <v>43</v>
      </c>
      <c r="B382" t="s">
        <v>8047</v>
      </c>
      <c r="C382" t="s">
        <v>8048</v>
      </c>
      <c r="D382">
        <v>2</v>
      </c>
      <c r="E382">
        <v>0</v>
      </c>
    </row>
    <row r="383" spans="1:5" x14ac:dyDescent="0.25">
      <c r="A383" t="s">
        <v>43</v>
      </c>
      <c r="B383" t="s">
        <v>8049</v>
      </c>
      <c r="C383" t="s">
        <v>8050</v>
      </c>
      <c r="D383">
        <v>2</v>
      </c>
      <c r="E383">
        <v>0</v>
      </c>
    </row>
    <row r="384" spans="1:5" x14ac:dyDescent="0.25">
      <c r="A384" t="s">
        <v>43</v>
      </c>
      <c r="B384" t="s">
        <v>8051</v>
      </c>
      <c r="C384" t="s">
        <v>8052</v>
      </c>
      <c r="D384">
        <v>2</v>
      </c>
      <c r="E384">
        <v>0</v>
      </c>
    </row>
    <row r="385" spans="1:5" x14ac:dyDescent="0.25">
      <c r="A385" t="s">
        <v>43</v>
      </c>
      <c r="B385" t="s">
        <v>8053</v>
      </c>
      <c r="C385" t="s">
        <v>8054</v>
      </c>
      <c r="D385">
        <v>2</v>
      </c>
      <c r="E385">
        <v>0</v>
      </c>
    </row>
    <row r="386" spans="1:5" x14ac:dyDescent="0.25">
      <c r="A386" t="s">
        <v>43</v>
      </c>
      <c r="B386" t="s">
        <v>8055</v>
      </c>
      <c r="C386" t="s">
        <v>8056</v>
      </c>
      <c r="D386">
        <v>3</v>
      </c>
      <c r="E386">
        <v>3</v>
      </c>
    </row>
    <row r="387" spans="1:5" x14ac:dyDescent="0.25">
      <c r="A387" t="s">
        <v>43</v>
      </c>
      <c r="B387" t="s">
        <v>8057</v>
      </c>
      <c r="C387" t="s">
        <v>8058</v>
      </c>
      <c r="D387">
        <v>3</v>
      </c>
      <c r="E387">
        <v>3</v>
      </c>
    </row>
    <row r="388" spans="1:5" x14ac:dyDescent="0.25">
      <c r="A388" t="s">
        <v>43</v>
      </c>
      <c r="B388" t="s">
        <v>8059</v>
      </c>
      <c r="C388" t="s">
        <v>8060</v>
      </c>
      <c r="D388">
        <v>3</v>
      </c>
      <c r="E388">
        <v>3</v>
      </c>
    </row>
    <row r="389" spans="1:5" x14ac:dyDescent="0.25">
      <c r="A389" t="s">
        <v>43</v>
      </c>
      <c r="B389" t="s">
        <v>8061</v>
      </c>
      <c r="C389" t="s">
        <v>8062</v>
      </c>
      <c r="D389">
        <v>3</v>
      </c>
      <c r="E389">
        <v>3</v>
      </c>
    </row>
    <row r="390" spans="1:5" x14ac:dyDescent="0.25">
      <c r="A390" t="s">
        <v>43</v>
      </c>
      <c r="B390" t="s">
        <v>8063</v>
      </c>
      <c r="C390" t="s">
        <v>8064</v>
      </c>
      <c r="D390">
        <v>2</v>
      </c>
      <c r="E390">
        <v>0</v>
      </c>
    </row>
    <row r="391" spans="1:5" x14ac:dyDescent="0.25">
      <c r="A391" t="s">
        <v>43</v>
      </c>
      <c r="B391" t="s">
        <v>8065</v>
      </c>
      <c r="C391" t="s">
        <v>8066</v>
      </c>
      <c r="D391">
        <v>2</v>
      </c>
      <c r="E391">
        <v>0</v>
      </c>
    </row>
    <row r="392" spans="1:5" x14ac:dyDescent="0.25">
      <c r="A392" t="s">
        <v>43</v>
      </c>
      <c r="B392" t="s">
        <v>8067</v>
      </c>
      <c r="C392" t="s">
        <v>8068</v>
      </c>
      <c r="D392">
        <v>2</v>
      </c>
      <c r="E392">
        <v>0</v>
      </c>
    </row>
    <row r="393" spans="1:5" x14ac:dyDescent="0.25">
      <c r="A393" t="s">
        <v>43</v>
      </c>
      <c r="B393" t="s">
        <v>8069</v>
      </c>
      <c r="C393" t="s">
        <v>8070</v>
      </c>
      <c r="D393">
        <v>2</v>
      </c>
      <c r="E393">
        <v>0</v>
      </c>
    </row>
    <row r="394" spans="1:5" x14ac:dyDescent="0.25">
      <c r="A394" t="s">
        <v>43</v>
      </c>
      <c r="B394" t="s">
        <v>8071</v>
      </c>
      <c r="C394" t="s">
        <v>8072</v>
      </c>
      <c r="D394">
        <v>2</v>
      </c>
      <c r="E394">
        <v>0</v>
      </c>
    </row>
    <row r="395" spans="1:5" x14ac:dyDescent="0.25">
      <c r="A395" t="s">
        <v>43</v>
      </c>
      <c r="B395" t="s">
        <v>8073</v>
      </c>
      <c r="C395" t="s">
        <v>8074</v>
      </c>
      <c r="D395">
        <v>2</v>
      </c>
      <c r="E395">
        <v>0</v>
      </c>
    </row>
    <row r="396" spans="1:5" x14ac:dyDescent="0.25">
      <c r="A396" t="s">
        <v>43</v>
      </c>
      <c r="B396" t="s">
        <v>8075</v>
      </c>
      <c r="C396" t="s">
        <v>8076</v>
      </c>
      <c r="D396">
        <v>2</v>
      </c>
      <c r="E396">
        <v>0</v>
      </c>
    </row>
    <row r="397" spans="1:5" x14ac:dyDescent="0.25">
      <c r="A397" t="s">
        <v>43</v>
      </c>
      <c r="B397" t="s">
        <v>8077</v>
      </c>
      <c r="C397" t="s">
        <v>8078</v>
      </c>
      <c r="D397">
        <v>2</v>
      </c>
      <c r="E397">
        <v>0</v>
      </c>
    </row>
    <row r="398" spans="1:5" x14ac:dyDescent="0.25">
      <c r="A398" t="s">
        <v>43</v>
      </c>
      <c r="B398" t="s">
        <v>8079</v>
      </c>
      <c r="C398" t="s">
        <v>8080</v>
      </c>
      <c r="D398">
        <v>3</v>
      </c>
      <c r="E398">
        <v>3</v>
      </c>
    </row>
    <row r="399" spans="1:5" x14ac:dyDescent="0.25">
      <c r="A399" t="s">
        <v>43</v>
      </c>
      <c r="B399" t="s">
        <v>8081</v>
      </c>
      <c r="C399" t="s">
        <v>8082</v>
      </c>
      <c r="D399">
        <v>3</v>
      </c>
      <c r="E399">
        <v>3</v>
      </c>
    </row>
    <row r="400" spans="1:5" x14ac:dyDescent="0.25">
      <c r="A400" t="s">
        <v>43</v>
      </c>
      <c r="B400" t="s">
        <v>8083</v>
      </c>
      <c r="C400" t="s">
        <v>8084</v>
      </c>
      <c r="D400">
        <v>3</v>
      </c>
      <c r="E400">
        <v>3</v>
      </c>
    </row>
    <row r="401" spans="1:5" x14ac:dyDescent="0.25">
      <c r="A401" t="s">
        <v>43</v>
      </c>
      <c r="B401" t="s">
        <v>8085</v>
      </c>
      <c r="C401" t="s">
        <v>8086</v>
      </c>
      <c r="D401">
        <v>3</v>
      </c>
      <c r="E401">
        <v>3</v>
      </c>
    </row>
    <row r="402" spans="1:5" x14ac:dyDescent="0.25">
      <c r="A402" t="s">
        <v>43</v>
      </c>
      <c r="B402" t="s">
        <v>8087</v>
      </c>
      <c r="C402" t="s">
        <v>8088</v>
      </c>
      <c r="D402">
        <v>3</v>
      </c>
      <c r="E402">
        <v>3</v>
      </c>
    </row>
    <row r="403" spans="1:5" x14ac:dyDescent="0.25">
      <c r="A403" t="s">
        <v>43</v>
      </c>
      <c r="B403" t="s">
        <v>8089</v>
      </c>
      <c r="C403" t="s">
        <v>8090</v>
      </c>
      <c r="D403">
        <v>3</v>
      </c>
      <c r="E403">
        <v>3</v>
      </c>
    </row>
    <row r="404" spans="1:5" x14ac:dyDescent="0.25">
      <c r="A404" t="s">
        <v>43</v>
      </c>
      <c r="B404" t="s">
        <v>8091</v>
      </c>
      <c r="C404" t="s">
        <v>8092</v>
      </c>
      <c r="D404">
        <v>3</v>
      </c>
      <c r="E404">
        <v>3</v>
      </c>
    </row>
    <row r="405" spans="1:5" x14ac:dyDescent="0.25">
      <c r="A405" t="s">
        <v>43</v>
      </c>
      <c r="B405" t="s">
        <v>8093</v>
      </c>
      <c r="C405" t="s">
        <v>8094</v>
      </c>
      <c r="D405">
        <v>3</v>
      </c>
      <c r="E405">
        <v>3</v>
      </c>
    </row>
    <row r="406" spans="1:5" x14ac:dyDescent="0.25">
      <c r="A406" t="s">
        <v>43</v>
      </c>
      <c r="B406" t="s">
        <v>8095</v>
      </c>
      <c r="C406" t="s">
        <v>8096</v>
      </c>
      <c r="D406">
        <v>2</v>
      </c>
      <c r="E406">
        <v>0</v>
      </c>
    </row>
    <row r="407" spans="1:5" x14ac:dyDescent="0.25">
      <c r="A407" t="s">
        <v>43</v>
      </c>
      <c r="B407" t="s">
        <v>8097</v>
      </c>
      <c r="C407" t="s">
        <v>8098</v>
      </c>
      <c r="D407">
        <v>2</v>
      </c>
      <c r="E407">
        <v>0</v>
      </c>
    </row>
    <row r="408" spans="1:5" x14ac:dyDescent="0.25">
      <c r="A408" t="s">
        <v>43</v>
      </c>
      <c r="B408" t="s">
        <v>8099</v>
      </c>
      <c r="C408" t="s">
        <v>8100</v>
      </c>
      <c r="D408">
        <v>2</v>
      </c>
      <c r="E408">
        <v>0</v>
      </c>
    </row>
    <row r="409" spans="1:5" x14ac:dyDescent="0.25">
      <c r="A409" t="s">
        <v>43</v>
      </c>
      <c r="B409" t="s">
        <v>8101</v>
      </c>
      <c r="C409" t="s">
        <v>8102</v>
      </c>
      <c r="D409">
        <v>2</v>
      </c>
      <c r="E409">
        <v>0</v>
      </c>
    </row>
    <row r="410" spans="1:5" x14ac:dyDescent="0.25">
      <c r="A410" t="s">
        <v>43</v>
      </c>
      <c r="B410" t="s">
        <v>8103</v>
      </c>
      <c r="C410" t="s">
        <v>8104</v>
      </c>
      <c r="D410">
        <v>3</v>
      </c>
      <c r="E410">
        <v>3</v>
      </c>
    </row>
    <row r="411" spans="1:5" x14ac:dyDescent="0.25">
      <c r="A411" t="s">
        <v>43</v>
      </c>
      <c r="B411" t="s">
        <v>8105</v>
      </c>
      <c r="C411" t="s">
        <v>8106</v>
      </c>
      <c r="D411">
        <v>3</v>
      </c>
      <c r="E411">
        <v>3</v>
      </c>
    </row>
    <row r="412" spans="1:5" x14ac:dyDescent="0.25">
      <c r="A412" t="s">
        <v>43</v>
      </c>
      <c r="B412" t="s">
        <v>8107</v>
      </c>
      <c r="C412" t="s">
        <v>8108</v>
      </c>
      <c r="D412">
        <v>3</v>
      </c>
      <c r="E412">
        <v>3</v>
      </c>
    </row>
    <row r="413" spans="1:5" x14ac:dyDescent="0.25">
      <c r="A413" t="s">
        <v>43</v>
      </c>
      <c r="B413" t="s">
        <v>8109</v>
      </c>
      <c r="C413" t="s">
        <v>8110</v>
      </c>
      <c r="D413">
        <v>3</v>
      </c>
      <c r="E413">
        <v>3</v>
      </c>
    </row>
    <row r="414" spans="1:5" x14ac:dyDescent="0.25">
      <c r="A414" t="s">
        <v>43</v>
      </c>
      <c r="B414" t="s">
        <v>8111</v>
      </c>
      <c r="C414" t="s">
        <v>8112</v>
      </c>
      <c r="D414">
        <v>3</v>
      </c>
      <c r="E414">
        <v>3</v>
      </c>
    </row>
    <row r="415" spans="1:5" x14ac:dyDescent="0.25">
      <c r="A415" t="s">
        <v>43</v>
      </c>
      <c r="B415" t="s">
        <v>8113</v>
      </c>
      <c r="C415" t="s">
        <v>8114</v>
      </c>
      <c r="D415">
        <v>3</v>
      </c>
      <c r="E415">
        <v>3</v>
      </c>
    </row>
    <row r="416" spans="1:5" x14ac:dyDescent="0.25">
      <c r="A416" t="s">
        <v>43</v>
      </c>
      <c r="B416" t="s">
        <v>8115</v>
      </c>
      <c r="C416" t="s">
        <v>8116</v>
      </c>
      <c r="D416">
        <v>3</v>
      </c>
      <c r="E416">
        <v>3</v>
      </c>
    </row>
    <row r="417" spans="1:5" x14ac:dyDescent="0.25">
      <c r="A417" t="s">
        <v>43</v>
      </c>
      <c r="B417" t="s">
        <v>8117</v>
      </c>
      <c r="C417" t="s">
        <v>8118</v>
      </c>
      <c r="D417">
        <v>3</v>
      </c>
      <c r="E417">
        <v>3</v>
      </c>
    </row>
    <row r="418" spans="1:5" x14ac:dyDescent="0.25">
      <c r="A418" t="s">
        <v>43</v>
      </c>
      <c r="B418" t="s">
        <v>8119</v>
      </c>
      <c r="C418" t="s">
        <v>8120</v>
      </c>
      <c r="D418">
        <v>2</v>
      </c>
      <c r="E418">
        <v>0</v>
      </c>
    </row>
    <row r="419" spans="1:5" x14ac:dyDescent="0.25">
      <c r="A419" t="s">
        <v>43</v>
      </c>
      <c r="B419" t="s">
        <v>8121</v>
      </c>
      <c r="C419" t="s">
        <v>8122</v>
      </c>
      <c r="D419">
        <v>2</v>
      </c>
      <c r="E419">
        <v>0</v>
      </c>
    </row>
    <row r="420" spans="1:5" x14ac:dyDescent="0.25">
      <c r="A420" t="s">
        <v>43</v>
      </c>
      <c r="B420" t="s">
        <v>8123</v>
      </c>
      <c r="C420" t="s">
        <v>8124</v>
      </c>
      <c r="D420">
        <v>2</v>
      </c>
      <c r="E420">
        <v>0</v>
      </c>
    </row>
    <row r="421" spans="1:5" x14ac:dyDescent="0.25">
      <c r="A421" t="s">
        <v>43</v>
      </c>
      <c r="B421" t="s">
        <v>8125</v>
      </c>
      <c r="C421" t="s">
        <v>8126</v>
      </c>
      <c r="D421">
        <v>2</v>
      </c>
      <c r="E421">
        <v>0</v>
      </c>
    </row>
    <row r="422" spans="1:5" x14ac:dyDescent="0.25">
      <c r="A422" t="s">
        <v>43</v>
      </c>
      <c r="B422" t="s">
        <v>8127</v>
      </c>
      <c r="C422" t="s">
        <v>8128</v>
      </c>
      <c r="D422">
        <v>3</v>
      </c>
      <c r="E422">
        <v>3</v>
      </c>
    </row>
    <row r="423" spans="1:5" x14ac:dyDescent="0.25">
      <c r="A423" t="s">
        <v>43</v>
      </c>
      <c r="B423" t="s">
        <v>8129</v>
      </c>
      <c r="C423" t="s">
        <v>8130</v>
      </c>
      <c r="D423">
        <v>3</v>
      </c>
      <c r="E423">
        <v>3</v>
      </c>
    </row>
    <row r="424" spans="1:5" x14ac:dyDescent="0.25">
      <c r="A424" t="s">
        <v>43</v>
      </c>
      <c r="B424" t="s">
        <v>8131</v>
      </c>
      <c r="C424" t="s">
        <v>8132</v>
      </c>
      <c r="D424">
        <v>3</v>
      </c>
      <c r="E424">
        <v>3</v>
      </c>
    </row>
    <row r="425" spans="1:5" x14ac:dyDescent="0.25">
      <c r="A425" t="s">
        <v>43</v>
      </c>
      <c r="B425" t="s">
        <v>8133</v>
      </c>
      <c r="C425" t="s">
        <v>8134</v>
      </c>
      <c r="D425">
        <v>3</v>
      </c>
      <c r="E425">
        <v>3</v>
      </c>
    </row>
    <row r="426" spans="1:5" x14ac:dyDescent="0.25">
      <c r="A426" t="s">
        <v>35</v>
      </c>
      <c r="B426" t="s">
        <v>8135</v>
      </c>
      <c r="C426" t="s">
        <v>8136</v>
      </c>
      <c r="D426">
        <v>0</v>
      </c>
      <c r="E426">
        <v>2</v>
      </c>
    </row>
    <row r="427" spans="1:5" x14ac:dyDescent="0.25">
      <c r="A427" t="s">
        <v>35</v>
      </c>
      <c r="B427" t="s">
        <v>8137</v>
      </c>
      <c r="C427" t="s">
        <v>8138</v>
      </c>
      <c r="D427">
        <v>0</v>
      </c>
      <c r="E427">
        <v>2</v>
      </c>
    </row>
    <row r="428" spans="1:5" x14ac:dyDescent="0.25">
      <c r="A428" t="s">
        <v>35</v>
      </c>
      <c r="B428" t="s">
        <v>8139</v>
      </c>
      <c r="C428" t="s">
        <v>8140</v>
      </c>
      <c r="D428">
        <v>0</v>
      </c>
      <c r="E428">
        <v>2</v>
      </c>
    </row>
    <row r="429" spans="1:5" x14ac:dyDescent="0.25">
      <c r="A429" t="s">
        <v>35</v>
      </c>
      <c r="B429" t="s">
        <v>8141</v>
      </c>
      <c r="C429" t="s">
        <v>8142</v>
      </c>
      <c r="D429">
        <v>0</v>
      </c>
      <c r="E429">
        <v>2</v>
      </c>
    </row>
    <row r="430" spans="1:5" x14ac:dyDescent="0.25">
      <c r="A430" t="s">
        <v>35</v>
      </c>
      <c r="B430" t="s">
        <v>8143</v>
      </c>
      <c r="C430" t="s">
        <v>8144</v>
      </c>
      <c r="D430">
        <v>0</v>
      </c>
      <c r="E430">
        <v>2</v>
      </c>
    </row>
    <row r="431" spans="1:5" x14ac:dyDescent="0.25">
      <c r="A431" t="s">
        <v>35</v>
      </c>
      <c r="B431" t="s">
        <v>8145</v>
      </c>
      <c r="C431" t="s">
        <v>8146</v>
      </c>
      <c r="D431">
        <v>0</v>
      </c>
      <c r="E431">
        <v>2</v>
      </c>
    </row>
    <row r="432" spans="1:5" x14ac:dyDescent="0.25">
      <c r="A432" t="s">
        <v>35</v>
      </c>
      <c r="B432" t="s">
        <v>8147</v>
      </c>
      <c r="C432" t="s">
        <v>8148</v>
      </c>
      <c r="D432">
        <v>0</v>
      </c>
      <c r="E432">
        <v>2</v>
      </c>
    </row>
    <row r="433" spans="1:5" x14ac:dyDescent="0.25">
      <c r="A433" t="s">
        <v>35</v>
      </c>
      <c r="B433" t="s">
        <v>8149</v>
      </c>
      <c r="C433" t="s">
        <v>8150</v>
      </c>
      <c r="D433">
        <v>0</v>
      </c>
      <c r="E433">
        <v>2</v>
      </c>
    </row>
    <row r="434" spans="1:5" x14ac:dyDescent="0.25">
      <c r="A434" t="s">
        <v>35</v>
      </c>
      <c r="B434" t="s">
        <v>8151</v>
      </c>
      <c r="C434" t="s">
        <v>8152</v>
      </c>
      <c r="D434">
        <v>0</v>
      </c>
      <c r="E434">
        <v>3</v>
      </c>
    </row>
    <row r="435" spans="1:5" x14ac:dyDescent="0.25">
      <c r="A435" t="s">
        <v>35</v>
      </c>
      <c r="B435" t="s">
        <v>8153</v>
      </c>
      <c r="C435" t="s">
        <v>8154</v>
      </c>
      <c r="D435">
        <v>0</v>
      </c>
      <c r="E435">
        <v>3</v>
      </c>
    </row>
    <row r="436" spans="1:5" x14ac:dyDescent="0.25">
      <c r="A436" t="s">
        <v>35</v>
      </c>
      <c r="B436" t="s">
        <v>8155</v>
      </c>
      <c r="C436" t="s">
        <v>8156</v>
      </c>
      <c r="D436">
        <v>0</v>
      </c>
      <c r="E436">
        <v>3</v>
      </c>
    </row>
    <row r="437" spans="1:5" x14ac:dyDescent="0.25">
      <c r="A437" t="s">
        <v>35</v>
      </c>
      <c r="B437" t="s">
        <v>8157</v>
      </c>
      <c r="C437" t="s">
        <v>8158</v>
      </c>
      <c r="D437">
        <v>0</v>
      </c>
      <c r="E437">
        <v>3</v>
      </c>
    </row>
    <row r="438" spans="1:5" x14ac:dyDescent="0.25">
      <c r="A438" t="s">
        <v>35</v>
      </c>
      <c r="B438" t="s">
        <v>8159</v>
      </c>
      <c r="C438" t="s">
        <v>8160</v>
      </c>
      <c r="D438">
        <v>0</v>
      </c>
      <c r="E438">
        <v>2</v>
      </c>
    </row>
    <row r="439" spans="1:5" x14ac:dyDescent="0.25">
      <c r="A439" t="s">
        <v>35</v>
      </c>
      <c r="B439" t="s">
        <v>8161</v>
      </c>
      <c r="C439" t="s">
        <v>8162</v>
      </c>
      <c r="D439">
        <v>0</v>
      </c>
      <c r="E439">
        <v>2</v>
      </c>
    </row>
    <row r="440" spans="1:5" x14ac:dyDescent="0.25">
      <c r="A440" t="s">
        <v>35</v>
      </c>
      <c r="B440" t="s">
        <v>8163</v>
      </c>
      <c r="C440" t="s">
        <v>8164</v>
      </c>
      <c r="D440">
        <v>0</v>
      </c>
      <c r="E440">
        <v>2</v>
      </c>
    </row>
    <row r="441" spans="1:5" x14ac:dyDescent="0.25">
      <c r="A441" t="s">
        <v>35</v>
      </c>
      <c r="B441" t="s">
        <v>8165</v>
      </c>
      <c r="C441" t="s">
        <v>8166</v>
      </c>
      <c r="D441">
        <v>0</v>
      </c>
      <c r="E441">
        <v>2</v>
      </c>
    </row>
    <row r="442" spans="1:5" x14ac:dyDescent="0.25">
      <c r="A442" t="s">
        <v>35</v>
      </c>
      <c r="B442" t="s">
        <v>8167</v>
      </c>
      <c r="C442" t="s">
        <v>8168</v>
      </c>
      <c r="D442">
        <v>0</v>
      </c>
      <c r="E442">
        <v>2</v>
      </c>
    </row>
    <row r="443" spans="1:5" x14ac:dyDescent="0.25">
      <c r="A443" t="s">
        <v>35</v>
      </c>
      <c r="B443" t="s">
        <v>8169</v>
      </c>
      <c r="C443" t="s">
        <v>8170</v>
      </c>
      <c r="D443">
        <v>0</v>
      </c>
      <c r="E443">
        <v>2</v>
      </c>
    </row>
    <row r="444" spans="1:5" x14ac:dyDescent="0.25">
      <c r="A444" t="s">
        <v>35</v>
      </c>
      <c r="B444" t="s">
        <v>8171</v>
      </c>
      <c r="C444" t="s">
        <v>8172</v>
      </c>
      <c r="D444">
        <v>0</v>
      </c>
      <c r="E444">
        <v>2</v>
      </c>
    </row>
    <row r="445" spans="1:5" x14ac:dyDescent="0.25">
      <c r="A445" t="s">
        <v>35</v>
      </c>
      <c r="B445" t="s">
        <v>8173</v>
      </c>
      <c r="C445" t="s">
        <v>8174</v>
      </c>
      <c r="D445">
        <v>0</v>
      </c>
      <c r="E445">
        <v>2</v>
      </c>
    </row>
    <row r="446" spans="1:5" x14ac:dyDescent="0.25">
      <c r="A446" t="s">
        <v>35</v>
      </c>
      <c r="B446" t="s">
        <v>8175</v>
      </c>
      <c r="C446" t="s">
        <v>8176</v>
      </c>
      <c r="D446">
        <v>0</v>
      </c>
      <c r="E446">
        <v>2</v>
      </c>
    </row>
    <row r="447" spans="1:5" x14ac:dyDescent="0.25">
      <c r="A447" t="s">
        <v>35</v>
      </c>
      <c r="B447" t="s">
        <v>8177</v>
      </c>
      <c r="C447" t="s">
        <v>8178</v>
      </c>
      <c r="D447">
        <v>0</v>
      </c>
      <c r="E447">
        <v>2</v>
      </c>
    </row>
    <row r="448" spans="1:5" x14ac:dyDescent="0.25">
      <c r="A448" t="s">
        <v>35</v>
      </c>
      <c r="B448" t="s">
        <v>8179</v>
      </c>
      <c r="C448" t="s">
        <v>8180</v>
      </c>
      <c r="D448">
        <v>0</v>
      </c>
      <c r="E448">
        <v>2</v>
      </c>
    </row>
    <row r="449" spans="1:5" x14ac:dyDescent="0.25">
      <c r="A449" t="s">
        <v>35</v>
      </c>
      <c r="B449" t="s">
        <v>8181</v>
      </c>
      <c r="C449" t="s">
        <v>8182</v>
      </c>
      <c r="D449">
        <v>0</v>
      </c>
      <c r="E449">
        <v>2</v>
      </c>
    </row>
    <row r="450" spans="1:5" x14ac:dyDescent="0.25">
      <c r="A450" t="s">
        <v>39</v>
      </c>
      <c r="B450" t="s">
        <v>8183</v>
      </c>
      <c r="C450" t="s">
        <v>8184</v>
      </c>
      <c r="D450">
        <v>1</v>
      </c>
      <c r="E450">
        <v>1</v>
      </c>
    </row>
    <row r="451" spans="1:5" x14ac:dyDescent="0.25">
      <c r="A451" t="s">
        <v>39</v>
      </c>
      <c r="B451" t="s">
        <v>8185</v>
      </c>
      <c r="C451" t="s">
        <v>8186</v>
      </c>
      <c r="D451">
        <v>1</v>
      </c>
      <c r="E451">
        <v>1</v>
      </c>
    </row>
    <row r="452" spans="1:5" x14ac:dyDescent="0.25">
      <c r="A452" t="s">
        <v>39</v>
      </c>
      <c r="B452" t="s">
        <v>8187</v>
      </c>
      <c r="C452" t="s">
        <v>8188</v>
      </c>
      <c r="D452">
        <v>1</v>
      </c>
      <c r="E452">
        <v>1</v>
      </c>
    </row>
    <row r="453" spans="1:5" x14ac:dyDescent="0.25">
      <c r="A453" t="s">
        <v>39</v>
      </c>
      <c r="B453" t="s">
        <v>8189</v>
      </c>
      <c r="C453" t="s">
        <v>8190</v>
      </c>
      <c r="D453">
        <v>1</v>
      </c>
      <c r="E453">
        <v>1</v>
      </c>
    </row>
    <row r="454" spans="1:5" x14ac:dyDescent="0.25">
      <c r="A454" t="s">
        <v>39</v>
      </c>
      <c r="B454" t="s">
        <v>8191</v>
      </c>
      <c r="C454" t="s">
        <v>8192</v>
      </c>
      <c r="D454">
        <v>1</v>
      </c>
      <c r="E454">
        <v>1</v>
      </c>
    </row>
    <row r="455" spans="1:5" x14ac:dyDescent="0.25">
      <c r="A455" t="s">
        <v>39</v>
      </c>
      <c r="B455" t="s">
        <v>8193</v>
      </c>
      <c r="C455" t="s">
        <v>8194</v>
      </c>
      <c r="D455">
        <v>1</v>
      </c>
      <c r="E455">
        <v>1</v>
      </c>
    </row>
    <row r="456" spans="1:5" x14ac:dyDescent="0.25">
      <c r="A456" t="s">
        <v>39</v>
      </c>
      <c r="B456" t="s">
        <v>8195</v>
      </c>
      <c r="C456" t="s">
        <v>8196</v>
      </c>
      <c r="D456">
        <v>1</v>
      </c>
      <c r="E456">
        <v>1</v>
      </c>
    </row>
    <row r="457" spans="1:5" x14ac:dyDescent="0.25">
      <c r="A457" t="s">
        <v>39</v>
      </c>
      <c r="B457" t="s">
        <v>8197</v>
      </c>
      <c r="C457" t="s">
        <v>8198</v>
      </c>
      <c r="D457">
        <v>1</v>
      </c>
      <c r="E457">
        <v>1</v>
      </c>
    </row>
    <row r="458" spans="1:5" x14ac:dyDescent="0.25">
      <c r="A458" t="s">
        <v>39</v>
      </c>
      <c r="B458" t="s">
        <v>8199</v>
      </c>
      <c r="C458" t="s">
        <v>8200</v>
      </c>
      <c r="D458">
        <v>1</v>
      </c>
      <c r="E458">
        <v>1</v>
      </c>
    </row>
    <row r="459" spans="1:5" x14ac:dyDescent="0.25">
      <c r="A459" t="s">
        <v>39</v>
      </c>
      <c r="B459" t="s">
        <v>8201</v>
      </c>
      <c r="C459" t="s">
        <v>8202</v>
      </c>
      <c r="D459">
        <v>1</v>
      </c>
      <c r="E459">
        <v>1</v>
      </c>
    </row>
    <row r="460" spans="1:5" x14ac:dyDescent="0.25">
      <c r="A460" t="s">
        <v>39</v>
      </c>
      <c r="B460" t="s">
        <v>8203</v>
      </c>
      <c r="C460" t="s">
        <v>8204</v>
      </c>
      <c r="D460">
        <v>1</v>
      </c>
      <c r="E460">
        <v>1</v>
      </c>
    </row>
    <row r="461" spans="1:5" x14ac:dyDescent="0.25">
      <c r="A461" t="s">
        <v>39</v>
      </c>
      <c r="B461" t="s">
        <v>8205</v>
      </c>
      <c r="C461" t="s">
        <v>8206</v>
      </c>
      <c r="D461">
        <v>1</v>
      </c>
      <c r="E461">
        <v>1</v>
      </c>
    </row>
    <row r="462" spans="1:5" x14ac:dyDescent="0.25">
      <c r="A462" t="s">
        <v>39</v>
      </c>
      <c r="B462" t="s">
        <v>8207</v>
      </c>
      <c r="C462" t="s">
        <v>8208</v>
      </c>
      <c r="D462">
        <v>1</v>
      </c>
      <c r="E462">
        <v>1</v>
      </c>
    </row>
    <row r="463" spans="1:5" x14ac:dyDescent="0.25">
      <c r="A463" t="s">
        <v>39</v>
      </c>
      <c r="B463" t="s">
        <v>8209</v>
      </c>
      <c r="C463" t="s">
        <v>8210</v>
      </c>
      <c r="D463">
        <v>1</v>
      </c>
      <c r="E463">
        <v>1</v>
      </c>
    </row>
    <row r="464" spans="1:5" x14ac:dyDescent="0.25">
      <c r="A464" t="s">
        <v>39</v>
      </c>
      <c r="B464" t="s">
        <v>8211</v>
      </c>
      <c r="C464" t="s">
        <v>8212</v>
      </c>
      <c r="D464">
        <v>1</v>
      </c>
      <c r="E464">
        <v>1</v>
      </c>
    </row>
    <row r="465" spans="1:5" x14ac:dyDescent="0.25">
      <c r="A465" t="s">
        <v>39</v>
      </c>
      <c r="B465" t="s">
        <v>8213</v>
      </c>
      <c r="C465" t="s">
        <v>8214</v>
      </c>
      <c r="D465">
        <v>1</v>
      </c>
      <c r="E465">
        <v>1</v>
      </c>
    </row>
    <row r="466" spans="1:5" x14ac:dyDescent="0.25">
      <c r="A466" t="s">
        <v>39</v>
      </c>
      <c r="B466" t="s">
        <v>8215</v>
      </c>
      <c r="C466" t="s">
        <v>8216</v>
      </c>
      <c r="D466">
        <v>1</v>
      </c>
      <c r="E466">
        <v>1</v>
      </c>
    </row>
    <row r="467" spans="1:5" x14ac:dyDescent="0.25">
      <c r="A467" t="s">
        <v>39</v>
      </c>
      <c r="B467" t="s">
        <v>8217</v>
      </c>
      <c r="C467" t="s">
        <v>8218</v>
      </c>
      <c r="D467">
        <v>1</v>
      </c>
      <c r="E467">
        <v>1</v>
      </c>
    </row>
    <row r="468" spans="1:5" x14ac:dyDescent="0.25">
      <c r="A468" t="s">
        <v>39</v>
      </c>
      <c r="B468" t="s">
        <v>8219</v>
      </c>
      <c r="C468" t="s">
        <v>8220</v>
      </c>
      <c r="D468">
        <v>1</v>
      </c>
      <c r="E468">
        <v>1</v>
      </c>
    </row>
    <row r="469" spans="1:5" x14ac:dyDescent="0.25">
      <c r="A469" t="s">
        <v>39</v>
      </c>
      <c r="B469" t="s">
        <v>8221</v>
      </c>
      <c r="C469" t="s">
        <v>8222</v>
      </c>
      <c r="D469">
        <v>1</v>
      </c>
      <c r="E469">
        <v>1</v>
      </c>
    </row>
    <row r="470" spans="1:5" x14ac:dyDescent="0.25">
      <c r="A470" t="s">
        <v>39</v>
      </c>
      <c r="B470" t="s">
        <v>8223</v>
      </c>
      <c r="C470" t="s">
        <v>8224</v>
      </c>
      <c r="D470">
        <v>1</v>
      </c>
      <c r="E470">
        <v>1</v>
      </c>
    </row>
    <row r="471" spans="1:5" x14ac:dyDescent="0.25">
      <c r="A471" t="s">
        <v>39</v>
      </c>
      <c r="B471" t="s">
        <v>8225</v>
      </c>
      <c r="C471" t="s">
        <v>8226</v>
      </c>
      <c r="D471">
        <v>1</v>
      </c>
      <c r="E471">
        <v>1</v>
      </c>
    </row>
    <row r="472" spans="1:5" x14ac:dyDescent="0.25">
      <c r="A472" t="s">
        <v>39</v>
      </c>
      <c r="B472" t="s">
        <v>8227</v>
      </c>
      <c r="C472" t="s">
        <v>8228</v>
      </c>
      <c r="D472">
        <v>1</v>
      </c>
      <c r="E472">
        <v>1</v>
      </c>
    </row>
    <row r="473" spans="1:5" x14ac:dyDescent="0.25">
      <c r="A473" t="s">
        <v>39</v>
      </c>
      <c r="B473" t="s">
        <v>8229</v>
      </c>
      <c r="C473" t="s">
        <v>8230</v>
      </c>
      <c r="D473">
        <v>1</v>
      </c>
      <c r="E473">
        <v>1</v>
      </c>
    </row>
    <row r="474" spans="1:5" x14ac:dyDescent="0.25">
      <c r="A474" t="s">
        <v>39</v>
      </c>
      <c r="B474" t="s">
        <v>8231</v>
      </c>
      <c r="C474" t="s">
        <v>8232</v>
      </c>
      <c r="D474">
        <v>1</v>
      </c>
      <c r="E474">
        <v>1</v>
      </c>
    </row>
    <row r="475" spans="1:5" x14ac:dyDescent="0.25">
      <c r="A475" t="s">
        <v>39</v>
      </c>
      <c r="B475" t="s">
        <v>8233</v>
      </c>
      <c r="C475" t="s">
        <v>8234</v>
      </c>
      <c r="D475">
        <v>1</v>
      </c>
      <c r="E475">
        <v>1</v>
      </c>
    </row>
    <row r="476" spans="1:5" x14ac:dyDescent="0.25">
      <c r="A476" t="s">
        <v>39</v>
      </c>
      <c r="B476" t="s">
        <v>8235</v>
      </c>
      <c r="C476" t="s">
        <v>8236</v>
      </c>
      <c r="D476">
        <v>1</v>
      </c>
      <c r="E476">
        <v>1</v>
      </c>
    </row>
    <row r="477" spans="1:5" x14ac:dyDescent="0.25">
      <c r="A477" t="s">
        <v>39</v>
      </c>
      <c r="B477" t="s">
        <v>8237</v>
      </c>
      <c r="C477" t="s">
        <v>8238</v>
      </c>
      <c r="D477">
        <v>1</v>
      </c>
      <c r="E477">
        <v>1</v>
      </c>
    </row>
    <row r="478" spans="1:5" x14ac:dyDescent="0.25">
      <c r="A478" t="s">
        <v>39</v>
      </c>
      <c r="B478" t="s">
        <v>8239</v>
      </c>
      <c r="C478" t="s">
        <v>8240</v>
      </c>
      <c r="D478">
        <v>1</v>
      </c>
      <c r="E478">
        <v>1</v>
      </c>
    </row>
    <row r="479" spans="1:5" x14ac:dyDescent="0.25">
      <c r="A479" t="s">
        <v>39</v>
      </c>
      <c r="B479" t="s">
        <v>8241</v>
      </c>
      <c r="C479" t="s">
        <v>8242</v>
      </c>
      <c r="D479">
        <v>1</v>
      </c>
      <c r="E479">
        <v>1</v>
      </c>
    </row>
    <row r="480" spans="1:5" x14ac:dyDescent="0.25">
      <c r="A480" t="s">
        <v>39</v>
      </c>
      <c r="B480" t="s">
        <v>8243</v>
      </c>
      <c r="C480" t="s">
        <v>8244</v>
      </c>
      <c r="D480">
        <v>1</v>
      </c>
      <c r="E480">
        <v>1</v>
      </c>
    </row>
    <row r="481" spans="1:5" x14ac:dyDescent="0.25">
      <c r="A481" t="s">
        <v>39</v>
      </c>
      <c r="B481" t="s">
        <v>8245</v>
      </c>
      <c r="C481" t="s">
        <v>8246</v>
      </c>
      <c r="D481">
        <v>1</v>
      </c>
      <c r="E481">
        <v>1</v>
      </c>
    </row>
    <row r="482" spans="1:5" x14ac:dyDescent="0.25">
      <c r="A482" t="s">
        <v>23</v>
      </c>
      <c r="B482" t="s">
        <v>8247</v>
      </c>
      <c r="C482" t="s">
        <v>8248</v>
      </c>
      <c r="D482">
        <v>2</v>
      </c>
      <c r="E482">
        <v>2</v>
      </c>
    </row>
    <row r="483" spans="1:5" x14ac:dyDescent="0.25">
      <c r="A483" t="s">
        <v>23</v>
      </c>
      <c r="B483" t="s">
        <v>8249</v>
      </c>
      <c r="C483" t="s">
        <v>8250</v>
      </c>
      <c r="D483">
        <v>2</v>
      </c>
      <c r="E483">
        <v>2</v>
      </c>
    </row>
    <row r="484" spans="1:5" x14ac:dyDescent="0.25">
      <c r="A484" t="s">
        <v>23</v>
      </c>
      <c r="B484" t="s">
        <v>8251</v>
      </c>
      <c r="C484" t="s">
        <v>8252</v>
      </c>
      <c r="D484">
        <v>2</v>
      </c>
      <c r="E484">
        <v>2</v>
      </c>
    </row>
    <row r="485" spans="1:5" x14ac:dyDescent="0.25">
      <c r="A485" t="s">
        <v>23</v>
      </c>
      <c r="B485" t="s">
        <v>8253</v>
      </c>
      <c r="C485" t="s">
        <v>8254</v>
      </c>
      <c r="D485">
        <v>2</v>
      </c>
      <c r="E485">
        <v>2</v>
      </c>
    </row>
    <row r="486" spans="1:5" x14ac:dyDescent="0.25">
      <c r="A486" t="s">
        <v>23</v>
      </c>
      <c r="B486" t="s">
        <v>8255</v>
      </c>
      <c r="C486" t="s">
        <v>8256</v>
      </c>
      <c r="D486">
        <v>2</v>
      </c>
      <c r="E486">
        <v>2</v>
      </c>
    </row>
    <row r="487" spans="1:5" x14ac:dyDescent="0.25">
      <c r="A487" t="s">
        <v>23</v>
      </c>
      <c r="B487" t="s">
        <v>8257</v>
      </c>
      <c r="C487" t="s">
        <v>8258</v>
      </c>
      <c r="D487">
        <v>2</v>
      </c>
      <c r="E487">
        <v>2</v>
      </c>
    </row>
    <row r="488" spans="1:5" x14ac:dyDescent="0.25">
      <c r="A488" t="s">
        <v>23</v>
      </c>
      <c r="B488" t="s">
        <v>8259</v>
      </c>
      <c r="C488" t="s">
        <v>8260</v>
      </c>
      <c r="D488">
        <v>2</v>
      </c>
      <c r="E488">
        <v>2</v>
      </c>
    </row>
    <row r="489" spans="1:5" x14ac:dyDescent="0.25">
      <c r="A489" t="s">
        <v>23</v>
      </c>
      <c r="B489" t="s">
        <v>8261</v>
      </c>
      <c r="C489" t="s">
        <v>8262</v>
      </c>
      <c r="D489">
        <v>2</v>
      </c>
      <c r="E489">
        <v>2</v>
      </c>
    </row>
    <row r="490" spans="1:5" x14ac:dyDescent="0.25">
      <c r="A490" t="s">
        <v>23</v>
      </c>
      <c r="B490" t="s">
        <v>8263</v>
      </c>
      <c r="C490" t="s">
        <v>8264</v>
      </c>
      <c r="D490">
        <v>2</v>
      </c>
      <c r="E490">
        <v>2</v>
      </c>
    </row>
    <row r="491" spans="1:5" x14ac:dyDescent="0.25">
      <c r="A491" t="s">
        <v>23</v>
      </c>
      <c r="B491" t="s">
        <v>8265</v>
      </c>
      <c r="C491" t="s">
        <v>8266</v>
      </c>
      <c r="D491">
        <v>2</v>
      </c>
      <c r="E491">
        <v>2</v>
      </c>
    </row>
    <row r="492" spans="1:5" x14ac:dyDescent="0.25">
      <c r="A492" t="s">
        <v>23</v>
      </c>
      <c r="B492" t="s">
        <v>8267</v>
      </c>
      <c r="C492" t="s">
        <v>8268</v>
      </c>
      <c r="D492">
        <v>2</v>
      </c>
      <c r="E492">
        <v>2</v>
      </c>
    </row>
    <row r="493" spans="1:5" x14ac:dyDescent="0.25">
      <c r="A493" t="s">
        <v>23</v>
      </c>
      <c r="B493" t="s">
        <v>8269</v>
      </c>
      <c r="C493" t="s">
        <v>8270</v>
      </c>
      <c r="D493">
        <v>2</v>
      </c>
      <c r="E493">
        <v>2</v>
      </c>
    </row>
    <row r="494" spans="1:5" x14ac:dyDescent="0.25">
      <c r="A494" t="s">
        <v>23</v>
      </c>
      <c r="B494" t="s">
        <v>8271</v>
      </c>
      <c r="C494" t="s">
        <v>8272</v>
      </c>
      <c r="D494">
        <v>2</v>
      </c>
      <c r="E494">
        <v>2</v>
      </c>
    </row>
    <row r="495" spans="1:5" x14ac:dyDescent="0.25">
      <c r="A495" t="s">
        <v>23</v>
      </c>
      <c r="B495" t="s">
        <v>8273</v>
      </c>
      <c r="C495" t="s">
        <v>8274</v>
      </c>
      <c r="D495">
        <v>2</v>
      </c>
      <c r="E495">
        <v>2</v>
      </c>
    </row>
    <row r="496" spans="1:5" x14ac:dyDescent="0.25">
      <c r="A496" t="s">
        <v>23</v>
      </c>
      <c r="B496" t="s">
        <v>8275</v>
      </c>
      <c r="C496" t="s">
        <v>8276</v>
      </c>
      <c r="D496">
        <v>2</v>
      </c>
      <c r="E496">
        <v>2</v>
      </c>
    </row>
    <row r="497" spans="1:5" x14ac:dyDescent="0.25">
      <c r="A497" t="s">
        <v>23</v>
      </c>
      <c r="B497" t="s">
        <v>8277</v>
      </c>
      <c r="C497" t="s">
        <v>8278</v>
      </c>
      <c r="D497">
        <v>2</v>
      </c>
      <c r="E497">
        <v>2</v>
      </c>
    </row>
    <row r="498" spans="1:5" x14ac:dyDescent="0.25">
      <c r="A498" t="s">
        <v>23</v>
      </c>
      <c r="B498" t="s">
        <v>8279</v>
      </c>
      <c r="C498" t="s">
        <v>8280</v>
      </c>
      <c r="D498">
        <v>2</v>
      </c>
      <c r="E498">
        <v>2</v>
      </c>
    </row>
    <row r="499" spans="1:5" x14ac:dyDescent="0.25">
      <c r="A499" t="s">
        <v>23</v>
      </c>
      <c r="B499" t="s">
        <v>8281</v>
      </c>
      <c r="C499" t="s">
        <v>8282</v>
      </c>
      <c r="D499">
        <v>2</v>
      </c>
      <c r="E499">
        <v>2</v>
      </c>
    </row>
    <row r="500" spans="1:5" x14ac:dyDescent="0.25">
      <c r="A500" t="s">
        <v>23</v>
      </c>
      <c r="B500" t="s">
        <v>8283</v>
      </c>
      <c r="C500" t="s">
        <v>8284</v>
      </c>
      <c r="D500">
        <v>2</v>
      </c>
      <c r="E500">
        <v>2</v>
      </c>
    </row>
    <row r="501" spans="1:5" x14ac:dyDescent="0.25">
      <c r="A501" t="s">
        <v>23</v>
      </c>
      <c r="B501" t="s">
        <v>8285</v>
      </c>
      <c r="C501" t="s">
        <v>8286</v>
      </c>
      <c r="D501">
        <v>2</v>
      </c>
      <c r="E501">
        <v>2</v>
      </c>
    </row>
    <row r="502" spans="1:5" x14ac:dyDescent="0.25">
      <c r="A502" t="s">
        <v>23</v>
      </c>
      <c r="B502" t="s">
        <v>8287</v>
      </c>
      <c r="C502" t="s">
        <v>8288</v>
      </c>
      <c r="D502">
        <v>2</v>
      </c>
      <c r="E502">
        <v>2</v>
      </c>
    </row>
    <row r="503" spans="1:5" x14ac:dyDescent="0.25">
      <c r="A503" t="s">
        <v>23</v>
      </c>
      <c r="B503" t="s">
        <v>8289</v>
      </c>
      <c r="C503" t="s">
        <v>8290</v>
      </c>
      <c r="D503">
        <v>2</v>
      </c>
      <c r="E503">
        <v>2</v>
      </c>
    </row>
    <row r="504" spans="1:5" x14ac:dyDescent="0.25">
      <c r="A504" t="s">
        <v>23</v>
      </c>
      <c r="B504" t="s">
        <v>8291</v>
      </c>
      <c r="C504" t="s">
        <v>8292</v>
      </c>
      <c r="D504">
        <v>2</v>
      </c>
      <c r="E504">
        <v>2</v>
      </c>
    </row>
    <row r="505" spans="1:5" x14ac:dyDescent="0.25">
      <c r="A505" t="s">
        <v>23</v>
      </c>
      <c r="B505" t="s">
        <v>8293</v>
      </c>
      <c r="C505" t="s">
        <v>8294</v>
      </c>
      <c r="D505">
        <v>2</v>
      </c>
      <c r="E505">
        <v>2</v>
      </c>
    </row>
    <row r="506" spans="1:5" x14ac:dyDescent="0.25">
      <c r="A506" t="s">
        <v>23</v>
      </c>
      <c r="B506" t="s">
        <v>8295</v>
      </c>
      <c r="C506" t="s">
        <v>8296</v>
      </c>
      <c r="D506">
        <v>2</v>
      </c>
      <c r="E506">
        <v>2</v>
      </c>
    </row>
    <row r="507" spans="1:5" x14ac:dyDescent="0.25">
      <c r="A507" t="s">
        <v>23</v>
      </c>
      <c r="B507" t="s">
        <v>8297</v>
      </c>
      <c r="C507" t="s">
        <v>8298</v>
      </c>
      <c r="D507">
        <v>2</v>
      </c>
      <c r="E507">
        <v>2</v>
      </c>
    </row>
    <row r="508" spans="1:5" x14ac:dyDescent="0.25">
      <c r="A508" t="s">
        <v>23</v>
      </c>
      <c r="B508" t="s">
        <v>8299</v>
      </c>
      <c r="C508" t="s">
        <v>8300</v>
      </c>
      <c r="D508">
        <v>2</v>
      </c>
      <c r="E508">
        <v>2</v>
      </c>
    </row>
    <row r="509" spans="1:5" x14ac:dyDescent="0.25">
      <c r="A509" t="s">
        <v>23</v>
      </c>
      <c r="B509" t="s">
        <v>8301</v>
      </c>
      <c r="C509" t="s">
        <v>8302</v>
      </c>
      <c r="D509">
        <v>2</v>
      </c>
      <c r="E509">
        <v>2</v>
      </c>
    </row>
    <row r="510" spans="1:5" x14ac:dyDescent="0.25">
      <c r="A510" t="s">
        <v>23</v>
      </c>
      <c r="B510" t="s">
        <v>8303</v>
      </c>
      <c r="C510" t="s">
        <v>8304</v>
      </c>
      <c r="D510">
        <v>2</v>
      </c>
      <c r="E510">
        <v>2</v>
      </c>
    </row>
    <row r="511" spans="1:5" x14ac:dyDescent="0.25">
      <c r="A511" t="s">
        <v>23</v>
      </c>
      <c r="B511" t="s">
        <v>8305</v>
      </c>
      <c r="C511" t="s">
        <v>8306</v>
      </c>
      <c r="D511">
        <v>2</v>
      </c>
      <c r="E511">
        <v>2</v>
      </c>
    </row>
    <row r="512" spans="1:5" x14ac:dyDescent="0.25">
      <c r="A512" t="s">
        <v>23</v>
      </c>
      <c r="B512" t="s">
        <v>8307</v>
      </c>
      <c r="C512" t="s">
        <v>8308</v>
      </c>
      <c r="D512">
        <v>2</v>
      </c>
      <c r="E512">
        <v>2</v>
      </c>
    </row>
    <row r="513" spans="1:5" x14ac:dyDescent="0.25">
      <c r="A513" t="s">
        <v>23</v>
      </c>
      <c r="B513" t="s">
        <v>8309</v>
      </c>
      <c r="C513" t="s">
        <v>8310</v>
      </c>
      <c r="D513">
        <v>2</v>
      </c>
      <c r="E513">
        <v>2</v>
      </c>
    </row>
    <row r="514" spans="1:5" x14ac:dyDescent="0.25">
      <c r="A514" t="s">
        <v>26</v>
      </c>
      <c r="B514" t="s">
        <v>8311</v>
      </c>
      <c r="C514" t="s">
        <v>8312</v>
      </c>
      <c r="D514">
        <v>0</v>
      </c>
      <c r="E514">
        <v>4</v>
      </c>
    </row>
    <row r="515" spans="1:5" x14ac:dyDescent="0.25">
      <c r="A515" t="s">
        <v>26</v>
      </c>
      <c r="B515" t="s">
        <v>8313</v>
      </c>
      <c r="C515" t="s">
        <v>8314</v>
      </c>
      <c r="D515">
        <v>0</v>
      </c>
      <c r="E515">
        <v>4</v>
      </c>
    </row>
    <row r="516" spans="1:5" x14ac:dyDescent="0.25">
      <c r="A516" t="s">
        <v>26</v>
      </c>
      <c r="B516" t="s">
        <v>8315</v>
      </c>
      <c r="C516" t="s">
        <v>8316</v>
      </c>
      <c r="D516">
        <v>0</v>
      </c>
      <c r="E516">
        <v>4</v>
      </c>
    </row>
    <row r="517" spans="1:5" x14ac:dyDescent="0.25">
      <c r="A517" t="s">
        <v>26</v>
      </c>
      <c r="B517" t="s">
        <v>8317</v>
      </c>
      <c r="C517" t="s">
        <v>8318</v>
      </c>
      <c r="D517">
        <v>0</v>
      </c>
      <c r="E517">
        <v>4</v>
      </c>
    </row>
    <row r="518" spans="1:5" x14ac:dyDescent="0.25">
      <c r="A518" t="s">
        <v>26</v>
      </c>
      <c r="B518" t="s">
        <v>8319</v>
      </c>
      <c r="C518" t="s">
        <v>8320</v>
      </c>
      <c r="D518">
        <v>0</v>
      </c>
      <c r="E518">
        <v>1</v>
      </c>
    </row>
    <row r="519" spans="1:5" x14ac:dyDescent="0.25">
      <c r="A519" t="s">
        <v>26</v>
      </c>
      <c r="B519" t="s">
        <v>8321</v>
      </c>
      <c r="C519" t="s">
        <v>8322</v>
      </c>
      <c r="D519">
        <v>0</v>
      </c>
      <c r="E519">
        <v>1</v>
      </c>
    </row>
    <row r="520" spans="1:5" x14ac:dyDescent="0.25">
      <c r="A520" t="s">
        <v>26</v>
      </c>
      <c r="B520" t="s">
        <v>8323</v>
      </c>
      <c r="C520" t="s">
        <v>8324</v>
      </c>
      <c r="D520">
        <v>0</v>
      </c>
      <c r="E520">
        <v>1</v>
      </c>
    </row>
    <row r="521" spans="1:5" x14ac:dyDescent="0.25">
      <c r="A521" t="s">
        <v>26</v>
      </c>
      <c r="B521" t="s">
        <v>8325</v>
      </c>
      <c r="C521" t="s">
        <v>8326</v>
      </c>
      <c r="D521">
        <v>0</v>
      </c>
      <c r="E521">
        <v>1</v>
      </c>
    </row>
    <row r="522" spans="1:5" x14ac:dyDescent="0.25">
      <c r="A522" t="s">
        <v>26</v>
      </c>
      <c r="B522" t="s">
        <v>8327</v>
      </c>
      <c r="C522" t="s">
        <v>8328</v>
      </c>
      <c r="D522">
        <v>0</v>
      </c>
      <c r="E522">
        <v>1</v>
      </c>
    </row>
    <row r="523" spans="1:5" x14ac:dyDescent="0.25">
      <c r="A523" t="s">
        <v>26</v>
      </c>
      <c r="B523" t="s">
        <v>8329</v>
      </c>
      <c r="C523" t="s">
        <v>8330</v>
      </c>
      <c r="D523">
        <v>0</v>
      </c>
      <c r="E523">
        <v>1</v>
      </c>
    </row>
    <row r="524" spans="1:5" x14ac:dyDescent="0.25">
      <c r="A524" t="s">
        <v>26</v>
      </c>
      <c r="B524" t="s">
        <v>8331</v>
      </c>
      <c r="C524" t="s">
        <v>8332</v>
      </c>
      <c r="D524">
        <v>0</v>
      </c>
      <c r="E524">
        <v>1</v>
      </c>
    </row>
    <row r="525" spans="1:5" x14ac:dyDescent="0.25">
      <c r="A525" t="s">
        <v>26</v>
      </c>
      <c r="B525" t="s">
        <v>8333</v>
      </c>
      <c r="C525" t="s">
        <v>8334</v>
      </c>
      <c r="D525">
        <v>0</v>
      </c>
      <c r="E525">
        <v>1</v>
      </c>
    </row>
    <row r="526" spans="1:5" x14ac:dyDescent="0.25">
      <c r="A526" t="s">
        <v>26</v>
      </c>
      <c r="B526" t="s">
        <v>8335</v>
      </c>
      <c r="C526" t="s">
        <v>8336</v>
      </c>
      <c r="D526">
        <v>0</v>
      </c>
      <c r="E526">
        <v>1</v>
      </c>
    </row>
    <row r="527" spans="1:5" x14ac:dyDescent="0.25">
      <c r="A527" t="s">
        <v>26</v>
      </c>
      <c r="B527" t="s">
        <v>8337</v>
      </c>
      <c r="C527" t="s">
        <v>8338</v>
      </c>
      <c r="D527">
        <v>0</v>
      </c>
      <c r="E527">
        <v>1</v>
      </c>
    </row>
    <row r="528" spans="1:5" x14ac:dyDescent="0.25">
      <c r="A528" t="s">
        <v>26</v>
      </c>
      <c r="B528" t="s">
        <v>8339</v>
      </c>
      <c r="C528" t="s">
        <v>8340</v>
      </c>
      <c r="D528">
        <v>0</v>
      </c>
      <c r="E528">
        <v>1</v>
      </c>
    </row>
    <row r="529" spans="1:5" x14ac:dyDescent="0.25">
      <c r="A529" t="s">
        <v>26</v>
      </c>
      <c r="B529" t="s">
        <v>8341</v>
      </c>
      <c r="C529" t="s">
        <v>8342</v>
      </c>
      <c r="D529">
        <v>0</v>
      </c>
      <c r="E529">
        <v>1</v>
      </c>
    </row>
    <row r="530" spans="1:5" x14ac:dyDescent="0.25">
      <c r="A530" t="s">
        <v>26</v>
      </c>
      <c r="B530" t="s">
        <v>8343</v>
      </c>
      <c r="C530" t="s">
        <v>8344</v>
      </c>
      <c r="D530">
        <v>0</v>
      </c>
      <c r="E530">
        <v>1</v>
      </c>
    </row>
    <row r="531" spans="1:5" x14ac:dyDescent="0.25">
      <c r="A531" t="s">
        <v>26</v>
      </c>
      <c r="B531" t="s">
        <v>8345</v>
      </c>
      <c r="C531" t="s">
        <v>8346</v>
      </c>
      <c r="D531">
        <v>0</v>
      </c>
      <c r="E531">
        <v>1</v>
      </c>
    </row>
    <row r="532" spans="1:5" x14ac:dyDescent="0.25">
      <c r="A532" t="s">
        <v>26</v>
      </c>
      <c r="B532" t="s">
        <v>8347</v>
      </c>
      <c r="C532" t="s">
        <v>8348</v>
      </c>
      <c r="D532">
        <v>0</v>
      </c>
      <c r="E532">
        <v>1</v>
      </c>
    </row>
    <row r="533" spans="1:5" x14ac:dyDescent="0.25">
      <c r="A533" t="s">
        <v>26</v>
      </c>
      <c r="B533" t="s">
        <v>8349</v>
      </c>
      <c r="C533" t="s">
        <v>8350</v>
      </c>
      <c r="D533">
        <v>0</v>
      </c>
      <c r="E533">
        <v>1</v>
      </c>
    </row>
    <row r="534" spans="1:5" x14ac:dyDescent="0.25">
      <c r="A534" t="s">
        <v>26</v>
      </c>
      <c r="B534" t="s">
        <v>8351</v>
      </c>
      <c r="C534" t="s">
        <v>8352</v>
      </c>
      <c r="D534">
        <v>0</v>
      </c>
      <c r="E534">
        <v>1</v>
      </c>
    </row>
    <row r="535" spans="1:5" x14ac:dyDescent="0.25">
      <c r="A535" t="s">
        <v>26</v>
      </c>
      <c r="B535" t="s">
        <v>8353</v>
      </c>
      <c r="C535" t="s">
        <v>8354</v>
      </c>
      <c r="D535">
        <v>0</v>
      </c>
      <c r="E535">
        <v>1</v>
      </c>
    </row>
    <row r="536" spans="1:5" x14ac:dyDescent="0.25">
      <c r="A536" t="s">
        <v>26</v>
      </c>
      <c r="B536" t="s">
        <v>8355</v>
      </c>
      <c r="C536" t="s">
        <v>8356</v>
      </c>
      <c r="D536">
        <v>0</v>
      </c>
      <c r="E536">
        <v>1</v>
      </c>
    </row>
    <row r="537" spans="1:5" x14ac:dyDescent="0.25">
      <c r="A537" t="s">
        <v>26</v>
      </c>
      <c r="B537" t="s">
        <v>8357</v>
      </c>
      <c r="C537" t="s">
        <v>8358</v>
      </c>
      <c r="D537">
        <v>0</v>
      </c>
      <c r="E537">
        <v>1</v>
      </c>
    </row>
    <row r="538" spans="1:5" x14ac:dyDescent="0.25">
      <c r="A538" t="s">
        <v>26</v>
      </c>
      <c r="B538" t="s">
        <v>8359</v>
      </c>
      <c r="C538" t="s">
        <v>8360</v>
      </c>
      <c r="D538">
        <v>0</v>
      </c>
      <c r="E538">
        <v>1</v>
      </c>
    </row>
    <row r="539" spans="1:5" x14ac:dyDescent="0.25">
      <c r="A539" t="s">
        <v>26</v>
      </c>
      <c r="B539" t="s">
        <v>8361</v>
      </c>
      <c r="C539" t="s">
        <v>8362</v>
      </c>
      <c r="D539">
        <v>0</v>
      </c>
      <c r="E539">
        <v>1</v>
      </c>
    </row>
    <row r="540" spans="1:5" x14ac:dyDescent="0.25">
      <c r="A540" t="s">
        <v>26</v>
      </c>
      <c r="B540" t="s">
        <v>8363</v>
      </c>
      <c r="C540" t="s">
        <v>8364</v>
      </c>
      <c r="D540">
        <v>0</v>
      </c>
      <c r="E540">
        <v>1</v>
      </c>
    </row>
    <row r="541" spans="1:5" x14ac:dyDescent="0.25">
      <c r="A541" t="s">
        <v>26</v>
      </c>
      <c r="B541" t="s">
        <v>8365</v>
      </c>
      <c r="C541" t="s">
        <v>8366</v>
      </c>
      <c r="D541">
        <v>0</v>
      </c>
      <c r="E541">
        <v>1</v>
      </c>
    </row>
    <row r="542" spans="1:5" x14ac:dyDescent="0.25">
      <c r="A542" t="s">
        <v>26</v>
      </c>
      <c r="B542" t="s">
        <v>8367</v>
      </c>
      <c r="C542" t="s">
        <v>8368</v>
      </c>
      <c r="D542">
        <v>0</v>
      </c>
      <c r="E542">
        <v>1</v>
      </c>
    </row>
    <row r="543" spans="1:5" x14ac:dyDescent="0.25">
      <c r="A543" t="s">
        <v>26</v>
      </c>
      <c r="B543" t="s">
        <v>8369</v>
      </c>
      <c r="C543" t="s">
        <v>8370</v>
      </c>
      <c r="D543">
        <v>0</v>
      </c>
      <c r="E543">
        <v>1</v>
      </c>
    </row>
    <row r="544" spans="1:5" x14ac:dyDescent="0.25">
      <c r="A544" t="s">
        <v>26</v>
      </c>
      <c r="B544" t="s">
        <v>8371</v>
      </c>
      <c r="C544" t="s">
        <v>8372</v>
      </c>
      <c r="D544">
        <v>0</v>
      </c>
      <c r="E544">
        <v>1</v>
      </c>
    </row>
    <row r="545" spans="1:5" x14ac:dyDescent="0.25">
      <c r="A545" t="s">
        <v>26</v>
      </c>
      <c r="B545" t="s">
        <v>8373</v>
      </c>
      <c r="C545" t="s">
        <v>8374</v>
      </c>
      <c r="D545">
        <v>0</v>
      </c>
      <c r="E545">
        <v>1</v>
      </c>
    </row>
    <row r="546" spans="1:5" x14ac:dyDescent="0.25">
      <c r="A546" t="s">
        <v>26</v>
      </c>
      <c r="B546" t="s">
        <v>8375</v>
      </c>
      <c r="C546" t="s">
        <v>8376</v>
      </c>
      <c r="D546">
        <v>0</v>
      </c>
      <c r="E546">
        <v>4</v>
      </c>
    </row>
    <row r="547" spans="1:5" x14ac:dyDescent="0.25">
      <c r="A547" t="s">
        <v>26</v>
      </c>
      <c r="B547" t="s">
        <v>8377</v>
      </c>
      <c r="C547" t="s">
        <v>8378</v>
      </c>
      <c r="D547">
        <v>0</v>
      </c>
      <c r="E547">
        <v>4</v>
      </c>
    </row>
    <row r="548" spans="1:5" x14ac:dyDescent="0.25">
      <c r="A548" t="s">
        <v>26</v>
      </c>
      <c r="B548" t="s">
        <v>8379</v>
      </c>
      <c r="C548" t="s">
        <v>8380</v>
      </c>
      <c r="D548">
        <v>0</v>
      </c>
      <c r="E548">
        <v>4</v>
      </c>
    </row>
    <row r="549" spans="1:5" x14ac:dyDescent="0.25">
      <c r="A549" t="s">
        <v>26</v>
      </c>
      <c r="B549" t="s">
        <v>8381</v>
      </c>
      <c r="C549" t="s">
        <v>8382</v>
      </c>
      <c r="D549">
        <v>0</v>
      </c>
      <c r="E549">
        <v>4</v>
      </c>
    </row>
    <row r="550" spans="1:5" x14ac:dyDescent="0.25">
      <c r="A550" t="s">
        <v>26</v>
      </c>
      <c r="B550" t="s">
        <v>8383</v>
      </c>
      <c r="C550" t="s">
        <v>8384</v>
      </c>
      <c r="D550">
        <v>0</v>
      </c>
      <c r="E550">
        <v>1</v>
      </c>
    </row>
    <row r="551" spans="1:5" x14ac:dyDescent="0.25">
      <c r="A551" t="s">
        <v>26</v>
      </c>
      <c r="B551" t="s">
        <v>8385</v>
      </c>
      <c r="C551" t="s">
        <v>8386</v>
      </c>
      <c r="D551">
        <v>0</v>
      </c>
      <c r="E551">
        <v>1</v>
      </c>
    </row>
    <row r="552" spans="1:5" x14ac:dyDescent="0.25">
      <c r="A552" t="s">
        <v>26</v>
      </c>
      <c r="B552" t="s">
        <v>8387</v>
      </c>
      <c r="C552" t="s">
        <v>8388</v>
      </c>
      <c r="D552">
        <v>0</v>
      </c>
      <c r="E552">
        <v>1</v>
      </c>
    </row>
    <row r="553" spans="1:5" x14ac:dyDescent="0.25">
      <c r="A553" t="s">
        <v>26</v>
      </c>
      <c r="B553" t="s">
        <v>8389</v>
      </c>
      <c r="C553" t="s">
        <v>8390</v>
      </c>
      <c r="D553">
        <v>0</v>
      </c>
      <c r="E553">
        <v>1</v>
      </c>
    </row>
    <row r="554" spans="1:5" x14ac:dyDescent="0.25">
      <c r="A554" t="s">
        <v>26</v>
      </c>
      <c r="B554" t="s">
        <v>8391</v>
      </c>
      <c r="C554" t="s">
        <v>8392</v>
      </c>
      <c r="D554">
        <v>0</v>
      </c>
      <c r="E554">
        <v>1</v>
      </c>
    </row>
    <row r="555" spans="1:5" x14ac:dyDescent="0.25">
      <c r="A555" t="s">
        <v>26</v>
      </c>
      <c r="B555" t="s">
        <v>8393</v>
      </c>
      <c r="C555" t="s">
        <v>8394</v>
      </c>
      <c r="D555">
        <v>0</v>
      </c>
      <c r="E555">
        <v>1</v>
      </c>
    </row>
    <row r="556" spans="1:5" x14ac:dyDescent="0.25">
      <c r="A556" t="s">
        <v>26</v>
      </c>
      <c r="B556" t="s">
        <v>8395</v>
      </c>
      <c r="C556" t="s">
        <v>8396</v>
      </c>
      <c r="D556">
        <v>0</v>
      </c>
      <c r="E556">
        <v>1</v>
      </c>
    </row>
    <row r="557" spans="1:5" x14ac:dyDescent="0.25">
      <c r="A557" t="s">
        <v>26</v>
      </c>
      <c r="B557" t="s">
        <v>8397</v>
      </c>
      <c r="C557" t="s">
        <v>8398</v>
      </c>
      <c r="D557">
        <v>0</v>
      </c>
      <c r="E557">
        <v>1</v>
      </c>
    </row>
    <row r="558" spans="1:5" x14ac:dyDescent="0.25">
      <c r="A558" t="s">
        <v>46</v>
      </c>
      <c r="B558" t="s">
        <v>8399</v>
      </c>
      <c r="C558" t="s">
        <v>8400</v>
      </c>
      <c r="D558">
        <v>3</v>
      </c>
      <c r="E558">
        <v>1</v>
      </c>
    </row>
    <row r="559" spans="1:5" x14ac:dyDescent="0.25">
      <c r="A559" t="s">
        <v>46</v>
      </c>
      <c r="B559" t="s">
        <v>8401</v>
      </c>
      <c r="C559" t="s">
        <v>8402</v>
      </c>
      <c r="D559">
        <v>3</v>
      </c>
      <c r="E559">
        <v>1</v>
      </c>
    </row>
    <row r="560" spans="1:5" x14ac:dyDescent="0.25">
      <c r="A560" t="s">
        <v>46</v>
      </c>
      <c r="B560" t="s">
        <v>8403</v>
      </c>
      <c r="C560" t="s">
        <v>8404</v>
      </c>
      <c r="D560">
        <v>3</v>
      </c>
      <c r="E560">
        <v>1</v>
      </c>
    </row>
    <row r="561" spans="1:5" x14ac:dyDescent="0.25">
      <c r="A561" t="s">
        <v>46</v>
      </c>
      <c r="B561" t="s">
        <v>8405</v>
      </c>
      <c r="C561" t="s">
        <v>8406</v>
      </c>
      <c r="D561">
        <v>3</v>
      </c>
      <c r="E561">
        <v>1</v>
      </c>
    </row>
    <row r="562" spans="1:5" x14ac:dyDescent="0.25">
      <c r="A562" t="s">
        <v>46</v>
      </c>
      <c r="B562" t="s">
        <v>8407</v>
      </c>
      <c r="C562" t="s">
        <v>8408</v>
      </c>
      <c r="D562">
        <v>1</v>
      </c>
      <c r="E562">
        <v>1</v>
      </c>
    </row>
    <row r="563" spans="1:5" x14ac:dyDescent="0.25">
      <c r="A563" t="s">
        <v>46</v>
      </c>
      <c r="B563" t="s">
        <v>8409</v>
      </c>
      <c r="C563" t="s">
        <v>8410</v>
      </c>
      <c r="D563">
        <v>1</v>
      </c>
      <c r="E563">
        <v>1</v>
      </c>
    </row>
    <row r="564" spans="1:5" x14ac:dyDescent="0.25">
      <c r="A564" t="s">
        <v>46</v>
      </c>
      <c r="B564" t="s">
        <v>8411</v>
      </c>
      <c r="C564" t="s">
        <v>8412</v>
      </c>
      <c r="D564">
        <v>1</v>
      </c>
      <c r="E564">
        <v>1</v>
      </c>
    </row>
    <row r="565" spans="1:5" x14ac:dyDescent="0.25">
      <c r="A565" t="s">
        <v>46</v>
      </c>
      <c r="B565" t="s">
        <v>8413</v>
      </c>
      <c r="C565" t="s">
        <v>8414</v>
      </c>
      <c r="D565">
        <v>1</v>
      </c>
      <c r="E565">
        <v>1</v>
      </c>
    </row>
    <row r="566" spans="1:5" x14ac:dyDescent="0.25">
      <c r="A566" t="s">
        <v>46</v>
      </c>
      <c r="B566" t="s">
        <v>8415</v>
      </c>
      <c r="C566" t="s">
        <v>8416</v>
      </c>
      <c r="D566">
        <v>1</v>
      </c>
      <c r="E566">
        <v>1</v>
      </c>
    </row>
    <row r="567" spans="1:5" x14ac:dyDescent="0.25">
      <c r="A567" t="s">
        <v>46</v>
      </c>
      <c r="B567" t="s">
        <v>8417</v>
      </c>
      <c r="C567" t="s">
        <v>8418</v>
      </c>
      <c r="D567">
        <v>1</v>
      </c>
      <c r="E567">
        <v>1</v>
      </c>
    </row>
    <row r="568" spans="1:5" x14ac:dyDescent="0.25">
      <c r="A568" t="s">
        <v>46</v>
      </c>
      <c r="B568" t="s">
        <v>8419</v>
      </c>
      <c r="C568" t="s">
        <v>8420</v>
      </c>
      <c r="D568">
        <v>1</v>
      </c>
      <c r="E568">
        <v>1</v>
      </c>
    </row>
    <row r="569" spans="1:5" x14ac:dyDescent="0.25">
      <c r="A569" t="s">
        <v>46</v>
      </c>
      <c r="B569" t="s">
        <v>8421</v>
      </c>
      <c r="C569" t="s">
        <v>8422</v>
      </c>
      <c r="D569">
        <v>1</v>
      </c>
      <c r="E569">
        <v>1</v>
      </c>
    </row>
    <row r="570" spans="1:5" x14ac:dyDescent="0.25">
      <c r="A570" t="s">
        <v>46</v>
      </c>
      <c r="B570" t="s">
        <v>8423</v>
      </c>
      <c r="C570" t="s">
        <v>8424</v>
      </c>
      <c r="D570">
        <v>3</v>
      </c>
      <c r="E570">
        <v>1</v>
      </c>
    </row>
    <row r="571" spans="1:5" x14ac:dyDescent="0.25">
      <c r="A571" t="s">
        <v>46</v>
      </c>
      <c r="B571" t="s">
        <v>8425</v>
      </c>
      <c r="C571" t="s">
        <v>8426</v>
      </c>
      <c r="D571">
        <v>3</v>
      </c>
      <c r="E571">
        <v>1</v>
      </c>
    </row>
    <row r="572" spans="1:5" x14ac:dyDescent="0.25">
      <c r="A572" t="s">
        <v>46</v>
      </c>
      <c r="B572" t="s">
        <v>8427</v>
      </c>
      <c r="C572" t="s">
        <v>8428</v>
      </c>
      <c r="D572">
        <v>3</v>
      </c>
      <c r="E572">
        <v>1</v>
      </c>
    </row>
    <row r="573" spans="1:5" x14ac:dyDescent="0.25">
      <c r="A573" t="s">
        <v>46</v>
      </c>
      <c r="B573" t="s">
        <v>8429</v>
      </c>
      <c r="C573" t="s">
        <v>8430</v>
      </c>
      <c r="D573">
        <v>3</v>
      </c>
      <c r="E573">
        <v>1</v>
      </c>
    </row>
    <row r="574" spans="1:5" x14ac:dyDescent="0.25">
      <c r="A574" t="s">
        <v>46</v>
      </c>
      <c r="B574" t="s">
        <v>8431</v>
      </c>
      <c r="C574" t="s">
        <v>8432</v>
      </c>
      <c r="D574">
        <v>1</v>
      </c>
      <c r="E574">
        <v>1</v>
      </c>
    </row>
    <row r="575" spans="1:5" x14ac:dyDescent="0.25">
      <c r="A575" t="s">
        <v>46</v>
      </c>
      <c r="B575" t="s">
        <v>8433</v>
      </c>
      <c r="C575" t="s">
        <v>8434</v>
      </c>
      <c r="D575">
        <v>1</v>
      </c>
      <c r="E575">
        <v>1</v>
      </c>
    </row>
    <row r="576" spans="1:5" x14ac:dyDescent="0.25">
      <c r="A576" t="s">
        <v>46</v>
      </c>
      <c r="B576" t="s">
        <v>8435</v>
      </c>
      <c r="C576" t="s">
        <v>8436</v>
      </c>
      <c r="D576">
        <v>1</v>
      </c>
      <c r="E576">
        <v>1</v>
      </c>
    </row>
    <row r="577" spans="1:5" x14ac:dyDescent="0.25">
      <c r="A577" t="s">
        <v>46</v>
      </c>
      <c r="B577" t="s">
        <v>8437</v>
      </c>
      <c r="C577" t="s">
        <v>8438</v>
      </c>
      <c r="D577">
        <v>1</v>
      </c>
      <c r="E577">
        <v>1</v>
      </c>
    </row>
    <row r="578" spans="1:5" x14ac:dyDescent="0.25">
      <c r="A578" t="s">
        <v>45</v>
      </c>
      <c r="B578" t="s">
        <v>8439</v>
      </c>
      <c r="C578" t="s">
        <v>8440</v>
      </c>
      <c r="D578">
        <v>3</v>
      </c>
      <c r="E578">
        <v>3</v>
      </c>
    </row>
    <row r="579" spans="1:5" x14ac:dyDescent="0.25">
      <c r="A579" t="s">
        <v>45</v>
      </c>
      <c r="B579" t="s">
        <v>8441</v>
      </c>
      <c r="C579" t="s">
        <v>8442</v>
      </c>
      <c r="D579">
        <v>3</v>
      </c>
      <c r="E579">
        <v>3</v>
      </c>
    </row>
    <row r="580" spans="1:5" x14ac:dyDescent="0.25">
      <c r="A580" t="s">
        <v>45</v>
      </c>
      <c r="B580" t="s">
        <v>8443</v>
      </c>
      <c r="C580" t="s">
        <v>8444</v>
      </c>
      <c r="D580">
        <v>3</v>
      </c>
      <c r="E580">
        <v>3</v>
      </c>
    </row>
    <row r="581" spans="1:5" x14ac:dyDescent="0.25">
      <c r="A581" t="s">
        <v>45</v>
      </c>
      <c r="B581" t="s">
        <v>8445</v>
      </c>
      <c r="C581" t="s">
        <v>8446</v>
      </c>
      <c r="D581">
        <v>3</v>
      </c>
      <c r="E581">
        <v>3</v>
      </c>
    </row>
    <row r="582" spans="1:5" x14ac:dyDescent="0.25">
      <c r="A582" t="s">
        <v>45</v>
      </c>
      <c r="B582" t="s">
        <v>8447</v>
      </c>
      <c r="C582" t="s">
        <v>8448</v>
      </c>
      <c r="D582">
        <v>3</v>
      </c>
      <c r="E582">
        <v>3</v>
      </c>
    </row>
    <row r="583" spans="1:5" x14ac:dyDescent="0.25">
      <c r="A583" t="s">
        <v>45</v>
      </c>
      <c r="B583" t="s">
        <v>8449</v>
      </c>
      <c r="C583" t="s">
        <v>8450</v>
      </c>
      <c r="D583">
        <v>3</v>
      </c>
      <c r="E583">
        <v>3</v>
      </c>
    </row>
    <row r="584" spans="1:5" x14ac:dyDescent="0.25">
      <c r="A584" t="s">
        <v>45</v>
      </c>
      <c r="B584" t="s">
        <v>8451</v>
      </c>
      <c r="C584" t="s">
        <v>8452</v>
      </c>
      <c r="D584">
        <v>3</v>
      </c>
      <c r="E584">
        <v>3</v>
      </c>
    </row>
    <row r="585" spans="1:5" x14ac:dyDescent="0.25">
      <c r="A585" t="s">
        <v>45</v>
      </c>
      <c r="B585" t="s">
        <v>8453</v>
      </c>
      <c r="C585" t="s">
        <v>8454</v>
      </c>
      <c r="D585">
        <v>3</v>
      </c>
      <c r="E585">
        <v>3</v>
      </c>
    </row>
    <row r="586" spans="1:5" x14ac:dyDescent="0.25">
      <c r="A586" t="s">
        <v>45</v>
      </c>
      <c r="B586" t="s">
        <v>8455</v>
      </c>
      <c r="C586" t="s">
        <v>8456</v>
      </c>
      <c r="D586">
        <v>3</v>
      </c>
      <c r="E586">
        <v>3</v>
      </c>
    </row>
    <row r="587" spans="1:5" x14ac:dyDescent="0.25">
      <c r="A587" t="s">
        <v>45</v>
      </c>
      <c r="B587" t="s">
        <v>8457</v>
      </c>
      <c r="C587" t="s">
        <v>8458</v>
      </c>
      <c r="D587">
        <v>3</v>
      </c>
      <c r="E587">
        <v>3</v>
      </c>
    </row>
    <row r="588" spans="1:5" x14ac:dyDescent="0.25">
      <c r="A588" t="s">
        <v>45</v>
      </c>
      <c r="B588" t="s">
        <v>8459</v>
      </c>
      <c r="C588" t="s">
        <v>8460</v>
      </c>
      <c r="D588">
        <v>3</v>
      </c>
      <c r="E588">
        <v>3</v>
      </c>
    </row>
    <row r="589" spans="1:5" x14ac:dyDescent="0.25">
      <c r="A589" t="s">
        <v>45</v>
      </c>
      <c r="B589" t="s">
        <v>8461</v>
      </c>
      <c r="C589" t="s">
        <v>8462</v>
      </c>
      <c r="D589">
        <v>3</v>
      </c>
      <c r="E589">
        <v>3</v>
      </c>
    </row>
    <row r="590" spans="1:5" x14ac:dyDescent="0.25">
      <c r="A590" t="s">
        <v>45</v>
      </c>
      <c r="B590" t="s">
        <v>8463</v>
      </c>
      <c r="C590" t="s">
        <v>8464</v>
      </c>
      <c r="D590">
        <v>3</v>
      </c>
      <c r="E590">
        <v>3</v>
      </c>
    </row>
    <row r="591" spans="1:5" x14ac:dyDescent="0.25">
      <c r="A591" t="s">
        <v>45</v>
      </c>
      <c r="B591" t="s">
        <v>8465</v>
      </c>
      <c r="C591" t="s">
        <v>8466</v>
      </c>
      <c r="D591">
        <v>3</v>
      </c>
      <c r="E591">
        <v>3</v>
      </c>
    </row>
    <row r="592" spans="1:5" x14ac:dyDescent="0.25">
      <c r="A592" t="s">
        <v>45</v>
      </c>
      <c r="B592" t="s">
        <v>8467</v>
      </c>
      <c r="C592" t="s">
        <v>8468</v>
      </c>
      <c r="D592">
        <v>3</v>
      </c>
      <c r="E592">
        <v>3</v>
      </c>
    </row>
    <row r="593" spans="1:5" x14ac:dyDescent="0.25">
      <c r="A593" t="s">
        <v>45</v>
      </c>
      <c r="B593" t="s">
        <v>8469</v>
      </c>
      <c r="C593" t="s">
        <v>8470</v>
      </c>
      <c r="D593">
        <v>3</v>
      </c>
      <c r="E593">
        <v>3</v>
      </c>
    </row>
    <row r="594" spans="1:5" x14ac:dyDescent="0.25">
      <c r="A594" t="s">
        <v>44</v>
      </c>
      <c r="B594" t="s">
        <v>8471</v>
      </c>
      <c r="C594" t="s">
        <v>8472</v>
      </c>
      <c r="D594">
        <v>3</v>
      </c>
      <c r="E594">
        <v>3</v>
      </c>
    </row>
    <row r="595" spans="1:5" x14ac:dyDescent="0.25">
      <c r="A595" t="s">
        <v>44</v>
      </c>
      <c r="B595" t="s">
        <v>8473</v>
      </c>
      <c r="C595" t="s">
        <v>8474</v>
      </c>
      <c r="D595">
        <v>3</v>
      </c>
      <c r="E595">
        <v>3</v>
      </c>
    </row>
    <row r="596" spans="1:5" x14ac:dyDescent="0.25">
      <c r="A596" t="s">
        <v>44</v>
      </c>
      <c r="B596" t="s">
        <v>8475</v>
      </c>
      <c r="C596" t="s">
        <v>8476</v>
      </c>
      <c r="D596">
        <v>3</v>
      </c>
      <c r="E596">
        <v>3</v>
      </c>
    </row>
    <row r="597" spans="1:5" x14ac:dyDescent="0.25">
      <c r="A597" t="s">
        <v>44</v>
      </c>
      <c r="B597" t="s">
        <v>8477</v>
      </c>
      <c r="C597" t="s">
        <v>8478</v>
      </c>
      <c r="D597">
        <v>3</v>
      </c>
      <c r="E597">
        <v>3</v>
      </c>
    </row>
    <row r="598" spans="1:5" x14ac:dyDescent="0.25">
      <c r="A598" t="s">
        <v>44</v>
      </c>
      <c r="B598" t="s">
        <v>8479</v>
      </c>
      <c r="C598" t="s">
        <v>8480</v>
      </c>
      <c r="D598">
        <v>3</v>
      </c>
      <c r="E598">
        <v>3</v>
      </c>
    </row>
    <row r="599" spans="1:5" x14ac:dyDescent="0.25">
      <c r="A599" t="s">
        <v>44</v>
      </c>
      <c r="B599" t="s">
        <v>8481</v>
      </c>
      <c r="C599" t="s">
        <v>8482</v>
      </c>
      <c r="D599">
        <v>3</v>
      </c>
      <c r="E599">
        <v>3</v>
      </c>
    </row>
    <row r="600" spans="1:5" x14ac:dyDescent="0.25">
      <c r="A600" t="s">
        <v>44</v>
      </c>
      <c r="B600" t="s">
        <v>8483</v>
      </c>
      <c r="C600" t="s">
        <v>8484</v>
      </c>
      <c r="D600">
        <v>3</v>
      </c>
      <c r="E600">
        <v>3</v>
      </c>
    </row>
    <row r="601" spans="1:5" x14ac:dyDescent="0.25">
      <c r="A601" t="s">
        <v>44</v>
      </c>
      <c r="B601" t="s">
        <v>8485</v>
      </c>
      <c r="C601" t="s">
        <v>8486</v>
      </c>
      <c r="D601">
        <v>3</v>
      </c>
      <c r="E601">
        <v>3</v>
      </c>
    </row>
    <row r="602" spans="1:5" x14ac:dyDescent="0.25">
      <c r="A602" t="s">
        <v>44</v>
      </c>
      <c r="B602" t="s">
        <v>8487</v>
      </c>
      <c r="C602" t="s">
        <v>8488</v>
      </c>
      <c r="D602">
        <v>3</v>
      </c>
      <c r="E602">
        <v>3</v>
      </c>
    </row>
    <row r="603" spans="1:5" x14ac:dyDescent="0.25">
      <c r="A603" t="s">
        <v>44</v>
      </c>
      <c r="B603" t="s">
        <v>8489</v>
      </c>
      <c r="C603" t="s">
        <v>8490</v>
      </c>
      <c r="D603">
        <v>3</v>
      </c>
      <c r="E603">
        <v>3</v>
      </c>
    </row>
    <row r="604" spans="1:5" x14ac:dyDescent="0.25">
      <c r="A604" t="s">
        <v>44</v>
      </c>
      <c r="B604" t="s">
        <v>8491</v>
      </c>
      <c r="C604" t="s">
        <v>8492</v>
      </c>
      <c r="D604">
        <v>3</v>
      </c>
      <c r="E604">
        <v>3</v>
      </c>
    </row>
    <row r="605" spans="1:5" x14ac:dyDescent="0.25">
      <c r="A605" t="s">
        <v>44</v>
      </c>
      <c r="B605" t="s">
        <v>8493</v>
      </c>
      <c r="C605" t="s">
        <v>8494</v>
      </c>
      <c r="D605">
        <v>3</v>
      </c>
      <c r="E605">
        <v>3</v>
      </c>
    </row>
    <row r="606" spans="1:5" x14ac:dyDescent="0.25">
      <c r="A606" t="s">
        <v>44</v>
      </c>
      <c r="B606" t="s">
        <v>8495</v>
      </c>
      <c r="C606" t="s">
        <v>8496</v>
      </c>
      <c r="D606">
        <v>3</v>
      </c>
      <c r="E606">
        <v>3</v>
      </c>
    </row>
    <row r="607" spans="1:5" x14ac:dyDescent="0.25">
      <c r="A607" t="s">
        <v>44</v>
      </c>
      <c r="B607" t="s">
        <v>8497</v>
      </c>
      <c r="C607" t="s">
        <v>8498</v>
      </c>
      <c r="D607">
        <v>3</v>
      </c>
      <c r="E607">
        <v>3</v>
      </c>
    </row>
    <row r="608" spans="1:5" x14ac:dyDescent="0.25">
      <c r="A608" t="s">
        <v>44</v>
      </c>
      <c r="B608" t="s">
        <v>8499</v>
      </c>
      <c r="C608" t="s">
        <v>8500</v>
      </c>
      <c r="D608">
        <v>3</v>
      </c>
      <c r="E608">
        <v>3</v>
      </c>
    </row>
    <row r="609" spans="1:5" x14ac:dyDescent="0.25">
      <c r="A609" t="s">
        <v>44</v>
      </c>
      <c r="B609" t="s">
        <v>8501</v>
      </c>
      <c r="C609" t="s">
        <v>8502</v>
      </c>
      <c r="D609">
        <v>3</v>
      </c>
      <c r="E609">
        <v>3</v>
      </c>
    </row>
    <row r="610" spans="1:5" x14ac:dyDescent="0.25">
      <c r="A610" t="s">
        <v>44</v>
      </c>
      <c r="B610" t="s">
        <v>8503</v>
      </c>
      <c r="C610" t="s">
        <v>8504</v>
      </c>
      <c r="D610">
        <v>3</v>
      </c>
      <c r="E610">
        <v>3</v>
      </c>
    </row>
    <row r="611" spans="1:5" x14ac:dyDescent="0.25">
      <c r="A611" t="s">
        <v>44</v>
      </c>
      <c r="B611" t="s">
        <v>8505</v>
      </c>
      <c r="C611" t="s">
        <v>8506</v>
      </c>
      <c r="D611">
        <v>3</v>
      </c>
      <c r="E611">
        <v>3</v>
      </c>
    </row>
    <row r="612" spans="1:5" x14ac:dyDescent="0.25">
      <c r="A612" t="s">
        <v>44</v>
      </c>
      <c r="B612" t="s">
        <v>8507</v>
      </c>
      <c r="C612" t="s">
        <v>8508</v>
      </c>
      <c r="D612">
        <v>3</v>
      </c>
      <c r="E612">
        <v>3</v>
      </c>
    </row>
    <row r="613" spans="1:5" x14ac:dyDescent="0.25">
      <c r="A613" t="s">
        <v>44</v>
      </c>
      <c r="B613" t="s">
        <v>8509</v>
      </c>
      <c r="C613" t="s">
        <v>8510</v>
      </c>
      <c r="D613">
        <v>3</v>
      </c>
      <c r="E613">
        <v>3</v>
      </c>
    </row>
    <row r="614" spans="1:5" x14ac:dyDescent="0.25">
      <c r="A614" t="s">
        <v>44</v>
      </c>
      <c r="B614" t="s">
        <v>8511</v>
      </c>
      <c r="C614" t="s">
        <v>8512</v>
      </c>
      <c r="D614">
        <v>3</v>
      </c>
      <c r="E614">
        <v>3</v>
      </c>
    </row>
    <row r="615" spans="1:5" x14ac:dyDescent="0.25">
      <c r="A615" t="s">
        <v>44</v>
      </c>
      <c r="B615" t="s">
        <v>8513</v>
      </c>
      <c r="C615" t="s">
        <v>8514</v>
      </c>
      <c r="D615">
        <v>3</v>
      </c>
      <c r="E615">
        <v>3</v>
      </c>
    </row>
    <row r="616" spans="1:5" x14ac:dyDescent="0.25">
      <c r="A616" t="s">
        <v>44</v>
      </c>
      <c r="B616" t="s">
        <v>8515</v>
      </c>
      <c r="C616" t="s">
        <v>8516</v>
      </c>
      <c r="D616">
        <v>3</v>
      </c>
      <c r="E616">
        <v>3</v>
      </c>
    </row>
    <row r="617" spans="1:5" x14ac:dyDescent="0.25">
      <c r="A617" t="s">
        <v>44</v>
      </c>
      <c r="B617" t="s">
        <v>8517</v>
      </c>
      <c r="C617" t="s">
        <v>8518</v>
      </c>
      <c r="D617">
        <v>3</v>
      </c>
      <c r="E617">
        <v>3</v>
      </c>
    </row>
    <row r="618" spans="1:5" x14ac:dyDescent="0.25">
      <c r="A618" t="s">
        <v>44</v>
      </c>
      <c r="B618" t="s">
        <v>8519</v>
      </c>
      <c r="C618" t="s">
        <v>8520</v>
      </c>
      <c r="D618">
        <v>3</v>
      </c>
      <c r="E618">
        <v>3</v>
      </c>
    </row>
    <row r="619" spans="1:5" x14ac:dyDescent="0.25">
      <c r="A619" t="s">
        <v>44</v>
      </c>
      <c r="B619" t="s">
        <v>8521</v>
      </c>
      <c r="C619" t="s">
        <v>8522</v>
      </c>
      <c r="D619">
        <v>3</v>
      </c>
      <c r="E619">
        <v>3</v>
      </c>
    </row>
    <row r="620" spans="1:5" x14ac:dyDescent="0.25">
      <c r="A620" t="s">
        <v>44</v>
      </c>
      <c r="B620" t="s">
        <v>8523</v>
      </c>
      <c r="C620" t="s">
        <v>8524</v>
      </c>
      <c r="D620">
        <v>3</v>
      </c>
      <c r="E620">
        <v>3</v>
      </c>
    </row>
    <row r="621" spans="1:5" x14ac:dyDescent="0.25">
      <c r="A621" t="s">
        <v>44</v>
      </c>
      <c r="B621" t="s">
        <v>8525</v>
      </c>
      <c r="C621" t="s">
        <v>8526</v>
      </c>
      <c r="D621">
        <v>3</v>
      </c>
      <c r="E621">
        <v>3</v>
      </c>
    </row>
    <row r="622" spans="1:5" x14ac:dyDescent="0.25">
      <c r="A622" t="s">
        <v>44</v>
      </c>
      <c r="B622" t="s">
        <v>8527</v>
      </c>
      <c r="C622" t="s">
        <v>8528</v>
      </c>
      <c r="D622">
        <v>3</v>
      </c>
      <c r="E622">
        <v>3</v>
      </c>
    </row>
    <row r="623" spans="1:5" x14ac:dyDescent="0.25">
      <c r="A623" t="s">
        <v>44</v>
      </c>
      <c r="B623" t="s">
        <v>8529</v>
      </c>
      <c r="C623" t="s">
        <v>8530</v>
      </c>
      <c r="D623">
        <v>3</v>
      </c>
      <c r="E623">
        <v>3</v>
      </c>
    </row>
    <row r="624" spans="1:5" x14ac:dyDescent="0.25">
      <c r="A624" t="s">
        <v>44</v>
      </c>
      <c r="B624" t="s">
        <v>8531</v>
      </c>
      <c r="C624" t="s">
        <v>8532</v>
      </c>
      <c r="D624">
        <v>3</v>
      </c>
      <c r="E624">
        <v>3</v>
      </c>
    </row>
    <row r="625" spans="1:5" x14ac:dyDescent="0.25">
      <c r="A625" t="s">
        <v>44</v>
      </c>
      <c r="B625" t="s">
        <v>8533</v>
      </c>
      <c r="C625" t="s">
        <v>8534</v>
      </c>
      <c r="D625">
        <v>3</v>
      </c>
      <c r="E625">
        <v>3</v>
      </c>
    </row>
    <row r="626" spans="1:5" x14ac:dyDescent="0.25">
      <c r="A626" t="s">
        <v>44</v>
      </c>
      <c r="B626" t="s">
        <v>8535</v>
      </c>
      <c r="C626" t="s">
        <v>8536</v>
      </c>
      <c r="D626">
        <v>3</v>
      </c>
      <c r="E626">
        <v>3</v>
      </c>
    </row>
    <row r="627" spans="1:5" x14ac:dyDescent="0.25">
      <c r="A627" t="s">
        <v>44</v>
      </c>
      <c r="B627" t="s">
        <v>8537</v>
      </c>
      <c r="C627" t="s">
        <v>8538</v>
      </c>
      <c r="D627">
        <v>3</v>
      </c>
      <c r="E627">
        <v>3</v>
      </c>
    </row>
    <row r="628" spans="1:5" x14ac:dyDescent="0.25">
      <c r="A628" t="s">
        <v>44</v>
      </c>
      <c r="B628" t="s">
        <v>8539</v>
      </c>
      <c r="C628" t="s">
        <v>8540</v>
      </c>
      <c r="D628">
        <v>3</v>
      </c>
      <c r="E628">
        <v>3</v>
      </c>
    </row>
    <row r="629" spans="1:5" x14ac:dyDescent="0.25">
      <c r="A629" t="s">
        <v>44</v>
      </c>
      <c r="B629" t="s">
        <v>8541</v>
      </c>
      <c r="C629" t="s">
        <v>8542</v>
      </c>
      <c r="D629">
        <v>3</v>
      </c>
      <c r="E629">
        <v>3</v>
      </c>
    </row>
    <row r="630" spans="1:5" x14ac:dyDescent="0.25">
      <c r="A630" t="s">
        <v>44</v>
      </c>
      <c r="B630" t="s">
        <v>8543</v>
      </c>
      <c r="C630" t="s">
        <v>8544</v>
      </c>
      <c r="D630">
        <v>3</v>
      </c>
      <c r="E630">
        <v>3</v>
      </c>
    </row>
    <row r="631" spans="1:5" x14ac:dyDescent="0.25">
      <c r="A631" t="s">
        <v>44</v>
      </c>
      <c r="B631" t="s">
        <v>8545</v>
      </c>
      <c r="C631" t="s">
        <v>8546</v>
      </c>
      <c r="D631">
        <v>3</v>
      </c>
      <c r="E631">
        <v>3</v>
      </c>
    </row>
    <row r="632" spans="1:5" x14ac:dyDescent="0.25">
      <c r="A632" t="s">
        <v>44</v>
      </c>
      <c r="B632" t="s">
        <v>8547</v>
      </c>
      <c r="C632" t="s">
        <v>8548</v>
      </c>
      <c r="D632">
        <v>3</v>
      </c>
      <c r="E632">
        <v>3</v>
      </c>
    </row>
    <row r="633" spans="1:5" x14ac:dyDescent="0.25">
      <c r="A633" t="s">
        <v>44</v>
      </c>
      <c r="B633" t="s">
        <v>8549</v>
      </c>
      <c r="C633" t="s">
        <v>8550</v>
      </c>
      <c r="D633">
        <v>3</v>
      </c>
      <c r="E633">
        <v>3</v>
      </c>
    </row>
    <row r="634" spans="1:5" x14ac:dyDescent="0.25">
      <c r="A634" t="s">
        <v>44</v>
      </c>
      <c r="B634" t="s">
        <v>8551</v>
      </c>
      <c r="C634" t="s">
        <v>8552</v>
      </c>
      <c r="D634">
        <v>3</v>
      </c>
      <c r="E634">
        <v>3</v>
      </c>
    </row>
    <row r="635" spans="1:5" x14ac:dyDescent="0.25">
      <c r="A635" t="s">
        <v>44</v>
      </c>
      <c r="B635" t="s">
        <v>8553</v>
      </c>
      <c r="C635" t="s">
        <v>8554</v>
      </c>
      <c r="D635">
        <v>3</v>
      </c>
      <c r="E635">
        <v>3</v>
      </c>
    </row>
    <row r="636" spans="1:5" x14ac:dyDescent="0.25">
      <c r="A636" t="s">
        <v>44</v>
      </c>
      <c r="B636" t="s">
        <v>8555</v>
      </c>
      <c r="C636" t="s">
        <v>8556</v>
      </c>
      <c r="D636">
        <v>3</v>
      </c>
      <c r="E636">
        <v>3</v>
      </c>
    </row>
    <row r="637" spans="1:5" x14ac:dyDescent="0.25">
      <c r="A637" t="s">
        <v>44</v>
      </c>
      <c r="B637" t="s">
        <v>8557</v>
      </c>
      <c r="C637" t="s">
        <v>8558</v>
      </c>
      <c r="D637">
        <v>3</v>
      </c>
      <c r="E637">
        <v>3</v>
      </c>
    </row>
    <row r="638" spans="1:5" x14ac:dyDescent="0.25">
      <c r="A638" t="s">
        <v>44</v>
      </c>
      <c r="B638" t="s">
        <v>8559</v>
      </c>
      <c r="C638" t="s">
        <v>8560</v>
      </c>
      <c r="D638">
        <v>3</v>
      </c>
      <c r="E638">
        <v>3</v>
      </c>
    </row>
    <row r="639" spans="1:5" x14ac:dyDescent="0.25">
      <c r="A639" t="s">
        <v>44</v>
      </c>
      <c r="B639" t="s">
        <v>8561</v>
      </c>
      <c r="C639" t="s">
        <v>8562</v>
      </c>
      <c r="D639">
        <v>3</v>
      </c>
      <c r="E639">
        <v>3</v>
      </c>
    </row>
    <row r="640" spans="1:5" x14ac:dyDescent="0.25">
      <c r="A640" t="s">
        <v>44</v>
      </c>
      <c r="B640" t="s">
        <v>8563</v>
      </c>
      <c r="C640" t="s">
        <v>8564</v>
      </c>
      <c r="D640">
        <v>3</v>
      </c>
      <c r="E640">
        <v>3</v>
      </c>
    </row>
    <row r="641" spans="1:5" x14ac:dyDescent="0.25">
      <c r="A641" t="s">
        <v>44</v>
      </c>
      <c r="B641" t="s">
        <v>8565</v>
      </c>
      <c r="C641" t="s">
        <v>8566</v>
      </c>
      <c r="D641">
        <v>3</v>
      </c>
      <c r="E641">
        <v>3</v>
      </c>
    </row>
    <row r="642" spans="1:5" x14ac:dyDescent="0.25">
      <c r="A642" t="s">
        <v>44</v>
      </c>
      <c r="B642" t="s">
        <v>8567</v>
      </c>
      <c r="C642" t="s">
        <v>8568</v>
      </c>
      <c r="D642">
        <v>3</v>
      </c>
      <c r="E642">
        <v>3</v>
      </c>
    </row>
    <row r="643" spans="1:5" x14ac:dyDescent="0.25">
      <c r="A643" t="s">
        <v>44</v>
      </c>
      <c r="B643" t="s">
        <v>8569</v>
      </c>
      <c r="C643" t="s">
        <v>8570</v>
      </c>
      <c r="D643">
        <v>3</v>
      </c>
      <c r="E643">
        <v>3</v>
      </c>
    </row>
    <row r="644" spans="1:5" x14ac:dyDescent="0.25">
      <c r="A644" t="s">
        <v>44</v>
      </c>
      <c r="B644" t="s">
        <v>8571</v>
      </c>
      <c r="C644" t="s">
        <v>8572</v>
      </c>
      <c r="D644">
        <v>3</v>
      </c>
      <c r="E644">
        <v>3</v>
      </c>
    </row>
    <row r="645" spans="1:5" x14ac:dyDescent="0.25">
      <c r="A645" t="s">
        <v>44</v>
      </c>
      <c r="B645" t="s">
        <v>8573</v>
      </c>
      <c r="C645" t="s">
        <v>8574</v>
      </c>
      <c r="D645">
        <v>3</v>
      </c>
      <c r="E645">
        <v>3</v>
      </c>
    </row>
    <row r="646" spans="1:5" x14ac:dyDescent="0.25">
      <c r="A646" t="s">
        <v>44</v>
      </c>
      <c r="B646" t="s">
        <v>8575</v>
      </c>
      <c r="C646" t="s">
        <v>8576</v>
      </c>
      <c r="D646">
        <v>3</v>
      </c>
      <c r="E646">
        <v>3</v>
      </c>
    </row>
    <row r="647" spans="1:5" x14ac:dyDescent="0.25">
      <c r="A647" t="s">
        <v>44</v>
      </c>
      <c r="B647" t="s">
        <v>8577</v>
      </c>
      <c r="C647" t="s">
        <v>8578</v>
      </c>
      <c r="D647">
        <v>3</v>
      </c>
      <c r="E647">
        <v>3</v>
      </c>
    </row>
    <row r="648" spans="1:5" x14ac:dyDescent="0.25">
      <c r="A648" t="s">
        <v>44</v>
      </c>
      <c r="B648" t="s">
        <v>8579</v>
      </c>
      <c r="C648" t="s">
        <v>8580</v>
      </c>
      <c r="D648">
        <v>3</v>
      </c>
      <c r="E648">
        <v>3</v>
      </c>
    </row>
    <row r="649" spans="1:5" x14ac:dyDescent="0.25">
      <c r="A649" t="s">
        <v>44</v>
      </c>
      <c r="B649" t="s">
        <v>8581</v>
      </c>
      <c r="C649" t="s">
        <v>8582</v>
      </c>
      <c r="D649">
        <v>3</v>
      </c>
      <c r="E649">
        <v>3</v>
      </c>
    </row>
    <row r="650" spans="1:5" x14ac:dyDescent="0.25">
      <c r="A650" t="s">
        <v>44</v>
      </c>
      <c r="B650" t="s">
        <v>8583</v>
      </c>
      <c r="C650" t="s">
        <v>8584</v>
      </c>
      <c r="D650">
        <v>3</v>
      </c>
      <c r="E650">
        <v>3</v>
      </c>
    </row>
    <row r="651" spans="1:5" x14ac:dyDescent="0.25">
      <c r="A651" t="s">
        <v>44</v>
      </c>
      <c r="B651" t="s">
        <v>8585</v>
      </c>
      <c r="C651" t="s">
        <v>8586</v>
      </c>
      <c r="D651">
        <v>3</v>
      </c>
      <c r="E651">
        <v>3</v>
      </c>
    </row>
    <row r="652" spans="1:5" x14ac:dyDescent="0.25">
      <c r="A652" t="s">
        <v>44</v>
      </c>
      <c r="B652" t="s">
        <v>8587</v>
      </c>
      <c r="C652" t="s">
        <v>8588</v>
      </c>
      <c r="D652">
        <v>3</v>
      </c>
      <c r="E652">
        <v>3</v>
      </c>
    </row>
    <row r="653" spans="1:5" x14ac:dyDescent="0.25">
      <c r="A653" t="s">
        <v>44</v>
      </c>
      <c r="B653" t="s">
        <v>8589</v>
      </c>
      <c r="C653" t="s">
        <v>8590</v>
      </c>
      <c r="D653">
        <v>3</v>
      </c>
      <c r="E653">
        <v>3</v>
      </c>
    </row>
    <row r="654" spans="1:5" x14ac:dyDescent="0.25">
      <c r="A654" t="s">
        <v>44</v>
      </c>
      <c r="B654" t="s">
        <v>8591</v>
      </c>
      <c r="C654" t="s">
        <v>8592</v>
      </c>
      <c r="D654">
        <v>3</v>
      </c>
      <c r="E654">
        <v>3</v>
      </c>
    </row>
    <row r="655" spans="1:5" x14ac:dyDescent="0.25">
      <c r="A655" t="s">
        <v>44</v>
      </c>
      <c r="B655" t="s">
        <v>8593</v>
      </c>
      <c r="C655" t="s">
        <v>8594</v>
      </c>
      <c r="D655">
        <v>3</v>
      </c>
      <c r="E655">
        <v>3</v>
      </c>
    </row>
    <row r="656" spans="1:5" x14ac:dyDescent="0.25">
      <c r="A656" t="s">
        <v>44</v>
      </c>
      <c r="B656" t="s">
        <v>8595</v>
      </c>
      <c r="C656" t="s">
        <v>8596</v>
      </c>
      <c r="D656">
        <v>3</v>
      </c>
      <c r="E656">
        <v>3</v>
      </c>
    </row>
    <row r="657" spans="1:5" x14ac:dyDescent="0.25">
      <c r="A657" t="s">
        <v>44</v>
      </c>
      <c r="B657" t="s">
        <v>8597</v>
      </c>
      <c r="C657" t="s">
        <v>8598</v>
      </c>
      <c r="D657">
        <v>3</v>
      </c>
      <c r="E657">
        <v>3</v>
      </c>
    </row>
    <row r="658" spans="1:5" x14ac:dyDescent="0.25">
      <c r="A658" t="s">
        <v>44</v>
      </c>
      <c r="B658" t="s">
        <v>8599</v>
      </c>
      <c r="C658" t="s">
        <v>8600</v>
      </c>
      <c r="D658">
        <v>3</v>
      </c>
      <c r="E658">
        <v>3</v>
      </c>
    </row>
    <row r="659" spans="1:5" x14ac:dyDescent="0.25">
      <c r="A659" t="s">
        <v>44</v>
      </c>
      <c r="B659" t="s">
        <v>8601</v>
      </c>
      <c r="C659" t="s">
        <v>8602</v>
      </c>
      <c r="D659">
        <v>3</v>
      </c>
      <c r="E659">
        <v>3</v>
      </c>
    </row>
    <row r="660" spans="1:5" x14ac:dyDescent="0.25">
      <c r="A660" t="s">
        <v>44</v>
      </c>
      <c r="B660" t="s">
        <v>8603</v>
      </c>
      <c r="C660" t="s">
        <v>8604</v>
      </c>
      <c r="D660">
        <v>3</v>
      </c>
      <c r="E660">
        <v>3</v>
      </c>
    </row>
    <row r="661" spans="1:5" x14ac:dyDescent="0.25">
      <c r="A661" t="s">
        <v>44</v>
      </c>
      <c r="B661" t="s">
        <v>8605</v>
      </c>
      <c r="C661" t="s">
        <v>8606</v>
      </c>
      <c r="D661">
        <v>3</v>
      </c>
      <c r="E661">
        <v>3</v>
      </c>
    </row>
    <row r="662" spans="1:5" x14ac:dyDescent="0.25">
      <c r="A662" t="s">
        <v>44</v>
      </c>
      <c r="B662" t="s">
        <v>8607</v>
      </c>
      <c r="C662" t="s">
        <v>8608</v>
      </c>
      <c r="D662">
        <v>3</v>
      </c>
      <c r="E662">
        <v>3</v>
      </c>
    </row>
    <row r="663" spans="1:5" x14ac:dyDescent="0.25">
      <c r="A663" t="s">
        <v>44</v>
      </c>
      <c r="B663" t="s">
        <v>8609</v>
      </c>
      <c r="C663" t="s">
        <v>8610</v>
      </c>
      <c r="D663">
        <v>3</v>
      </c>
      <c r="E663">
        <v>3</v>
      </c>
    </row>
    <row r="664" spans="1:5" x14ac:dyDescent="0.25">
      <c r="A664" t="s">
        <v>44</v>
      </c>
      <c r="B664" t="s">
        <v>8611</v>
      </c>
      <c r="C664" t="s">
        <v>8612</v>
      </c>
      <c r="D664">
        <v>3</v>
      </c>
      <c r="E664">
        <v>3</v>
      </c>
    </row>
    <row r="665" spans="1:5" x14ac:dyDescent="0.25">
      <c r="A665" t="s">
        <v>44</v>
      </c>
      <c r="B665" t="s">
        <v>8613</v>
      </c>
      <c r="C665" t="s">
        <v>8614</v>
      </c>
      <c r="D665">
        <v>3</v>
      </c>
      <c r="E665">
        <v>3</v>
      </c>
    </row>
    <row r="666" spans="1:5" x14ac:dyDescent="0.25">
      <c r="A666" t="s">
        <v>44</v>
      </c>
      <c r="B666" t="s">
        <v>8615</v>
      </c>
      <c r="C666" t="s">
        <v>8616</v>
      </c>
      <c r="D666">
        <v>3</v>
      </c>
      <c r="E666">
        <v>3</v>
      </c>
    </row>
    <row r="667" spans="1:5" x14ac:dyDescent="0.25">
      <c r="A667" t="s">
        <v>44</v>
      </c>
      <c r="B667" t="s">
        <v>8617</v>
      </c>
      <c r="C667" t="s">
        <v>8618</v>
      </c>
      <c r="D667">
        <v>3</v>
      </c>
      <c r="E667">
        <v>3</v>
      </c>
    </row>
    <row r="668" spans="1:5" x14ac:dyDescent="0.25">
      <c r="A668" t="s">
        <v>44</v>
      </c>
      <c r="B668" t="s">
        <v>8619</v>
      </c>
      <c r="C668" t="s">
        <v>8620</v>
      </c>
      <c r="D668">
        <v>3</v>
      </c>
      <c r="E668">
        <v>3</v>
      </c>
    </row>
    <row r="669" spans="1:5" x14ac:dyDescent="0.25">
      <c r="A669" t="s">
        <v>44</v>
      </c>
      <c r="B669" t="s">
        <v>8621</v>
      </c>
      <c r="C669" t="s">
        <v>8622</v>
      </c>
      <c r="D669">
        <v>3</v>
      </c>
      <c r="E669">
        <v>3</v>
      </c>
    </row>
    <row r="670" spans="1:5" x14ac:dyDescent="0.25">
      <c r="A670" t="s">
        <v>44</v>
      </c>
      <c r="B670" t="s">
        <v>8623</v>
      </c>
      <c r="C670" t="s">
        <v>8624</v>
      </c>
      <c r="D670">
        <v>3</v>
      </c>
      <c r="E670">
        <v>3</v>
      </c>
    </row>
    <row r="671" spans="1:5" x14ac:dyDescent="0.25">
      <c r="A671" t="s">
        <v>44</v>
      </c>
      <c r="B671" t="s">
        <v>8625</v>
      </c>
      <c r="C671" t="s">
        <v>8626</v>
      </c>
      <c r="D671">
        <v>3</v>
      </c>
      <c r="E671">
        <v>3</v>
      </c>
    </row>
    <row r="672" spans="1:5" x14ac:dyDescent="0.25">
      <c r="A672" t="s">
        <v>44</v>
      </c>
      <c r="B672" t="s">
        <v>8627</v>
      </c>
      <c r="C672" t="s">
        <v>8628</v>
      </c>
      <c r="D672">
        <v>3</v>
      </c>
      <c r="E672">
        <v>3</v>
      </c>
    </row>
    <row r="673" spans="1:5" x14ac:dyDescent="0.25">
      <c r="A673" t="s">
        <v>44</v>
      </c>
      <c r="B673" t="s">
        <v>8629</v>
      </c>
      <c r="C673" t="s">
        <v>8630</v>
      </c>
      <c r="D673">
        <v>3</v>
      </c>
      <c r="E673">
        <v>3</v>
      </c>
    </row>
    <row r="674" spans="1:5" x14ac:dyDescent="0.25">
      <c r="A674" t="s">
        <v>44</v>
      </c>
      <c r="B674" t="s">
        <v>8631</v>
      </c>
      <c r="C674" t="s">
        <v>8632</v>
      </c>
      <c r="D674">
        <v>3</v>
      </c>
      <c r="E674">
        <v>3</v>
      </c>
    </row>
    <row r="675" spans="1:5" x14ac:dyDescent="0.25">
      <c r="A675" t="s">
        <v>44</v>
      </c>
      <c r="B675" t="s">
        <v>8633</v>
      </c>
      <c r="C675" t="s">
        <v>8634</v>
      </c>
      <c r="D675">
        <v>3</v>
      </c>
      <c r="E675">
        <v>3</v>
      </c>
    </row>
    <row r="676" spans="1:5" x14ac:dyDescent="0.25">
      <c r="A676" t="s">
        <v>44</v>
      </c>
      <c r="B676" t="s">
        <v>8635</v>
      </c>
      <c r="C676" t="s">
        <v>8636</v>
      </c>
      <c r="D676">
        <v>3</v>
      </c>
      <c r="E676">
        <v>3</v>
      </c>
    </row>
    <row r="677" spans="1:5" x14ac:dyDescent="0.25">
      <c r="A677" t="s">
        <v>44</v>
      </c>
      <c r="B677" t="s">
        <v>8637</v>
      </c>
      <c r="C677" t="s">
        <v>8638</v>
      </c>
      <c r="D677">
        <v>3</v>
      </c>
      <c r="E677">
        <v>3</v>
      </c>
    </row>
    <row r="678" spans="1:5" x14ac:dyDescent="0.25">
      <c r="A678" t="s">
        <v>44</v>
      </c>
      <c r="B678" t="s">
        <v>8639</v>
      </c>
      <c r="C678" t="s">
        <v>8640</v>
      </c>
      <c r="D678">
        <v>3</v>
      </c>
      <c r="E678">
        <v>3</v>
      </c>
    </row>
    <row r="679" spans="1:5" x14ac:dyDescent="0.25">
      <c r="A679" t="s">
        <v>44</v>
      </c>
      <c r="B679" t="s">
        <v>8641</v>
      </c>
      <c r="C679" t="s">
        <v>8642</v>
      </c>
      <c r="D679">
        <v>3</v>
      </c>
      <c r="E679">
        <v>3</v>
      </c>
    </row>
    <row r="680" spans="1:5" x14ac:dyDescent="0.25">
      <c r="A680" t="s">
        <v>44</v>
      </c>
      <c r="B680" t="s">
        <v>8643</v>
      </c>
      <c r="C680" t="s">
        <v>8644</v>
      </c>
      <c r="D680">
        <v>3</v>
      </c>
      <c r="E680">
        <v>3</v>
      </c>
    </row>
    <row r="681" spans="1:5" x14ac:dyDescent="0.25">
      <c r="A681" t="s">
        <v>44</v>
      </c>
      <c r="B681" t="s">
        <v>8645</v>
      </c>
      <c r="C681" t="s">
        <v>8646</v>
      </c>
      <c r="D681">
        <v>3</v>
      </c>
      <c r="E681">
        <v>3</v>
      </c>
    </row>
    <row r="682" spans="1:5" x14ac:dyDescent="0.25">
      <c r="A682" t="s">
        <v>44</v>
      </c>
      <c r="B682" t="s">
        <v>8647</v>
      </c>
      <c r="C682" t="s">
        <v>8648</v>
      </c>
      <c r="D682">
        <v>3</v>
      </c>
      <c r="E682">
        <v>3</v>
      </c>
    </row>
    <row r="683" spans="1:5" x14ac:dyDescent="0.25">
      <c r="A683" t="s">
        <v>44</v>
      </c>
      <c r="B683" t="s">
        <v>8649</v>
      </c>
      <c r="C683" t="s">
        <v>8650</v>
      </c>
      <c r="D683">
        <v>3</v>
      </c>
      <c r="E683">
        <v>3</v>
      </c>
    </row>
    <row r="684" spans="1:5" x14ac:dyDescent="0.25">
      <c r="A684" t="s">
        <v>44</v>
      </c>
      <c r="B684" t="s">
        <v>8651</v>
      </c>
      <c r="C684" t="s">
        <v>8652</v>
      </c>
      <c r="D684">
        <v>3</v>
      </c>
      <c r="E684">
        <v>3</v>
      </c>
    </row>
    <row r="685" spans="1:5" x14ac:dyDescent="0.25">
      <c r="A685" t="s">
        <v>44</v>
      </c>
      <c r="B685" t="s">
        <v>8653</v>
      </c>
      <c r="C685" t="s">
        <v>8654</v>
      </c>
      <c r="D685">
        <v>3</v>
      </c>
      <c r="E685">
        <v>3</v>
      </c>
    </row>
    <row r="686" spans="1:5" x14ac:dyDescent="0.25">
      <c r="A686" t="s">
        <v>44</v>
      </c>
      <c r="B686" t="s">
        <v>8655</v>
      </c>
      <c r="C686" t="s">
        <v>8656</v>
      </c>
      <c r="D686">
        <v>3</v>
      </c>
      <c r="E686">
        <v>3</v>
      </c>
    </row>
    <row r="687" spans="1:5" x14ac:dyDescent="0.25">
      <c r="A687" t="s">
        <v>44</v>
      </c>
      <c r="B687" t="s">
        <v>8657</v>
      </c>
      <c r="C687" t="s">
        <v>8658</v>
      </c>
      <c r="D687">
        <v>3</v>
      </c>
      <c r="E687">
        <v>3</v>
      </c>
    </row>
    <row r="688" spans="1:5" x14ac:dyDescent="0.25">
      <c r="A688" t="s">
        <v>44</v>
      </c>
      <c r="B688" t="s">
        <v>8659</v>
      </c>
      <c r="C688" t="s">
        <v>8660</v>
      </c>
      <c r="D688">
        <v>3</v>
      </c>
      <c r="E688">
        <v>3</v>
      </c>
    </row>
    <row r="689" spans="1:5" x14ac:dyDescent="0.25">
      <c r="A689" t="s">
        <v>44</v>
      </c>
      <c r="B689" t="s">
        <v>8661</v>
      </c>
      <c r="C689" t="s">
        <v>8662</v>
      </c>
      <c r="D689">
        <v>3</v>
      </c>
      <c r="E689">
        <v>3</v>
      </c>
    </row>
    <row r="690" spans="1:5" x14ac:dyDescent="0.25">
      <c r="A690" t="s">
        <v>44</v>
      </c>
      <c r="B690" t="s">
        <v>8663</v>
      </c>
      <c r="C690" t="s">
        <v>8664</v>
      </c>
      <c r="D690">
        <v>3</v>
      </c>
      <c r="E690">
        <v>3</v>
      </c>
    </row>
    <row r="691" spans="1:5" x14ac:dyDescent="0.25">
      <c r="A691" t="s">
        <v>44</v>
      </c>
      <c r="B691" t="s">
        <v>8665</v>
      </c>
      <c r="C691" t="s">
        <v>8666</v>
      </c>
      <c r="D691">
        <v>3</v>
      </c>
      <c r="E691">
        <v>3</v>
      </c>
    </row>
    <row r="692" spans="1:5" x14ac:dyDescent="0.25">
      <c r="A692" t="s">
        <v>44</v>
      </c>
      <c r="B692" t="s">
        <v>8667</v>
      </c>
      <c r="C692" t="s">
        <v>8668</v>
      </c>
      <c r="D692">
        <v>3</v>
      </c>
      <c r="E692">
        <v>3</v>
      </c>
    </row>
    <row r="693" spans="1:5" x14ac:dyDescent="0.25">
      <c r="A693" t="s">
        <v>44</v>
      </c>
      <c r="B693" t="s">
        <v>8669</v>
      </c>
      <c r="C693" t="s">
        <v>8670</v>
      </c>
      <c r="D693">
        <v>3</v>
      </c>
      <c r="E693">
        <v>3</v>
      </c>
    </row>
    <row r="694" spans="1:5" x14ac:dyDescent="0.25">
      <c r="A694" t="s">
        <v>44</v>
      </c>
      <c r="B694" t="s">
        <v>8671</v>
      </c>
      <c r="C694" t="s">
        <v>8672</v>
      </c>
      <c r="D694">
        <v>3</v>
      </c>
      <c r="E694">
        <v>3</v>
      </c>
    </row>
    <row r="695" spans="1:5" x14ac:dyDescent="0.25">
      <c r="A695" t="s">
        <v>44</v>
      </c>
      <c r="B695" t="s">
        <v>8673</v>
      </c>
      <c r="C695" t="s">
        <v>8674</v>
      </c>
      <c r="D695">
        <v>3</v>
      </c>
      <c r="E695">
        <v>3</v>
      </c>
    </row>
    <row r="696" spans="1:5" x14ac:dyDescent="0.25">
      <c r="A696" t="s">
        <v>44</v>
      </c>
      <c r="B696" t="s">
        <v>8675</v>
      </c>
      <c r="C696" t="s">
        <v>8676</v>
      </c>
      <c r="D696">
        <v>3</v>
      </c>
      <c r="E696">
        <v>3</v>
      </c>
    </row>
    <row r="697" spans="1:5" x14ac:dyDescent="0.25">
      <c r="A697" t="s">
        <v>44</v>
      </c>
      <c r="B697" t="s">
        <v>8677</v>
      </c>
      <c r="C697" t="s">
        <v>8678</v>
      </c>
      <c r="D697">
        <v>3</v>
      </c>
      <c r="E697">
        <v>3</v>
      </c>
    </row>
    <row r="698" spans="1:5" x14ac:dyDescent="0.25">
      <c r="A698" t="s">
        <v>44</v>
      </c>
      <c r="B698" t="s">
        <v>8679</v>
      </c>
      <c r="C698" t="s">
        <v>8680</v>
      </c>
      <c r="D698">
        <v>3</v>
      </c>
      <c r="E698">
        <v>3</v>
      </c>
    </row>
    <row r="699" spans="1:5" x14ac:dyDescent="0.25">
      <c r="A699" t="s">
        <v>44</v>
      </c>
      <c r="B699" t="s">
        <v>8681</v>
      </c>
      <c r="C699" t="s">
        <v>8682</v>
      </c>
      <c r="D699">
        <v>3</v>
      </c>
      <c r="E699">
        <v>3</v>
      </c>
    </row>
    <row r="700" spans="1:5" x14ac:dyDescent="0.25">
      <c r="A700" t="s">
        <v>44</v>
      </c>
      <c r="B700" t="s">
        <v>8683</v>
      </c>
      <c r="C700" t="s">
        <v>8684</v>
      </c>
      <c r="D700">
        <v>3</v>
      </c>
      <c r="E700">
        <v>3</v>
      </c>
    </row>
    <row r="701" spans="1:5" x14ac:dyDescent="0.25">
      <c r="A701" t="s">
        <v>44</v>
      </c>
      <c r="B701" t="s">
        <v>8685</v>
      </c>
      <c r="C701" t="s">
        <v>8686</v>
      </c>
      <c r="D701">
        <v>3</v>
      </c>
      <c r="E701">
        <v>3</v>
      </c>
    </row>
    <row r="702" spans="1:5" x14ac:dyDescent="0.25">
      <c r="A702" t="s">
        <v>44</v>
      </c>
      <c r="B702" t="s">
        <v>8687</v>
      </c>
      <c r="C702" t="s">
        <v>8688</v>
      </c>
      <c r="D702">
        <v>3</v>
      </c>
      <c r="E702">
        <v>3</v>
      </c>
    </row>
    <row r="703" spans="1:5" x14ac:dyDescent="0.25">
      <c r="A703" t="s">
        <v>44</v>
      </c>
      <c r="B703" t="s">
        <v>8689</v>
      </c>
      <c r="C703" t="s">
        <v>8690</v>
      </c>
      <c r="D703">
        <v>3</v>
      </c>
      <c r="E703">
        <v>3</v>
      </c>
    </row>
    <row r="704" spans="1:5" x14ac:dyDescent="0.25">
      <c r="A704" t="s">
        <v>44</v>
      </c>
      <c r="B704" t="s">
        <v>8691</v>
      </c>
      <c r="C704" t="s">
        <v>8692</v>
      </c>
      <c r="D704">
        <v>3</v>
      </c>
      <c r="E704">
        <v>3</v>
      </c>
    </row>
    <row r="705" spans="1:5" x14ac:dyDescent="0.25">
      <c r="A705" t="s">
        <v>44</v>
      </c>
      <c r="B705" t="s">
        <v>8693</v>
      </c>
      <c r="C705" t="s">
        <v>8694</v>
      </c>
      <c r="D705">
        <v>3</v>
      </c>
      <c r="E705">
        <v>3</v>
      </c>
    </row>
    <row r="706" spans="1:5" x14ac:dyDescent="0.25">
      <c r="A706" t="s">
        <v>44</v>
      </c>
      <c r="B706" t="s">
        <v>8695</v>
      </c>
      <c r="C706" t="s">
        <v>8696</v>
      </c>
      <c r="D706">
        <v>3</v>
      </c>
      <c r="E706">
        <v>3</v>
      </c>
    </row>
    <row r="707" spans="1:5" x14ac:dyDescent="0.25">
      <c r="A707" t="s">
        <v>44</v>
      </c>
      <c r="B707" t="s">
        <v>8697</v>
      </c>
      <c r="C707" t="s">
        <v>8698</v>
      </c>
      <c r="D707">
        <v>3</v>
      </c>
      <c r="E707">
        <v>3</v>
      </c>
    </row>
    <row r="708" spans="1:5" x14ac:dyDescent="0.25">
      <c r="A708" t="s">
        <v>44</v>
      </c>
      <c r="B708" t="s">
        <v>8699</v>
      </c>
      <c r="C708" t="s">
        <v>8700</v>
      </c>
      <c r="D708">
        <v>3</v>
      </c>
      <c r="E708">
        <v>3</v>
      </c>
    </row>
    <row r="709" spans="1:5" x14ac:dyDescent="0.25">
      <c r="A709" t="s">
        <v>44</v>
      </c>
      <c r="B709" t="s">
        <v>8701</v>
      </c>
      <c r="C709" t="s">
        <v>8702</v>
      </c>
      <c r="D709">
        <v>3</v>
      </c>
      <c r="E709">
        <v>3</v>
      </c>
    </row>
    <row r="710" spans="1:5" x14ac:dyDescent="0.25">
      <c r="A710" t="s">
        <v>44</v>
      </c>
      <c r="B710" t="s">
        <v>8703</v>
      </c>
      <c r="C710" t="s">
        <v>8704</v>
      </c>
      <c r="D710">
        <v>3</v>
      </c>
      <c r="E710">
        <v>3</v>
      </c>
    </row>
    <row r="711" spans="1:5" x14ac:dyDescent="0.25">
      <c r="A711" t="s">
        <v>44</v>
      </c>
      <c r="B711" t="s">
        <v>8705</v>
      </c>
      <c r="C711" t="s">
        <v>8706</v>
      </c>
      <c r="D711">
        <v>3</v>
      </c>
      <c r="E711">
        <v>3</v>
      </c>
    </row>
    <row r="712" spans="1:5" x14ac:dyDescent="0.25">
      <c r="A712" t="s">
        <v>44</v>
      </c>
      <c r="B712" t="s">
        <v>8707</v>
      </c>
      <c r="C712" t="s">
        <v>8708</v>
      </c>
      <c r="D712">
        <v>3</v>
      </c>
      <c r="E712">
        <v>3</v>
      </c>
    </row>
    <row r="713" spans="1:5" x14ac:dyDescent="0.25">
      <c r="A713" t="s">
        <v>44</v>
      </c>
      <c r="B713" t="s">
        <v>8709</v>
      </c>
      <c r="C713" t="s">
        <v>8710</v>
      </c>
      <c r="D713">
        <v>3</v>
      </c>
      <c r="E713">
        <v>3</v>
      </c>
    </row>
    <row r="714" spans="1:5" x14ac:dyDescent="0.25">
      <c r="A714" t="s">
        <v>44</v>
      </c>
      <c r="B714" t="s">
        <v>8711</v>
      </c>
      <c r="C714" t="s">
        <v>8712</v>
      </c>
      <c r="D714">
        <v>3</v>
      </c>
      <c r="E714">
        <v>3</v>
      </c>
    </row>
    <row r="715" spans="1:5" x14ac:dyDescent="0.25">
      <c r="A715" t="s">
        <v>44</v>
      </c>
      <c r="B715" t="s">
        <v>8713</v>
      </c>
      <c r="C715" t="s">
        <v>8714</v>
      </c>
      <c r="D715">
        <v>3</v>
      </c>
      <c r="E715">
        <v>3</v>
      </c>
    </row>
    <row r="716" spans="1:5" x14ac:dyDescent="0.25">
      <c r="A716" t="s">
        <v>44</v>
      </c>
      <c r="B716" t="s">
        <v>8715</v>
      </c>
      <c r="C716" t="s">
        <v>8716</v>
      </c>
      <c r="D716">
        <v>3</v>
      </c>
      <c r="E716">
        <v>3</v>
      </c>
    </row>
    <row r="717" spans="1:5" x14ac:dyDescent="0.25">
      <c r="A717" t="s">
        <v>44</v>
      </c>
      <c r="B717" t="s">
        <v>8717</v>
      </c>
      <c r="C717" t="s">
        <v>8718</v>
      </c>
      <c r="D717">
        <v>3</v>
      </c>
      <c r="E717">
        <v>3</v>
      </c>
    </row>
    <row r="718" spans="1:5" x14ac:dyDescent="0.25">
      <c r="A718" t="s">
        <v>44</v>
      </c>
      <c r="B718" t="s">
        <v>8719</v>
      </c>
      <c r="C718" t="s">
        <v>8720</v>
      </c>
      <c r="D718">
        <v>3</v>
      </c>
      <c r="E718">
        <v>3</v>
      </c>
    </row>
    <row r="719" spans="1:5" x14ac:dyDescent="0.25">
      <c r="A719" t="s">
        <v>44</v>
      </c>
      <c r="B719" t="s">
        <v>8721</v>
      </c>
      <c r="C719" t="s">
        <v>8722</v>
      </c>
      <c r="D719">
        <v>3</v>
      </c>
      <c r="E719">
        <v>3</v>
      </c>
    </row>
    <row r="720" spans="1:5" x14ac:dyDescent="0.25">
      <c r="A720" t="s">
        <v>44</v>
      </c>
      <c r="B720" t="s">
        <v>8723</v>
      </c>
      <c r="C720" t="s">
        <v>8724</v>
      </c>
      <c r="D720">
        <v>3</v>
      </c>
      <c r="E720">
        <v>3</v>
      </c>
    </row>
    <row r="721" spans="1:5" x14ac:dyDescent="0.25">
      <c r="A721" t="s">
        <v>44</v>
      </c>
      <c r="B721" t="s">
        <v>8725</v>
      </c>
      <c r="C721" t="s">
        <v>8726</v>
      </c>
      <c r="D721">
        <v>3</v>
      </c>
      <c r="E721">
        <v>3</v>
      </c>
    </row>
    <row r="722" spans="1:5" x14ac:dyDescent="0.25">
      <c r="A722" t="s">
        <v>44</v>
      </c>
      <c r="B722" t="s">
        <v>8727</v>
      </c>
      <c r="C722" t="s">
        <v>8728</v>
      </c>
      <c r="D722">
        <v>3</v>
      </c>
      <c r="E722">
        <v>3</v>
      </c>
    </row>
    <row r="723" spans="1:5" x14ac:dyDescent="0.25">
      <c r="A723" t="s">
        <v>44</v>
      </c>
      <c r="B723" t="s">
        <v>8729</v>
      </c>
      <c r="C723" t="s">
        <v>8730</v>
      </c>
      <c r="D723">
        <v>3</v>
      </c>
      <c r="E723">
        <v>3</v>
      </c>
    </row>
    <row r="724" spans="1:5" x14ac:dyDescent="0.25">
      <c r="A724" t="s">
        <v>44</v>
      </c>
      <c r="B724" t="s">
        <v>8731</v>
      </c>
      <c r="C724" t="s">
        <v>8732</v>
      </c>
      <c r="D724">
        <v>3</v>
      </c>
      <c r="E724">
        <v>3</v>
      </c>
    </row>
    <row r="725" spans="1:5" x14ac:dyDescent="0.25">
      <c r="A725" t="s">
        <v>44</v>
      </c>
      <c r="B725" t="s">
        <v>8733</v>
      </c>
      <c r="C725" t="s">
        <v>8734</v>
      </c>
      <c r="D725">
        <v>3</v>
      </c>
      <c r="E725">
        <v>3</v>
      </c>
    </row>
    <row r="726" spans="1:5" x14ac:dyDescent="0.25">
      <c r="A726" t="s">
        <v>44</v>
      </c>
      <c r="B726" t="s">
        <v>8735</v>
      </c>
      <c r="C726" t="s">
        <v>8736</v>
      </c>
      <c r="D726">
        <v>3</v>
      </c>
      <c r="E726">
        <v>3</v>
      </c>
    </row>
    <row r="727" spans="1:5" x14ac:dyDescent="0.25">
      <c r="A727" t="s">
        <v>44</v>
      </c>
      <c r="B727" t="s">
        <v>8737</v>
      </c>
      <c r="C727" t="s">
        <v>8738</v>
      </c>
      <c r="D727">
        <v>3</v>
      </c>
      <c r="E727">
        <v>3</v>
      </c>
    </row>
    <row r="728" spans="1:5" x14ac:dyDescent="0.25">
      <c r="A728" t="s">
        <v>44</v>
      </c>
      <c r="B728" t="s">
        <v>8739</v>
      </c>
      <c r="C728" t="s">
        <v>8740</v>
      </c>
      <c r="D728">
        <v>3</v>
      </c>
      <c r="E728">
        <v>3</v>
      </c>
    </row>
    <row r="729" spans="1:5" x14ac:dyDescent="0.25">
      <c r="A729" t="s">
        <v>44</v>
      </c>
      <c r="B729" t="s">
        <v>8741</v>
      </c>
      <c r="C729" t="s">
        <v>8742</v>
      </c>
      <c r="D729">
        <v>3</v>
      </c>
      <c r="E729">
        <v>3</v>
      </c>
    </row>
    <row r="730" spans="1:5" x14ac:dyDescent="0.25">
      <c r="A730" t="s">
        <v>44</v>
      </c>
      <c r="B730" t="s">
        <v>8743</v>
      </c>
      <c r="C730" t="s">
        <v>8744</v>
      </c>
      <c r="D730">
        <v>3</v>
      </c>
      <c r="E730">
        <v>3</v>
      </c>
    </row>
    <row r="731" spans="1:5" x14ac:dyDescent="0.25">
      <c r="A731" t="s">
        <v>44</v>
      </c>
      <c r="B731" t="s">
        <v>8745</v>
      </c>
      <c r="C731" t="s">
        <v>8746</v>
      </c>
      <c r="D731">
        <v>3</v>
      </c>
      <c r="E731">
        <v>3</v>
      </c>
    </row>
    <row r="732" spans="1:5" x14ac:dyDescent="0.25">
      <c r="A732" t="s">
        <v>44</v>
      </c>
      <c r="B732" t="s">
        <v>8747</v>
      </c>
      <c r="C732" t="s">
        <v>8748</v>
      </c>
      <c r="D732">
        <v>3</v>
      </c>
      <c r="E732">
        <v>3</v>
      </c>
    </row>
    <row r="733" spans="1:5" x14ac:dyDescent="0.25">
      <c r="A733" t="s">
        <v>44</v>
      </c>
      <c r="B733" t="s">
        <v>8749</v>
      </c>
      <c r="C733" t="s">
        <v>8750</v>
      </c>
      <c r="D733">
        <v>3</v>
      </c>
      <c r="E733">
        <v>3</v>
      </c>
    </row>
    <row r="734" spans="1:5" x14ac:dyDescent="0.25">
      <c r="A734" t="s">
        <v>44</v>
      </c>
      <c r="B734" t="s">
        <v>8751</v>
      </c>
      <c r="C734" t="s">
        <v>8752</v>
      </c>
      <c r="D734">
        <v>3</v>
      </c>
      <c r="E734">
        <v>3</v>
      </c>
    </row>
    <row r="735" spans="1:5" x14ac:dyDescent="0.25">
      <c r="A735" t="s">
        <v>44</v>
      </c>
      <c r="B735" t="s">
        <v>8753</v>
      </c>
      <c r="C735" t="s">
        <v>8754</v>
      </c>
      <c r="D735">
        <v>3</v>
      </c>
      <c r="E735">
        <v>3</v>
      </c>
    </row>
    <row r="736" spans="1:5" x14ac:dyDescent="0.25">
      <c r="A736" t="s">
        <v>44</v>
      </c>
      <c r="B736" t="s">
        <v>8755</v>
      </c>
      <c r="C736" t="s">
        <v>8756</v>
      </c>
      <c r="D736">
        <v>3</v>
      </c>
      <c r="E736">
        <v>3</v>
      </c>
    </row>
    <row r="737" spans="1:5" x14ac:dyDescent="0.25">
      <c r="A737" t="s">
        <v>44</v>
      </c>
      <c r="B737" t="s">
        <v>8757</v>
      </c>
      <c r="C737" t="s">
        <v>8758</v>
      </c>
      <c r="D737">
        <v>3</v>
      </c>
      <c r="E737">
        <v>3</v>
      </c>
    </row>
    <row r="738" spans="1:5" x14ac:dyDescent="0.25">
      <c r="A738" t="s">
        <v>44</v>
      </c>
      <c r="B738" t="s">
        <v>8759</v>
      </c>
      <c r="C738" t="s">
        <v>8760</v>
      </c>
      <c r="D738">
        <v>3</v>
      </c>
      <c r="E738">
        <v>3</v>
      </c>
    </row>
    <row r="739" spans="1:5" x14ac:dyDescent="0.25">
      <c r="A739" t="s">
        <v>44</v>
      </c>
      <c r="B739" t="s">
        <v>8761</v>
      </c>
      <c r="C739" t="s">
        <v>8762</v>
      </c>
      <c r="D739">
        <v>3</v>
      </c>
      <c r="E739">
        <v>3</v>
      </c>
    </row>
    <row r="740" spans="1:5" x14ac:dyDescent="0.25">
      <c r="A740" t="s">
        <v>44</v>
      </c>
      <c r="B740" t="s">
        <v>8763</v>
      </c>
      <c r="C740" t="s">
        <v>8764</v>
      </c>
      <c r="D740">
        <v>3</v>
      </c>
      <c r="E740">
        <v>3</v>
      </c>
    </row>
    <row r="741" spans="1:5" x14ac:dyDescent="0.25">
      <c r="A741" t="s">
        <v>44</v>
      </c>
      <c r="B741" t="s">
        <v>8765</v>
      </c>
      <c r="C741" t="s">
        <v>8766</v>
      </c>
      <c r="D741">
        <v>3</v>
      </c>
      <c r="E741">
        <v>3</v>
      </c>
    </row>
    <row r="742" spans="1:5" x14ac:dyDescent="0.25">
      <c r="A742" t="s">
        <v>44</v>
      </c>
      <c r="B742" t="s">
        <v>8767</v>
      </c>
      <c r="C742" t="s">
        <v>8768</v>
      </c>
      <c r="D742">
        <v>3</v>
      </c>
      <c r="E742">
        <v>3</v>
      </c>
    </row>
    <row r="743" spans="1:5" x14ac:dyDescent="0.25">
      <c r="A743" t="s">
        <v>44</v>
      </c>
      <c r="B743" t="s">
        <v>8769</v>
      </c>
      <c r="C743" t="s">
        <v>8770</v>
      </c>
      <c r="D743">
        <v>3</v>
      </c>
      <c r="E743">
        <v>3</v>
      </c>
    </row>
    <row r="744" spans="1:5" x14ac:dyDescent="0.25">
      <c r="A744" t="s">
        <v>44</v>
      </c>
      <c r="B744" t="s">
        <v>8771</v>
      </c>
      <c r="C744" t="s">
        <v>8772</v>
      </c>
      <c r="D744">
        <v>3</v>
      </c>
      <c r="E744">
        <v>3</v>
      </c>
    </row>
    <row r="745" spans="1:5" x14ac:dyDescent="0.25">
      <c r="A745" t="s">
        <v>44</v>
      </c>
      <c r="B745" t="s">
        <v>8773</v>
      </c>
      <c r="C745" t="s">
        <v>8774</v>
      </c>
      <c r="D745">
        <v>3</v>
      </c>
      <c r="E745">
        <v>3</v>
      </c>
    </row>
    <row r="746" spans="1:5" x14ac:dyDescent="0.25">
      <c r="A746" t="s">
        <v>44</v>
      </c>
      <c r="B746" t="s">
        <v>8775</v>
      </c>
      <c r="C746" t="s">
        <v>8776</v>
      </c>
      <c r="D746">
        <v>3</v>
      </c>
      <c r="E746">
        <v>3</v>
      </c>
    </row>
    <row r="747" spans="1:5" x14ac:dyDescent="0.25">
      <c r="A747" t="s">
        <v>44</v>
      </c>
      <c r="B747" t="s">
        <v>8777</v>
      </c>
      <c r="C747" t="s">
        <v>8778</v>
      </c>
      <c r="D747">
        <v>3</v>
      </c>
      <c r="E747">
        <v>3</v>
      </c>
    </row>
    <row r="748" spans="1:5" x14ac:dyDescent="0.25">
      <c r="A748" t="s">
        <v>44</v>
      </c>
      <c r="B748" t="s">
        <v>8779</v>
      </c>
      <c r="C748" t="s">
        <v>8780</v>
      </c>
      <c r="D748">
        <v>3</v>
      </c>
      <c r="E748">
        <v>3</v>
      </c>
    </row>
    <row r="749" spans="1:5" x14ac:dyDescent="0.25">
      <c r="A749" t="s">
        <v>44</v>
      </c>
      <c r="B749" t="s">
        <v>8781</v>
      </c>
      <c r="C749" t="s">
        <v>8782</v>
      </c>
      <c r="D749">
        <v>3</v>
      </c>
      <c r="E749">
        <v>3</v>
      </c>
    </row>
    <row r="750" spans="1:5" x14ac:dyDescent="0.25">
      <c r="A750" t="s">
        <v>44</v>
      </c>
      <c r="B750" t="s">
        <v>8783</v>
      </c>
      <c r="C750" t="s">
        <v>8784</v>
      </c>
      <c r="D750">
        <v>3</v>
      </c>
      <c r="E750">
        <v>3</v>
      </c>
    </row>
    <row r="751" spans="1:5" x14ac:dyDescent="0.25">
      <c r="A751" t="s">
        <v>44</v>
      </c>
      <c r="B751" t="s">
        <v>8785</v>
      </c>
      <c r="C751" t="s">
        <v>8786</v>
      </c>
      <c r="D751">
        <v>3</v>
      </c>
      <c r="E751">
        <v>3</v>
      </c>
    </row>
    <row r="752" spans="1:5" x14ac:dyDescent="0.25">
      <c r="A752" t="s">
        <v>44</v>
      </c>
      <c r="B752" t="s">
        <v>8787</v>
      </c>
      <c r="C752" t="s">
        <v>8788</v>
      </c>
      <c r="D752">
        <v>3</v>
      </c>
      <c r="E752">
        <v>3</v>
      </c>
    </row>
    <row r="753" spans="1:5" x14ac:dyDescent="0.25">
      <c r="A753" t="s">
        <v>44</v>
      </c>
      <c r="B753" t="s">
        <v>8789</v>
      </c>
      <c r="C753" t="s">
        <v>8790</v>
      </c>
      <c r="D753">
        <v>3</v>
      </c>
      <c r="E753">
        <v>3</v>
      </c>
    </row>
    <row r="754" spans="1:5" x14ac:dyDescent="0.25">
      <c r="A754" t="s">
        <v>44</v>
      </c>
      <c r="B754" t="s">
        <v>8791</v>
      </c>
      <c r="C754" t="s">
        <v>8792</v>
      </c>
      <c r="D754">
        <v>3</v>
      </c>
      <c r="E754">
        <v>3</v>
      </c>
    </row>
    <row r="755" spans="1:5" x14ac:dyDescent="0.25">
      <c r="A755" t="s">
        <v>44</v>
      </c>
      <c r="B755" t="s">
        <v>8793</v>
      </c>
      <c r="C755" t="s">
        <v>8794</v>
      </c>
      <c r="D755">
        <v>3</v>
      </c>
      <c r="E755">
        <v>3</v>
      </c>
    </row>
    <row r="756" spans="1:5" x14ac:dyDescent="0.25">
      <c r="A756" t="s">
        <v>44</v>
      </c>
      <c r="B756" t="s">
        <v>8795</v>
      </c>
      <c r="C756" t="s">
        <v>8796</v>
      </c>
      <c r="D756">
        <v>3</v>
      </c>
      <c r="E756">
        <v>3</v>
      </c>
    </row>
    <row r="757" spans="1:5" x14ac:dyDescent="0.25">
      <c r="A757" t="s">
        <v>44</v>
      </c>
      <c r="B757" t="s">
        <v>8797</v>
      </c>
      <c r="C757" t="s">
        <v>8798</v>
      </c>
      <c r="D757">
        <v>3</v>
      </c>
      <c r="E757">
        <v>3</v>
      </c>
    </row>
    <row r="758" spans="1:5" x14ac:dyDescent="0.25">
      <c r="A758" t="s">
        <v>41</v>
      </c>
      <c r="B758" t="s">
        <v>8799</v>
      </c>
      <c r="C758" t="s">
        <v>8800</v>
      </c>
      <c r="D758">
        <v>2</v>
      </c>
      <c r="E758">
        <v>3</v>
      </c>
    </row>
    <row r="759" spans="1:5" x14ac:dyDescent="0.25">
      <c r="A759" t="s">
        <v>41</v>
      </c>
      <c r="B759" t="s">
        <v>8801</v>
      </c>
      <c r="C759" t="s">
        <v>8802</v>
      </c>
      <c r="D759">
        <v>2</v>
      </c>
      <c r="E759">
        <v>3</v>
      </c>
    </row>
    <row r="760" spans="1:5" x14ac:dyDescent="0.25">
      <c r="A760" t="s">
        <v>41</v>
      </c>
      <c r="B760" t="s">
        <v>8803</v>
      </c>
      <c r="C760" t="s">
        <v>8804</v>
      </c>
      <c r="D760">
        <v>2</v>
      </c>
      <c r="E760">
        <v>3</v>
      </c>
    </row>
    <row r="761" spans="1:5" x14ac:dyDescent="0.25">
      <c r="A761" t="s">
        <v>41</v>
      </c>
      <c r="B761" t="s">
        <v>8805</v>
      </c>
      <c r="C761" t="s">
        <v>8806</v>
      </c>
      <c r="D761">
        <v>2</v>
      </c>
      <c r="E761">
        <v>3</v>
      </c>
    </row>
    <row r="762" spans="1:5" x14ac:dyDescent="0.25">
      <c r="A762" t="s">
        <v>41</v>
      </c>
      <c r="B762" t="s">
        <v>8807</v>
      </c>
      <c r="C762" t="s">
        <v>8808</v>
      </c>
      <c r="D762">
        <v>3</v>
      </c>
      <c r="E762">
        <v>3</v>
      </c>
    </row>
    <row r="763" spans="1:5" x14ac:dyDescent="0.25">
      <c r="A763" t="s">
        <v>41</v>
      </c>
      <c r="B763" t="s">
        <v>8809</v>
      </c>
      <c r="C763" t="s">
        <v>8810</v>
      </c>
      <c r="D763">
        <v>3</v>
      </c>
      <c r="E763">
        <v>3</v>
      </c>
    </row>
    <row r="764" spans="1:5" x14ac:dyDescent="0.25">
      <c r="A764" t="s">
        <v>41</v>
      </c>
      <c r="B764" t="s">
        <v>8811</v>
      </c>
      <c r="C764" t="s">
        <v>8812</v>
      </c>
      <c r="D764">
        <v>3</v>
      </c>
      <c r="E764">
        <v>3</v>
      </c>
    </row>
    <row r="765" spans="1:5" x14ac:dyDescent="0.25">
      <c r="A765" t="s">
        <v>41</v>
      </c>
      <c r="B765" t="s">
        <v>8813</v>
      </c>
      <c r="C765" t="s">
        <v>8814</v>
      </c>
      <c r="D765">
        <v>3</v>
      </c>
      <c r="E765">
        <v>3</v>
      </c>
    </row>
    <row r="766" spans="1:5" x14ac:dyDescent="0.25">
      <c r="A766" t="s">
        <v>41</v>
      </c>
      <c r="B766" t="s">
        <v>8815</v>
      </c>
      <c r="C766" t="s">
        <v>8816</v>
      </c>
      <c r="D766">
        <v>1</v>
      </c>
      <c r="E766">
        <v>2</v>
      </c>
    </row>
    <row r="767" spans="1:5" x14ac:dyDescent="0.25">
      <c r="A767" t="s">
        <v>41</v>
      </c>
      <c r="B767" t="s">
        <v>8817</v>
      </c>
      <c r="C767" t="s">
        <v>8818</v>
      </c>
      <c r="D767">
        <v>1</v>
      </c>
      <c r="E767">
        <v>2</v>
      </c>
    </row>
    <row r="768" spans="1:5" x14ac:dyDescent="0.25">
      <c r="A768" t="s">
        <v>41</v>
      </c>
      <c r="B768" t="s">
        <v>8819</v>
      </c>
      <c r="C768" t="s">
        <v>8820</v>
      </c>
      <c r="D768">
        <v>1</v>
      </c>
      <c r="E768">
        <v>2</v>
      </c>
    </row>
    <row r="769" spans="1:5" x14ac:dyDescent="0.25">
      <c r="A769" t="s">
        <v>41</v>
      </c>
      <c r="B769" t="s">
        <v>8821</v>
      </c>
      <c r="C769" t="s">
        <v>8822</v>
      </c>
      <c r="D769">
        <v>1</v>
      </c>
      <c r="E769">
        <v>2</v>
      </c>
    </row>
    <row r="770" spans="1:5" x14ac:dyDescent="0.25">
      <c r="A770" t="s">
        <v>41</v>
      </c>
      <c r="B770" t="s">
        <v>8823</v>
      </c>
      <c r="C770" t="s">
        <v>8824</v>
      </c>
      <c r="D770">
        <v>2</v>
      </c>
      <c r="E770">
        <v>1</v>
      </c>
    </row>
    <row r="771" spans="1:5" x14ac:dyDescent="0.25">
      <c r="A771" t="s">
        <v>41</v>
      </c>
      <c r="B771" t="s">
        <v>8825</v>
      </c>
      <c r="C771" t="s">
        <v>8826</v>
      </c>
      <c r="D771">
        <v>2</v>
      </c>
      <c r="E771">
        <v>1</v>
      </c>
    </row>
    <row r="772" spans="1:5" x14ac:dyDescent="0.25">
      <c r="A772" t="s">
        <v>41</v>
      </c>
      <c r="B772" t="s">
        <v>8827</v>
      </c>
      <c r="C772" t="s">
        <v>8828</v>
      </c>
      <c r="D772">
        <v>2</v>
      </c>
      <c r="E772">
        <v>1</v>
      </c>
    </row>
    <row r="773" spans="1:5" x14ac:dyDescent="0.25">
      <c r="A773" t="s">
        <v>41</v>
      </c>
      <c r="B773" t="s">
        <v>8829</v>
      </c>
      <c r="C773" t="s">
        <v>8830</v>
      </c>
      <c r="D773">
        <v>2</v>
      </c>
      <c r="E773">
        <v>1</v>
      </c>
    </row>
    <row r="774" spans="1:5" x14ac:dyDescent="0.25">
      <c r="A774" t="s">
        <v>41</v>
      </c>
      <c r="B774" t="s">
        <v>8831</v>
      </c>
      <c r="C774" t="s">
        <v>8832</v>
      </c>
      <c r="D774">
        <v>2</v>
      </c>
      <c r="E774">
        <v>2</v>
      </c>
    </row>
    <row r="775" spans="1:5" x14ac:dyDescent="0.25">
      <c r="A775" t="s">
        <v>41</v>
      </c>
      <c r="B775" t="s">
        <v>8833</v>
      </c>
      <c r="C775" t="s">
        <v>8834</v>
      </c>
      <c r="D775">
        <v>2</v>
      </c>
      <c r="E775">
        <v>2</v>
      </c>
    </row>
    <row r="776" spans="1:5" x14ac:dyDescent="0.25">
      <c r="A776" t="s">
        <v>41</v>
      </c>
      <c r="B776" t="s">
        <v>8835</v>
      </c>
      <c r="C776" t="s">
        <v>8836</v>
      </c>
      <c r="D776">
        <v>2</v>
      </c>
      <c r="E776">
        <v>2</v>
      </c>
    </row>
    <row r="777" spans="1:5" x14ac:dyDescent="0.25">
      <c r="A777" t="s">
        <v>41</v>
      </c>
      <c r="B777" t="s">
        <v>8837</v>
      </c>
      <c r="C777" t="s">
        <v>8838</v>
      </c>
      <c r="D777">
        <v>2</v>
      </c>
      <c r="E777">
        <v>2</v>
      </c>
    </row>
    <row r="778" spans="1:5" x14ac:dyDescent="0.25">
      <c r="A778" t="s">
        <v>41</v>
      </c>
      <c r="B778" t="s">
        <v>8839</v>
      </c>
      <c r="C778" t="s">
        <v>8840</v>
      </c>
      <c r="D778">
        <v>3</v>
      </c>
      <c r="E778">
        <v>3</v>
      </c>
    </row>
    <row r="779" spans="1:5" x14ac:dyDescent="0.25">
      <c r="A779" t="s">
        <v>41</v>
      </c>
      <c r="B779" t="s">
        <v>8841</v>
      </c>
      <c r="C779" t="s">
        <v>8842</v>
      </c>
      <c r="D779">
        <v>3</v>
      </c>
      <c r="E779">
        <v>3</v>
      </c>
    </row>
    <row r="780" spans="1:5" x14ac:dyDescent="0.25">
      <c r="A780" t="s">
        <v>41</v>
      </c>
      <c r="B780" t="s">
        <v>8843</v>
      </c>
      <c r="C780" t="s">
        <v>8844</v>
      </c>
      <c r="D780">
        <v>3</v>
      </c>
      <c r="E780">
        <v>3</v>
      </c>
    </row>
    <row r="781" spans="1:5" x14ac:dyDescent="0.25">
      <c r="A781" t="s">
        <v>41</v>
      </c>
      <c r="B781" t="s">
        <v>8845</v>
      </c>
      <c r="C781" t="s">
        <v>8846</v>
      </c>
      <c r="D781">
        <v>3</v>
      </c>
      <c r="E781">
        <v>3</v>
      </c>
    </row>
    <row r="782" spans="1:5" x14ac:dyDescent="0.25">
      <c r="A782" t="s">
        <v>41</v>
      </c>
      <c r="B782" t="s">
        <v>8847</v>
      </c>
      <c r="C782" t="s">
        <v>8848</v>
      </c>
      <c r="D782">
        <v>3</v>
      </c>
      <c r="E782">
        <v>3</v>
      </c>
    </row>
    <row r="783" spans="1:5" x14ac:dyDescent="0.25">
      <c r="A783" t="s">
        <v>41</v>
      </c>
      <c r="B783" t="s">
        <v>8849</v>
      </c>
      <c r="C783" t="s">
        <v>8850</v>
      </c>
      <c r="D783">
        <v>3</v>
      </c>
      <c r="E783">
        <v>3</v>
      </c>
    </row>
    <row r="784" spans="1:5" x14ac:dyDescent="0.25">
      <c r="A784" t="s">
        <v>41</v>
      </c>
      <c r="B784" t="s">
        <v>8851</v>
      </c>
      <c r="C784" t="s">
        <v>8852</v>
      </c>
      <c r="D784">
        <v>3</v>
      </c>
      <c r="E784">
        <v>3</v>
      </c>
    </row>
    <row r="785" spans="1:5" x14ac:dyDescent="0.25">
      <c r="A785" t="s">
        <v>41</v>
      </c>
      <c r="B785" t="s">
        <v>8853</v>
      </c>
      <c r="C785" t="s">
        <v>8854</v>
      </c>
      <c r="D785">
        <v>3</v>
      </c>
      <c r="E785">
        <v>3</v>
      </c>
    </row>
    <row r="786" spans="1:5" x14ac:dyDescent="0.25">
      <c r="A786" t="s">
        <v>41</v>
      </c>
      <c r="B786" t="s">
        <v>8855</v>
      </c>
      <c r="C786" t="s">
        <v>8856</v>
      </c>
      <c r="D786">
        <v>3</v>
      </c>
      <c r="E786">
        <v>3</v>
      </c>
    </row>
    <row r="787" spans="1:5" x14ac:dyDescent="0.25">
      <c r="A787" t="s">
        <v>41</v>
      </c>
      <c r="B787" t="s">
        <v>8857</v>
      </c>
      <c r="C787" t="s">
        <v>8858</v>
      </c>
      <c r="D787">
        <v>3</v>
      </c>
      <c r="E787">
        <v>3</v>
      </c>
    </row>
    <row r="788" spans="1:5" x14ac:dyDescent="0.25">
      <c r="A788" t="s">
        <v>41</v>
      </c>
      <c r="B788" t="s">
        <v>8859</v>
      </c>
      <c r="C788" t="s">
        <v>8860</v>
      </c>
      <c r="D788">
        <v>3</v>
      </c>
      <c r="E788">
        <v>3</v>
      </c>
    </row>
    <row r="789" spans="1:5" x14ac:dyDescent="0.25">
      <c r="A789" t="s">
        <v>41</v>
      </c>
      <c r="B789" t="s">
        <v>8861</v>
      </c>
      <c r="C789" t="s">
        <v>8862</v>
      </c>
      <c r="D789">
        <v>3</v>
      </c>
      <c r="E789">
        <v>3</v>
      </c>
    </row>
    <row r="790" spans="1:5" x14ac:dyDescent="0.25">
      <c r="A790" t="s">
        <v>41</v>
      </c>
      <c r="B790" t="s">
        <v>8863</v>
      </c>
      <c r="C790" t="s">
        <v>8864</v>
      </c>
      <c r="D790">
        <v>2</v>
      </c>
      <c r="E790">
        <v>2</v>
      </c>
    </row>
    <row r="791" spans="1:5" x14ac:dyDescent="0.25">
      <c r="A791" t="s">
        <v>41</v>
      </c>
      <c r="B791" t="s">
        <v>8865</v>
      </c>
      <c r="C791" t="s">
        <v>8866</v>
      </c>
      <c r="D791">
        <v>2</v>
      </c>
      <c r="E791">
        <v>2</v>
      </c>
    </row>
    <row r="792" spans="1:5" x14ac:dyDescent="0.25">
      <c r="A792" t="s">
        <v>41</v>
      </c>
      <c r="B792" t="s">
        <v>8867</v>
      </c>
      <c r="C792" t="s">
        <v>8868</v>
      </c>
      <c r="D792">
        <v>2</v>
      </c>
      <c r="E792">
        <v>2</v>
      </c>
    </row>
    <row r="793" spans="1:5" x14ac:dyDescent="0.25">
      <c r="A793" t="s">
        <v>41</v>
      </c>
      <c r="B793" t="s">
        <v>8869</v>
      </c>
      <c r="C793" t="s">
        <v>8870</v>
      </c>
      <c r="D793">
        <v>2</v>
      </c>
      <c r="E793">
        <v>2</v>
      </c>
    </row>
    <row r="794" spans="1:5" x14ac:dyDescent="0.25">
      <c r="A794" t="s">
        <v>41</v>
      </c>
      <c r="B794" t="s">
        <v>8871</v>
      </c>
      <c r="C794" t="s">
        <v>8872</v>
      </c>
      <c r="D794">
        <v>2</v>
      </c>
      <c r="E794">
        <v>1</v>
      </c>
    </row>
    <row r="795" spans="1:5" x14ac:dyDescent="0.25">
      <c r="A795" t="s">
        <v>41</v>
      </c>
      <c r="B795" t="s">
        <v>8873</v>
      </c>
      <c r="C795" t="s">
        <v>8874</v>
      </c>
      <c r="D795">
        <v>2</v>
      </c>
      <c r="E795">
        <v>1</v>
      </c>
    </row>
    <row r="796" spans="1:5" x14ac:dyDescent="0.25">
      <c r="A796" t="s">
        <v>41</v>
      </c>
      <c r="B796" t="s">
        <v>8875</v>
      </c>
      <c r="C796" t="s">
        <v>8876</v>
      </c>
      <c r="D796">
        <v>2</v>
      </c>
      <c r="E796">
        <v>1</v>
      </c>
    </row>
    <row r="797" spans="1:5" x14ac:dyDescent="0.25">
      <c r="A797" t="s">
        <v>41</v>
      </c>
      <c r="B797" t="s">
        <v>8877</v>
      </c>
      <c r="C797" t="s">
        <v>8878</v>
      </c>
      <c r="D797">
        <v>2</v>
      </c>
      <c r="E797">
        <v>1</v>
      </c>
    </row>
    <row r="798" spans="1:5" x14ac:dyDescent="0.25">
      <c r="A798" t="s">
        <v>41</v>
      </c>
      <c r="B798" t="s">
        <v>8879</v>
      </c>
      <c r="C798" t="s">
        <v>8880</v>
      </c>
      <c r="D798">
        <v>3</v>
      </c>
      <c r="E798">
        <v>3</v>
      </c>
    </row>
    <row r="799" spans="1:5" x14ac:dyDescent="0.25">
      <c r="A799" t="s">
        <v>41</v>
      </c>
      <c r="B799" t="s">
        <v>8881</v>
      </c>
      <c r="C799" t="s">
        <v>8882</v>
      </c>
      <c r="D799">
        <v>3</v>
      </c>
      <c r="E799">
        <v>3</v>
      </c>
    </row>
    <row r="800" spans="1:5" x14ac:dyDescent="0.25">
      <c r="A800" t="s">
        <v>41</v>
      </c>
      <c r="B800" t="s">
        <v>8883</v>
      </c>
      <c r="C800" t="s">
        <v>8884</v>
      </c>
      <c r="D800">
        <v>3</v>
      </c>
      <c r="E800">
        <v>3</v>
      </c>
    </row>
    <row r="801" spans="1:5" x14ac:dyDescent="0.25">
      <c r="A801" t="s">
        <v>41</v>
      </c>
      <c r="B801" t="s">
        <v>8885</v>
      </c>
      <c r="C801" t="s">
        <v>8886</v>
      </c>
      <c r="D801">
        <v>3</v>
      </c>
      <c r="E801">
        <v>3</v>
      </c>
    </row>
    <row r="802" spans="1:5" x14ac:dyDescent="0.25">
      <c r="A802" t="s">
        <v>41</v>
      </c>
      <c r="B802" t="s">
        <v>8887</v>
      </c>
      <c r="C802" t="s">
        <v>8888</v>
      </c>
      <c r="D802">
        <v>2</v>
      </c>
      <c r="E802">
        <v>2</v>
      </c>
    </row>
    <row r="803" spans="1:5" x14ac:dyDescent="0.25">
      <c r="A803" t="s">
        <v>41</v>
      </c>
      <c r="B803" t="s">
        <v>8889</v>
      </c>
      <c r="C803" t="s">
        <v>8890</v>
      </c>
      <c r="D803">
        <v>2</v>
      </c>
      <c r="E803">
        <v>2</v>
      </c>
    </row>
    <row r="804" spans="1:5" x14ac:dyDescent="0.25">
      <c r="A804" t="s">
        <v>41</v>
      </c>
      <c r="B804" t="s">
        <v>8891</v>
      </c>
      <c r="C804" t="s">
        <v>8892</v>
      </c>
      <c r="D804">
        <v>2</v>
      </c>
      <c r="E804">
        <v>2</v>
      </c>
    </row>
    <row r="805" spans="1:5" x14ac:dyDescent="0.25">
      <c r="A805" t="s">
        <v>41</v>
      </c>
      <c r="B805" t="s">
        <v>8893</v>
      </c>
      <c r="C805" t="s">
        <v>8894</v>
      </c>
      <c r="D805">
        <v>2</v>
      </c>
      <c r="E805">
        <v>2</v>
      </c>
    </row>
    <row r="806" spans="1:5" x14ac:dyDescent="0.25">
      <c r="A806" t="s">
        <v>41</v>
      </c>
      <c r="B806" t="s">
        <v>8895</v>
      </c>
      <c r="C806" t="s">
        <v>8896</v>
      </c>
      <c r="D806">
        <v>3</v>
      </c>
      <c r="E806">
        <v>3</v>
      </c>
    </row>
    <row r="807" spans="1:5" x14ac:dyDescent="0.25">
      <c r="A807" t="s">
        <v>41</v>
      </c>
      <c r="B807" t="s">
        <v>8897</v>
      </c>
      <c r="C807" t="s">
        <v>8898</v>
      </c>
      <c r="D807">
        <v>3</v>
      </c>
      <c r="E807">
        <v>3</v>
      </c>
    </row>
    <row r="808" spans="1:5" x14ac:dyDescent="0.25">
      <c r="A808" t="s">
        <v>41</v>
      </c>
      <c r="B808" t="s">
        <v>8899</v>
      </c>
      <c r="C808" t="s">
        <v>8900</v>
      </c>
      <c r="D808">
        <v>3</v>
      </c>
      <c r="E808">
        <v>3</v>
      </c>
    </row>
    <row r="809" spans="1:5" x14ac:dyDescent="0.25">
      <c r="A809" t="s">
        <v>41</v>
      </c>
      <c r="B809" t="s">
        <v>8901</v>
      </c>
      <c r="C809" t="s">
        <v>8902</v>
      </c>
      <c r="D809">
        <v>3</v>
      </c>
      <c r="E809">
        <v>3</v>
      </c>
    </row>
    <row r="810" spans="1:5" x14ac:dyDescent="0.25">
      <c r="A810" t="s">
        <v>41</v>
      </c>
      <c r="B810" t="s">
        <v>8903</v>
      </c>
      <c r="C810" t="s">
        <v>8904</v>
      </c>
      <c r="D810">
        <v>2</v>
      </c>
      <c r="E810">
        <v>3</v>
      </c>
    </row>
    <row r="811" spans="1:5" x14ac:dyDescent="0.25">
      <c r="A811" t="s">
        <v>41</v>
      </c>
      <c r="B811" t="s">
        <v>8905</v>
      </c>
      <c r="C811" t="s">
        <v>8906</v>
      </c>
      <c r="D811">
        <v>2</v>
      </c>
      <c r="E811">
        <v>3</v>
      </c>
    </row>
    <row r="812" spans="1:5" x14ac:dyDescent="0.25">
      <c r="A812" t="s">
        <v>41</v>
      </c>
      <c r="B812" t="s">
        <v>8907</v>
      </c>
      <c r="C812" t="s">
        <v>8908</v>
      </c>
      <c r="D812">
        <v>2</v>
      </c>
      <c r="E812">
        <v>3</v>
      </c>
    </row>
    <row r="813" spans="1:5" x14ac:dyDescent="0.25">
      <c r="A813" t="s">
        <v>41</v>
      </c>
      <c r="B813" t="s">
        <v>8909</v>
      </c>
      <c r="C813" t="s">
        <v>8910</v>
      </c>
      <c r="D813">
        <v>2</v>
      </c>
      <c r="E813">
        <v>3</v>
      </c>
    </row>
    <row r="814" spans="1:5" x14ac:dyDescent="0.25">
      <c r="A814" t="s">
        <v>41</v>
      </c>
      <c r="B814" t="s">
        <v>8911</v>
      </c>
      <c r="C814" t="s">
        <v>8912</v>
      </c>
      <c r="D814">
        <v>2</v>
      </c>
      <c r="E814">
        <v>2</v>
      </c>
    </row>
    <row r="815" spans="1:5" x14ac:dyDescent="0.25">
      <c r="A815" t="s">
        <v>41</v>
      </c>
      <c r="B815" t="s">
        <v>8913</v>
      </c>
      <c r="C815" t="s">
        <v>8914</v>
      </c>
      <c r="D815">
        <v>2</v>
      </c>
      <c r="E815">
        <v>2</v>
      </c>
    </row>
    <row r="816" spans="1:5" x14ac:dyDescent="0.25">
      <c r="A816" t="s">
        <v>41</v>
      </c>
      <c r="B816" t="s">
        <v>8915</v>
      </c>
      <c r="C816" t="s">
        <v>8916</v>
      </c>
      <c r="D816">
        <v>2</v>
      </c>
      <c r="E816">
        <v>2</v>
      </c>
    </row>
    <row r="817" spans="1:5" x14ac:dyDescent="0.25">
      <c r="A817" t="s">
        <v>41</v>
      </c>
      <c r="B817" t="s">
        <v>8917</v>
      </c>
      <c r="C817" t="s">
        <v>8918</v>
      </c>
      <c r="D817">
        <v>2</v>
      </c>
      <c r="E817">
        <v>2</v>
      </c>
    </row>
    <row r="818" spans="1:5" x14ac:dyDescent="0.25">
      <c r="A818" t="s">
        <v>41</v>
      </c>
      <c r="B818" t="s">
        <v>8919</v>
      </c>
      <c r="C818" t="s">
        <v>8920</v>
      </c>
      <c r="D818">
        <v>2</v>
      </c>
      <c r="E818">
        <v>1</v>
      </c>
    </row>
    <row r="819" spans="1:5" x14ac:dyDescent="0.25">
      <c r="A819" t="s">
        <v>41</v>
      </c>
      <c r="B819" t="s">
        <v>8921</v>
      </c>
      <c r="C819" t="s">
        <v>8922</v>
      </c>
      <c r="D819">
        <v>2</v>
      </c>
      <c r="E819">
        <v>1</v>
      </c>
    </row>
    <row r="820" spans="1:5" x14ac:dyDescent="0.25">
      <c r="A820" t="s">
        <v>41</v>
      </c>
      <c r="B820" t="s">
        <v>8923</v>
      </c>
      <c r="C820" t="s">
        <v>8924</v>
      </c>
      <c r="D820">
        <v>2</v>
      </c>
      <c r="E820">
        <v>1</v>
      </c>
    </row>
    <row r="821" spans="1:5" x14ac:dyDescent="0.25">
      <c r="A821" t="s">
        <v>41</v>
      </c>
      <c r="B821" t="s">
        <v>8925</v>
      </c>
      <c r="C821" t="s">
        <v>8926</v>
      </c>
      <c r="D821">
        <v>2</v>
      </c>
      <c r="E821">
        <v>1</v>
      </c>
    </row>
    <row r="822" spans="1:5" x14ac:dyDescent="0.25">
      <c r="A822" t="s">
        <v>41</v>
      </c>
      <c r="B822" t="s">
        <v>8927</v>
      </c>
      <c r="C822" t="s">
        <v>8928</v>
      </c>
      <c r="D822">
        <v>3</v>
      </c>
      <c r="E822">
        <v>3</v>
      </c>
    </row>
    <row r="823" spans="1:5" x14ac:dyDescent="0.25">
      <c r="A823" t="s">
        <v>41</v>
      </c>
      <c r="B823" t="s">
        <v>8929</v>
      </c>
      <c r="C823" t="s">
        <v>8930</v>
      </c>
      <c r="D823">
        <v>3</v>
      </c>
      <c r="E823">
        <v>3</v>
      </c>
    </row>
    <row r="824" spans="1:5" x14ac:dyDescent="0.25">
      <c r="A824" t="s">
        <v>41</v>
      </c>
      <c r="B824" t="s">
        <v>8931</v>
      </c>
      <c r="C824" t="s">
        <v>8932</v>
      </c>
      <c r="D824">
        <v>3</v>
      </c>
      <c r="E824">
        <v>3</v>
      </c>
    </row>
    <row r="825" spans="1:5" x14ac:dyDescent="0.25">
      <c r="A825" t="s">
        <v>41</v>
      </c>
      <c r="B825" t="s">
        <v>8933</v>
      </c>
      <c r="C825" t="s">
        <v>8934</v>
      </c>
      <c r="D825">
        <v>3</v>
      </c>
      <c r="E825">
        <v>3</v>
      </c>
    </row>
    <row r="826" spans="1:5" x14ac:dyDescent="0.25">
      <c r="A826" t="s">
        <v>41</v>
      </c>
      <c r="B826" t="s">
        <v>8935</v>
      </c>
      <c r="C826" t="s">
        <v>8936</v>
      </c>
      <c r="D826">
        <v>2</v>
      </c>
      <c r="E826">
        <v>1</v>
      </c>
    </row>
    <row r="827" spans="1:5" x14ac:dyDescent="0.25">
      <c r="A827" t="s">
        <v>41</v>
      </c>
      <c r="B827" t="s">
        <v>8937</v>
      </c>
      <c r="C827" t="s">
        <v>8938</v>
      </c>
      <c r="D827">
        <v>2</v>
      </c>
      <c r="E827">
        <v>1</v>
      </c>
    </row>
    <row r="828" spans="1:5" x14ac:dyDescent="0.25">
      <c r="A828" t="s">
        <v>41</v>
      </c>
      <c r="B828" t="s">
        <v>8939</v>
      </c>
      <c r="C828" t="s">
        <v>8940</v>
      </c>
      <c r="D828">
        <v>2</v>
      </c>
      <c r="E828">
        <v>1</v>
      </c>
    </row>
    <row r="829" spans="1:5" x14ac:dyDescent="0.25">
      <c r="A829" t="s">
        <v>41</v>
      </c>
      <c r="B829" t="s">
        <v>8941</v>
      </c>
      <c r="C829" t="s">
        <v>8942</v>
      </c>
      <c r="D829">
        <v>2</v>
      </c>
      <c r="E829">
        <v>1</v>
      </c>
    </row>
    <row r="830" spans="1:5" x14ac:dyDescent="0.25">
      <c r="A830" t="s">
        <v>41</v>
      </c>
      <c r="B830" t="s">
        <v>8943</v>
      </c>
      <c r="C830" t="s">
        <v>8944</v>
      </c>
      <c r="D830">
        <v>2</v>
      </c>
      <c r="E830">
        <v>1</v>
      </c>
    </row>
    <row r="831" spans="1:5" x14ac:dyDescent="0.25">
      <c r="A831" t="s">
        <v>41</v>
      </c>
      <c r="B831" t="s">
        <v>8945</v>
      </c>
      <c r="C831" t="s">
        <v>8946</v>
      </c>
      <c r="D831">
        <v>2</v>
      </c>
      <c r="E831">
        <v>1</v>
      </c>
    </row>
    <row r="832" spans="1:5" x14ac:dyDescent="0.25">
      <c r="A832" t="s">
        <v>41</v>
      </c>
      <c r="B832" t="s">
        <v>8947</v>
      </c>
      <c r="C832" t="s">
        <v>8948</v>
      </c>
      <c r="D832">
        <v>2</v>
      </c>
      <c r="E832">
        <v>1</v>
      </c>
    </row>
    <row r="833" spans="1:5" x14ac:dyDescent="0.25">
      <c r="A833" t="s">
        <v>41</v>
      </c>
      <c r="B833" t="s">
        <v>8949</v>
      </c>
      <c r="C833" t="s">
        <v>8950</v>
      </c>
      <c r="D833">
        <v>2</v>
      </c>
      <c r="E833">
        <v>1</v>
      </c>
    </row>
    <row r="834" spans="1:5" x14ac:dyDescent="0.25">
      <c r="A834" t="s">
        <v>41</v>
      </c>
      <c r="B834" t="s">
        <v>8951</v>
      </c>
      <c r="C834" t="s">
        <v>8952</v>
      </c>
      <c r="D834">
        <v>2</v>
      </c>
      <c r="E834">
        <v>1</v>
      </c>
    </row>
    <row r="835" spans="1:5" x14ac:dyDescent="0.25">
      <c r="A835" t="s">
        <v>41</v>
      </c>
      <c r="B835" t="s">
        <v>8953</v>
      </c>
      <c r="C835" t="s">
        <v>8954</v>
      </c>
      <c r="D835">
        <v>2</v>
      </c>
      <c r="E835">
        <v>1</v>
      </c>
    </row>
    <row r="836" spans="1:5" x14ac:dyDescent="0.25">
      <c r="A836" t="s">
        <v>41</v>
      </c>
      <c r="B836" t="s">
        <v>8955</v>
      </c>
      <c r="C836" t="s">
        <v>8956</v>
      </c>
      <c r="D836">
        <v>2</v>
      </c>
      <c r="E836">
        <v>1</v>
      </c>
    </row>
    <row r="837" spans="1:5" x14ac:dyDescent="0.25">
      <c r="A837" t="s">
        <v>41</v>
      </c>
      <c r="B837" t="s">
        <v>8957</v>
      </c>
      <c r="C837" t="s">
        <v>8958</v>
      </c>
      <c r="D837">
        <v>2</v>
      </c>
      <c r="E837">
        <v>1</v>
      </c>
    </row>
    <row r="838" spans="1:5" x14ac:dyDescent="0.25">
      <c r="A838" t="s">
        <v>41</v>
      </c>
      <c r="B838" t="s">
        <v>8959</v>
      </c>
      <c r="C838" t="s">
        <v>8960</v>
      </c>
      <c r="D838">
        <v>2</v>
      </c>
      <c r="E838">
        <v>2</v>
      </c>
    </row>
    <row r="839" spans="1:5" x14ac:dyDescent="0.25">
      <c r="A839" t="s">
        <v>41</v>
      </c>
      <c r="B839" t="s">
        <v>8961</v>
      </c>
      <c r="C839" t="s">
        <v>8962</v>
      </c>
      <c r="D839">
        <v>2</v>
      </c>
      <c r="E839">
        <v>2</v>
      </c>
    </row>
    <row r="840" spans="1:5" x14ac:dyDescent="0.25">
      <c r="A840" t="s">
        <v>41</v>
      </c>
      <c r="B840" t="s">
        <v>8963</v>
      </c>
      <c r="C840" t="s">
        <v>8964</v>
      </c>
      <c r="D840">
        <v>2</v>
      </c>
      <c r="E840">
        <v>2</v>
      </c>
    </row>
    <row r="841" spans="1:5" x14ac:dyDescent="0.25">
      <c r="A841" t="s">
        <v>41</v>
      </c>
      <c r="B841" t="s">
        <v>8965</v>
      </c>
      <c r="C841" t="s">
        <v>8966</v>
      </c>
      <c r="D841">
        <v>2</v>
      </c>
      <c r="E841">
        <v>2</v>
      </c>
    </row>
    <row r="842" spans="1:5" x14ac:dyDescent="0.25">
      <c r="A842" t="s">
        <v>41</v>
      </c>
      <c r="B842" t="s">
        <v>8967</v>
      </c>
      <c r="C842" t="s">
        <v>8968</v>
      </c>
      <c r="D842">
        <v>3</v>
      </c>
      <c r="E842">
        <v>3</v>
      </c>
    </row>
    <row r="843" spans="1:5" x14ac:dyDescent="0.25">
      <c r="A843" t="s">
        <v>41</v>
      </c>
      <c r="B843" t="s">
        <v>8969</v>
      </c>
      <c r="C843" t="s">
        <v>8970</v>
      </c>
      <c r="D843">
        <v>3</v>
      </c>
      <c r="E843">
        <v>3</v>
      </c>
    </row>
    <row r="844" spans="1:5" x14ac:dyDescent="0.25">
      <c r="A844" t="s">
        <v>41</v>
      </c>
      <c r="B844" t="s">
        <v>8971</v>
      </c>
      <c r="C844" t="s">
        <v>8972</v>
      </c>
      <c r="D844">
        <v>3</v>
      </c>
      <c r="E844">
        <v>3</v>
      </c>
    </row>
    <row r="845" spans="1:5" x14ac:dyDescent="0.25">
      <c r="A845" t="s">
        <v>41</v>
      </c>
      <c r="B845" t="s">
        <v>8973</v>
      </c>
      <c r="C845" t="s">
        <v>8974</v>
      </c>
      <c r="D845">
        <v>3</v>
      </c>
      <c r="E845">
        <v>3</v>
      </c>
    </row>
    <row r="846" spans="1:5" x14ac:dyDescent="0.25">
      <c r="A846" t="s">
        <v>41</v>
      </c>
      <c r="B846" t="s">
        <v>8975</v>
      </c>
      <c r="C846" t="s">
        <v>8976</v>
      </c>
      <c r="D846">
        <v>2</v>
      </c>
      <c r="E846">
        <v>1</v>
      </c>
    </row>
    <row r="847" spans="1:5" x14ac:dyDescent="0.25">
      <c r="A847" t="s">
        <v>41</v>
      </c>
      <c r="B847" t="s">
        <v>8977</v>
      </c>
      <c r="C847" t="s">
        <v>8978</v>
      </c>
      <c r="D847">
        <v>2</v>
      </c>
      <c r="E847">
        <v>1</v>
      </c>
    </row>
    <row r="848" spans="1:5" x14ac:dyDescent="0.25">
      <c r="A848" t="s">
        <v>41</v>
      </c>
      <c r="B848" t="s">
        <v>8979</v>
      </c>
      <c r="C848" t="s">
        <v>8980</v>
      </c>
      <c r="D848">
        <v>2</v>
      </c>
      <c r="E848">
        <v>1</v>
      </c>
    </row>
    <row r="849" spans="1:5" x14ac:dyDescent="0.25">
      <c r="A849" t="s">
        <v>41</v>
      </c>
      <c r="B849" t="s">
        <v>8981</v>
      </c>
      <c r="C849" t="s">
        <v>8982</v>
      </c>
      <c r="D849">
        <v>2</v>
      </c>
      <c r="E849">
        <v>1</v>
      </c>
    </row>
    <row r="850" spans="1:5" x14ac:dyDescent="0.25">
      <c r="A850" t="s">
        <v>41</v>
      </c>
      <c r="B850" t="s">
        <v>8983</v>
      </c>
      <c r="C850" t="s">
        <v>8984</v>
      </c>
      <c r="D850">
        <v>2</v>
      </c>
      <c r="E850">
        <v>3</v>
      </c>
    </row>
    <row r="851" spans="1:5" x14ac:dyDescent="0.25">
      <c r="A851" t="s">
        <v>41</v>
      </c>
      <c r="B851" t="s">
        <v>8985</v>
      </c>
      <c r="C851" t="s">
        <v>8986</v>
      </c>
      <c r="D851">
        <v>2</v>
      </c>
      <c r="E851">
        <v>3</v>
      </c>
    </row>
    <row r="852" spans="1:5" x14ac:dyDescent="0.25">
      <c r="A852" t="s">
        <v>41</v>
      </c>
      <c r="B852" t="s">
        <v>8987</v>
      </c>
      <c r="C852" t="s">
        <v>8988</v>
      </c>
      <c r="D852">
        <v>2</v>
      </c>
      <c r="E852">
        <v>3</v>
      </c>
    </row>
    <row r="853" spans="1:5" x14ac:dyDescent="0.25">
      <c r="A853" t="s">
        <v>41</v>
      </c>
      <c r="B853" t="s">
        <v>8989</v>
      </c>
      <c r="C853" t="s">
        <v>8990</v>
      </c>
      <c r="D853">
        <v>2</v>
      </c>
      <c r="E853">
        <v>3</v>
      </c>
    </row>
    <row r="854" spans="1:5" x14ac:dyDescent="0.25">
      <c r="A854" t="s">
        <v>41</v>
      </c>
      <c r="B854" t="s">
        <v>8991</v>
      </c>
      <c r="C854" t="s">
        <v>8992</v>
      </c>
      <c r="D854">
        <v>2</v>
      </c>
      <c r="E854">
        <v>2</v>
      </c>
    </row>
    <row r="855" spans="1:5" x14ac:dyDescent="0.25">
      <c r="A855" t="s">
        <v>41</v>
      </c>
      <c r="B855" t="s">
        <v>8993</v>
      </c>
      <c r="C855" t="s">
        <v>8994</v>
      </c>
      <c r="D855">
        <v>2</v>
      </c>
      <c r="E855">
        <v>2</v>
      </c>
    </row>
    <row r="856" spans="1:5" x14ac:dyDescent="0.25">
      <c r="A856" t="s">
        <v>41</v>
      </c>
      <c r="B856" t="s">
        <v>8995</v>
      </c>
      <c r="C856" t="s">
        <v>8996</v>
      </c>
      <c r="D856">
        <v>2</v>
      </c>
      <c r="E856">
        <v>2</v>
      </c>
    </row>
    <row r="857" spans="1:5" x14ac:dyDescent="0.25">
      <c r="A857" t="s">
        <v>41</v>
      </c>
      <c r="B857" t="s">
        <v>8997</v>
      </c>
      <c r="C857" t="s">
        <v>8998</v>
      </c>
      <c r="D857">
        <v>2</v>
      </c>
      <c r="E857">
        <v>2</v>
      </c>
    </row>
    <row r="858" spans="1:5" x14ac:dyDescent="0.25">
      <c r="A858" t="s">
        <v>41</v>
      </c>
      <c r="B858" t="s">
        <v>8999</v>
      </c>
      <c r="C858" t="s">
        <v>9000</v>
      </c>
      <c r="D858">
        <v>2</v>
      </c>
      <c r="E858">
        <v>1</v>
      </c>
    </row>
    <row r="859" spans="1:5" x14ac:dyDescent="0.25">
      <c r="A859" t="s">
        <v>41</v>
      </c>
      <c r="B859" t="s">
        <v>9001</v>
      </c>
      <c r="C859" t="s">
        <v>9002</v>
      </c>
      <c r="D859">
        <v>2</v>
      </c>
      <c r="E859">
        <v>1</v>
      </c>
    </row>
    <row r="860" spans="1:5" x14ac:dyDescent="0.25">
      <c r="A860" t="s">
        <v>41</v>
      </c>
      <c r="B860" t="s">
        <v>9003</v>
      </c>
      <c r="C860" t="s">
        <v>9004</v>
      </c>
      <c r="D860">
        <v>2</v>
      </c>
      <c r="E860">
        <v>1</v>
      </c>
    </row>
    <row r="861" spans="1:5" x14ac:dyDescent="0.25">
      <c r="A861" t="s">
        <v>41</v>
      </c>
      <c r="B861" t="s">
        <v>9005</v>
      </c>
      <c r="C861" t="s">
        <v>9006</v>
      </c>
      <c r="D861">
        <v>2</v>
      </c>
      <c r="E861">
        <v>1</v>
      </c>
    </row>
    <row r="862" spans="1:5" x14ac:dyDescent="0.25">
      <c r="A862" t="s">
        <v>19</v>
      </c>
      <c r="B862" t="s">
        <v>9007</v>
      </c>
      <c r="C862" t="s">
        <v>9008</v>
      </c>
      <c r="D862">
        <v>0</v>
      </c>
      <c r="E862">
        <v>2</v>
      </c>
    </row>
    <row r="863" spans="1:5" x14ac:dyDescent="0.25">
      <c r="A863" t="s">
        <v>19</v>
      </c>
      <c r="B863" t="s">
        <v>9009</v>
      </c>
      <c r="C863" t="s">
        <v>9010</v>
      </c>
      <c r="D863">
        <v>0</v>
      </c>
      <c r="E863">
        <v>2</v>
      </c>
    </row>
    <row r="864" spans="1:5" x14ac:dyDescent="0.25">
      <c r="A864" t="s">
        <v>19</v>
      </c>
      <c r="B864" t="s">
        <v>9011</v>
      </c>
      <c r="C864" t="s">
        <v>9012</v>
      </c>
      <c r="D864">
        <v>0</v>
      </c>
      <c r="E864">
        <v>2</v>
      </c>
    </row>
    <row r="865" spans="1:5" x14ac:dyDescent="0.25">
      <c r="A865" t="s">
        <v>19</v>
      </c>
      <c r="B865" t="s">
        <v>9013</v>
      </c>
      <c r="C865" t="s">
        <v>9014</v>
      </c>
      <c r="D865">
        <v>1</v>
      </c>
      <c r="E865">
        <v>1</v>
      </c>
    </row>
    <row r="866" spans="1:5" x14ac:dyDescent="0.25">
      <c r="A866" t="s">
        <v>19</v>
      </c>
      <c r="B866" t="s">
        <v>9015</v>
      </c>
      <c r="C866" t="s">
        <v>9016</v>
      </c>
      <c r="D866">
        <v>0</v>
      </c>
      <c r="E866">
        <v>2</v>
      </c>
    </row>
    <row r="867" spans="1:5" x14ac:dyDescent="0.25">
      <c r="A867" t="s">
        <v>19</v>
      </c>
      <c r="B867" t="s">
        <v>9017</v>
      </c>
      <c r="C867" t="s">
        <v>9018</v>
      </c>
      <c r="D867">
        <v>0</v>
      </c>
      <c r="E867">
        <v>2</v>
      </c>
    </row>
    <row r="868" spans="1:5" x14ac:dyDescent="0.25">
      <c r="A868" t="s">
        <v>19</v>
      </c>
      <c r="B868" t="s">
        <v>9019</v>
      </c>
      <c r="C868" t="s">
        <v>9020</v>
      </c>
      <c r="D868">
        <v>1</v>
      </c>
      <c r="E868">
        <v>1</v>
      </c>
    </row>
    <row r="869" spans="1:5" x14ac:dyDescent="0.25">
      <c r="A869" t="s">
        <v>19</v>
      </c>
      <c r="B869" t="s">
        <v>9021</v>
      </c>
      <c r="C869" t="s">
        <v>9022</v>
      </c>
      <c r="D869">
        <v>0</v>
      </c>
      <c r="E869">
        <v>2</v>
      </c>
    </row>
    <row r="870" spans="1:5" x14ac:dyDescent="0.25">
      <c r="A870" t="s">
        <v>19</v>
      </c>
      <c r="B870" t="s">
        <v>9023</v>
      </c>
      <c r="C870" t="s">
        <v>9024</v>
      </c>
      <c r="D870">
        <v>0</v>
      </c>
      <c r="E870">
        <v>2</v>
      </c>
    </row>
    <row r="871" spans="1:5" x14ac:dyDescent="0.25">
      <c r="A871" t="s">
        <v>19</v>
      </c>
      <c r="B871" t="s">
        <v>9025</v>
      </c>
      <c r="C871" t="s">
        <v>9026</v>
      </c>
      <c r="D871">
        <v>0</v>
      </c>
      <c r="E871">
        <v>2</v>
      </c>
    </row>
    <row r="872" spans="1:5" x14ac:dyDescent="0.25">
      <c r="A872" t="s">
        <v>29</v>
      </c>
      <c r="B872" t="s">
        <v>9027</v>
      </c>
      <c r="C872" t="s">
        <v>9028</v>
      </c>
      <c r="D872">
        <v>0</v>
      </c>
      <c r="E872">
        <v>1</v>
      </c>
    </row>
    <row r="873" spans="1:5" x14ac:dyDescent="0.25">
      <c r="A873" t="s">
        <v>29</v>
      </c>
      <c r="B873" t="s">
        <v>9029</v>
      </c>
      <c r="C873" t="s">
        <v>9030</v>
      </c>
      <c r="D873">
        <v>0</v>
      </c>
      <c r="E873">
        <v>1</v>
      </c>
    </row>
    <row r="874" spans="1:5" x14ac:dyDescent="0.25">
      <c r="A874" t="s">
        <v>29</v>
      </c>
      <c r="B874" t="s">
        <v>9031</v>
      </c>
      <c r="C874" t="s">
        <v>9032</v>
      </c>
      <c r="D874">
        <v>0</v>
      </c>
      <c r="E874">
        <v>1</v>
      </c>
    </row>
    <row r="875" spans="1:5" x14ac:dyDescent="0.25">
      <c r="A875" t="s">
        <v>29</v>
      </c>
      <c r="B875" t="s">
        <v>9033</v>
      </c>
      <c r="C875" t="s">
        <v>9034</v>
      </c>
      <c r="D875">
        <v>0</v>
      </c>
      <c r="E875">
        <v>1</v>
      </c>
    </row>
    <row r="876" spans="1:5" x14ac:dyDescent="0.25">
      <c r="A876" t="s">
        <v>29</v>
      </c>
      <c r="B876" t="s">
        <v>9035</v>
      </c>
      <c r="C876" t="s">
        <v>9036</v>
      </c>
      <c r="D876">
        <v>0</v>
      </c>
      <c r="E876">
        <v>2</v>
      </c>
    </row>
    <row r="877" spans="1:5" x14ac:dyDescent="0.25">
      <c r="A877" t="s">
        <v>29</v>
      </c>
      <c r="B877" t="s">
        <v>9037</v>
      </c>
      <c r="C877" t="s">
        <v>9038</v>
      </c>
      <c r="D877">
        <v>0</v>
      </c>
      <c r="E877">
        <v>2</v>
      </c>
    </row>
    <row r="878" spans="1:5" x14ac:dyDescent="0.25">
      <c r="A878" t="s">
        <v>29</v>
      </c>
      <c r="B878" t="s">
        <v>9039</v>
      </c>
      <c r="C878" t="s">
        <v>9040</v>
      </c>
      <c r="D878">
        <v>0</v>
      </c>
      <c r="E878">
        <v>2</v>
      </c>
    </row>
    <row r="879" spans="1:5" x14ac:dyDescent="0.25">
      <c r="A879" t="s">
        <v>29</v>
      </c>
      <c r="B879" t="s">
        <v>9041</v>
      </c>
      <c r="C879" t="s">
        <v>9042</v>
      </c>
      <c r="D879">
        <v>0</v>
      </c>
      <c r="E879">
        <v>2</v>
      </c>
    </row>
    <row r="880" spans="1:5" x14ac:dyDescent="0.25">
      <c r="A880" t="s">
        <v>29</v>
      </c>
      <c r="B880" t="s">
        <v>9043</v>
      </c>
      <c r="C880" t="s">
        <v>9044</v>
      </c>
      <c r="D880">
        <v>0</v>
      </c>
      <c r="E880">
        <v>2</v>
      </c>
    </row>
    <row r="881" spans="1:5" x14ac:dyDescent="0.25">
      <c r="A881" t="s">
        <v>29</v>
      </c>
      <c r="B881" t="s">
        <v>9045</v>
      </c>
      <c r="C881" t="s">
        <v>9046</v>
      </c>
      <c r="D881">
        <v>0</v>
      </c>
      <c r="E881">
        <v>2</v>
      </c>
    </row>
    <row r="882" spans="1:5" x14ac:dyDescent="0.25">
      <c r="A882" t="s">
        <v>29</v>
      </c>
      <c r="B882" t="s">
        <v>9047</v>
      </c>
      <c r="C882" t="s">
        <v>9048</v>
      </c>
      <c r="D882">
        <v>0</v>
      </c>
      <c r="E882">
        <v>2</v>
      </c>
    </row>
    <row r="883" spans="1:5" x14ac:dyDescent="0.25">
      <c r="A883" t="s">
        <v>29</v>
      </c>
      <c r="B883" t="s">
        <v>9049</v>
      </c>
      <c r="C883" t="s">
        <v>9050</v>
      </c>
      <c r="D883">
        <v>0</v>
      </c>
      <c r="E883">
        <v>2</v>
      </c>
    </row>
    <row r="884" spans="1:5" x14ac:dyDescent="0.25">
      <c r="A884" t="s">
        <v>29</v>
      </c>
      <c r="B884" t="s">
        <v>9051</v>
      </c>
      <c r="C884" t="s">
        <v>9052</v>
      </c>
      <c r="D884">
        <v>0</v>
      </c>
      <c r="E884">
        <v>1</v>
      </c>
    </row>
    <row r="885" spans="1:5" x14ac:dyDescent="0.25">
      <c r="A885" t="s">
        <v>29</v>
      </c>
      <c r="B885" t="s">
        <v>9053</v>
      </c>
      <c r="C885" t="s">
        <v>9054</v>
      </c>
      <c r="D885">
        <v>0</v>
      </c>
      <c r="E885">
        <v>1</v>
      </c>
    </row>
    <row r="886" spans="1:5" x14ac:dyDescent="0.25">
      <c r="A886" t="s">
        <v>29</v>
      </c>
      <c r="B886" t="s">
        <v>9055</v>
      </c>
      <c r="C886" t="s">
        <v>9056</v>
      </c>
      <c r="D886">
        <v>0</v>
      </c>
      <c r="E886">
        <v>1</v>
      </c>
    </row>
    <row r="887" spans="1:5" x14ac:dyDescent="0.25">
      <c r="A887" t="s">
        <v>29</v>
      </c>
      <c r="B887" t="s">
        <v>9057</v>
      </c>
      <c r="C887" t="s">
        <v>9058</v>
      </c>
      <c r="D887">
        <v>0</v>
      </c>
      <c r="E887">
        <v>1</v>
      </c>
    </row>
    <row r="888" spans="1:5" x14ac:dyDescent="0.25">
      <c r="A888" t="s">
        <v>29</v>
      </c>
      <c r="B888" t="s">
        <v>9059</v>
      </c>
      <c r="C888" t="s">
        <v>9060</v>
      </c>
      <c r="D888">
        <v>0</v>
      </c>
      <c r="E888">
        <v>3</v>
      </c>
    </row>
    <row r="889" spans="1:5" x14ac:dyDescent="0.25">
      <c r="A889" t="s">
        <v>29</v>
      </c>
      <c r="B889" t="s">
        <v>9061</v>
      </c>
      <c r="C889" t="s">
        <v>9062</v>
      </c>
      <c r="D889">
        <v>0</v>
      </c>
      <c r="E889">
        <v>3</v>
      </c>
    </row>
    <row r="890" spans="1:5" x14ac:dyDescent="0.25">
      <c r="A890" t="s">
        <v>29</v>
      </c>
      <c r="B890" t="s">
        <v>9063</v>
      </c>
      <c r="C890" t="s">
        <v>9064</v>
      </c>
      <c r="D890">
        <v>0</v>
      </c>
      <c r="E890">
        <v>3</v>
      </c>
    </row>
    <row r="891" spans="1:5" x14ac:dyDescent="0.25">
      <c r="A891" t="s">
        <v>29</v>
      </c>
      <c r="B891" t="s">
        <v>9065</v>
      </c>
      <c r="C891" t="s">
        <v>9066</v>
      </c>
      <c r="D891">
        <v>0</v>
      </c>
      <c r="E891">
        <v>3</v>
      </c>
    </row>
    <row r="892" spans="1:5" x14ac:dyDescent="0.25">
      <c r="A892" t="s">
        <v>29</v>
      </c>
      <c r="B892" t="s">
        <v>9067</v>
      </c>
      <c r="C892" t="s">
        <v>9068</v>
      </c>
      <c r="D892">
        <v>0</v>
      </c>
      <c r="E892">
        <v>2</v>
      </c>
    </row>
    <row r="893" spans="1:5" x14ac:dyDescent="0.25">
      <c r="A893" t="s">
        <v>29</v>
      </c>
      <c r="B893" t="s">
        <v>9069</v>
      </c>
      <c r="C893" t="s">
        <v>9070</v>
      </c>
      <c r="D893">
        <v>0</v>
      </c>
      <c r="E893">
        <v>2</v>
      </c>
    </row>
    <row r="894" spans="1:5" x14ac:dyDescent="0.25">
      <c r="A894" t="s">
        <v>29</v>
      </c>
      <c r="B894" t="s">
        <v>9071</v>
      </c>
      <c r="C894" t="s">
        <v>9072</v>
      </c>
      <c r="D894">
        <v>0</v>
      </c>
      <c r="E894">
        <v>2</v>
      </c>
    </row>
    <row r="895" spans="1:5" x14ac:dyDescent="0.25">
      <c r="A895" t="s">
        <v>29</v>
      </c>
      <c r="B895" t="s">
        <v>9073</v>
      </c>
      <c r="C895" t="s">
        <v>9074</v>
      </c>
      <c r="D895">
        <v>0</v>
      </c>
      <c r="E895">
        <v>2</v>
      </c>
    </row>
    <row r="896" spans="1:5" x14ac:dyDescent="0.25">
      <c r="A896" t="s">
        <v>29</v>
      </c>
      <c r="B896" t="s">
        <v>9075</v>
      </c>
      <c r="C896" t="s">
        <v>9076</v>
      </c>
      <c r="D896">
        <v>0</v>
      </c>
      <c r="E896">
        <v>3</v>
      </c>
    </row>
    <row r="897" spans="1:5" x14ac:dyDescent="0.25">
      <c r="A897" t="s">
        <v>29</v>
      </c>
      <c r="B897" t="s">
        <v>9077</v>
      </c>
      <c r="C897" t="s">
        <v>9078</v>
      </c>
      <c r="D897">
        <v>0</v>
      </c>
      <c r="E897">
        <v>3</v>
      </c>
    </row>
    <row r="898" spans="1:5" x14ac:dyDescent="0.25">
      <c r="A898" t="s">
        <v>29</v>
      </c>
      <c r="B898" t="s">
        <v>9079</v>
      </c>
      <c r="C898" t="s">
        <v>9080</v>
      </c>
      <c r="D898">
        <v>0</v>
      </c>
      <c r="E898">
        <v>3</v>
      </c>
    </row>
    <row r="899" spans="1:5" x14ac:dyDescent="0.25">
      <c r="A899" t="s">
        <v>29</v>
      </c>
      <c r="B899" t="s">
        <v>9081</v>
      </c>
      <c r="C899" t="s">
        <v>9082</v>
      </c>
      <c r="D899">
        <v>0</v>
      </c>
      <c r="E899">
        <v>3</v>
      </c>
    </row>
    <row r="900" spans="1:5" x14ac:dyDescent="0.25">
      <c r="A900" t="s">
        <v>29</v>
      </c>
      <c r="B900" t="s">
        <v>9083</v>
      </c>
      <c r="C900" t="s">
        <v>9084</v>
      </c>
      <c r="D900">
        <v>0</v>
      </c>
      <c r="E900">
        <v>1</v>
      </c>
    </row>
    <row r="901" spans="1:5" x14ac:dyDescent="0.25">
      <c r="A901" t="s">
        <v>29</v>
      </c>
      <c r="B901" t="s">
        <v>9085</v>
      </c>
      <c r="C901" t="s">
        <v>9086</v>
      </c>
      <c r="D901">
        <v>0</v>
      </c>
      <c r="E901">
        <v>1</v>
      </c>
    </row>
    <row r="902" spans="1:5" x14ac:dyDescent="0.25">
      <c r="A902" t="s">
        <v>29</v>
      </c>
      <c r="B902" t="s">
        <v>9087</v>
      </c>
      <c r="C902" t="s">
        <v>9088</v>
      </c>
      <c r="D902">
        <v>0</v>
      </c>
      <c r="E902">
        <v>1</v>
      </c>
    </row>
    <row r="903" spans="1:5" x14ac:dyDescent="0.25">
      <c r="A903" t="s">
        <v>29</v>
      </c>
      <c r="B903" t="s">
        <v>9089</v>
      </c>
      <c r="C903" t="s">
        <v>9090</v>
      </c>
      <c r="D903">
        <v>0</v>
      </c>
      <c r="E903">
        <v>1</v>
      </c>
    </row>
    <row r="904" spans="1:5" x14ac:dyDescent="0.25">
      <c r="A904" t="s">
        <v>34</v>
      </c>
      <c r="B904" t="s">
        <v>9091</v>
      </c>
      <c r="C904" t="s">
        <v>9092</v>
      </c>
      <c r="D904">
        <v>1</v>
      </c>
      <c r="E904">
        <v>1</v>
      </c>
    </row>
    <row r="905" spans="1:5" x14ac:dyDescent="0.25">
      <c r="A905" t="s">
        <v>34</v>
      </c>
      <c r="B905" t="s">
        <v>9093</v>
      </c>
      <c r="C905" t="s">
        <v>9094</v>
      </c>
      <c r="D905">
        <v>1</v>
      </c>
      <c r="E905">
        <v>1</v>
      </c>
    </row>
    <row r="906" spans="1:5" x14ac:dyDescent="0.25">
      <c r="A906" t="s">
        <v>34</v>
      </c>
      <c r="B906" t="s">
        <v>9095</v>
      </c>
      <c r="C906" t="s">
        <v>9096</v>
      </c>
      <c r="D906">
        <v>1</v>
      </c>
      <c r="E906">
        <v>1</v>
      </c>
    </row>
    <row r="907" spans="1:5" x14ac:dyDescent="0.25">
      <c r="A907" t="s">
        <v>22</v>
      </c>
      <c r="B907" t="s">
        <v>9097</v>
      </c>
      <c r="C907" t="s">
        <v>9098</v>
      </c>
      <c r="D907">
        <v>0</v>
      </c>
      <c r="E907">
        <v>1</v>
      </c>
    </row>
    <row r="908" spans="1:5" x14ac:dyDescent="0.25">
      <c r="A908" t="s">
        <v>22</v>
      </c>
      <c r="B908" t="s">
        <v>9099</v>
      </c>
      <c r="C908" t="s">
        <v>9100</v>
      </c>
      <c r="D908">
        <v>0</v>
      </c>
      <c r="E908">
        <v>1</v>
      </c>
    </row>
    <row r="909" spans="1:5" x14ac:dyDescent="0.25">
      <c r="A909" t="s">
        <v>22</v>
      </c>
      <c r="B909" t="s">
        <v>9101</v>
      </c>
      <c r="C909" t="s">
        <v>9102</v>
      </c>
      <c r="D909">
        <v>0</v>
      </c>
      <c r="E909">
        <v>1</v>
      </c>
    </row>
    <row r="910" spans="1:5" x14ac:dyDescent="0.25">
      <c r="A910" t="s">
        <v>22</v>
      </c>
      <c r="B910" t="s">
        <v>9103</v>
      </c>
      <c r="C910" t="s">
        <v>9104</v>
      </c>
      <c r="D910">
        <v>0</v>
      </c>
      <c r="E910">
        <v>1</v>
      </c>
    </row>
    <row r="911" spans="1:5" x14ac:dyDescent="0.25">
      <c r="A911" t="s">
        <v>22</v>
      </c>
      <c r="B911" t="s">
        <v>9105</v>
      </c>
      <c r="C911" t="s">
        <v>9106</v>
      </c>
      <c r="D911">
        <v>0</v>
      </c>
      <c r="E911">
        <v>3</v>
      </c>
    </row>
    <row r="912" spans="1:5" x14ac:dyDescent="0.25">
      <c r="A912" t="s">
        <v>22</v>
      </c>
      <c r="B912" t="s">
        <v>9107</v>
      </c>
      <c r="C912" t="s">
        <v>9108</v>
      </c>
      <c r="D912">
        <v>0</v>
      </c>
      <c r="E912">
        <v>3</v>
      </c>
    </row>
    <row r="913" spans="1:5" x14ac:dyDescent="0.25">
      <c r="A913" t="s">
        <v>22</v>
      </c>
      <c r="B913" t="s">
        <v>9109</v>
      </c>
      <c r="C913" t="s">
        <v>9110</v>
      </c>
      <c r="D913">
        <v>0</v>
      </c>
      <c r="E913">
        <v>3</v>
      </c>
    </row>
    <row r="914" spans="1:5" x14ac:dyDescent="0.25">
      <c r="A914" t="s">
        <v>22</v>
      </c>
      <c r="B914" t="s">
        <v>9111</v>
      </c>
      <c r="C914" t="s">
        <v>9112</v>
      </c>
      <c r="D914">
        <v>0</v>
      </c>
      <c r="E914">
        <v>3</v>
      </c>
    </row>
    <row r="915" spans="1:5" x14ac:dyDescent="0.25">
      <c r="A915" t="s">
        <v>32</v>
      </c>
      <c r="B915" t="s">
        <v>9113</v>
      </c>
      <c r="C915" t="s">
        <v>9114</v>
      </c>
      <c r="D915">
        <v>0</v>
      </c>
      <c r="E915">
        <v>3</v>
      </c>
    </row>
    <row r="916" spans="1:5" x14ac:dyDescent="0.25">
      <c r="A916" t="s">
        <v>32</v>
      </c>
      <c r="B916" t="s">
        <v>9115</v>
      </c>
      <c r="C916" t="s">
        <v>9116</v>
      </c>
      <c r="D916">
        <v>0</v>
      </c>
      <c r="E916">
        <v>3</v>
      </c>
    </row>
    <row r="917" spans="1:5" x14ac:dyDescent="0.25">
      <c r="A917" t="s">
        <v>32</v>
      </c>
      <c r="B917" t="s">
        <v>9117</v>
      </c>
      <c r="C917" t="s">
        <v>9118</v>
      </c>
      <c r="D917">
        <v>0</v>
      </c>
      <c r="E917">
        <v>3</v>
      </c>
    </row>
    <row r="918" spans="1:5" x14ac:dyDescent="0.25">
      <c r="A918" t="s">
        <v>32</v>
      </c>
      <c r="B918" t="s">
        <v>9119</v>
      </c>
      <c r="C918" t="s">
        <v>9120</v>
      </c>
      <c r="D918">
        <v>0</v>
      </c>
      <c r="E918">
        <v>3</v>
      </c>
    </row>
    <row r="919" spans="1:5" x14ac:dyDescent="0.25">
      <c r="A919" t="s">
        <v>32</v>
      </c>
      <c r="B919" t="s">
        <v>9121</v>
      </c>
      <c r="C919" t="s">
        <v>9122</v>
      </c>
      <c r="D919">
        <v>0</v>
      </c>
      <c r="E919">
        <v>3</v>
      </c>
    </row>
    <row r="920" spans="1:5" x14ac:dyDescent="0.25">
      <c r="A920" t="s">
        <v>32</v>
      </c>
      <c r="B920" t="s">
        <v>9123</v>
      </c>
      <c r="C920" t="s">
        <v>9124</v>
      </c>
      <c r="D920">
        <v>0</v>
      </c>
      <c r="E920">
        <v>3</v>
      </c>
    </row>
    <row r="921" spans="1:5" x14ac:dyDescent="0.25">
      <c r="A921" t="s">
        <v>32</v>
      </c>
      <c r="B921" t="s">
        <v>9125</v>
      </c>
      <c r="C921" t="s">
        <v>9126</v>
      </c>
      <c r="D921">
        <v>0</v>
      </c>
      <c r="E921">
        <v>3</v>
      </c>
    </row>
    <row r="922" spans="1:5" x14ac:dyDescent="0.25">
      <c r="A922" t="s">
        <v>32</v>
      </c>
      <c r="B922" t="s">
        <v>9127</v>
      </c>
      <c r="C922" t="s">
        <v>9128</v>
      </c>
      <c r="D922">
        <v>0</v>
      </c>
      <c r="E922">
        <v>3</v>
      </c>
    </row>
    <row r="923" spans="1:5" x14ac:dyDescent="0.25">
      <c r="A923" t="s">
        <v>32</v>
      </c>
      <c r="B923" t="s">
        <v>9129</v>
      </c>
      <c r="C923" t="s">
        <v>9130</v>
      </c>
      <c r="D923">
        <v>0</v>
      </c>
      <c r="E923">
        <v>3</v>
      </c>
    </row>
    <row r="924" spans="1:5" x14ac:dyDescent="0.25">
      <c r="A924" t="s">
        <v>32</v>
      </c>
      <c r="B924" t="s">
        <v>9131</v>
      </c>
      <c r="C924" t="s">
        <v>9132</v>
      </c>
      <c r="D924">
        <v>0</v>
      </c>
      <c r="E924">
        <v>3</v>
      </c>
    </row>
    <row r="925" spans="1:5" x14ac:dyDescent="0.25">
      <c r="A925" t="s">
        <v>32</v>
      </c>
      <c r="B925" t="s">
        <v>9133</v>
      </c>
      <c r="C925" t="s">
        <v>9134</v>
      </c>
      <c r="D925">
        <v>0</v>
      </c>
      <c r="E925">
        <v>3</v>
      </c>
    </row>
    <row r="926" spans="1:5" x14ac:dyDescent="0.25">
      <c r="A926" t="s">
        <v>32</v>
      </c>
      <c r="B926" t="s">
        <v>9135</v>
      </c>
      <c r="C926" t="s">
        <v>9136</v>
      </c>
      <c r="D926">
        <v>0</v>
      </c>
      <c r="E926">
        <v>3</v>
      </c>
    </row>
    <row r="927" spans="1:5" x14ac:dyDescent="0.25">
      <c r="A927" t="s">
        <v>33</v>
      </c>
      <c r="B927" t="s">
        <v>9137</v>
      </c>
      <c r="C927" t="s">
        <v>6893</v>
      </c>
      <c r="D927">
        <v>1</v>
      </c>
      <c r="E927">
        <v>0</v>
      </c>
    </row>
    <row r="928" spans="1:5" x14ac:dyDescent="0.25">
      <c r="A928" t="s">
        <v>33</v>
      </c>
      <c r="B928" t="s">
        <v>9138</v>
      </c>
      <c r="C928" t="s">
        <v>6903</v>
      </c>
      <c r="D928">
        <v>1</v>
      </c>
      <c r="E928">
        <v>0</v>
      </c>
    </row>
    <row r="929" spans="1:5" x14ac:dyDescent="0.25">
      <c r="A929" t="s">
        <v>33</v>
      </c>
      <c r="B929" t="s">
        <v>9139</v>
      </c>
      <c r="C929" t="s">
        <v>6897</v>
      </c>
      <c r="D929">
        <v>1</v>
      </c>
      <c r="E929">
        <v>0</v>
      </c>
    </row>
    <row r="930" spans="1:5" x14ac:dyDescent="0.25">
      <c r="A930" t="s">
        <v>33</v>
      </c>
      <c r="B930" t="s">
        <v>9140</v>
      </c>
      <c r="C930" t="s">
        <v>6898</v>
      </c>
      <c r="D930">
        <v>1</v>
      </c>
      <c r="E930">
        <v>0</v>
      </c>
    </row>
    <row r="931" spans="1:5" x14ac:dyDescent="0.25">
      <c r="A931" t="s">
        <v>33</v>
      </c>
      <c r="B931" t="s">
        <v>9141</v>
      </c>
      <c r="C931" t="s">
        <v>6895</v>
      </c>
      <c r="D931">
        <v>1</v>
      </c>
      <c r="E931">
        <v>1</v>
      </c>
    </row>
    <row r="932" spans="1:5" x14ac:dyDescent="0.25">
      <c r="A932" t="s">
        <v>33</v>
      </c>
      <c r="B932" t="s">
        <v>9142</v>
      </c>
      <c r="C932" t="s">
        <v>7103</v>
      </c>
      <c r="D932">
        <v>2</v>
      </c>
      <c r="E932">
        <v>0</v>
      </c>
    </row>
    <row r="933" spans="1:5" x14ac:dyDescent="0.25">
      <c r="A933" t="s">
        <v>37</v>
      </c>
      <c r="B933" t="s">
        <v>9143</v>
      </c>
      <c r="C933" t="s">
        <v>9144</v>
      </c>
      <c r="D933">
        <v>3</v>
      </c>
      <c r="E933">
        <v>1</v>
      </c>
    </row>
    <row r="934" spans="1:5" x14ac:dyDescent="0.25">
      <c r="A934" t="s">
        <v>37</v>
      </c>
      <c r="B934" t="s">
        <v>9145</v>
      </c>
      <c r="C934" t="s">
        <v>9146</v>
      </c>
      <c r="D934">
        <v>3</v>
      </c>
      <c r="E934">
        <v>1</v>
      </c>
    </row>
    <row r="935" spans="1:5" x14ac:dyDescent="0.25">
      <c r="A935" t="s">
        <v>37</v>
      </c>
      <c r="B935" t="s">
        <v>9147</v>
      </c>
      <c r="C935" t="s">
        <v>9148</v>
      </c>
      <c r="D935">
        <v>3</v>
      </c>
      <c r="E935">
        <v>1</v>
      </c>
    </row>
    <row r="936" spans="1:5" x14ac:dyDescent="0.25">
      <c r="A936" t="s">
        <v>37</v>
      </c>
      <c r="B936" t="s">
        <v>9149</v>
      </c>
      <c r="C936" t="s">
        <v>9150</v>
      </c>
      <c r="D936">
        <v>3</v>
      </c>
      <c r="E936">
        <v>1</v>
      </c>
    </row>
    <row r="937" spans="1:5" x14ac:dyDescent="0.25">
      <c r="A937" t="s">
        <v>37</v>
      </c>
      <c r="B937" t="s">
        <v>9151</v>
      </c>
      <c r="C937" t="s">
        <v>9152</v>
      </c>
      <c r="D937">
        <v>3</v>
      </c>
      <c r="E937">
        <v>1</v>
      </c>
    </row>
    <row r="938" spans="1:5" x14ac:dyDescent="0.25">
      <c r="A938" t="s">
        <v>37</v>
      </c>
      <c r="B938" t="s">
        <v>9153</v>
      </c>
      <c r="C938" t="s">
        <v>9154</v>
      </c>
      <c r="D938">
        <v>3</v>
      </c>
      <c r="E938">
        <v>1</v>
      </c>
    </row>
    <row r="939" spans="1:5" x14ac:dyDescent="0.25">
      <c r="A939" t="s">
        <v>37</v>
      </c>
      <c r="B939" t="s">
        <v>9155</v>
      </c>
      <c r="C939" t="s">
        <v>9156</v>
      </c>
      <c r="D939">
        <v>3</v>
      </c>
      <c r="E939">
        <v>1</v>
      </c>
    </row>
    <row r="940" spans="1:5" x14ac:dyDescent="0.25">
      <c r="A940" t="s">
        <v>37</v>
      </c>
      <c r="B940" t="s">
        <v>9157</v>
      </c>
      <c r="C940" t="s">
        <v>9158</v>
      </c>
      <c r="D940">
        <v>3</v>
      </c>
      <c r="E940">
        <v>1</v>
      </c>
    </row>
    <row r="941" spans="1:5" x14ac:dyDescent="0.25">
      <c r="A941" t="s">
        <v>37</v>
      </c>
      <c r="B941" t="s">
        <v>9159</v>
      </c>
      <c r="C941" t="s">
        <v>9160</v>
      </c>
      <c r="D941">
        <v>3</v>
      </c>
      <c r="E941">
        <v>1</v>
      </c>
    </row>
    <row r="942" spans="1:5" x14ac:dyDescent="0.25">
      <c r="A942" t="s">
        <v>37</v>
      </c>
      <c r="B942" t="s">
        <v>9161</v>
      </c>
      <c r="C942" t="s">
        <v>9162</v>
      </c>
      <c r="D942">
        <v>3</v>
      </c>
      <c r="E942">
        <v>1</v>
      </c>
    </row>
    <row r="943" spans="1:5" x14ac:dyDescent="0.25">
      <c r="A943" t="s">
        <v>37</v>
      </c>
      <c r="B943" t="s">
        <v>9163</v>
      </c>
      <c r="C943" t="s">
        <v>9164</v>
      </c>
      <c r="D943">
        <v>3</v>
      </c>
      <c r="E943">
        <v>1</v>
      </c>
    </row>
    <row r="944" spans="1:5" x14ac:dyDescent="0.25">
      <c r="A944" t="s">
        <v>37</v>
      </c>
      <c r="B944" t="s">
        <v>9165</v>
      </c>
      <c r="C944" t="s">
        <v>9166</v>
      </c>
      <c r="D944">
        <v>3</v>
      </c>
      <c r="E944">
        <v>1</v>
      </c>
    </row>
    <row r="945" spans="1:5" x14ac:dyDescent="0.25">
      <c r="A945" t="s">
        <v>37</v>
      </c>
      <c r="B945" t="s">
        <v>9167</v>
      </c>
      <c r="C945" t="s">
        <v>9168</v>
      </c>
      <c r="D945">
        <v>3</v>
      </c>
      <c r="E945">
        <v>1</v>
      </c>
    </row>
    <row r="946" spans="1:5" x14ac:dyDescent="0.25">
      <c r="A946" t="s">
        <v>37</v>
      </c>
      <c r="B946" t="s">
        <v>9169</v>
      </c>
      <c r="C946" t="s">
        <v>9170</v>
      </c>
      <c r="D946">
        <v>3</v>
      </c>
      <c r="E946">
        <v>1</v>
      </c>
    </row>
    <row r="947" spans="1:5" x14ac:dyDescent="0.25">
      <c r="A947" t="s">
        <v>37</v>
      </c>
      <c r="B947" t="s">
        <v>9171</v>
      </c>
      <c r="C947" t="s">
        <v>9172</v>
      </c>
      <c r="D947">
        <v>3</v>
      </c>
      <c r="E947">
        <v>1</v>
      </c>
    </row>
    <row r="948" spans="1:5" x14ac:dyDescent="0.25">
      <c r="A948" t="s">
        <v>37</v>
      </c>
      <c r="B948" t="s">
        <v>9173</v>
      </c>
      <c r="C948" t="s">
        <v>9174</v>
      </c>
      <c r="D948">
        <v>3</v>
      </c>
      <c r="E948">
        <v>1</v>
      </c>
    </row>
    <row r="949" spans="1:5" x14ac:dyDescent="0.25">
      <c r="A949" t="s">
        <v>47</v>
      </c>
      <c r="B949" t="s">
        <v>9175</v>
      </c>
      <c r="C949" t="s">
        <v>9176</v>
      </c>
      <c r="D949">
        <v>3</v>
      </c>
      <c r="E949">
        <v>3</v>
      </c>
    </row>
    <row r="950" spans="1:5" x14ac:dyDescent="0.25">
      <c r="A950" t="s">
        <v>47</v>
      </c>
      <c r="B950" t="s">
        <v>9177</v>
      </c>
      <c r="C950" t="s">
        <v>9178</v>
      </c>
      <c r="D950">
        <v>3</v>
      </c>
      <c r="E950">
        <v>3</v>
      </c>
    </row>
    <row r="951" spans="1:5" x14ac:dyDescent="0.25">
      <c r="A951" t="s">
        <v>47</v>
      </c>
      <c r="B951" t="s">
        <v>9179</v>
      </c>
      <c r="C951" t="s">
        <v>9180</v>
      </c>
      <c r="D951">
        <v>3</v>
      </c>
      <c r="E951">
        <v>3</v>
      </c>
    </row>
    <row r="952" spans="1:5" x14ac:dyDescent="0.25">
      <c r="A952" t="s">
        <v>47</v>
      </c>
      <c r="B952" t="s">
        <v>9181</v>
      </c>
      <c r="C952" t="s">
        <v>9182</v>
      </c>
      <c r="D952">
        <v>3</v>
      </c>
      <c r="E952">
        <v>3</v>
      </c>
    </row>
    <row r="953" spans="1:5" x14ac:dyDescent="0.25">
      <c r="A953" t="s">
        <v>47</v>
      </c>
      <c r="B953" t="s">
        <v>9183</v>
      </c>
      <c r="C953" t="s">
        <v>9184</v>
      </c>
      <c r="D953">
        <v>3</v>
      </c>
      <c r="E953">
        <v>3</v>
      </c>
    </row>
    <row r="954" spans="1:5" x14ac:dyDescent="0.25">
      <c r="A954" t="s">
        <v>47</v>
      </c>
      <c r="B954" t="s">
        <v>9185</v>
      </c>
      <c r="C954" t="s">
        <v>9186</v>
      </c>
      <c r="D954">
        <v>3</v>
      </c>
      <c r="E954">
        <v>3</v>
      </c>
    </row>
    <row r="955" spans="1:5" x14ac:dyDescent="0.25">
      <c r="A955" t="s">
        <v>47</v>
      </c>
      <c r="B955" t="s">
        <v>9187</v>
      </c>
      <c r="C955" t="s">
        <v>9188</v>
      </c>
      <c r="D955">
        <v>3</v>
      </c>
      <c r="E955">
        <v>3</v>
      </c>
    </row>
    <row r="956" spans="1:5" x14ac:dyDescent="0.25">
      <c r="A956" t="s">
        <v>47</v>
      </c>
      <c r="B956" t="s">
        <v>9189</v>
      </c>
      <c r="C956" t="s">
        <v>9190</v>
      </c>
      <c r="D956">
        <v>3</v>
      </c>
      <c r="E956">
        <v>3</v>
      </c>
    </row>
    <row r="957" spans="1:5" x14ac:dyDescent="0.25">
      <c r="A957" t="s">
        <v>47</v>
      </c>
      <c r="B957" t="s">
        <v>9191</v>
      </c>
      <c r="C957" t="s">
        <v>9192</v>
      </c>
      <c r="D957">
        <v>3</v>
      </c>
      <c r="E957">
        <v>1</v>
      </c>
    </row>
    <row r="958" spans="1:5" x14ac:dyDescent="0.25">
      <c r="A958" t="s">
        <v>47</v>
      </c>
      <c r="B958" t="s">
        <v>9193</v>
      </c>
      <c r="C958" t="s">
        <v>9194</v>
      </c>
      <c r="D958">
        <v>3</v>
      </c>
      <c r="E958">
        <v>1</v>
      </c>
    </row>
    <row r="959" spans="1:5" x14ac:dyDescent="0.25">
      <c r="A959" t="s">
        <v>47</v>
      </c>
      <c r="B959" t="s">
        <v>9195</v>
      </c>
      <c r="C959" t="s">
        <v>9196</v>
      </c>
      <c r="D959">
        <v>3</v>
      </c>
      <c r="E959">
        <v>1</v>
      </c>
    </row>
    <row r="960" spans="1:5" x14ac:dyDescent="0.25">
      <c r="A960" t="s">
        <v>47</v>
      </c>
      <c r="B960" t="s">
        <v>9197</v>
      </c>
      <c r="C960" t="s">
        <v>9198</v>
      </c>
      <c r="D960">
        <v>3</v>
      </c>
      <c r="E960">
        <v>1</v>
      </c>
    </row>
    <row r="961" spans="1:5" x14ac:dyDescent="0.25">
      <c r="A961" t="s">
        <v>47</v>
      </c>
      <c r="B961" t="s">
        <v>9199</v>
      </c>
      <c r="C961" t="s">
        <v>9200</v>
      </c>
      <c r="D961">
        <v>3</v>
      </c>
      <c r="E961">
        <v>3</v>
      </c>
    </row>
    <row r="962" spans="1:5" x14ac:dyDescent="0.25">
      <c r="A962" t="s">
        <v>47</v>
      </c>
      <c r="B962" t="s">
        <v>9201</v>
      </c>
      <c r="C962" t="s">
        <v>9202</v>
      </c>
      <c r="D962">
        <v>3</v>
      </c>
      <c r="E962">
        <v>3</v>
      </c>
    </row>
    <row r="963" spans="1:5" x14ac:dyDescent="0.25">
      <c r="A963" t="s">
        <v>47</v>
      </c>
      <c r="B963" t="s">
        <v>9203</v>
      </c>
      <c r="C963" t="s">
        <v>9204</v>
      </c>
      <c r="D963">
        <v>3</v>
      </c>
      <c r="E963">
        <v>3</v>
      </c>
    </row>
    <row r="964" spans="1:5" x14ac:dyDescent="0.25">
      <c r="A964" t="s">
        <v>47</v>
      </c>
      <c r="B964" t="s">
        <v>9205</v>
      </c>
      <c r="C964" t="s">
        <v>9206</v>
      </c>
      <c r="D964">
        <v>3</v>
      </c>
      <c r="E964">
        <v>3</v>
      </c>
    </row>
    <row r="965" spans="1:5" x14ac:dyDescent="0.25">
      <c r="A965" t="s">
        <v>47</v>
      </c>
      <c r="B965" t="s">
        <v>9207</v>
      </c>
      <c r="C965" t="s">
        <v>9208</v>
      </c>
      <c r="D965">
        <v>3</v>
      </c>
      <c r="E965">
        <v>3</v>
      </c>
    </row>
    <row r="966" spans="1:5" x14ac:dyDescent="0.25">
      <c r="A966" t="s">
        <v>47</v>
      </c>
      <c r="B966" t="s">
        <v>9209</v>
      </c>
      <c r="C966" t="s">
        <v>9210</v>
      </c>
      <c r="D966">
        <v>3</v>
      </c>
      <c r="E966">
        <v>3</v>
      </c>
    </row>
    <row r="967" spans="1:5" x14ac:dyDescent="0.25">
      <c r="A967" t="s">
        <v>47</v>
      </c>
      <c r="B967" t="s">
        <v>9211</v>
      </c>
      <c r="C967" t="s">
        <v>9212</v>
      </c>
      <c r="D967">
        <v>3</v>
      </c>
      <c r="E967">
        <v>3</v>
      </c>
    </row>
    <row r="968" spans="1:5" x14ac:dyDescent="0.25">
      <c r="A968" t="s">
        <v>47</v>
      </c>
      <c r="B968" t="s">
        <v>9213</v>
      </c>
      <c r="C968" t="s">
        <v>9214</v>
      </c>
      <c r="D968">
        <v>3</v>
      </c>
      <c r="E968">
        <v>3</v>
      </c>
    </row>
    <row r="969" spans="1:5" x14ac:dyDescent="0.25">
      <c r="A969" t="s">
        <v>47</v>
      </c>
      <c r="B969" t="s">
        <v>9215</v>
      </c>
      <c r="C969" t="s">
        <v>9216</v>
      </c>
      <c r="D969">
        <v>3</v>
      </c>
      <c r="E969">
        <v>1</v>
      </c>
    </row>
    <row r="970" spans="1:5" x14ac:dyDescent="0.25">
      <c r="A970" t="s">
        <v>47</v>
      </c>
      <c r="B970" t="s">
        <v>9217</v>
      </c>
      <c r="C970" t="s">
        <v>9218</v>
      </c>
      <c r="D970">
        <v>3</v>
      </c>
      <c r="E970">
        <v>1</v>
      </c>
    </row>
    <row r="971" spans="1:5" x14ac:dyDescent="0.25">
      <c r="A971" t="s">
        <v>47</v>
      </c>
      <c r="B971" t="s">
        <v>9219</v>
      </c>
      <c r="C971" t="s">
        <v>9220</v>
      </c>
      <c r="D971">
        <v>3</v>
      </c>
      <c r="E971">
        <v>1</v>
      </c>
    </row>
    <row r="972" spans="1:5" x14ac:dyDescent="0.25">
      <c r="A972" t="s">
        <v>47</v>
      </c>
      <c r="B972" t="s">
        <v>9221</v>
      </c>
      <c r="C972" t="s">
        <v>9222</v>
      </c>
      <c r="D972">
        <v>3</v>
      </c>
      <c r="E972">
        <v>1</v>
      </c>
    </row>
    <row r="973" spans="1:5" x14ac:dyDescent="0.25">
      <c r="A973" t="s">
        <v>47</v>
      </c>
      <c r="B973" t="s">
        <v>9223</v>
      </c>
      <c r="C973" t="s">
        <v>9224</v>
      </c>
      <c r="D973">
        <v>3</v>
      </c>
      <c r="E973">
        <v>3</v>
      </c>
    </row>
    <row r="974" spans="1:5" x14ac:dyDescent="0.25">
      <c r="A974" t="s">
        <v>47</v>
      </c>
      <c r="B974" t="s">
        <v>9225</v>
      </c>
      <c r="C974" t="s">
        <v>9226</v>
      </c>
      <c r="D974">
        <v>3</v>
      </c>
      <c r="E974">
        <v>3</v>
      </c>
    </row>
    <row r="975" spans="1:5" x14ac:dyDescent="0.25">
      <c r="A975" t="s">
        <v>47</v>
      </c>
      <c r="B975" t="s">
        <v>9227</v>
      </c>
      <c r="C975" t="s">
        <v>9228</v>
      </c>
      <c r="D975">
        <v>3</v>
      </c>
      <c r="E975">
        <v>3</v>
      </c>
    </row>
    <row r="976" spans="1:5" x14ac:dyDescent="0.25">
      <c r="A976" t="s">
        <v>47</v>
      </c>
      <c r="B976" t="s">
        <v>9229</v>
      </c>
      <c r="C976" t="s">
        <v>9230</v>
      </c>
      <c r="D976">
        <v>3</v>
      </c>
      <c r="E976">
        <v>3</v>
      </c>
    </row>
    <row r="977" spans="1:5" x14ac:dyDescent="0.25">
      <c r="A977" t="s">
        <v>47</v>
      </c>
      <c r="B977" t="s">
        <v>9231</v>
      </c>
      <c r="C977" t="s">
        <v>9232</v>
      </c>
      <c r="D977">
        <v>3</v>
      </c>
      <c r="E977">
        <v>3</v>
      </c>
    </row>
    <row r="978" spans="1:5" x14ac:dyDescent="0.25">
      <c r="A978" t="s">
        <v>47</v>
      </c>
      <c r="B978" t="s">
        <v>9233</v>
      </c>
      <c r="C978" t="s">
        <v>9234</v>
      </c>
      <c r="D978">
        <v>3</v>
      </c>
      <c r="E978">
        <v>3</v>
      </c>
    </row>
    <row r="979" spans="1:5" x14ac:dyDescent="0.25">
      <c r="A979" t="s">
        <v>47</v>
      </c>
      <c r="B979" t="s">
        <v>9235</v>
      </c>
      <c r="C979" t="s">
        <v>9236</v>
      </c>
      <c r="D979">
        <v>3</v>
      </c>
      <c r="E979">
        <v>3</v>
      </c>
    </row>
    <row r="980" spans="1:5" x14ac:dyDescent="0.25">
      <c r="A980" t="s">
        <v>47</v>
      </c>
      <c r="B980" t="s">
        <v>9237</v>
      </c>
      <c r="C980" t="s">
        <v>9238</v>
      </c>
      <c r="D980">
        <v>3</v>
      </c>
      <c r="E980">
        <v>3</v>
      </c>
    </row>
    <row r="981" spans="1:5" x14ac:dyDescent="0.25">
      <c r="A981" t="s">
        <v>47</v>
      </c>
      <c r="B981" t="s">
        <v>9239</v>
      </c>
      <c r="C981" t="s">
        <v>9240</v>
      </c>
      <c r="D981">
        <v>3</v>
      </c>
      <c r="E981">
        <v>1</v>
      </c>
    </row>
    <row r="982" spans="1:5" x14ac:dyDescent="0.25">
      <c r="A982" t="s">
        <v>47</v>
      </c>
      <c r="B982" t="s">
        <v>9241</v>
      </c>
      <c r="C982" t="s">
        <v>9242</v>
      </c>
      <c r="D982">
        <v>3</v>
      </c>
      <c r="E982">
        <v>1</v>
      </c>
    </row>
    <row r="983" spans="1:5" x14ac:dyDescent="0.25">
      <c r="A983" t="s">
        <v>47</v>
      </c>
      <c r="B983" t="s">
        <v>9243</v>
      </c>
      <c r="C983" t="s">
        <v>9244</v>
      </c>
      <c r="D983">
        <v>3</v>
      </c>
      <c r="E983">
        <v>1</v>
      </c>
    </row>
    <row r="984" spans="1:5" x14ac:dyDescent="0.25">
      <c r="A984" t="s">
        <v>47</v>
      </c>
      <c r="B984" t="s">
        <v>9245</v>
      </c>
      <c r="C984" t="s">
        <v>9246</v>
      </c>
      <c r="D984">
        <v>3</v>
      </c>
      <c r="E984">
        <v>1</v>
      </c>
    </row>
    <row r="985" spans="1:5" x14ac:dyDescent="0.25">
      <c r="A985" t="s">
        <v>27</v>
      </c>
      <c r="B985" t="s">
        <v>9247</v>
      </c>
      <c r="C985" t="s">
        <v>9248</v>
      </c>
      <c r="D985">
        <v>2</v>
      </c>
      <c r="E985">
        <v>0</v>
      </c>
    </row>
    <row r="986" spans="1:5" x14ac:dyDescent="0.25">
      <c r="A986" t="s">
        <v>27</v>
      </c>
      <c r="B986" t="s">
        <v>9249</v>
      </c>
      <c r="C986" t="s">
        <v>9250</v>
      </c>
      <c r="D986">
        <v>1</v>
      </c>
      <c r="E986">
        <v>0</v>
      </c>
    </row>
    <row r="987" spans="1:5" x14ac:dyDescent="0.25">
      <c r="A987" t="s">
        <v>27</v>
      </c>
      <c r="B987" t="s">
        <v>9251</v>
      </c>
      <c r="C987" t="s">
        <v>9252</v>
      </c>
      <c r="D987">
        <v>1</v>
      </c>
      <c r="E987">
        <v>0</v>
      </c>
    </row>
    <row r="988" spans="1:5" x14ac:dyDescent="0.25">
      <c r="A988" t="s">
        <v>27</v>
      </c>
      <c r="B988" t="s">
        <v>9253</v>
      </c>
      <c r="C988" t="s">
        <v>9254</v>
      </c>
      <c r="D988">
        <v>1</v>
      </c>
      <c r="E988">
        <v>0</v>
      </c>
    </row>
    <row r="989" spans="1:5" x14ac:dyDescent="0.25">
      <c r="A989" t="s">
        <v>27</v>
      </c>
      <c r="B989" t="s">
        <v>9255</v>
      </c>
      <c r="C989" t="s">
        <v>9256</v>
      </c>
      <c r="D989">
        <v>1</v>
      </c>
      <c r="E989">
        <v>0</v>
      </c>
    </row>
    <row r="990" spans="1:5" x14ac:dyDescent="0.25">
      <c r="A990" t="s">
        <v>27</v>
      </c>
      <c r="B990" t="s">
        <v>9257</v>
      </c>
      <c r="C990" t="s">
        <v>9258</v>
      </c>
      <c r="D990">
        <v>1</v>
      </c>
      <c r="E990">
        <v>0</v>
      </c>
    </row>
    <row r="991" spans="1:5" x14ac:dyDescent="0.25">
      <c r="A991" t="s">
        <v>27</v>
      </c>
      <c r="B991" t="s">
        <v>9259</v>
      </c>
      <c r="C991" t="s">
        <v>9260</v>
      </c>
      <c r="D991">
        <v>1</v>
      </c>
      <c r="E991">
        <v>0</v>
      </c>
    </row>
    <row r="992" spans="1:5" x14ac:dyDescent="0.25">
      <c r="A992" t="s">
        <v>27</v>
      </c>
      <c r="B992" t="s">
        <v>9261</v>
      </c>
      <c r="C992" t="s">
        <v>9262</v>
      </c>
      <c r="D992">
        <v>1</v>
      </c>
      <c r="E992">
        <v>0</v>
      </c>
    </row>
    <row r="993" spans="1:5" x14ac:dyDescent="0.25">
      <c r="A993" t="s">
        <v>24</v>
      </c>
      <c r="B993" t="s">
        <v>9263</v>
      </c>
      <c r="C993" t="s">
        <v>9264</v>
      </c>
      <c r="D993">
        <v>0</v>
      </c>
      <c r="E993">
        <v>3</v>
      </c>
    </row>
    <row r="994" spans="1:5" x14ac:dyDescent="0.25">
      <c r="A994" t="s">
        <v>24</v>
      </c>
      <c r="B994" t="s">
        <v>9265</v>
      </c>
      <c r="C994" t="s">
        <v>9266</v>
      </c>
      <c r="D994">
        <v>0</v>
      </c>
      <c r="E994">
        <v>3</v>
      </c>
    </row>
    <row r="995" spans="1:5" x14ac:dyDescent="0.25">
      <c r="A995" t="s">
        <v>24</v>
      </c>
      <c r="B995" t="s">
        <v>9267</v>
      </c>
      <c r="C995" t="s">
        <v>9268</v>
      </c>
      <c r="D995">
        <v>0</v>
      </c>
      <c r="E995">
        <v>3</v>
      </c>
    </row>
    <row r="996" spans="1:5" x14ac:dyDescent="0.25">
      <c r="A996" t="s">
        <v>24</v>
      </c>
      <c r="B996" t="s">
        <v>9269</v>
      </c>
      <c r="C996" t="s">
        <v>9270</v>
      </c>
      <c r="D996">
        <v>0</v>
      </c>
      <c r="E996">
        <v>3</v>
      </c>
    </row>
    <row r="997" spans="1:5" x14ac:dyDescent="0.25">
      <c r="A997" t="s">
        <v>24</v>
      </c>
      <c r="B997" t="s">
        <v>9271</v>
      </c>
      <c r="C997" t="s">
        <v>9272</v>
      </c>
      <c r="D997">
        <v>0</v>
      </c>
      <c r="E997">
        <v>3</v>
      </c>
    </row>
    <row r="998" spans="1:5" x14ac:dyDescent="0.25">
      <c r="A998" t="s">
        <v>24</v>
      </c>
      <c r="B998" t="s">
        <v>9273</v>
      </c>
      <c r="C998" t="s">
        <v>9274</v>
      </c>
      <c r="D998">
        <v>0</v>
      </c>
      <c r="E998">
        <v>3</v>
      </c>
    </row>
    <row r="999" spans="1:5" x14ac:dyDescent="0.25">
      <c r="A999" t="s">
        <v>24</v>
      </c>
      <c r="B999" t="s">
        <v>9275</v>
      </c>
      <c r="C999" t="s">
        <v>9276</v>
      </c>
      <c r="D999">
        <v>0</v>
      </c>
      <c r="E999">
        <v>3</v>
      </c>
    </row>
    <row r="1000" spans="1:5" x14ac:dyDescent="0.25">
      <c r="A1000" t="s">
        <v>24</v>
      </c>
      <c r="B1000" t="s">
        <v>9277</v>
      </c>
      <c r="C1000" t="s">
        <v>9278</v>
      </c>
      <c r="D1000">
        <v>0</v>
      </c>
      <c r="E1000">
        <v>3</v>
      </c>
    </row>
    <row r="1001" spans="1:5" x14ac:dyDescent="0.25">
      <c r="A1001" t="s">
        <v>38</v>
      </c>
      <c r="B1001" t="s">
        <v>9279</v>
      </c>
      <c r="C1001" t="s">
        <v>9280</v>
      </c>
      <c r="D1001">
        <v>0</v>
      </c>
      <c r="E1001">
        <v>1</v>
      </c>
    </row>
    <row r="1002" spans="1:5" x14ac:dyDescent="0.25">
      <c r="A1002" t="s">
        <v>38</v>
      </c>
      <c r="B1002" t="s">
        <v>9281</v>
      </c>
      <c r="C1002" t="s">
        <v>9282</v>
      </c>
      <c r="D1002">
        <v>0</v>
      </c>
      <c r="E1002">
        <v>1</v>
      </c>
    </row>
    <row r="1003" spans="1:5" x14ac:dyDescent="0.25">
      <c r="A1003" t="s">
        <v>38</v>
      </c>
      <c r="B1003" t="s">
        <v>9283</v>
      </c>
      <c r="C1003" t="s">
        <v>9284</v>
      </c>
      <c r="D1003">
        <v>0</v>
      </c>
      <c r="E1003">
        <v>1</v>
      </c>
    </row>
    <row r="1004" spans="1:5" x14ac:dyDescent="0.25">
      <c r="A1004" t="s">
        <v>38</v>
      </c>
      <c r="B1004" t="s">
        <v>9285</v>
      </c>
      <c r="C1004" t="s">
        <v>9286</v>
      </c>
      <c r="D1004">
        <v>0</v>
      </c>
      <c r="E1004">
        <v>1</v>
      </c>
    </row>
    <row r="1005" spans="1:5" x14ac:dyDescent="0.25">
      <c r="A1005" t="s">
        <v>38</v>
      </c>
      <c r="B1005" t="s">
        <v>9287</v>
      </c>
      <c r="C1005" t="s">
        <v>9288</v>
      </c>
      <c r="D1005">
        <v>0</v>
      </c>
      <c r="E1005">
        <v>1</v>
      </c>
    </row>
    <row r="1006" spans="1:5" x14ac:dyDescent="0.25">
      <c r="A1006" t="s">
        <v>38</v>
      </c>
      <c r="B1006" t="s">
        <v>9289</v>
      </c>
      <c r="C1006" t="s">
        <v>9290</v>
      </c>
      <c r="D1006">
        <v>0</v>
      </c>
      <c r="E1006">
        <v>1</v>
      </c>
    </row>
    <row r="1007" spans="1:5" x14ac:dyDescent="0.25">
      <c r="A1007" t="s">
        <v>38</v>
      </c>
      <c r="B1007" t="s">
        <v>9291</v>
      </c>
      <c r="C1007" t="s">
        <v>9292</v>
      </c>
      <c r="D1007">
        <v>0</v>
      </c>
      <c r="E1007">
        <v>1</v>
      </c>
    </row>
    <row r="1008" spans="1:5" x14ac:dyDescent="0.25">
      <c r="A1008" t="s">
        <v>38</v>
      </c>
      <c r="B1008" t="s">
        <v>9293</v>
      </c>
      <c r="C1008" t="s">
        <v>9294</v>
      </c>
      <c r="D1008">
        <v>0</v>
      </c>
      <c r="E1008">
        <v>1</v>
      </c>
    </row>
    <row r="1009" spans="1:5" x14ac:dyDescent="0.25">
      <c r="A1009" t="s">
        <v>38</v>
      </c>
      <c r="B1009" t="s">
        <v>9295</v>
      </c>
      <c r="C1009" t="s">
        <v>9296</v>
      </c>
      <c r="D1009">
        <v>0</v>
      </c>
      <c r="E1009">
        <v>1</v>
      </c>
    </row>
    <row r="1010" spans="1:5" x14ac:dyDescent="0.25">
      <c r="A1010" t="s">
        <v>38</v>
      </c>
      <c r="B1010" t="s">
        <v>9297</v>
      </c>
      <c r="C1010" t="s">
        <v>9298</v>
      </c>
      <c r="D1010">
        <v>0</v>
      </c>
      <c r="E1010">
        <v>1</v>
      </c>
    </row>
    <row r="1011" spans="1:5" x14ac:dyDescent="0.25">
      <c r="A1011" t="s">
        <v>38</v>
      </c>
      <c r="B1011" t="s">
        <v>9299</v>
      </c>
      <c r="C1011" t="s">
        <v>9300</v>
      </c>
      <c r="D1011">
        <v>0</v>
      </c>
      <c r="E1011">
        <v>1</v>
      </c>
    </row>
    <row r="1012" spans="1:5" x14ac:dyDescent="0.25">
      <c r="A1012" t="s">
        <v>38</v>
      </c>
      <c r="B1012" t="s">
        <v>9301</v>
      </c>
      <c r="C1012" t="s">
        <v>9302</v>
      </c>
      <c r="D1012">
        <v>0</v>
      </c>
      <c r="E1012">
        <v>1</v>
      </c>
    </row>
    <row r="1013" spans="1:5" x14ac:dyDescent="0.25">
      <c r="A1013" t="s">
        <v>38</v>
      </c>
      <c r="B1013" t="s">
        <v>9303</v>
      </c>
      <c r="C1013" t="s">
        <v>9304</v>
      </c>
      <c r="D1013">
        <v>0</v>
      </c>
      <c r="E1013">
        <v>1</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000"/>
  </sheetPr>
  <dimension ref="A1:G1369"/>
  <sheetViews>
    <sheetView workbookViewId="0">
      <selection activeCell="B9" sqref="B9"/>
    </sheetView>
  </sheetViews>
  <sheetFormatPr defaultColWidth="11.42578125" defaultRowHeight="15" x14ac:dyDescent="0.25"/>
  <sheetData>
    <row r="1" spans="1:7" x14ac:dyDescent="0.25">
      <c r="A1" t="s">
        <v>9305</v>
      </c>
      <c r="B1" t="s">
        <v>9306</v>
      </c>
      <c r="C1" t="s">
        <v>9307</v>
      </c>
      <c r="D1" t="s">
        <v>9308</v>
      </c>
      <c r="E1" t="s">
        <v>55</v>
      </c>
      <c r="F1" t="s">
        <v>9309</v>
      </c>
      <c r="G1" t="s">
        <v>9310</v>
      </c>
    </row>
    <row r="2" spans="1:7" x14ac:dyDescent="0.25">
      <c r="A2" t="s">
        <v>9311</v>
      </c>
    </row>
    <row r="3" spans="1:7" x14ac:dyDescent="0.25">
      <c r="B3">
        <v>28</v>
      </c>
      <c r="C3" t="s">
        <v>9312</v>
      </c>
      <c r="D3" t="s">
        <v>9313</v>
      </c>
    </row>
    <row r="4" spans="1:7" x14ac:dyDescent="0.25">
      <c r="E4" t="s">
        <v>9314</v>
      </c>
      <c r="F4" t="s">
        <v>9315</v>
      </c>
      <c r="G4" t="s">
        <v>9316</v>
      </c>
    </row>
    <row r="5" spans="1:7" x14ac:dyDescent="0.25">
      <c r="E5" t="s">
        <v>9317</v>
      </c>
      <c r="F5" t="s">
        <v>9318</v>
      </c>
      <c r="G5" t="s">
        <v>9319</v>
      </c>
    </row>
    <row r="6" spans="1:7" x14ac:dyDescent="0.25">
      <c r="E6" t="s">
        <v>9320</v>
      </c>
      <c r="F6" t="s">
        <v>9321</v>
      </c>
      <c r="G6" t="s">
        <v>9322</v>
      </c>
    </row>
    <row r="7" spans="1:7" x14ac:dyDescent="0.25">
      <c r="E7" t="s">
        <v>9323</v>
      </c>
      <c r="F7" t="s">
        <v>9324</v>
      </c>
      <c r="G7" t="s">
        <v>9325</v>
      </c>
    </row>
    <row r="8" spans="1:7" x14ac:dyDescent="0.25">
      <c r="E8" t="s">
        <v>9326</v>
      </c>
      <c r="F8" t="s">
        <v>9327</v>
      </c>
      <c r="G8" t="s">
        <v>9328</v>
      </c>
    </row>
    <row r="9" spans="1:7" x14ac:dyDescent="0.25">
      <c r="E9" t="s">
        <v>9329</v>
      </c>
      <c r="F9" t="s">
        <v>9330</v>
      </c>
      <c r="G9" t="s">
        <v>9331</v>
      </c>
    </row>
    <row r="10" spans="1:7" x14ac:dyDescent="0.25">
      <c r="B10">
        <v>19</v>
      </c>
      <c r="C10" t="s">
        <v>9332</v>
      </c>
      <c r="D10" t="s">
        <v>9333</v>
      </c>
    </row>
    <row r="11" spans="1:7" x14ac:dyDescent="0.25">
      <c r="E11" t="s">
        <v>9334</v>
      </c>
      <c r="F11" t="s">
        <v>9335</v>
      </c>
      <c r="G11" t="s">
        <v>9336</v>
      </c>
    </row>
    <row r="12" spans="1:7" x14ac:dyDescent="0.25">
      <c r="E12" t="s">
        <v>9337</v>
      </c>
      <c r="F12" t="s">
        <v>9324</v>
      </c>
      <c r="G12" t="s">
        <v>9325</v>
      </c>
    </row>
    <row r="13" spans="1:7" x14ac:dyDescent="0.25">
      <c r="B13">
        <v>66</v>
      </c>
      <c r="C13" t="s">
        <v>9338</v>
      </c>
      <c r="D13" t="s">
        <v>9339</v>
      </c>
    </row>
    <row r="14" spans="1:7" x14ac:dyDescent="0.25">
      <c r="E14" t="s">
        <v>9340</v>
      </c>
      <c r="F14" t="s">
        <v>9341</v>
      </c>
      <c r="G14" t="s">
        <v>9325</v>
      </c>
    </row>
    <row r="15" spans="1:7" x14ac:dyDescent="0.25">
      <c r="E15" t="s">
        <v>9342</v>
      </c>
      <c r="F15" t="s">
        <v>9343</v>
      </c>
      <c r="G15" t="s">
        <v>9331</v>
      </c>
    </row>
    <row r="16" spans="1:7" x14ac:dyDescent="0.25">
      <c r="E16" t="s">
        <v>9344</v>
      </c>
      <c r="F16" t="s">
        <v>9345</v>
      </c>
      <c r="G16" t="s">
        <v>9319</v>
      </c>
    </row>
    <row r="17" spans="2:7" x14ac:dyDescent="0.25">
      <c r="B17">
        <v>83</v>
      </c>
      <c r="C17" t="s">
        <v>9346</v>
      </c>
      <c r="D17" t="s">
        <v>9347</v>
      </c>
    </row>
    <row r="18" spans="2:7" x14ac:dyDescent="0.25">
      <c r="E18" t="s">
        <v>9348</v>
      </c>
      <c r="F18" t="s">
        <v>9349</v>
      </c>
      <c r="G18" t="s">
        <v>9350</v>
      </c>
    </row>
    <row r="19" spans="2:7" x14ac:dyDescent="0.25">
      <c r="E19" t="s">
        <v>9351</v>
      </c>
      <c r="F19" t="s">
        <v>9352</v>
      </c>
      <c r="G19" t="s">
        <v>9353</v>
      </c>
    </row>
    <row r="20" spans="2:7" x14ac:dyDescent="0.25">
      <c r="E20" t="s">
        <v>9354</v>
      </c>
      <c r="F20" t="s">
        <v>866</v>
      </c>
      <c r="G20" t="s">
        <v>9355</v>
      </c>
    </row>
    <row r="21" spans="2:7" x14ac:dyDescent="0.25">
      <c r="E21" t="s">
        <v>9356</v>
      </c>
      <c r="F21" t="s">
        <v>9357</v>
      </c>
      <c r="G21" t="s">
        <v>9325</v>
      </c>
    </row>
    <row r="22" spans="2:7" x14ac:dyDescent="0.25">
      <c r="E22" t="s">
        <v>9358</v>
      </c>
      <c r="F22" t="s">
        <v>9359</v>
      </c>
      <c r="G22" t="s">
        <v>9336</v>
      </c>
    </row>
    <row r="23" spans="2:7" x14ac:dyDescent="0.25">
      <c r="E23" t="s">
        <v>9360</v>
      </c>
      <c r="F23" t="s">
        <v>680</v>
      </c>
      <c r="G23" t="s">
        <v>9361</v>
      </c>
    </row>
    <row r="24" spans="2:7" x14ac:dyDescent="0.25">
      <c r="E24" t="s">
        <v>9362</v>
      </c>
      <c r="F24" t="s">
        <v>9363</v>
      </c>
      <c r="G24" t="s">
        <v>9364</v>
      </c>
    </row>
    <row r="25" spans="2:7" x14ac:dyDescent="0.25">
      <c r="E25" t="s">
        <v>9365</v>
      </c>
      <c r="F25" t="s">
        <v>9366</v>
      </c>
      <c r="G25" t="s">
        <v>9331</v>
      </c>
    </row>
    <row r="26" spans="2:7" x14ac:dyDescent="0.25">
      <c r="E26" t="s">
        <v>9367</v>
      </c>
      <c r="F26" t="s">
        <v>9368</v>
      </c>
      <c r="G26" t="s">
        <v>9369</v>
      </c>
    </row>
    <row r="27" spans="2:7" x14ac:dyDescent="0.25">
      <c r="E27" t="s">
        <v>9370</v>
      </c>
      <c r="F27" t="s">
        <v>9371</v>
      </c>
      <c r="G27" t="s">
        <v>9372</v>
      </c>
    </row>
    <row r="28" spans="2:7" x14ac:dyDescent="0.25">
      <c r="B28">
        <v>64</v>
      </c>
      <c r="C28" t="s">
        <v>9373</v>
      </c>
      <c r="D28" t="s">
        <v>9374</v>
      </c>
    </row>
    <row r="29" spans="2:7" x14ac:dyDescent="0.25">
      <c r="E29" t="s">
        <v>9375</v>
      </c>
      <c r="F29" t="s">
        <v>9341</v>
      </c>
      <c r="G29" t="s">
        <v>9325</v>
      </c>
    </row>
    <row r="30" spans="2:7" x14ac:dyDescent="0.25">
      <c r="E30" t="s">
        <v>9376</v>
      </c>
      <c r="F30" t="s">
        <v>9345</v>
      </c>
      <c r="G30" t="s">
        <v>9319</v>
      </c>
    </row>
    <row r="31" spans="2:7" x14ac:dyDescent="0.25">
      <c r="E31" t="s">
        <v>9377</v>
      </c>
      <c r="F31" t="s">
        <v>9343</v>
      </c>
      <c r="G31" t="s">
        <v>9331</v>
      </c>
    </row>
    <row r="32" spans="2:7" x14ac:dyDescent="0.25">
      <c r="B32">
        <v>1</v>
      </c>
      <c r="C32" t="s">
        <v>9378</v>
      </c>
      <c r="D32" t="s">
        <v>9379</v>
      </c>
    </row>
    <row r="33" spans="2:7" x14ac:dyDescent="0.25">
      <c r="E33" t="s">
        <v>9380</v>
      </c>
      <c r="F33" t="s">
        <v>622</v>
      </c>
      <c r="G33" t="s">
        <v>9381</v>
      </c>
    </row>
    <row r="34" spans="2:7" x14ac:dyDescent="0.25">
      <c r="E34" t="s">
        <v>9382</v>
      </c>
      <c r="F34" t="s">
        <v>539</v>
      </c>
      <c r="G34" t="s">
        <v>9383</v>
      </c>
    </row>
    <row r="35" spans="2:7" x14ac:dyDescent="0.25">
      <c r="E35" t="s">
        <v>9384</v>
      </c>
      <c r="F35" t="s">
        <v>1235</v>
      </c>
      <c r="G35" t="s">
        <v>9385</v>
      </c>
    </row>
    <row r="36" spans="2:7" x14ac:dyDescent="0.25">
      <c r="E36" t="s">
        <v>9386</v>
      </c>
      <c r="F36" t="s">
        <v>9387</v>
      </c>
      <c r="G36" t="s">
        <v>9369</v>
      </c>
    </row>
    <row r="37" spans="2:7" x14ac:dyDescent="0.25">
      <c r="E37" t="s">
        <v>9388</v>
      </c>
      <c r="F37" t="s">
        <v>728</v>
      </c>
      <c r="G37" t="s">
        <v>9389</v>
      </c>
    </row>
    <row r="38" spans="2:7" x14ac:dyDescent="0.25">
      <c r="E38" t="s">
        <v>9390</v>
      </c>
      <c r="F38" t="s">
        <v>1149</v>
      </c>
      <c r="G38" t="s">
        <v>9391</v>
      </c>
    </row>
    <row r="39" spans="2:7" x14ac:dyDescent="0.25">
      <c r="E39" t="s">
        <v>9392</v>
      </c>
      <c r="F39" t="s">
        <v>1312</v>
      </c>
      <c r="G39" t="s">
        <v>9350</v>
      </c>
    </row>
    <row r="40" spans="2:7" x14ac:dyDescent="0.25">
      <c r="E40" t="s">
        <v>9393</v>
      </c>
      <c r="F40" t="s">
        <v>1455</v>
      </c>
      <c r="G40" t="s">
        <v>9328</v>
      </c>
    </row>
    <row r="41" spans="2:7" x14ac:dyDescent="0.25">
      <c r="E41" t="s">
        <v>9394</v>
      </c>
      <c r="F41" t="s">
        <v>1064</v>
      </c>
      <c r="G41" t="s">
        <v>9325</v>
      </c>
    </row>
    <row r="42" spans="2:7" x14ac:dyDescent="0.25">
      <c r="E42" t="s">
        <v>9395</v>
      </c>
      <c r="F42" t="s">
        <v>1552</v>
      </c>
      <c r="G42" t="s">
        <v>9396</v>
      </c>
    </row>
    <row r="43" spans="2:7" x14ac:dyDescent="0.25">
      <c r="E43" t="s">
        <v>9397</v>
      </c>
      <c r="F43" t="s">
        <v>1143</v>
      </c>
      <c r="G43" t="s">
        <v>9336</v>
      </c>
    </row>
    <row r="44" spans="2:7" x14ac:dyDescent="0.25">
      <c r="E44" t="s">
        <v>9398</v>
      </c>
      <c r="F44" t="s">
        <v>1148</v>
      </c>
      <c r="G44" t="s">
        <v>9399</v>
      </c>
    </row>
    <row r="45" spans="2:7" x14ac:dyDescent="0.25">
      <c r="E45" t="s">
        <v>9400</v>
      </c>
      <c r="F45" t="s">
        <v>9401</v>
      </c>
      <c r="G45" t="s">
        <v>9402</v>
      </c>
    </row>
    <row r="46" spans="2:7" x14ac:dyDescent="0.25">
      <c r="B46">
        <v>49</v>
      </c>
      <c r="C46" t="s">
        <v>9403</v>
      </c>
      <c r="D46" t="s">
        <v>9404</v>
      </c>
    </row>
    <row r="47" spans="2:7" x14ac:dyDescent="0.25">
      <c r="E47" t="s">
        <v>9314</v>
      </c>
      <c r="F47" t="s">
        <v>9315</v>
      </c>
      <c r="G47" t="s">
        <v>9316</v>
      </c>
    </row>
    <row r="48" spans="2:7" x14ac:dyDescent="0.25">
      <c r="E48" t="s">
        <v>9317</v>
      </c>
      <c r="F48" t="s">
        <v>9318</v>
      </c>
      <c r="G48" t="s">
        <v>9319</v>
      </c>
    </row>
    <row r="49" spans="2:7" x14ac:dyDescent="0.25">
      <c r="E49" t="s">
        <v>9320</v>
      </c>
      <c r="F49" t="s">
        <v>9321</v>
      </c>
      <c r="G49" t="s">
        <v>9322</v>
      </c>
    </row>
    <row r="50" spans="2:7" x14ac:dyDescent="0.25">
      <c r="E50" t="s">
        <v>9323</v>
      </c>
      <c r="F50" t="s">
        <v>9324</v>
      </c>
      <c r="G50" t="s">
        <v>9325</v>
      </c>
    </row>
    <row r="51" spans="2:7" x14ac:dyDescent="0.25">
      <c r="E51" t="s">
        <v>9326</v>
      </c>
      <c r="F51" t="s">
        <v>9327</v>
      </c>
      <c r="G51" t="s">
        <v>9328</v>
      </c>
    </row>
    <row r="52" spans="2:7" x14ac:dyDescent="0.25">
      <c r="E52" t="s">
        <v>9329</v>
      </c>
      <c r="F52" t="s">
        <v>9330</v>
      </c>
      <c r="G52" t="s">
        <v>9331</v>
      </c>
    </row>
    <row r="53" spans="2:7" x14ac:dyDescent="0.25">
      <c r="B53">
        <v>44</v>
      </c>
      <c r="C53" t="s">
        <v>9405</v>
      </c>
      <c r="D53" t="s">
        <v>9406</v>
      </c>
    </row>
    <row r="54" spans="2:7" x14ac:dyDescent="0.25">
      <c r="E54" t="s">
        <v>9314</v>
      </c>
      <c r="F54" t="s">
        <v>9315</v>
      </c>
      <c r="G54" t="s">
        <v>9316</v>
      </c>
    </row>
    <row r="55" spans="2:7" x14ac:dyDescent="0.25">
      <c r="E55" t="s">
        <v>9317</v>
      </c>
      <c r="F55" t="s">
        <v>9318</v>
      </c>
      <c r="G55" t="s">
        <v>9319</v>
      </c>
    </row>
    <row r="56" spans="2:7" x14ac:dyDescent="0.25">
      <c r="E56" t="s">
        <v>9320</v>
      </c>
      <c r="F56" t="s">
        <v>9321</v>
      </c>
      <c r="G56" t="s">
        <v>9322</v>
      </c>
    </row>
    <row r="57" spans="2:7" x14ac:dyDescent="0.25">
      <c r="E57" t="s">
        <v>9323</v>
      </c>
      <c r="F57" t="s">
        <v>9324</v>
      </c>
      <c r="G57" t="s">
        <v>9325</v>
      </c>
    </row>
    <row r="58" spans="2:7" x14ac:dyDescent="0.25">
      <c r="E58" t="s">
        <v>9326</v>
      </c>
      <c r="F58" t="s">
        <v>9327</v>
      </c>
      <c r="G58" t="s">
        <v>9328</v>
      </c>
    </row>
    <row r="59" spans="2:7" x14ac:dyDescent="0.25">
      <c r="E59" t="s">
        <v>9329</v>
      </c>
      <c r="F59" t="s">
        <v>9330</v>
      </c>
      <c r="G59" t="s">
        <v>9331</v>
      </c>
    </row>
    <row r="60" spans="2:7" x14ac:dyDescent="0.25">
      <c r="B60">
        <v>51</v>
      </c>
      <c r="C60" t="s">
        <v>9407</v>
      </c>
      <c r="D60" t="s">
        <v>9408</v>
      </c>
    </row>
    <row r="61" spans="2:7" x14ac:dyDescent="0.25">
      <c r="E61" t="s">
        <v>9409</v>
      </c>
      <c r="F61" t="s">
        <v>818</v>
      </c>
      <c r="G61" t="s">
        <v>9353</v>
      </c>
    </row>
    <row r="62" spans="2:7" x14ac:dyDescent="0.25">
      <c r="E62" t="s">
        <v>9410</v>
      </c>
      <c r="F62" t="s">
        <v>9363</v>
      </c>
      <c r="G62" t="s">
        <v>9364</v>
      </c>
    </row>
    <row r="63" spans="2:7" x14ac:dyDescent="0.25">
      <c r="E63" t="s">
        <v>9411</v>
      </c>
      <c r="F63" t="s">
        <v>1154</v>
      </c>
      <c r="G63" t="s">
        <v>9325</v>
      </c>
    </row>
    <row r="64" spans="2:7" x14ac:dyDescent="0.25">
      <c r="E64" t="s">
        <v>9412</v>
      </c>
      <c r="F64" t="s">
        <v>569</v>
      </c>
      <c r="G64" t="s">
        <v>9336</v>
      </c>
    </row>
    <row r="65" spans="2:7" x14ac:dyDescent="0.25">
      <c r="E65" t="s">
        <v>9413</v>
      </c>
      <c r="F65" t="s">
        <v>9366</v>
      </c>
      <c r="G65" t="s">
        <v>9331</v>
      </c>
    </row>
    <row r="66" spans="2:7" x14ac:dyDescent="0.25">
      <c r="E66" t="s">
        <v>9414</v>
      </c>
      <c r="F66" t="s">
        <v>1299</v>
      </c>
      <c r="G66" t="s">
        <v>9355</v>
      </c>
    </row>
    <row r="67" spans="2:7" x14ac:dyDescent="0.25">
      <c r="E67" t="s">
        <v>9415</v>
      </c>
      <c r="F67" t="s">
        <v>1312</v>
      </c>
      <c r="G67" t="s">
        <v>9350</v>
      </c>
    </row>
    <row r="68" spans="2:7" x14ac:dyDescent="0.25">
      <c r="E68" t="s">
        <v>9416</v>
      </c>
      <c r="F68" t="s">
        <v>1552</v>
      </c>
      <c r="G68" t="s">
        <v>9396</v>
      </c>
    </row>
    <row r="69" spans="2:7" x14ac:dyDescent="0.25">
      <c r="B69">
        <v>70</v>
      </c>
      <c r="C69" t="s">
        <v>9417</v>
      </c>
      <c r="D69" t="s">
        <v>9418</v>
      </c>
    </row>
    <row r="70" spans="2:7" x14ac:dyDescent="0.25">
      <c r="E70" t="s">
        <v>9340</v>
      </c>
      <c r="F70" t="s">
        <v>9341</v>
      </c>
      <c r="G70" t="s">
        <v>9325</v>
      </c>
    </row>
    <row r="71" spans="2:7" x14ac:dyDescent="0.25">
      <c r="E71" t="s">
        <v>9342</v>
      </c>
      <c r="F71" t="s">
        <v>9343</v>
      </c>
      <c r="G71" t="s">
        <v>9331</v>
      </c>
    </row>
    <row r="72" spans="2:7" x14ac:dyDescent="0.25">
      <c r="E72" t="s">
        <v>9344</v>
      </c>
      <c r="F72" t="s">
        <v>9345</v>
      </c>
      <c r="G72" t="s">
        <v>9319</v>
      </c>
    </row>
    <row r="73" spans="2:7" x14ac:dyDescent="0.25">
      <c r="B73">
        <v>7</v>
      </c>
      <c r="C73" t="s">
        <v>9419</v>
      </c>
      <c r="D73" t="s">
        <v>9420</v>
      </c>
    </row>
    <row r="74" spans="2:7" x14ac:dyDescent="0.25">
      <c r="E74" t="s">
        <v>9421</v>
      </c>
      <c r="F74" t="s">
        <v>9422</v>
      </c>
      <c r="G74" t="s">
        <v>9423</v>
      </c>
    </row>
    <row r="75" spans="2:7" x14ac:dyDescent="0.25">
      <c r="E75" t="s">
        <v>9424</v>
      </c>
      <c r="F75" t="s">
        <v>680</v>
      </c>
      <c r="G75" t="s">
        <v>9361</v>
      </c>
    </row>
    <row r="76" spans="2:7" x14ac:dyDescent="0.25">
      <c r="E76" t="s">
        <v>9425</v>
      </c>
      <c r="F76" t="s">
        <v>9426</v>
      </c>
      <c r="G76" t="s">
        <v>9322</v>
      </c>
    </row>
    <row r="77" spans="2:7" x14ac:dyDescent="0.25">
      <c r="E77" t="s">
        <v>9427</v>
      </c>
      <c r="F77" t="s">
        <v>9366</v>
      </c>
      <c r="G77" t="s">
        <v>9331</v>
      </c>
    </row>
    <row r="78" spans="2:7" x14ac:dyDescent="0.25">
      <c r="E78" t="s">
        <v>9428</v>
      </c>
      <c r="F78" t="s">
        <v>9341</v>
      </c>
      <c r="G78" t="s">
        <v>9325</v>
      </c>
    </row>
    <row r="79" spans="2:7" x14ac:dyDescent="0.25">
      <c r="E79" t="s">
        <v>9429</v>
      </c>
      <c r="F79" t="s">
        <v>9430</v>
      </c>
      <c r="G79" t="s">
        <v>9431</v>
      </c>
    </row>
    <row r="80" spans="2:7" x14ac:dyDescent="0.25">
      <c r="E80" t="s">
        <v>9432</v>
      </c>
      <c r="F80" t="s">
        <v>9433</v>
      </c>
      <c r="G80" t="s">
        <v>9355</v>
      </c>
    </row>
    <row r="81" spans="2:7" x14ac:dyDescent="0.25">
      <c r="E81" t="s">
        <v>9434</v>
      </c>
      <c r="F81" t="s">
        <v>9345</v>
      </c>
      <c r="G81" t="s">
        <v>9319</v>
      </c>
    </row>
    <row r="82" spans="2:7" x14ac:dyDescent="0.25">
      <c r="B82">
        <v>69</v>
      </c>
      <c r="C82" t="s">
        <v>9435</v>
      </c>
      <c r="D82" t="s">
        <v>9436</v>
      </c>
    </row>
    <row r="83" spans="2:7" x14ac:dyDescent="0.25">
      <c r="E83" t="s">
        <v>9340</v>
      </c>
      <c r="F83" t="s">
        <v>9341</v>
      </c>
      <c r="G83" t="s">
        <v>9325</v>
      </c>
    </row>
    <row r="84" spans="2:7" x14ac:dyDescent="0.25">
      <c r="E84" t="s">
        <v>9342</v>
      </c>
      <c r="F84" t="s">
        <v>9343</v>
      </c>
      <c r="G84" t="s">
        <v>9331</v>
      </c>
    </row>
    <row r="85" spans="2:7" x14ac:dyDescent="0.25">
      <c r="E85" t="s">
        <v>9344</v>
      </c>
      <c r="F85" t="s">
        <v>9345</v>
      </c>
      <c r="G85" t="s">
        <v>9319</v>
      </c>
    </row>
    <row r="86" spans="2:7" x14ac:dyDescent="0.25">
      <c r="B86">
        <v>18</v>
      </c>
      <c r="C86" t="s">
        <v>9437</v>
      </c>
      <c r="D86" t="s">
        <v>9438</v>
      </c>
    </row>
    <row r="87" spans="2:7" x14ac:dyDescent="0.25">
      <c r="E87" t="s">
        <v>9334</v>
      </c>
      <c r="F87" t="s">
        <v>9335</v>
      </c>
      <c r="G87" t="s">
        <v>9336</v>
      </c>
    </row>
    <row r="88" spans="2:7" x14ac:dyDescent="0.25">
      <c r="E88" t="s">
        <v>9337</v>
      </c>
      <c r="F88" t="s">
        <v>9324</v>
      </c>
      <c r="G88" t="s">
        <v>9325</v>
      </c>
    </row>
    <row r="89" spans="2:7" x14ac:dyDescent="0.25">
      <c r="B89">
        <v>36</v>
      </c>
      <c r="C89" t="s">
        <v>9439</v>
      </c>
      <c r="D89" t="s">
        <v>9440</v>
      </c>
    </row>
    <row r="90" spans="2:7" x14ac:dyDescent="0.25">
      <c r="E90" t="s">
        <v>9314</v>
      </c>
      <c r="F90" t="s">
        <v>9315</v>
      </c>
      <c r="G90" t="s">
        <v>9316</v>
      </c>
    </row>
    <row r="91" spans="2:7" x14ac:dyDescent="0.25">
      <c r="E91" t="s">
        <v>9317</v>
      </c>
      <c r="F91" t="s">
        <v>9318</v>
      </c>
      <c r="G91" t="s">
        <v>9319</v>
      </c>
    </row>
    <row r="92" spans="2:7" x14ac:dyDescent="0.25">
      <c r="E92" t="s">
        <v>9320</v>
      </c>
      <c r="F92" t="s">
        <v>9321</v>
      </c>
      <c r="G92" t="s">
        <v>9322</v>
      </c>
    </row>
    <row r="93" spans="2:7" x14ac:dyDescent="0.25">
      <c r="E93" t="s">
        <v>9323</v>
      </c>
      <c r="F93" t="s">
        <v>9324</v>
      </c>
      <c r="G93" t="s">
        <v>9325</v>
      </c>
    </row>
    <row r="94" spans="2:7" x14ac:dyDescent="0.25">
      <c r="E94" t="s">
        <v>9326</v>
      </c>
      <c r="F94" t="s">
        <v>9327</v>
      </c>
      <c r="G94" t="s">
        <v>9328</v>
      </c>
    </row>
    <row r="95" spans="2:7" x14ac:dyDescent="0.25">
      <c r="E95" t="s">
        <v>9329</v>
      </c>
      <c r="F95" t="s">
        <v>9330</v>
      </c>
      <c r="G95" t="s">
        <v>9331</v>
      </c>
    </row>
    <row r="96" spans="2:7" x14ac:dyDescent="0.25">
      <c r="B96">
        <v>15</v>
      </c>
      <c r="C96" t="s">
        <v>9441</v>
      </c>
      <c r="D96" t="s">
        <v>9442</v>
      </c>
    </row>
    <row r="97" spans="2:7" x14ac:dyDescent="0.25">
      <c r="E97" t="s">
        <v>9334</v>
      </c>
      <c r="F97" t="s">
        <v>9335</v>
      </c>
      <c r="G97" t="s">
        <v>9336</v>
      </c>
    </row>
    <row r="98" spans="2:7" x14ac:dyDescent="0.25">
      <c r="E98" t="s">
        <v>9337</v>
      </c>
      <c r="F98" t="s">
        <v>9324</v>
      </c>
      <c r="G98" t="s">
        <v>9325</v>
      </c>
    </row>
    <row r="99" spans="2:7" x14ac:dyDescent="0.25">
      <c r="B99">
        <v>32</v>
      </c>
      <c r="C99" t="s">
        <v>9443</v>
      </c>
      <c r="D99" t="s">
        <v>9444</v>
      </c>
    </row>
    <row r="100" spans="2:7" x14ac:dyDescent="0.25">
      <c r="E100" t="s">
        <v>9314</v>
      </c>
      <c r="F100" t="s">
        <v>9315</v>
      </c>
      <c r="G100" t="s">
        <v>9316</v>
      </c>
    </row>
    <row r="101" spans="2:7" x14ac:dyDescent="0.25">
      <c r="E101" t="s">
        <v>9317</v>
      </c>
      <c r="F101" t="s">
        <v>9318</v>
      </c>
      <c r="G101" t="s">
        <v>9319</v>
      </c>
    </row>
    <row r="102" spans="2:7" x14ac:dyDescent="0.25">
      <c r="E102" t="s">
        <v>9320</v>
      </c>
      <c r="F102" t="s">
        <v>9321</v>
      </c>
      <c r="G102" t="s">
        <v>9322</v>
      </c>
    </row>
    <row r="103" spans="2:7" x14ac:dyDescent="0.25">
      <c r="E103" t="s">
        <v>9323</v>
      </c>
      <c r="F103" t="s">
        <v>9324</v>
      </c>
      <c r="G103" t="s">
        <v>9325</v>
      </c>
    </row>
    <row r="104" spans="2:7" x14ac:dyDescent="0.25">
      <c r="E104" t="s">
        <v>9326</v>
      </c>
      <c r="F104" t="s">
        <v>9327</v>
      </c>
      <c r="G104" t="s">
        <v>9328</v>
      </c>
    </row>
    <row r="105" spans="2:7" x14ac:dyDescent="0.25">
      <c r="E105" t="s">
        <v>9329</v>
      </c>
      <c r="F105" t="s">
        <v>9330</v>
      </c>
      <c r="G105" t="s">
        <v>9331</v>
      </c>
    </row>
    <row r="106" spans="2:7" x14ac:dyDescent="0.25">
      <c r="B106">
        <v>86</v>
      </c>
      <c r="C106" t="s">
        <v>9445</v>
      </c>
      <c r="D106" t="s">
        <v>9446</v>
      </c>
    </row>
    <row r="107" spans="2:7" x14ac:dyDescent="0.25">
      <c r="E107" t="s">
        <v>9348</v>
      </c>
      <c r="F107" t="s">
        <v>9349</v>
      </c>
      <c r="G107" t="s">
        <v>9350</v>
      </c>
    </row>
    <row r="108" spans="2:7" x14ac:dyDescent="0.25">
      <c r="E108" t="s">
        <v>9351</v>
      </c>
      <c r="F108" t="s">
        <v>9352</v>
      </c>
      <c r="G108" t="s">
        <v>9353</v>
      </c>
    </row>
    <row r="109" spans="2:7" x14ac:dyDescent="0.25">
      <c r="E109" t="s">
        <v>9354</v>
      </c>
      <c r="F109" t="s">
        <v>866</v>
      </c>
      <c r="G109" t="s">
        <v>9355</v>
      </c>
    </row>
    <row r="110" spans="2:7" x14ac:dyDescent="0.25">
      <c r="E110" t="s">
        <v>9356</v>
      </c>
      <c r="F110" t="s">
        <v>9357</v>
      </c>
      <c r="G110" t="s">
        <v>9325</v>
      </c>
    </row>
    <row r="111" spans="2:7" x14ac:dyDescent="0.25">
      <c r="E111" t="s">
        <v>9358</v>
      </c>
      <c r="F111" t="s">
        <v>9359</v>
      </c>
      <c r="G111" t="s">
        <v>9336</v>
      </c>
    </row>
    <row r="112" spans="2:7" x14ac:dyDescent="0.25">
      <c r="E112" t="s">
        <v>9360</v>
      </c>
      <c r="F112" t="s">
        <v>680</v>
      </c>
      <c r="G112" t="s">
        <v>9361</v>
      </c>
    </row>
    <row r="113" spans="2:7" x14ac:dyDescent="0.25">
      <c r="E113" t="s">
        <v>9362</v>
      </c>
      <c r="F113" t="s">
        <v>9363</v>
      </c>
      <c r="G113" t="s">
        <v>9364</v>
      </c>
    </row>
    <row r="114" spans="2:7" x14ac:dyDescent="0.25">
      <c r="E114" t="s">
        <v>9365</v>
      </c>
      <c r="F114" t="s">
        <v>9366</v>
      </c>
      <c r="G114" t="s">
        <v>9331</v>
      </c>
    </row>
    <row r="115" spans="2:7" x14ac:dyDescent="0.25">
      <c r="E115" t="s">
        <v>9367</v>
      </c>
      <c r="F115" t="s">
        <v>9368</v>
      </c>
      <c r="G115" t="s">
        <v>9369</v>
      </c>
    </row>
    <row r="116" spans="2:7" x14ac:dyDescent="0.25">
      <c r="E116" t="s">
        <v>9370</v>
      </c>
      <c r="F116" t="s">
        <v>9371</v>
      </c>
      <c r="G116" t="s">
        <v>9372</v>
      </c>
    </row>
    <row r="117" spans="2:7" x14ac:dyDescent="0.25">
      <c r="B117">
        <v>0</v>
      </c>
      <c r="C117" t="s">
        <v>9447</v>
      </c>
      <c r="D117" t="s">
        <v>9448</v>
      </c>
    </row>
    <row r="118" spans="2:7" x14ac:dyDescent="0.25">
      <c r="E118" t="s">
        <v>9449</v>
      </c>
      <c r="F118" t="s">
        <v>9450</v>
      </c>
      <c r="G118" t="s">
        <v>9325</v>
      </c>
    </row>
    <row r="119" spans="2:7" x14ac:dyDescent="0.25">
      <c r="B119">
        <v>47</v>
      </c>
      <c r="C119" t="s">
        <v>9451</v>
      </c>
      <c r="D119" t="s">
        <v>9452</v>
      </c>
    </row>
    <row r="120" spans="2:7" x14ac:dyDescent="0.25">
      <c r="E120" t="s">
        <v>9314</v>
      </c>
      <c r="F120" t="s">
        <v>9315</v>
      </c>
      <c r="G120" t="s">
        <v>9316</v>
      </c>
    </row>
    <row r="121" spans="2:7" x14ac:dyDescent="0.25">
      <c r="E121" t="s">
        <v>9317</v>
      </c>
      <c r="F121" t="s">
        <v>9318</v>
      </c>
      <c r="G121" t="s">
        <v>9319</v>
      </c>
    </row>
    <row r="122" spans="2:7" x14ac:dyDescent="0.25">
      <c r="E122" t="s">
        <v>9320</v>
      </c>
      <c r="F122" t="s">
        <v>9321</v>
      </c>
      <c r="G122" t="s">
        <v>9322</v>
      </c>
    </row>
    <row r="123" spans="2:7" x14ac:dyDescent="0.25">
      <c r="E123" t="s">
        <v>9323</v>
      </c>
      <c r="F123" t="s">
        <v>9324</v>
      </c>
      <c r="G123" t="s">
        <v>9325</v>
      </c>
    </row>
    <row r="124" spans="2:7" x14ac:dyDescent="0.25">
      <c r="E124" t="s">
        <v>9326</v>
      </c>
      <c r="F124" t="s">
        <v>9327</v>
      </c>
      <c r="G124" t="s">
        <v>9328</v>
      </c>
    </row>
    <row r="125" spans="2:7" x14ac:dyDescent="0.25">
      <c r="E125" t="s">
        <v>9329</v>
      </c>
      <c r="F125" t="s">
        <v>9330</v>
      </c>
      <c r="G125" t="s">
        <v>9331</v>
      </c>
    </row>
    <row r="126" spans="2:7" x14ac:dyDescent="0.25">
      <c r="B126">
        <v>104</v>
      </c>
      <c r="C126" t="s">
        <v>9453</v>
      </c>
      <c r="D126" t="s">
        <v>9454</v>
      </c>
    </row>
    <row r="127" spans="2:7" x14ac:dyDescent="0.25">
      <c r="E127" t="s">
        <v>9455</v>
      </c>
      <c r="F127" t="s">
        <v>9456</v>
      </c>
      <c r="G127" t="s">
        <v>9381</v>
      </c>
    </row>
    <row r="128" spans="2:7" x14ac:dyDescent="0.25">
      <c r="E128" t="s">
        <v>9457</v>
      </c>
      <c r="F128" t="s">
        <v>9433</v>
      </c>
      <c r="G128" t="s">
        <v>9355</v>
      </c>
    </row>
    <row r="129" spans="2:7" x14ac:dyDescent="0.25">
      <c r="E129" t="s">
        <v>9458</v>
      </c>
      <c r="F129" t="s">
        <v>9459</v>
      </c>
      <c r="G129" t="s">
        <v>9460</v>
      </c>
    </row>
    <row r="130" spans="2:7" x14ac:dyDescent="0.25">
      <c r="E130" t="s">
        <v>9461</v>
      </c>
      <c r="F130" t="s">
        <v>9462</v>
      </c>
      <c r="G130" t="s">
        <v>9463</v>
      </c>
    </row>
    <row r="131" spans="2:7" x14ac:dyDescent="0.25">
      <c r="E131" t="s">
        <v>9464</v>
      </c>
      <c r="F131" t="s">
        <v>818</v>
      </c>
      <c r="G131" t="s">
        <v>9353</v>
      </c>
    </row>
    <row r="132" spans="2:7" x14ac:dyDescent="0.25">
      <c r="E132" t="s">
        <v>9465</v>
      </c>
      <c r="F132" t="s">
        <v>9466</v>
      </c>
      <c r="G132" t="s">
        <v>9322</v>
      </c>
    </row>
    <row r="133" spans="2:7" x14ac:dyDescent="0.25">
      <c r="E133" t="s">
        <v>9467</v>
      </c>
      <c r="F133" t="s">
        <v>1064</v>
      </c>
      <c r="G133" t="s">
        <v>9325</v>
      </c>
    </row>
    <row r="134" spans="2:7" x14ac:dyDescent="0.25">
      <c r="E134" t="s">
        <v>9468</v>
      </c>
      <c r="F134" t="s">
        <v>9469</v>
      </c>
      <c r="G134" t="s">
        <v>9470</v>
      </c>
    </row>
    <row r="135" spans="2:7" x14ac:dyDescent="0.25">
      <c r="E135" t="s">
        <v>9471</v>
      </c>
      <c r="F135" t="s">
        <v>688</v>
      </c>
      <c r="G135" t="s">
        <v>9472</v>
      </c>
    </row>
    <row r="136" spans="2:7" x14ac:dyDescent="0.25">
      <c r="E136" t="s">
        <v>9473</v>
      </c>
      <c r="F136" t="s">
        <v>9474</v>
      </c>
      <c r="G136" t="s">
        <v>9475</v>
      </c>
    </row>
    <row r="137" spans="2:7" x14ac:dyDescent="0.25">
      <c r="E137" t="s">
        <v>9476</v>
      </c>
      <c r="F137" t="s">
        <v>9422</v>
      </c>
      <c r="G137" t="s">
        <v>9423</v>
      </c>
    </row>
    <row r="138" spans="2:7" x14ac:dyDescent="0.25">
      <c r="E138" t="s">
        <v>9477</v>
      </c>
      <c r="F138" t="s">
        <v>9478</v>
      </c>
      <c r="G138" t="s">
        <v>9350</v>
      </c>
    </row>
    <row r="139" spans="2:7" x14ac:dyDescent="0.25">
      <c r="E139" t="s">
        <v>9479</v>
      </c>
      <c r="F139" t="s">
        <v>9430</v>
      </c>
      <c r="G139" t="s">
        <v>9431</v>
      </c>
    </row>
    <row r="140" spans="2:7" x14ac:dyDescent="0.25">
      <c r="B140">
        <v>42</v>
      </c>
      <c r="C140" t="s">
        <v>9480</v>
      </c>
      <c r="D140" t="s">
        <v>9481</v>
      </c>
    </row>
    <row r="141" spans="2:7" x14ac:dyDescent="0.25">
      <c r="E141" t="s">
        <v>9314</v>
      </c>
      <c r="F141" t="s">
        <v>9315</v>
      </c>
      <c r="G141" t="s">
        <v>9316</v>
      </c>
    </row>
    <row r="142" spans="2:7" x14ac:dyDescent="0.25">
      <c r="E142" t="s">
        <v>9317</v>
      </c>
      <c r="F142" t="s">
        <v>9318</v>
      </c>
      <c r="G142" t="s">
        <v>9319</v>
      </c>
    </row>
    <row r="143" spans="2:7" x14ac:dyDescent="0.25">
      <c r="E143" t="s">
        <v>9320</v>
      </c>
      <c r="F143" t="s">
        <v>9321</v>
      </c>
      <c r="G143" t="s">
        <v>9322</v>
      </c>
    </row>
    <row r="144" spans="2:7" x14ac:dyDescent="0.25">
      <c r="E144" t="s">
        <v>9323</v>
      </c>
      <c r="F144" t="s">
        <v>9324</v>
      </c>
      <c r="G144" t="s">
        <v>9325</v>
      </c>
    </row>
    <row r="145" spans="2:7" x14ac:dyDescent="0.25">
      <c r="E145" t="s">
        <v>9326</v>
      </c>
      <c r="F145" t="s">
        <v>9327</v>
      </c>
      <c r="G145" t="s">
        <v>9328</v>
      </c>
    </row>
    <row r="146" spans="2:7" x14ac:dyDescent="0.25">
      <c r="E146" t="s">
        <v>9329</v>
      </c>
      <c r="F146" t="s">
        <v>9330</v>
      </c>
      <c r="G146" t="s">
        <v>9331</v>
      </c>
    </row>
    <row r="147" spans="2:7" x14ac:dyDescent="0.25">
      <c r="B147">
        <v>91</v>
      </c>
      <c r="C147" t="s">
        <v>9482</v>
      </c>
      <c r="D147" t="s">
        <v>9483</v>
      </c>
    </row>
    <row r="148" spans="2:7" x14ac:dyDescent="0.25">
      <c r="E148" t="s">
        <v>9484</v>
      </c>
      <c r="F148" t="s">
        <v>9359</v>
      </c>
      <c r="G148" t="s">
        <v>9336</v>
      </c>
    </row>
    <row r="149" spans="2:7" x14ac:dyDescent="0.25">
      <c r="E149" t="s">
        <v>9485</v>
      </c>
      <c r="F149" t="s">
        <v>1322</v>
      </c>
      <c r="G149" t="s">
        <v>9331</v>
      </c>
    </row>
    <row r="150" spans="2:7" x14ac:dyDescent="0.25">
      <c r="E150" t="s">
        <v>9486</v>
      </c>
      <c r="F150" t="s">
        <v>1558</v>
      </c>
      <c r="G150" t="s">
        <v>9396</v>
      </c>
    </row>
    <row r="151" spans="2:7" x14ac:dyDescent="0.25">
      <c r="E151" t="s">
        <v>9487</v>
      </c>
      <c r="F151" t="s">
        <v>9488</v>
      </c>
      <c r="G151" t="s">
        <v>9364</v>
      </c>
    </row>
    <row r="152" spans="2:7" x14ac:dyDescent="0.25">
      <c r="E152" t="s">
        <v>9489</v>
      </c>
      <c r="F152" t="s">
        <v>9490</v>
      </c>
      <c r="G152" t="s">
        <v>9350</v>
      </c>
    </row>
    <row r="153" spans="2:7" x14ac:dyDescent="0.25">
      <c r="E153" t="s">
        <v>9491</v>
      </c>
      <c r="F153" t="s">
        <v>899</v>
      </c>
      <c r="G153" t="s">
        <v>9325</v>
      </c>
    </row>
    <row r="154" spans="2:7" x14ac:dyDescent="0.25">
      <c r="E154" t="s">
        <v>9492</v>
      </c>
      <c r="F154" t="s">
        <v>866</v>
      </c>
      <c r="G154" t="s">
        <v>9355</v>
      </c>
    </row>
    <row r="155" spans="2:7" x14ac:dyDescent="0.25">
      <c r="B155">
        <v>96</v>
      </c>
      <c r="C155" t="s">
        <v>9493</v>
      </c>
      <c r="D155" t="s">
        <v>9494</v>
      </c>
    </row>
    <row r="156" spans="2:7" x14ac:dyDescent="0.25">
      <c r="E156" t="s">
        <v>9495</v>
      </c>
      <c r="F156" t="s">
        <v>9496</v>
      </c>
      <c r="G156" t="s">
        <v>9396</v>
      </c>
    </row>
    <row r="157" spans="2:7" x14ac:dyDescent="0.25">
      <c r="E157" t="s">
        <v>9497</v>
      </c>
      <c r="F157" t="s">
        <v>1064</v>
      </c>
      <c r="G157" t="s">
        <v>9325</v>
      </c>
    </row>
    <row r="158" spans="2:7" x14ac:dyDescent="0.25">
      <c r="E158" t="s">
        <v>9498</v>
      </c>
      <c r="F158" t="s">
        <v>9359</v>
      </c>
      <c r="G158" t="s">
        <v>9336</v>
      </c>
    </row>
    <row r="159" spans="2:7" x14ac:dyDescent="0.25">
      <c r="E159" t="s">
        <v>9499</v>
      </c>
      <c r="F159" t="s">
        <v>688</v>
      </c>
      <c r="G159" t="s">
        <v>9472</v>
      </c>
    </row>
    <row r="160" spans="2:7" x14ac:dyDescent="0.25">
      <c r="B160">
        <v>3</v>
      </c>
      <c r="C160" t="s">
        <v>9500</v>
      </c>
      <c r="D160" t="s">
        <v>9501</v>
      </c>
    </row>
    <row r="161" spans="2:7" x14ac:dyDescent="0.25">
      <c r="E161" t="s">
        <v>9502</v>
      </c>
      <c r="F161" t="s">
        <v>9341</v>
      </c>
      <c r="G161" t="s">
        <v>9325</v>
      </c>
    </row>
    <row r="162" spans="2:7" x14ac:dyDescent="0.25">
      <c r="E162" t="s">
        <v>9503</v>
      </c>
      <c r="F162" t="s">
        <v>9345</v>
      </c>
      <c r="G162" t="s">
        <v>9319</v>
      </c>
    </row>
    <row r="163" spans="2:7" x14ac:dyDescent="0.25">
      <c r="E163" t="s">
        <v>9425</v>
      </c>
      <c r="F163" t="s">
        <v>9426</v>
      </c>
      <c r="G163" t="s">
        <v>9322</v>
      </c>
    </row>
    <row r="164" spans="2:7" x14ac:dyDescent="0.25">
      <c r="E164" t="s">
        <v>9504</v>
      </c>
      <c r="F164" t="s">
        <v>9430</v>
      </c>
      <c r="G164" t="s">
        <v>9431</v>
      </c>
    </row>
    <row r="165" spans="2:7" x14ac:dyDescent="0.25">
      <c r="E165" t="s">
        <v>9505</v>
      </c>
      <c r="F165" t="s">
        <v>9366</v>
      </c>
      <c r="G165" t="s">
        <v>9331</v>
      </c>
    </row>
    <row r="166" spans="2:7" x14ac:dyDescent="0.25">
      <c r="E166" t="s">
        <v>9432</v>
      </c>
      <c r="F166" t="s">
        <v>9433</v>
      </c>
      <c r="G166" t="s">
        <v>9355</v>
      </c>
    </row>
    <row r="167" spans="2:7" x14ac:dyDescent="0.25">
      <c r="E167" t="s">
        <v>9506</v>
      </c>
      <c r="F167" t="s">
        <v>9422</v>
      </c>
      <c r="G167" t="s">
        <v>9423</v>
      </c>
    </row>
    <row r="168" spans="2:7" x14ac:dyDescent="0.25">
      <c r="E168" t="s">
        <v>9507</v>
      </c>
      <c r="F168" t="s">
        <v>680</v>
      </c>
      <c r="G168" t="s">
        <v>9361</v>
      </c>
    </row>
    <row r="169" spans="2:7" x14ac:dyDescent="0.25">
      <c r="B169">
        <v>39</v>
      </c>
      <c r="C169" t="s">
        <v>9508</v>
      </c>
      <c r="D169" t="s">
        <v>9509</v>
      </c>
    </row>
    <row r="170" spans="2:7" x14ac:dyDescent="0.25">
      <c r="E170" t="s">
        <v>9314</v>
      </c>
      <c r="F170" t="s">
        <v>9315</v>
      </c>
      <c r="G170" t="s">
        <v>9316</v>
      </c>
    </row>
    <row r="171" spans="2:7" x14ac:dyDescent="0.25">
      <c r="E171" t="s">
        <v>9317</v>
      </c>
      <c r="F171" t="s">
        <v>9318</v>
      </c>
      <c r="G171" t="s">
        <v>9319</v>
      </c>
    </row>
    <row r="172" spans="2:7" x14ac:dyDescent="0.25">
      <c r="E172" t="s">
        <v>9320</v>
      </c>
      <c r="F172" t="s">
        <v>9321</v>
      </c>
      <c r="G172" t="s">
        <v>9322</v>
      </c>
    </row>
    <row r="173" spans="2:7" x14ac:dyDescent="0.25">
      <c r="E173" t="s">
        <v>9323</v>
      </c>
      <c r="F173" t="s">
        <v>9324</v>
      </c>
      <c r="G173" t="s">
        <v>9325</v>
      </c>
    </row>
    <row r="174" spans="2:7" x14ac:dyDescent="0.25">
      <c r="E174" t="s">
        <v>9326</v>
      </c>
      <c r="F174" t="s">
        <v>9327</v>
      </c>
      <c r="G174" t="s">
        <v>9328</v>
      </c>
    </row>
    <row r="175" spans="2:7" x14ac:dyDescent="0.25">
      <c r="E175" t="s">
        <v>9329</v>
      </c>
      <c r="F175" t="s">
        <v>9330</v>
      </c>
      <c r="G175" t="s">
        <v>9331</v>
      </c>
    </row>
    <row r="176" spans="2:7" x14ac:dyDescent="0.25">
      <c r="B176">
        <v>80</v>
      </c>
      <c r="C176" t="s">
        <v>9510</v>
      </c>
      <c r="D176" t="s">
        <v>9511</v>
      </c>
    </row>
    <row r="177" spans="2:7" x14ac:dyDescent="0.25">
      <c r="E177" t="s">
        <v>9348</v>
      </c>
      <c r="F177" t="s">
        <v>9349</v>
      </c>
      <c r="G177" t="s">
        <v>9350</v>
      </c>
    </row>
    <row r="178" spans="2:7" x14ac:dyDescent="0.25">
      <c r="E178" t="s">
        <v>9351</v>
      </c>
      <c r="F178" t="s">
        <v>9352</v>
      </c>
      <c r="G178" t="s">
        <v>9353</v>
      </c>
    </row>
    <row r="179" spans="2:7" x14ac:dyDescent="0.25">
      <c r="E179" t="s">
        <v>9354</v>
      </c>
      <c r="F179" t="s">
        <v>866</v>
      </c>
      <c r="G179" t="s">
        <v>9355</v>
      </c>
    </row>
    <row r="180" spans="2:7" x14ac:dyDescent="0.25">
      <c r="E180" t="s">
        <v>9356</v>
      </c>
      <c r="F180" t="s">
        <v>9357</v>
      </c>
      <c r="G180" t="s">
        <v>9325</v>
      </c>
    </row>
    <row r="181" spans="2:7" x14ac:dyDescent="0.25">
      <c r="E181" t="s">
        <v>9358</v>
      </c>
      <c r="F181" t="s">
        <v>9359</v>
      </c>
      <c r="G181" t="s">
        <v>9336</v>
      </c>
    </row>
    <row r="182" spans="2:7" x14ac:dyDescent="0.25">
      <c r="E182" t="s">
        <v>9360</v>
      </c>
      <c r="F182" t="s">
        <v>680</v>
      </c>
      <c r="G182" t="s">
        <v>9361</v>
      </c>
    </row>
    <row r="183" spans="2:7" x14ac:dyDescent="0.25">
      <c r="E183" t="s">
        <v>9362</v>
      </c>
      <c r="F183" t="s">
        <v>9363</v>
      </c>
      <c r="G183" t="s">
        <v>9364</v>
      </c>
    </row>
    <row r="184" spans="2:7" x14ac:dyDescent="0.25">
      <c r="E184" t="s">
        <v>9365</v>
      </c>
      <c r="F184" t="s">
        <v>9366</v>
      </c>
      <c r="G184" t="s">
        <v>9331</v>
      </c>
    </row>
    <row r="185" spans="2:7" x14ac:dyDescent="0.25">
      <c r="E185" t="s">
        <v>9367</v>
      </c>
      <c r="F185" t="s">
        <v>9368</v>
      </c>
      <c r="G185" t="s">
        <v>9369</v>
      </c>
    </row>
    <row r="186" spans="2:7" x14ac:dyDescent="0.25">
      <c r="E186" t="s">
        <v>9370</v>
      </c>
      <c r="F186" t="s">
        <v>9371</v>
      </c>
      <c r="G186" t="s">
        <v>9372</v>
      </c>
    </row>
    <row r="187" spans="2:7" x14ac:dyDescent="0.25">
      <c r="B187">
        <v>90</v>
      </c>
      <c r="C187" t="s">
        <v>9512</v>
      </c>
      <c r="D187" t="s">
        <v>9513</v>
      </c>
    </row>
    <row r="188" spans="2:7" x14ac:dyDescent="0.25">
      <c r="E188" t="s">
        <v>9484</v>
      </c>
      <c r="F188" t="s">
        <v>9359</v>
      </c>
      <c r="G188" t="s">
        <v>9336</v>
      </c>
    </row>
    <row r="189" spans="2:7" x14ac:dyDescent="0.25">
      <c r="E189" t="s">
        <v>9485</v>
      </c>
      <c r="F189" t="s">
        <v>1322</v>
      </c>
      <c r="G189" t="s">
        <v>9331</v>
      </c>
    </row>
    <row r="190" spans="2:7" x14ac:dyDescent="0.25">
      <c r="E190" t="s">
        <v>9486</v>
      </c>
      <c r="F190" t="s">
        <v>1558</v>
      </c>
      <c r="G190" t="s">
        <v>9396</v>
      </c>
    </row>
    <row r="191" spans="2:7" x14ac:dyDescent="0.25">
      <c r="E191" t="s">
        <v>9487</v>
      </c>
      <c r="F191" t="s">
        <v>9488</v>
      </c>
      <c r="G191" t="s">
        <v>9364</v>
      </c>
    </row>
    <row r="192" spans="2:7" x14ac:dyDescent="0.25">
      <c r="E192" t="s">
        <v>9489</v>
      </c>
      <c r="F192" t="s">
        <v>9490</v>
      </c>
      <c r="G192" t="s">
        <v>9350</v>
      </c>
    </row>
    <row r="193" spans="2:7" x14ac:dyDescent="0.25">
      <c r="E193" t="s">
        <v>9491</v>
      </c>
      <c r="F193" t="s">
        <v>899</v>
      </c>
      <c r="G193" t="s">
        <v>9325</v>
      </c>
    </row>
    <row r="194" spans="2:7" x14ac:dyDescent="0.25">
      <c r="E194" t="s">
        <v>9492</v>
      </c>
      <c r="F194" t="s">
        <v>866</v>
      </c>
      <c r="G194" t="s">
        <v>9355</v>
      </c>
    </row>
    <row r="195" spans="2:7" x14ac:dyDescent="0.25">
      <c r="B195">
        <v>2</v>
      </c>
      <c r="C195" t="s">
        <v>9514</v>
      </c>
      <c r="D195" t="s">
        <v>9515</v>
      </c>
    </row>
    <row r="196" spans="2:7" x14ac:dyDescent="0.25">
      <c r="E196" t="s">
        <v>9516</v>
      </c>
      <c r="F196" t="s">
        <v>9324</v>
      </c>
      <c r="G196" t="s">
        <v>9325</v>
      </c>
    </row>
    <row r="197" spans="2:7" x14ac:dyDescent="0.25">
      <c r="E197" t="s">
        <v>9517</v>
      </c>
      <c r="F197" t="s">
        <v>9518</v>
      </c>
      <c r="G197" t="s">
        <v>9336</v>
      </c>
    </row>
    <row r="198" spans="2:7" x14ac:dyDescent="0.25">
      <c r="B198">
        <v>22</v>
      </c>
      <c r="C198" t="s">
        <v>9519</v>
      </c>
      <c r="D198" t="s">
        <v>9520</v>
      </c>
    </row>
    <row r="199" spans="2:7" x14ac:dyDescent="0.25">
      <c r="E199" t="s">
        <v>9334</v>
      </c>
      <c r="F199" t="s">
        <v>9335</v>
      </c>
      <c r="G199" t="s">
        <v>9336</v>
      </c>
    </row>
    <row r="200" spans="2:7" x14ac:dyDescent="0.25">
      <c r="E200" t="s">
        <v>9337</v>
      </c>
      <c r="F200" t="s">
        <v>9324</v>
      </c>
      <c r="G200" t="s">
        <v>9325</v>
      </c>
    </row>
    <row r="201" spans="2:7" x14ac:dyDescent="0.25">
      <c r="B201">
        <v>55</v>
      </c>
      <c r="C201" t="s">
        <v>9521</v>
      </c>
      <c r="D201" t="s">
        <v>9522</v>
      </c>
    </row>
    <row r="202" spans="2:7" x14ac:dyDescent="0.25">
      <c r="E202" t="s">
        <v>9409</v>
      </c>
      <c r="F202" t="s">
        <v>818</v>
      </c>
      <c r="G202" t="s">
        <v>9353</v>
      </c>
    </row>
    <row r="203" spans="2:7" x14ac:dyDescent="0.25">
      <c r="E203" t="s">
        <v>9410</v>
      </c>
      <c r="F203" t="s">
        <v>9363</v>
      </c>
      <c r="G203" t="s">
        <v>9364</v>
      </c>
    </row>
    <row r="204" spans="2:7" x14ac:dyDescent="0.25">
      <c r="E204" t="s">
        <v>9411</v>
      </c>
      <c r="F204" t="s">
        <v>1154</v>
      </c>
      <c r="G204" t="s">
        <v>9325</v>
      </c>
    </row>
    <row r="205" spans="2:7" x14ac:dyDescent="0.25">
      <c r="E205" t="s">
        <v>9412</v>
      </c>
      <c r="F205" t="s">
        <v>569</v>
      </c>
      <c r="G205" t="s">
        <v>9336</v>
      </c>
    </row>
    <row r="206" spans="2:7" x14ac:dyDescent="0.25">
      <c r="E206" t="s">
        <v>9413</v>
      </c>
      <c r="F206" t="s">
        <v>9366</v>
      </c>
      <c r="G206" t="s">
        <v>9331</v>
      </c>
    </row>
    <row r="207" spans="2:7" x14ac:dyDescent="0.25">
      <c r="E207" t="s">
        <v>9414</v>
      </c>
      <c r="F207" t="s">
        <v>1299</v>
      </c>
      <c r="G207" t="s">
        <v>9355</v>
      </c>
    </row>
    <row r="208" spans="2:7" x14ac:dyDescent="0.25">
      <c r="E208" t="s">
        <v>9415</v>
      </c>
      <c r="F208" t="s">
        <v>1312</v>
      </c>
      <c r="G208" t="s">
        <v>9350</v>
      </c>
    </row>
    <row r="209" spans="2:7" x14ac:dyDescent="0.25">
      <c r="E209" t="s">
        <v>9416</v>
      </c>
      <c r="F209" t="s">
        <v>1552</v>
      </c>
      <c r="G209" t="s">
        <v>9396</v>
      </c>
    </row>
    <row r="210" spans="2:7" x14ac:dyDescent="0.25">
      <c r="B210">
        <v>11</v>
      </c>
      <c r="C210" t="s">
        <v>9523</v>
      </c>
      <c r="D210" t="s">
        <v>9524</v>
      </c>
    </row>
    <row r="211" spans="2:7" x14ac:dyDescent="0.25">
      <c r="E211" t="s">
        <v>9525</v>
      </c>
      <c r="F211" t="s">
        <v>9345</v>
      </c>
      <c r="G211" t="s">
        <v>9319</v>
      </c>
    </row>
    <row r="212" spans="2:7" x14ac:dyDescent="0.25">
      <c r="E212" t="s">
        <v>9425</v>
      </c>
      <c r="F212" t="s">
        <v>9426</v>
      </c>
      <c r="G212" t="s">
        <v>9322</v>
      </c>
    </row>
    <row r="213" spans="2:7" x14ac:dyDescent="0.25">
      <c r="E213" t="s">
        <v>9526</v>
      </c>
      <c r="F213" t="s">
        <v>9366</v>
      </c>
      <c r="G213" t="s">
        <v>9331</v>
      </c>
    </row>
    <row r="214" spans="2:7" x14ac:dyDescent="0.25">
      <c r="E214" t="s">
        <v>9527</v>
      </c>
      <c r="F214" t="s">
        <v>680</v>
      </c>
      <c r="G214" t="s">
        <v>9361</v>
      </c>
    </row>
    <row r="215" spans="2:7" x14ac:dyDescent="0.25">
      <c r="E215" t="s">
        <v>9528</v>
      </c>
      <c r="F215" t="s">
        <v>9341</v>
      </c>
      <c r="G215" t="s">
        <v>9325</v>
      </c>
    </row>
    <row r="216" spans="2:7" x14ac:dyDescent="0.25">
      <c r="E216" t="s">
        <v>9432</v>
      </c>
      <c r="F216" t="s">
        <v>9433</v>
      </c>
      <c r="G216" t="s">
        <v>9355</v>
      </c>
    </row>
    <row r="217" spans="2:7" x14ac:dyDescent="0.25">
      <c r="E217" t="s">
        <v>9529</v>
      </c>
      <c r="F217" t="s">
        <v>9430</v>
      </c>
      <c r="G217" t="s">
        <v>9431</v>
      </c>
    </row>
    <row r="218" spans="2:7" x14ac:dyDescent="0.25">
      <c r="E218" t="s">
        <v>9530</v>
      </c>
      <c r="F218" t="s">
        <v>9422</v>
      </c>
      <c r="G218" t="s">
        <v>9423</v>
      </c>
    </row>
    <row r="219" spans="2:7" x14ac:dyDescent="0.25">
      <c r="B219">
        <v>37</v>
      </c>
      <c r="C219" t="s">
        <v>9531</v>
      </c>
      <c r="D219" t="s">
        <v>9532</v>
      </c>
    </row>
    <row r="220" spans="2:7" x14ac:dyDescent="0.25">
      <c r="E220" t="s">
        <v>9314</v>
      </c>
      <c r="F220" t="s">
        <v>9315</v>
      </c>
      <c r="G220" t="s">
        <v>9316</v>
      </c>
    </row>
    <row r="221" spans="2:7" x14ac:dyDescent="0.25">
      <c r="E221" t="s">
        <v>9317</v>
      </c>
      <c r="F221" t="s">
        <v>9318</v>
      </c>
      <c r="G221" t="s">
        <v>9319</v>
      </c>
    </row>
    <row r="222" spans="2:7" x14ac:dyDescent="0.25">
      <c r="E222" t="s">
        <v>9320</v>
      </c>
      <c r="F222" t="s">
        <v>9321</v>
      </c>
      <c r="G222" t="s">
        <v>9322</v>
      </c>
    </row>
    <row r="223" spans="2:7" x14ac:dyDescent="0.25">
      <c r="E223" t="s">
        <v>9323</v>
      </c>
      <c r="F223" t="s">
        <v>9324</v>
      </c>
      <c r="G223" t="s">
        <v>9325</v>
      </c>
    </row>
    <row r="224" spans="2:7" x14ac:dyDescent="0.25">
      <c r="E224" t="s">
        <v>9326</v>
      </c>
      <c r="F224" t="s">
        <v>9327</v>
      </c>
      <c r="G224" t="s">
        <v>9328</v>
      </c>
    </row>
    <row r="225" spans="2:7" x14ac:dyDescent="0.25">
      <c r="E225" t="s">
        <v>9329</v>
      </c>
      <c r="F225" t="s">
        <v>9330</v>
      </c>
      <c r="G225" t="s">
        <v>9331</v>
      </c>
    </row>
    <row r="226" spans="2:7" x14ac:dyDescent="0.25">
      <c r="B226">
        <v>46</v>
      </c>
      <c r="C226" t="s">
        <v>9533</v>
      </c>
      <c r="D226" t="s">
        <v>9534</v>
      </c>
    </row>
    <row r="227" spans="2:7" x14ac:dyDescent="0.25">
      <c r="E227" t="s">
        <v>9314</v>
      </c>
      <c r="F227" t="s">
        <v>9315</v>
      </c>
      <c r="G227" t="s">
        <v>9316</v>
      </c>
    </row>
    <row r="228" spans="2:7" x14ac:dyDescent="0.25">
      <c r="E228" t="s">
        <v>9317</v>
      </c>
      <c r="F228" t="s">
        <v>9318</v>
      </c>
      <c r="G228" t="s">
        <v>9319</v>
      </c>
    </row>
    <row r="229" spans="2:7" x14ac:dyDescent="0.25">
      <c r="E229" t="s">
        <v>9320</v>
      </c>
      <c r="F229" t="s">
        <v>9321</v>
      </c>
      <c r="G229" t="s">
        <v>9322</v>
      </c>
    </row>
    <row r="230" spans="2:7" x14ac:dyDescent="0.25">
      <c r="E230" t="s">
        <v>9323</v>
      </c>
      <c r="F230" t="s">
        <v>9324</v>
      </c>
      <c r="G230" t="s">
        <v>9325</v>
      </c>
    </row>
    <row r="231" spans="2:7" x14ac:dyDescent="0.25">
      <c r="E231" t="s">
        <v>9326</v>
      </c>
      <c r="F231" t="s">
        <v>9327</v>
      </c>
      <c r="G231" t="s">
        <v>9328</v>
      </c>
    </row>
    <row r="232" spans="2:7" x14ac:dyDescent="0.25">
      <c r="E232" t="s">
        <v>9329</v>
      </c>
      <c r="F232" t="s">
        <v>9330</v>
      </c>
      <c r="G232" t="s">
        <v>9331</v>
      </c>
    </row>
    <row r="233" spans="2:7" x14ac:dyDescent="0.25">
      <c r="B233">
        <v>63</v>
      </c>
      <c r="C233" t="s">
        <v>9535</v>
      </c>
      <c r="D233" t="s">
        <v>9536</v>
      </c>
    </row>
    <row r="234" spans="2:7" x14ac:dyDescent="0.25">
      <c r="E234" t="s">
        <v>9375</v>
      </c>
      <c r="F234" t="s">
        <v>9341</v>
      </c>
      <c r="G234" t="s">
        <v>9325</v>
      </c>
    </row>
    <row r="235" spans="2:7" x14ac:dyDescent="0.25">
      <c r="E235" t="s">
        <v>9376</v>
      </c>
      <c r="F235" t="s">
        <v>9345</v>
      </c>
      <c r="G235" t="s">
        <v>9319</v>
      </c>
    </row>
    <row r="236" spans="2:7" x14ac:dyDescent="0.25">
      <c r="E236" t="s">
        <v>9377</v>
      </c>
      <c r="F236" t="s">
        <v>9343</v>
      </c>
      <c r="G236" t="s">
        <v>9331</v>
      </c>
    </row>
    <row r="237" spans="2:7" x14ac:dyDescent="0.25">
      <c r="B237">
        <v>76</v>
      </c>
      <c r="C237" t="s">
        <v>9537</v>
      </c>
      <c r="D237" t="s">
        <v>9538</v>
      </c>
    </row>
    <row r="238" spans="2:7" x14ac:dyDescent="0.25">
      <c r="E238" t="s">
        <v>9484</v>
      </c>
      <c r="F238" t="s">
        <v>9359</v>
      </c>
      <c r="G238" t="s">
        <v>9336</v>
      </c>
    </row>
    <row r="239" spans="2:7" x14ac:dyDescent="0.25">
      <c r="E239" t="s">
        <v>9485</v>
      </c>
      <c r="F239" t="s">
        <v>1322</v>
      </c>
      <c r="G239" t="s">
        <v>9331</v>
      </c>
    </row>
    <row r="240" spans="2:7" x14ac:dyDescent="0.25">
      <c r="E240" t="s">
        <v>9486</v>
      </c>
      <c r="F240" t="s">
        <v>1558</v>
      </c>
      <c r="G240" t="s">
        <v>9396</v>
      </c>
    </row>
    <row r="241" spans="2:7" x14ac:dyDescent="0.25">
      <c r="E241" t="s">
        <v>9487</v>
      </c>
      <c r="F241" t="s">
        <v>9488</v>
      </c>
      <c r="G241" t="s">
        <v>9364</v>
      </c>
    </row>
    <row r="242" spans="2:7" x14ac:dyDescent="0.25">
      <c r="E242" t="s">
        <v>9489</v>
      </c>
      <c r="F242" t="s">
        <v>9490</v>
      </c>
      <c r="G242" t="s">
        <v>9350</v>
      </c>
    </row>
    <row r="243" spans="2:7" x14ac:dyDescent="0.25">
      <c r="E243" t="s">
        <v>9491</v>
      </c>
      <c r="F243" t="s">
        <v>899</v>
      </c>
      <c r="G243" t="s">
        <v>9325</v>
      </c>
    </row>
    <row r="244" spans="2:7" x14ac:dyDescent="0.25">
      <c r="E244" t="s">
        <v>9492</v>
      </c>
      <c r="F244" t="s">
        <v>866</v>
      </c>
      <c r="G244" t="s">
        <v>9355</v>
      </c>
    </row>
    <row r="245" spans="2:7" x14ac:dyDescent="0.25">
      <c r="B245">
        <v>94</v>
      </c>
      <c r="C245" t="s">
        <v>9539</v>
      </c>
      <c r="D245" t="s">
        <v>9540</v>
      </c>
    </row>
    <row r="246" spans="2:7" x14ac:dyDescent="0.25">
      <c r="E246" t="s">
        <v>9484</v>
      </c>
      <c r="F246" t="s">
        <v>9359</v>
      </c>
      <c r="G246" t="s">
        <v>9336</v>
      </c>
    </row>
    <row r="247" spans="2:7" x14ac:dyDescent="0.25">
      <c r="E247" t="s">
        <v>9485</v>
      </c>
      <c r="F247" t="s">
        <v>1322</v>
      </c>
      <c r="G247" t="s">
        <v>9331</v>
      </c>
    </row>
    <row r="248" spans="2:7" x14ac:dyDescent="0.25">
      <c r="E248" t="s">
        <v>9486</v>
      </c>
      <c r="F248" t="s">
        <v>1558</v>
      </c>
      <c r="G248" t="s">
        <v>9396</v>
      </c>
    </row>
    <row r="249" spans="2:7" x14ac:dyDescent="0.25">
      <c r="E249" t="s">
        <v>9487</v>
      </c>
      <c r="F249" t="s">
        <v>9488</v>
      </c>
      <c r="G249" t="s">
        <v>9364</v>
      </c>
    </row>
    <row r="250" spans="2:7" x14ac:dyDescent="0.25">
      <c r="E250" t="s">
        <v>9489</v>
      </c>
      <c r="F250" t="s">
        <v>9490</v>
      </c>
      <c r="G250" t="s">
        <v>9350</v>
      </c>
    </row>
    <row r="251" spans="2:7" x14ac:dyDescent="0.25">
      <c r="E251" t="s">
        <v>9491</v>
      </c>
      <c r="F251" t="s">
        <v>899</v>
      </c>
      <c r="G251" t="s">
        <v>9325</v>
      </c>
    </row>
    <row r="252" spans="2:7" x14ac:dyDescent="0.25">
      <c r="E252" t="s">
        <v>9492</v>
      </c>
      <c r="F252" t="s">
        <v>866</v>
      </c>
      <c r="G252" t="s">
        <v>9355</v>
      </c>
    </row>
    <row r="253" spans="2:7" x14ac:dyDescent="0.25">
      <c r="B253">
        <v>56</v>
      </c>
      <c r="C253" t="s">
        <v>9541</v>
      </c>
      <c r="D253" t="s">
        <v>9542</v>
      </c>
    </row>
    <row r="254" spans="2:7" x14ac:dyDescent="0.25">
      <c r="E254" t="s">
        <v>9409</v>
      </c>
      <c r="F254" t="s">
        <v>818</v>
      </c>
      <c r="G254" t="s">
        <v>9353</v>
      </c>
    </row>
    <row r="255" spans="2:7" x14ac:dyDescent="0.25">
      <c r="E255" t="s">
        <v>9410</v>
      </c>
      <c r="F255" t="s">
        <v>9363</v>
      </c>
      <c r="G255" t="s">
        <v>9364</v>
      </c>
    </row>
    <row r="256" spans="2:7" x14ac:dyDescent="0.25">
      <c r="E256" t="s">
        <v>9411</v>
      </c>
      <c r="F256" t="s">
        <v>1154</v>
      </c>
      <c r="G256" t="s">
        <v>9325</v>
      </c>
    </row>
    <row r="257" spans="2:7" x14ac:dyDescent="0.25">
      <c r="E257" t="s">
        <v>9412</v>
      </c>
      <c r="F257" t="s">
        <v>569</v>
      </c>
      <c r="G257" t="s">
        <v>9336</v>
      </c>
    </row>
    <row r="258" spans="2:7" x14ac:dyDescent="0.25">
      <c r="E258" t="s">
        <v>9413</v>
      </c>
      <c r="F258" t="s">
        <v>9366</v>
      </c>
      <c r="G258" t="s">
        <v>9331</v>
      </c>
    </row>
    <row r="259" spans="2:7" x14ac:dyDescent="0.25">
      <c r="E259" t="s">
        <v>9414</v>
      </c>
      <c r="F259" t="s">
        <v>1299</v>
      </c>
      <c r="G259" t="s">
        <v>9355</v>
      </c>
    </row>
    <row r="260" spans="2:7" x14ac:dyDescent="0.25">
      <c r="E260" t="s">
        <v>9415</v>
      </c>
      <c r="F260" t="s">
        <v>1312</v>
      </c>
      <c r="G260" t="s">
        <v>9350</v>
      </c>
    </row>
    <row r="261" spans="2:7" x14ac:dyDescent="0.25">
      <c r="E261" t="s">
        <v>9416</v>
      </c>
      <c r="F261" t="s">
        <v>1552</v>
      </c>
      <c r="G261" t="s">
        <v>9396</v>
      </c>
    </row>
    <row r="262" spans="2:7" x14ac:dyDescent="0.25">
      <c r="B262">
        <v>31</v>
      </c>
      <c r="C262" t="s">
        <v>9543</v>
      </c>
      <c r="D262" t="s">
        <v>9544</v>
      </c>
    </row>
    <row r="263" spans="2:7" x14ac:dyDescent="0.25">
      <c r="E263" t="s">
        <v>9314</v>
      </c>
      <c r="F263" t="s">
        <v>9315</v>
      </c>
      <c r="G263" t="s">
        <v>9316</v>
      </c>
    </row>
    <row r="264" spans="2:7" x14ac:dyDescent="0.25">
      <c r="E264" t="s">
        <v>9317</v>
      </c>
      <c r="F264" t="s">
        <v>9318</v>
      </c>
      <c r="G264" t="s">
        <v>9319</v>
      </c>
    </row>
    <row r="265" spans="2:7" x14ac:dyDescent="0.25">
      <c r="E265" t="s">
        <v>9320</v>
      </c>
      <c r="F265" t="s">
        <v>9321</v>
      </c>
      <c r="G265" t="s">
        <v>9322</v>
      </c>
    </row>
    <row r="266" spans="2:7" x14ac:dyDescent="0.25">
      <c r="E266" t="s">
        <v>9323</v>
      </c>
      <c r="F266" t="s">
        <v>9324</v>
      </c>
      <c r="G266" t="s">
        <v>9325</v>
      </c>
    </row>
    <row r="267" spans="2:7" x14ac:dyDescent="0.25">
      <c r="E267" t="s">
        <v>9326</v>
      </c>
      <c r="F267" t="s">
        <v>9327</v>
      </c>
      <c r="G267" t="s">
        <v>9328</v>
      </c>
    </row>
    <row r="268" spans="2:7" x14ac:dyDescent="0.25">
      <c r="E268" t="s">
        <v>9329</v>
      </c>
      <c r="F268" t="s">
        <v>9330</v>
      </c>
      <c r="G268" t="s">
        <v>9331</v>
      </c>
    </row>
    <row r="269" spans="2:7" x14ac:dyDescent="0.25">
      <c r="B269">
        <v>59</v>
      </c>
      <c r="C269" t="s">
        <v>9545</v>
      </c>
      <c r="D269" t="s">
        <v>9546</v>
      </c>
    </row>
    <row r="270" spans="2:7" x14ac:dyDescent="0.25">
      <c r="E270" t="s">
        <v>9375</v>
      </c>
      <c r="F270" t="s">
        <v>9341</v>
      </c>
      <c r="G270" t="s">
        <v>9325</v>
      </c>
    </row>
    <row r="271" spans="2:7" x14ac:dyDescent="0.25">
      <c r="E271" t="s">
        <v>9376</v>
      </c>
      <c r="F271" t="s">
        <v>9345</v>
      </c>
      <c r="G271" t="s">
        <v>9319</v>
      </c>
    </row>
    <row r="272" spans="2:7" x14ac:dyDescent="0.25">
      <c r="E272" t="s">
        <v>9377</v>
      </c>
      <c r="F272" t="s">
        <v>9343</v>
      </c>
      <c r="G272" t="s">
        <v>9331</v>
      </c>
    </row>
    <row r="273" spans="2:7" x14ac:dyDescent="0.25">
      <c r="B273">
        <v>23</v>
      </c>
      <c r="C273" t="s">
        <v>9547</v>
      </c>
      <c r="D273" t="s">
        <v>9548</v>
      </c>
    </row>
    <row r="274" spans="2:7" x14ac:dyDescent="0.25">
      <c r="E274" t="s">
        <v>9334</v>
      </c>
      <c r="F274" t="s">
        <v>9335</v>
      </c>
      <c r="G274" t="s">
        <v>9336</v>
      </c>
    </row>
    <row r="275" spans="2:7" x14ac:dyDescent="0.25">
      <c r="E275" t="s">
        <v>9337</v>
      </c>
      <c r="F275" t="s">
        <v>9324</v>
      </c>
      <c r="G275" t="s">
        <v>9325</v>
      </c>
    </row>
    <row r="276" spans="2:7" x14ac:dyDescent="0.25">
      <c r="B276">
        <v>100</v>
      </c>
      <c r="C276" t="s">
        <v>9549</v>
      </c>
      <c r="D276" t="s">
        <v>9550</v>
      </c>
    </row>
    <row r="277" spans="2:7" x14ac:dyDescent="0.25">
      <c r="E277" t="s">
        <v>9495</v>
      </c>
      <c r="F277" t="s">
        <v>9496</v>
      </c>
      <c r="G277" t="s">
        <v>9396</v>
      </c>
    </row>
    <row r="278" spans="2:7" x14ac:dyDescent="0.25">
      <c r="E278" t="s">
        <v>9497</v>
      </c>
      <c r="F278" t="s">
        <v>1064</v>
      </c>
      <c r="G278" t="s">
        <v>9325</v>
      </c>
    </row>
    <row r="279" spans="2:7" x14ac:dyDescent="0.25">
      <c r="E279" t="s">
        <v>9498</v>
      </c>
      <c r="F279" t="s">
        <v>9359</v>
      </c>
      <c r="G279" t="s">
        <v>9336</v>
      </c>
    </row>
    <row r="280" spans="2:7" x14ac:dyDescent="0.25">
      <c r="E280" t="s">
        <v>9499</v>
      </c>
      <c r="F280" t="s">
        <v>688</v>
      </c>
      <c r="G280" t="s">
        <v>9472</v>
      </c>
    </row>
    <row r="281" spans="2:7" x14ac:dyDescent="0.25">
      <c r="B281">
        <v>57</v>
      </c>
      <c r="C281" t="s">
        <v>9551</v>
      </c>
      <c r="D281" t="s">
        <v>9552</v>
      </c>
    </row>
    <row r="282" spans="2:7" x14ac:dyDescent="0.25">
      <c r="E282" t="s">
        <v>9409</v>
      </c>
      <c r="F282" t="s">
        <v>818</v>
      </c>
      <c r="G282" t="s">
        <v>9353</v>
      </c>
    </row>
    <row r="283" spans="2:7" x14ac:dyDescent="0.25">
      <c r="E283" t="s">
        <v>9410</v>
      </c>
      <c r="F283" t="s">
        <v>9363</v>
      </c>
      <c r="G283" t="s">
        <v>9364</v>
      </c>
    </row>
    <row r="284" spans="2:7" x14ac:dyDescent="0.25">
      <c r="E284" t="s">
        <v>9411</v>
      </c>
      <c r="F284" t="s">
        <v>1154</v>
      </c>
      <c r="G284" t="s">
        <v>9325</v>
      </c>
    </row>
    <row r="285" spans="2:7" x14ac:dyDescent="0.25">
      <c r="E285" t="s">
        <v>9412</v>
      </c>
      <c r="F285" t="s">
        <v>569</v>
      </c>
      <c r="G285" t="s">
        <v>9336</v>
      </c>
    </row>
    <row r="286" spans="2:7" x14ac:dyDescent="0.25">
      <c r="E286" t="s">
        <v>9413</v>
      </c>
      <c r="F286" t="s">
        <v>9366</v>
      </c>
      <c r="G286" t="s">
        <v>9331</v>
      </c>
    </row>
    <row r="287" spans="2:7" x14ac:dyDescent="0.25">
      <c r="E287" t="s">
        <v>9414</v>
      </c>
      <c r="F287" t="s">
        <v>1299</v>
      </c>
      <c r="G287" t="s">
        <v>9355</v>
      </c>
    </row>
    <row r="288" spans="2:7" x14ac:dyDescent="0.25">
      <c r="E288" t="s">
        <v>9415</v>
      </c>
      <c r="F288" t="s">
        <v>1312</v>
      </c>
      <c r="G288" t="s">
        <v>9350</v>
      </c>
    </row>
    <row r="289" spans="2:7" x14ac:dyDescent="0.25">
      <c r="E289" t="s">
        <v>9416</v>
      </c>
      <c r="F289" t="s">
        <v>1552</v>
      </c>
      <c r="G289" t="s">
        <v>9396</v>
      </c>
    </row>
    <row r="290" spans="2:7" x14ac:dyDescent="0.25">
      <c r="B290">
        <v>84</v>
      </c>
      <c r="C290" t="s">
        <v>9553</v>
      </c>
      <c r="D290" t="s">
        <v>9554</v>
      </c>
    </row>
    <row r="291" spans="2:7" x14ac:dyDescent="0.25">
      <c r="E291" t="s">
        <v>9348</v>
      </c>
      <c r="F291" t="s">
        <v>9349</v>
      </c>
      <c r="G291" t="s">
        <v>9350</v>
      </c>
    </row>
    <row r="292" spans="2:7" x14ac:dyDescent="0.25">
      <c r="E292" t="s">
        <v>9351</v>
      </c>
      <c r="F292" t="s">
        <v>9352</v>
      </c>
      <c r="G292" t="s">
        <v>9353</v>
      </c>
    </row>
    <row r="293" spans="2:7" x14ac:dyDescent="0.25">
      <c r="E293" t="s">
        <v>9354</v>
      </c>
      <c r="F293" t="s">
        <v>866</v>
      </c>
      <c r="G293" t="s">
        <v>9355</v>
      </c>
    </row>
    <row r="294" spans="2:7" x14ac:dyDescent="0.25">
      <c r="E294" t="s">
        <v>9356</v>
      </c>
      <c r="F294" t="s">
        <v>9357</v>
      </c>
      <c r="G294" t="s">
        <v>9325</v>
      </c>
    </row>
    <row r="295" spans="2:7" x14ac:dyDescent="0.25">
      <c r="E295" t="s">
        <v>9358</v>
      </c>
      <c r="F295" t="s">
        <v>9359</v>
      </c>
      <c r="G295" t="s">
        <v>9336</v>
      </c>
    </row>
    <row r="296" spans="2:7" x14ac:dyDescent="0.25">
      <c r="E296" t="s">
        <v>9360</v>
      </c>
      <c r="F296" t="s">
        <v>680</v>
      </c>
      <c r="G296" t="s">
        <v>9361</v>
      </c>
    </row>
    <row r="297" spans="2:7" x14ac:dyDescent="0.25">
      <c r="E297" t="s">
        <v>9362</v>
      </c>
      <c r="F297" t="s">
        <v>9363</v>
      </c>
      <c r="G297" t="s">
        <v>9364</v>
      </c>
    </row>
    <row r="298" spans="2:7" x14ac:dyDescent="0.25">
      <c r="E298" t="s">
        <v>9365</v>
      </c>
      <c r="F298" t="s">
        <v>9366</v>
      </c>
      <c r="G298" t="s">
        <v>9331</v>
      </c>
    </row>
    <row r="299" spans="2:7" x14ac:dyDescent="0.25">
      <c r="E299" t="s">
        <v>9367</v>
      </c>
      <c r="F299" t="s">
        <v>9368</v>
      </c>
      <c r="G299" t="s">
        <v>9369</v>
      </c>
    </row>
    <row r="300" spans="2:7" x14ac:dyDescent="0.25">
      <c r="E300" t="s">
        <v>9370</v>
      </c>
      <c r="F300" t="s">
        <v>9371</v>
      </c>
      <c r="G300" t="s">
        <v>9372</v>
      </c>
    </row>
    <row r="301" spans="2:7" x14ac:dyDescent="0.25">
      <c r="B301">
        <v>45</v>
      </c>
      <c r="C301" t="s">
        <v>9555</v>
      </c>
      <c r="D301" t="s">
        <v>9556</v>
      </c>
    </row>
    <row r="302" spans="2:7" x14ac:dyDescent="0.25">
      <c r="E302" t="s">
        <v>9314</v>
      </c>
      <c r="F302" t="s">
        <v>9315</v>
      </c>
      <c r="G302" t="s">
        <v>9316</v>
      </c>
    </row>
    <row r="303" spans="2:7" x14ac:dyDescent="0.25">
      <c r="E303" t="s">
        <v>9317</v>
      </c>
      <c r="F303" t="s">
        <v>9318</v>
      </c>
      <c r="G303" t="s">
        <v>9319</v>
      </c>
    </row>
    <row r="304" spans="2:7" x14ac:dyDescent="0.25">
      <c r="E304" t="s">
        <v>9320</v>
      </c>
      <c r="F304" t="s">
        <v>9321</v>
      </c>
      <c r="G304" t="s">
        <v>9322</v>
      </c>
    </row>
    <row r="305" spans="2:7" x14ac:dyDescent="0.25">
      <c r="E305" t="s">
        <v>9323</v>
      </c>
      <c r="F305" t="s">
        <v>9324</v>
      </c>
      <c r="G305" t="s">
        <v>9325</v>
      </c>
    </row>
    <row r="306" spans="2:7" x14ac:dyDescent="0.25">
      <c r="E306" t="s">
        <v>9326</v>
      </c>
      <c r="F306" t="s">
        <v>9327</v>
      </c>
      <c r="G306" t="s">
        <v>9328</v>
      </c>
    </row>
    <row r="307" spans="2:7" x14ac:dyDescent="0.25">
      <c r="E307" t="s">
        <v>9329</v>
      </c>
      <c r="F307" t="s">
        <v>9330</v>
      </c>
      <c r="G307" t="s">
        <v>9331</v>
      </c>
    </row>
    <row r="308" spans="2:7" x14ac:dyDescent="0.25">
      <c r="B308">
        <v>65</v>
      </c>
      <c r="C308" t="s">
        <v>9557</v>
      </c>
      <c r="D308" t="s">
        <v>9558</v>
      </c>
    </row>
    <row r="309" spans="2:7" x14ac:dyDescent="0.25">
      <c r="E309" t="s">
        <v>9375</v>
      </c>
      <c r="F309" t="s">
        <v>9341</v>
      </c>
      <c r="G309" t="s">
        <v>9325</v>
      </c>
    </row>
    <row r="310" spans="2:7" x14ac:dyDescent="0.25">
      <c r="E310" t="s">
        <v>9376</v>
      </c>
      <c r="F310" t="s">
        <v>9345</v>
      </c>
      <c r="G310" t="s">
        <v>9319</v>
      </c>
    </row>
    <row r="311" spans="2:7" x14ac:dyDescent="0.25">
      <c r="E311" t="s">
        <v>9377</v>
      </c>
      <c r="F311" t="s">
        <v>9343</v>
      </c>
      <c r="G311" t="s">
        <v>9331</v>
      </c>
    </row>
    <row r="312" spans="2:7" x14ac:dyDescent="0.25">
      <c r="B312">
        <v>54</v>
      </c>
      <c r="C312" t="s">
        <v>9559</v>
      </c>
      <c r="D312" t="s">
        <v>9560</v>
      </c>
    </row>
    <row r="313" spans="2:7" x14ac:dyDescent="0.25">
      <c r="E313" t="s">
        <v>9409</v>
      </c>
      <c r="F313" t="s">
        <v>818</v>
      </c>
      <c r="G313" t="s">
        <v>9353</v>
      </c>
    </row>
    <row r="314" spans="2:7" x14ac:dyDescent="0.25">
      <c r="E314" t="s">
        <v>9410</v>
      </c>
      <c r="F314" t="s">
        <v>9363</v>
      </c>
      <c r="G314" t="s">
        <v>9364</v>
      </c>
    </row>
    <row r="315" spans="2:7" x14ac:dyDescent="0.25">
      <c r="E315" t="s">
        <v>9411</v>
      </c>
      <c r="F315" t="s">
        <v>1154</v>
      </c>
      <c r="G315" t="s">
        <v>9325</v>
      </c>
    </row>
    <row r="316" spans="2:7" x14ac:dyDescent="0.25">
      <c r="E316" t="s">
        <v>9412</v>
      </c>
      <c r="F316" t="s">
        <v>569</v>
      </c>
      <c r="G316" t="s">
        <v>9336</v>
      </c>
    </row>
    <row r="317" spans="2:7" x14ac:dyDescent="0.25">
      <c r="E317" t="s">
        <v>9413</v>
      </c>
      <c r="F317" t="s">
        <v>9366</v>
      </c>
      <c r="G317" t="s">
        <v>9331</v>
      </c>
    </row>
    <row r="318" spans="2:7" x14ac:dyDescent="0.25">
      <c r="E318" t="s">
        <v>9414</v>
      </c>
      <c r="F318" t="s">
        <v>1299</v>
      </c>
      <c r="G318" t="s">
        <v>9355</v>
      </c>
    </row>
    <row r="319" spans="2:7" x14ac:dyDescent="0.25">
      <c r="E319" t="s">
        <v>9415</v>
      </c>
      <c r="F319" t="s">
        <v>1312</v>
      </c>
      <c r="G319" t="s">
        <v>9350</v>
      </c>
    </row>
    <row r="320" spans="2:7" x14ac:dyDescent="0.25">
      <c r="E320" t="s">
        <v>9416</v>
      </c>
      <c r="F320" t="s">
        <v>1552</v>
      </c>
      <c r="G320" t="s">
        <v>9396</v>
      </c>
    </row>
    <row r="321" spans="2:7" x14ac:dyDescent="0.25">
      <c r="B321">
        <v>40</v>
      </c>
      <c r="C321" t="s">
        <v>9561</v>
      </c>
      <c r="D321" t="s">
        <v>9562</v>
      </c>
    </row>
    <row r="322" spans="2:7" x14ac:dyDescent="0.25">
      <c r="E322" t="s">
        <v>9314</v>
      </c>
      <c r="F322" t="s">
        <v>9315</v>
      </c>
      <c r="G322" t="s">
        <v>9316</v>
      </c>
    </row>
    <row r="323" spans="2:7" x14ac:dyDescent="0.25">
      <c r="E323" t="s">
        <v>9317</v>
      </c>
      <c r="F323" t="s">
        <v>9318</v>
      </c>
      <c r="G323" t="s">
        <v>9319</v>
      </c>
    </row>
    <row r="324" spans="2:7" x14ac:dyDescent="0.25">
      <c r="E324" t="s">
        <v>9320</v>
      </c>
      <c r="F324" t="s">
        <v>9321</v>
      </c>
      <c r="G324" t="s">
        <v>9322</v>
      </c>
    </row>
    <row r="325" spans="2:7" x14ac:dyDescent="0.25">
      <c r="E325" t="s">
        <v>9323</v>
      </c>
      <c r="F325" t="s">
        <v>9324</v>
      </c>
      <c r="G325" t="s">
        <v>9325</v>
      </c>
    </row>
    <row r="326" spans="2:7" x14ac:dyDescent="0.25">
      <c r="E326" t="s">
        <v>9326</v>
      </c>
      <c r="F326" t="s">
        <v>9327</v>
      </c>
      <c r="G326" t="s">
        <v>9328</v>
      </c>
    </row>
    <row r="327" spans="2:7" x14ac:dyDescent="0.25">
      <c r="E327" t="s">
        <v>9329</v>
      </c>
      <c r="F327" t="s">
        <v>9330</v>
      </c>
      <c r="G327" t="s">
        <v>9331</v>
      </c>
    </row>
    <row r="328" spans="2:7" x14ac:dyDescent="0.25">
      <c r="B328">
        <v>27</v>
      </c>
      <c r="C328" t="s">
        <v>9563</v>
      </c>
      <c r="D328" t="s">
        <v>9564</v>
      </c>
    </row>
    <row r="329" spans="2:7" x14ac:dyDescent="0.25">
      <c r="E329" t="s">
        <v>9314</v>
      </c>
      <c r="F329" t="s">
        <v>9315</v>
      </c>
      <c r="G329" t="s">
        <v>9316</v>
      </c>
    </row>
    <row r="330" spans="2:7" x14ac:dyDescent="0.25">
      <c r="E330" t="s">
        <v>9317</v>
      </c>
      <c r="F330" t="s">
        <v>9318</v>
      </c>
      <c r="G330" t="s">
        <v>9319</v>
      </c>
    </row>
    <row r="331" spans="2:7" x14ac:dyDescent="0.25">
      <c r="E331" t="s">
        <v>9320</v>
      </c>
      <c r="F331" t="s">
        <v>9321</v>
      </c>
      <c r="G331" t="s">
        <v>9322</v>
      </c>
    </row>
    <row r="332" spans="2:7" x14ac:dyDescent="0.25">
      <c r="E332" t="s">
        <v>9323</v>
      </c>
      <c r="F332" t="s">
        <v>9324</v>
      </c>
      <c r="G332" t="s">
        <v>9325</v>
      </c>
    </row>
    <row r="333" spans="2:7" x14ac:dyDescent="0.25">
      <c r="E333" t="s">
        <v>9326</v>
      </c>
      <c r="F333" t="s">
        <v>9327</v>
      </c>
      <c r="G333" t="s">
        <v>9328</v>
      </c>
    </row>
    <row r="334" spans="2:7" x14ac:dyDescent="0.25">
      <c r="E334" t="s">
        <v>9329</v>
      </c>
      <c r="F334" t="s">
        <v>9330</v>
      </c>
      <c r="G334" t="s">
        <v>9331</v>
      </c>
    </row>
    <row r="335" spans="2:7" x14ac:dyDescent="0.25">
      <c r="B335">
        <v>6</v>
      </c>
      <c r="C335" t="s">
        <v>9565</v>
      </c>
      <c r="D335" t="s">
        <v>9566</v>
      </c>
    </row>
    <row r="336" spans="2:7" x14ac:dyDescent="0.25">
      <c r="E336" t="s">
        <v>9567</v>
      </c>
      <c r="F336" t="s">
        <v>9366</v>
      </c>
      <c r="G336" t="s">
        <v>9331</v>
      </c>
    </row>
    <row r="337" spans="2:7" x14ac:dyDescent="0.25">
      <c r="E337" t="s">
        <v>9568</v>
      </c>
      <c r="F337" t="s">
        <v>9341</v>
      </c>
      <c r="G337" t="s">
        <v>9325</v>
      </c>
    </row>
    <row r="338" spans="2:7" x14ac:dyDescent="0.25">
      <c r="E338" t="s">
        <v>9425</v>
      </c>
      <c r="F338" t="s">
        <v>9426</v>
      </c>
      <c r="G338" t="s">
        <v>9322</v>
      </c>
    </row>
    <row r="339" spans="2:7" x14ac:dyDescent="0.25">
      <c r="E339" t="s">
        <v>9569</v>
      </c>
      <c r="F339" t="s">
        <v>680</v>
      </c>
      <c r="G339" t="s">
        <v>9361</v>
      </c>
    </row>
    <row r="340" spans="2:7" x14ac:dyDescent="0.25">
      <c r="E340" t="s">
        <v>9570</v>
      </c>
      <c r="F340" t="s">
        <v>9430</v>
      </c>
      <c r="G340" t="s">
        <v>9431</v>
      </c>
    </row>
    <row r="341" spans="2:7" x14ac:dyDescent="0.25">
      <c r="E341" t="s">
        <v>9571</v>
      </c>
      <c r="F341" t="s">
        <v>9422</v>
      </c>
      <c r="G341" t="s">
        <v>9423</v>
      </c>
    </row>
    <row r="342" spans="2:7" x14ac:dyDescent="0.25">
      <c r="E342" t="s">
        <v>9432</v>
      </c>
      <c r="F342" t="s">
        <v>9433</v>
      </c>
      <c r="G342" t="s">
        <v>9355</v>
      </c>
    </row>
    <row r="343" spans="2:7" x14ac:dyDescent="0.25">
      <c r="E343" t="s">
        <v>9572</v>
      </c>
      <c r="F343" t="s">
        <v>9345</v>
      </c>
      <c r="G343" t="s">
        <v>9319</v>
      </c>
    </row>
    <row r="344" spans="2:7" x14ac:dyDescent="0.25">
      <c r="B344">
        <v>98</v>
      </c>
      <c r="C344" t="s">
        <v>9573</v>
      </c>
      <c r="D344" t="s">
        <v>9574</v>
      </c>
    </row>
    <row r="345" spans="2:7" x14ac:dyDescent="0.25">
      <c r="E345" t="s">
        <v>9495</v>
      </c>
      <c r="F345" t="s">
        <v>9496</v>
      </c>
      <c r="G345" t="s">
        <v>9396</v>
      </c>
    </row>
    <row r="346" spans="2:7" x14ac:dyDescent="0.25">
      <c r="E346" t="s">
        <v>9497</v>
      </c>
      <c r="F346" t="s">
        <v>1064</v>
      </c>
      <c r="G346" t="s">
        <v>9325</v>
      </c>
    </row>
    <row r="347" spans="2:7" x14ac:dyDescent="0.25">
      <c r="E347" t="s">
        <v>9498</v>
      </c>
      <c r="F347" t="s">
        <v>9359</v>
      </c>
      <c r="G347" t="s">
        <v>9336</v>
      </c>
    </row>
    <row r="348" spans="2:7" x14ac:dyDescent="0.25">
      <c r="E348" t="s">
        <v>9499</v>
      </c>
      <c r="F348" t="s">
        <v>688</v>
      </c>
      <c r="G348" t="s">
        <v>9472</v>
      </c>
    </row>
    <row r="349" spans="2:7" x14ac:dyDescent="0.25">
      <c r="B349">
        <v>103</v>
      </c>
      <c r="C349" t="s">
        <v>9575</v>
      </c>
      <c r="D349" t="s">
        <v>9576</v>
      </c>
    </row>
    <row r="350" spans="2:7" x14ac:dyDescent="0.25">
      <c r="E350" t="s">
        <v>9577</v>
      </c>
      <c r="F350" t="s">
        <v>9363</v>
      </c>
      <c r="G350" t="s">
        <v>9364</v>
      </c>
    </row>
    <row r="351" spans="2:7" x14ac:dyDescent="0.25">
      <c r="E351" t="s">
        <v>9578</v>
      </c>
      <c r="F351" t="s">
        <v>1064</v>
      </c>
      <c r="G351" t="s">
        <v>9325</v>
      </c>
    </row>
    <row r="352" spans="2:7" x14ac:dyDescent="0.25">
      <c r="E352" t="s">
        <v>9579</v>
      </c>
      <c r="F352" t="s">
        <v>622</v>
      </c>
      <c r="G352" t="s">
        <v>9381</v>
      </c>
    </row>
    <row r="353" spans="2:7" x14ac:dyDescent="0.25">
      <c r="E353" t="s">
        <v>9580</v>
      </c>
      <c r="F353" t="s">
        <v>9581</v>
      </c>
      <c r="G353" t="s">
        <v>9372</v>
      </c>
    </row>
    <row r="354" spans="2:7" x14ac:dyDescent="0.25">
      <c r="E354" t="s">
        <v>9582</v>
      </c>
      <c r="F354" t="s">
        <v>9469</v>
      </c>
      <c r="G354" t="s">
        <v>9470</v>
      </c>
    </row>
    <row r="355" spans="2:7" x14ac:dyDescent="0.25">
      <c r="E355" t="s">
        <v>9583</v>
      </c>
      <c r="F355" t="s">
        <v>818</v>
      </c>
      <c r="G355" t="s">
        <v>9353</v>
      </c>
    </row>
    <row r="356" spans="2:7" x14ac:dyDescent="0.25">
      <c r="E356" t="s">
        <v>9584</v>
      </c>
      <c r="F356" t="s">
        <v>546</v>
      </c>
      <c r="G356" t="s">
        <v>9585</v>
      </c>
    </row>
    <row r="357" spans="2:7" x14ac:dyDescent="0.25">
      <c r="E357" t="s">
        <v>9586</v>
      </c>
      <c r="F357" t="s">
        <v>9459</v>
      </c>
      <c r="G357" t="s">
        <v>9460</v>
      </c>
    </row>
    <row r="358" spans="2:7" x14ac:dyDescent="0.25">
      <c r="E358" t="s">
        <v>9587</v>
      </c>
      <c r="F358" t="s">
        <v>9588</v>
      </c>
      <c r="G358" t="s">
        <v>9399</v>
      </c>
    </row>
    <row r="359" spans="2:7" x14ac:dyDescent="0.25">
      <c r="B359">
        <v>8</v>
      </c>
      <c r="C359" t="s">
        <v>9589</v>
      </c>
      <c r="D359" t="s">
        <v>9590</v>
      </c>
    </row>
    <row r="360" spans="2:7" x14ac:dyDescent="0.25">
      <c r="E360" t="s">
        <v>9591</v>
      </c>
      <c r="F360" t="s">
        <v>9345</v>
      </c>
      <c r="G360" t="s">
        <v>9319</v>
      </c>
    </row>
    <row r="361" spans="2:7" x14ac:dyDescent="0.25">
      <c r="E361" t="s">
        <v>9592</v>
      </c>
      <c r="F361" t="s">
        <v>9341</v>
      </c>
      <c r="G361" t="s">
        <v>9325</v>
      </c>
    </row>
    <row r="362" spans="2:7" x14ac:dyDescent="0.25">
      <c r="E362" t="s">
        <v>9425</v>
      </c>
      <c r="F362" t="s">
        <v>9426</v>
      </c>
      <c r="G362" t="s">
        <v>9322</v>
      </c>
    </row>
    <row r="363" spans="2:7" x14ac:dyDescent="0.25">
      <c r="E363" t="s">
        <v>9593</v>
      </c>
      <c r="F363" t="s">
        <v>9366</v>
      </c>
      <c r="G363" t="s">
        <v>9331</v>
      </c>
    </row>
    <row r="364" spans="2:7" x14ac:dyDescent="0.25">
      <c r="E364" t="s">
        <v>9594</v>
      </c>
      <c r="F364" t="s">
        <v>9422</v>
      </c>
      <c r="G364" t="s">
        <v>9423</v>
      </c>
    </row>
    <row r="365" spans="2:7" x14ac:dyDescent="0.25">
      <c r="E365" t="s">
        <v>9432</v>
      </c>
      <c r="F365" t="s">
        <v>9433</v>
      </c>
      <c r="G365" t="s">
        <v>9355</v>
      </c>
    </row>
    <row r="366" spans="2:7" x14ac:dyDescent="0.25">
      <c r="E366" t="s">
        <v>9595</v>
      </c>
      <c r="F366" t="s">
        <v>680</v>
      </c>
      <c r="G366" t="s">
        <v>9361</v>
      </c>
    </row>
    <row r="367" spans="2:7" x14ac:dyDescent="0.25">
      <c r="E367" t="s">
        <v>9596</v>
      </c>
      <c r="F367" t="s">
        <v>9430</v>
      </c>
      <c r="G367" t="s">
        <v>9431</v>
      </c>
    </row>
    <row r="368" spans="2:7" x14ac:dyDescent="0.25">
      <c r="B368">
        <v>99</v>
      </c>
      <c r="C368" t="s">
        <v>688</v>
      </c>
      <c r="D368" t="s">
        <v>9597</v>
      </c>
    </row>
    <row r="369" spans="2:7" x14ac:dyDescent="0.25">
      <c r="E369" t="s">
        <v>9495</v>
      </c>
      <c r="F369" t="s">
        <v>9496</v>
      </c>
      <c r="G369" t="s">
        <v>9396</v>
      </c>
    </row>
    <row r="370" spans="2:7" x14ac:dyDescent="0.25">
      <c r="E370" t="s">
        <v>9497</v>
      </c>
      <c r="F370" t="s">
        <v>1064</v>
      </c>
      <c r="G370" t="s">
        <v>9325</v>
      </c>
    </row>
    <row r="371" spans="2:7" x14ac:dyDescent="0.25">
      <c r="E371" t="s">
        <v>9498</v>
      </c>
      <c r="F371" t="s">
        <v>9359</v>
      </c>
      <c r="G371" t="s">
        <v>9336</v>
      </c>
    </row>
    <row r="372" spans="2:7" x14ac:dyDescent="0.25">
      <c r="E372" t="s">
        <v>9499</v>
      </c>
      <c r="F372" t="s">
        <v>688</v>
      </c>
      <c r="G372" t="s">
        <v>9472</v>
      </c>
    </row>
    <row r="373" spans="2:7" x14ac:dyDescent="0.25">
      <c r="B373">
        <v>73</v>
      </c>
      <c r="C373" t="s">
        <v>9598</v>
      </c>
      <c r="D373" t="s">
        <v>9599</v>
      </c>
    </row>
    <row r="374" spans="2:7" x14ac:dyDescent="0.25">
      <c r="E374" t="s">
        <v>9340</v>
      </c>
      <c r="F374" t="s">
        <v>9341</v>
      </c>
      <c r="G374" t="s">
        <v>9325</v>
      </c>
    </row>
    <row r="375" spans="2:7" x14ac:dyDescent="0.25">
      <c r="E375" t="s">
        <v>9342</v>
      </c>
      <c r="F375" t="s">
        <v>9343</v>
      </c>
      <c r="G375" t="s">
        <v>9331</v>
      </c>
    </row>
    <row r="376" spans="2:7" x14ac:dyDescent="0.25">
      <c r="E376" t="s">
        <v>9344</v>
      </c>
      <c r="F376" t="s">
        <v>9345</v>
      </c>
      <c r="G376" t="s">
        <v>9319</v>
      </c>
    </row>
    <row r="377" spans="2:7" x14ac:dyDescent="0.25">
      <c r="B377">
        <v>4</v>
      </c>
      <c r="C377" t="s">
        <v>9600</v>
      </c>
      <c r="D377" t="s">
        <v>9601</v>
      </c>
    </row>
    <row r="378" spans="2:7" x14ac:dyDescent="0.25">
      <c r="E378" t="s">
        <v>9602</v>
      </c>
      <c r="F378" t="s">
        <v>9341</v>
      </c>
      <c r="G378" t="s">
        <v>9325</v>
      </c>
    </row>
    <row r="379" spans="2:7" x14ac:dyDescent="0.25">
      <c r="E379" t="s">
        <v>9603</v>
      </c>
      <c r="F379" t="s">
        <v>680</v>
      </c>
      <c r="G379" t="s">
        <v>9361</v>
      </c>
    </row>
    <row r="380" spans="2:7" x14ac:dyDescent="0.25">
      <c r="E380" t="s">
        <v>9425</v>
      </c>
      <c r="F380" t="s">
        <v>9426</v>
      </c>
      <c r="G380" t="s">
        <v>9322</v>
      </c>
    </row>
    <row r="381" spans="2:7" x14ac:dyDescent="0.25">
      <c r="E381" t="s">
        <v>9604</v>
      </c>
      <c r="F381" t="s">
        <v>9366</v>
      </c>
      <c r="G381" t="s">
        <v>9331</v>
      </c>
    </row>
    <row r="382" spans="2:7" x14ac:dyDescent="0.25">
      <c r="E382" t="s">
        <v>9605</v>
      </c>
      <c r="F382" t="s">
        <v>9430</v>
      </c>
      <c r="G382" t="s">
        <v>9431</v>
      </c>
    </row>
    <row r="383" spans="2:7" x14ac:dyDescent="0.25">
      <c r="E383" t="s">
        <v>9432</v>
      </c>
      <c r="F383" t="s">
        <v>9433</v>
      </c>
      <c r="G383" t="s">
        <v>9355</v>
      </c>
    </row>
    <row r="384" spans="2:7" x14ac:dyDescent="0.25">
      <c r="E384" t="s">
        <v>9606</v>
      </c>
      <c r="F384" t="s">
        <v>9345</v>
      </c>
      <c r="G384" t="s">
        <v>9319</v>
      </c>
    </row>
    <row r="385" spans="2:7" x14ac:dyDescent="0.25">
      <c r="E385" t="s">
        <v>9607</v>
      </c>
      <c r="F385" t="s">
        <v>9422</v>
      </c>
      <c r="G385" t="s">
        <v>9423</v>
      </c>
    </row>
    <row r="386" spans="2:7" x14ac:dyDescent="0.25">
      <c r="B386">
        <v>93</v>
      </c>
      <c r="C386" t="s">
        <v>9608</v>
      </c>
      <c r="D386" t="s">
        <v>9609</v>
      </c>
    </row>
    <row r="387" spans="2:7" x14ac:dyDescent="0.25">
      <c r="E387" t="s">
        <v>9484</v>
      </c>
      <c r="F387" t="s">
        <v>9359</v>
      </c>
      <c r="G387" t="s">
        <v>9336</v>
      </c>
    </row>
    <row r="388" spans="2:7" x14ac:dyDescent="0.25">
      <c r="E388" t="s">
        <v>9485</v>
      </c>
      <c r="F388" t="s">
        <v>1322</v>
      </c>
      <c r="G388" t="s">
        <v>9331</v>
      </c>
    </row>
    <row r="389" spans="2:7" x14ac:dyDescent="0.25">
      <c r="E389" t="s">
        <v>9486</v>
      </c>
      <c r="F389" t="s">
        <v>1558</v>
      </c>
      <c r="G389" t="s">
        <v>9396</v>
      </c>
    </row>
    <row r="390" spans="2:7" x14ac:dyDescent="0.25">
      <c r="E390" t="s">
        <v>9487</v>
      </c>
      <c r="F390" t="s">
        <v>9488</v>
      </c>
      <c r="G390" t="s">
        <v>9364</v>
      </c>
    </row>
    <row r="391" spans="2:7" x14ac:dyDescent="0.25">
      <c r="E391" t="s">
        <v>9489</v>
      </c>
      <c r="F391" t="s">
        <v>9490</v>
      </c>
      <c r="G391" t="s">
        <v>9350</v>
      </c>
    </row>
    <row r="392" spans="2:7" x14ac:dyDescent="0.25">
      <c r="E392" t="s">
        <v>9491</v>
      </c>
      <c r="F392" t="s">
        <v>899</v>
      </c>
      <c r="G392" t="s">
        <v>9325</v>
      </c>
    </row>
    <row r="393" spans="2:7" x14ac:dyDescent="0.25">
      <c r="E393" t="s">
        <v>9492</v>
      </c>
      <c r="F393" t="s">
        <v>866</v>
      </c>
      <c r="G393" t="s">
        <v>9355</v>
      </c>
    </row>
    <row r="394" spans="2:7" x14ac:dyDescent="0.25">
      <c r="B394">
        <v>20</v>
      </c>
      <c r="C394" t="s">
        <v>9610</v>
      </c>
      <c r="D394" t="s">
        <v>9611</v>
      </c>
    </row>
    <row r="395" spans="2:7" x14ac:dyDescent="0.25">
      <c r="E395" t="s">
        <v>9334</v>
      </c>
      <c r="F395" t="s">
        <v>9335</v>
      </c>
      <c r="G395" t="s">
        <v>9336</v>
      </c>
    </row>
    <row r="396" spans="2:7" x14ac:dyDescent="0.25">
      <c r="E396" t="s">
        <v>9337</v>
      </c>
      <c r="F396" t="s">
        <v>9324</v>
      </c>
      <c r="G396" t="s">
        <v>9325</v>
      </c>
    </row>
    <row r="397" spans="2:7" x14ac:dyDescent="0.25">
      <c r="B397">
        <v>43</v>
      </c>
      <c r="C397" t="s">
        <v>9612</v>
      </c>
      <c r="D397" t="s">
        <v>9613</v>
      </c>
    </row>
    <row r="398" spans="2:7" x14ac:dyDescent="0.25">
      <c r="E398" t="s">
        <v>9314</v>
      </c>
      <c r="F398" t="s">
        <v>9315</v>
      </c>
      <c r="G398" t="s">
        <v>9316</v>
      </c>
    </row>
    <row r="399" spans="2:7" x14ac:dyDescent="0.25">
      <c r="E399" t="s">
        <v>9317</v>
      </c>
      <c r="F399" t="s">
        <v>9318</v>
      </c>
      <c r="G399" t="s">
        <v>9319</v>
      </c>
    </row>
    <row r="400" spans="2:7" x14ac:dyDescent="0.25">
      <c r="E400" t="s">
        <v>9320</v>
      </c>
      <c r="F400" t="s">
        <v>9321</v>
      </c>
      <c r="G400" t="s">
        <v>9322</v>
      </c>
    </row>
    <row r="401" spans="2:7" x14ac:dyDescent="0.25">
      <c r="E401" t="s">
        <v>9323</v>
      </c>
      <c r="F401" t="s">
        <v>9324</v>
      </c>
      <c r="G401" t="s">
        <v>9325</v>
      </c>
    </row>
    <row r="402" spans="2:7" x14ac:dyDescent="0.25">
      <c r="E402" t="s">
        <v>9326</v>
      </c>
      <c r="F402" t="s">
        <v>9327</v>
      </c>
      <c r="G402" t="s">
        <v>9328</v>
      </c>
    </row>
    <row r="403" spans="2:7" x14ac:dyDescent="0.25">
      <c r="E403" t="s">
        <v>9329</v>
      </c>
      <c r="F403" t="s">
        <v>9330</v>
      </c>
      <c r="G403" t="s">
        <v>9331</v>
      </c>
    </row>
    <row r="404" spans="2:7" x14ac:dyDescent="0.25">
      <c r="B404">
        <v>97</v>
      </c>
      <c r="C404" t="s">
        <v>9614</v>
      </c>
      <c r="D404" t="s">
        <v>9615</v>
      </c>
    </row>
    <row r="405" spans="2:7" x14ac:dyDescent="0.25">
      <c r="E405" t="s">
        <v>9495</v>
      </c>
      <c r="F405" t="s">
        <v>9496</v>
      </c>
      <c r="G405" t="s">
        <v>9396</v>
      </c>
    </row>
    <row r="406" spans="2:7" x14ac:dyDescent="0.25">
      <c r="E406" t="s">
        <v>9497</v>
      </c>
      <c r="F406" t="s">
        <v>1064</v>
      </c>
      <c r="G406" t="s">
        <v>9325</v>
      </c>
    </row>
    <row r="407" spans="2:7" x14ac:dyDescent="0.25">
      <c r="E407" t="s">
        <v>9498</v>
      </c>
      <c r="F407" t="s">
        <v>9359</v>
      </c>
      <c r="G407" t="s">
        <v>9336</v>
      </c>
    </row>
    <row r="408" spans="2:7" x14ac:dyDescent="0.25">
      <c r="E408" t="s">
        <v>9499</v>
      </c>
      <c r="F408" t="s">
        <v>688</v>
      </c>
      <c r="G408" t="s">
        <v>9472</v>
      </c>
    </row>
    <row r="409" spans="2:7" x14ac:dyDescent="0.25">
      <c r="B409">
        <v>21</v>
      </c>
      <c r="C409" t="s">
        <v>9616</v>
      </c>
      <c r="D409" t="s">
        <v>9617</v>
      </c>
    </row>
    <row r="410" spans="2:7" x14ac:dyDescent="0.25">
      <c r="E410" t="s">
        <v>9334</v>
      </c>
      <c r="F410" t="s">
        <v>9335</v>
      </c>
      <c r="G410" t="s">
        <v>9336</v>
      </c>
    </row>
    <row r="411" spans="2:7" x14ac:dyDescent="0.25">
      <c r="E411" t="s">
        <v>9337</v>
      </c>
      <c r="F411" t="s">
        <v>9324</v>
      </c>
      <c r="G411" t="s">
        <v>9325</v>
      </c>
    </row>
    <row r="412" spans="2:7" x14ac:dyDescent="0.25">
      <c r="B412">
        <v>53</v>
      </c>
      <c r="C412" t="s">
        <v>9618</v>
      </c>
      <c r="D412" t="s">
        <v>9619</v>
      </c>
    </row>
    <row r="413" spans="2:7" x14ac:dyDescent="0.25">
      <c r="E413" t="s">
        <v>9409</v>
      </c>
      <c r="F413" t="s">
        <v>818</v>
      </c>
      <c r="G413" t="s">
        <v>9353</v>
      </c>
    </row>
    <row r="414" spans="2:7" x14ac:dyDescent="0.25">
      <c r="E414" t="s">
        <v>9410</v>
      </c>
      <c r="F414" t="s">
        <v>9363</v>
      </c>
      <c r="G414" t="s">
        <v>9364</v>
      </c>
    </row>
    <row r="415" spans="2:7" x14ac:dyDescent="0.25">
      <c r="E415" t="s">
        <v>9411</v>
      </c>
      <c r="F415" t="s">
        <v>1154</v>
      </c>
      <c r="G415" t="s">
        <v>9325</v>
      </c>
    </row>
    <row r="416" spans="2:7" x14ac:dyDescent="0.25">
      <c r="E416" t="s">
        <v>9412</v>
      </c>
      <c r="F416" t="s">
        <v>569</v>
      </c>
      <c r="G416" t="s">
        <v>9336</v>
      </c>
    </row>
    <row r="417" spans="2:7" x14ac:dyDescent="0.25">
      <c r="E417" t="s">
        <v>9413</v>
      </c>
      <c r="F417" t="s">
        <v>9366</v>
      </c>
      <c r="G417" t="s">
        <v>9331</v>
      </c>
    </row>
    <row r="418" spans="2:7" x14ac:dyDescent="0.25">
      <c r="E418" t="s">
        <v>9414</v>
      </c>
      <c r="F418" t="s">
        <v>1299</v>
      </c>
      <c r="G418" t="s">
        <v>9355</v>
      </c>
    </row>
    <row r="419" spans="2:7" x14ac:dyDescent="0.25">
      <c r="E419" t="s">
        <v>9415</v>
      </c>
      <c r="F419" t="s">
        <v>1312</v>
      </c>
      <c r="G419" t="s">
        <v>9350</v>
      </c>
    </row>
    <row r="420" spans="2:7" x14ac:dyDescent="0.25">
      <c r="E420" t="s">
        <v>9416</v>
      </c>
      <c r="F420" t="s">
        <v>1552</v>
      </c>
      <c r="G420" t="s">
        <v>9396</v>
      </c>
    </row>
    <row r="421" spans="2:7" x14ac:dyDescent="0.25">
      <c r="B421">
        <v>74</v>
      </c>
      <c r="C421" t="s">
        <v>9620</v>
      </c>
      <c r="D421" t="s">
        <v>9621</v>
      </c>
    </row>
    <row r="422" spans="2:7" x14ac:dyDescent="0.25">
      <c r="E422" t="s">
        <v>9348</v>
      </c>
      <c r="F422" t="s">
        <v>9349</v>
      </c>
      <c r="G422" t="s">
        <v>9350</v>
      </c>
    </row>
    <row r="423" spans="2:7" x14ac:dyDescent="0.25">
      <c r="E423" t="s">
        <v>9351</v>
      </c>
      <c r="F423" t="s">
        <v>9352</v>
      </c>
      <c r="G423" t="s">
        <v>9353</v>
      </c>
    </row>
    <row r="424" spans="2:7" x14ac:dyDescent="0.25">
      <c r="E424" t="s">
        <v>9354</v>
      </c>
      <c r="F424" t="s">
        <v>866</v>
      </c>
      <c r="G424" t="s">
        <v>9355</v>
      </c>
    </row>
    <row r="425" spans="2:7" x14ac:dyDescent="0.25">
      <c r="E425" t="s">
        <v>9356</v>
      </c>
      <c r="F425" t="s">
        <v>9357</v>
      </c>
      <c r="G425" t="s">
        <v>9325</v>
      </c>
    </row>
    <row r="426" spans="2:7" x14ac:dyDescent="0.25">
      <c r="E426" t="s">
        <v>9358</v>
      </c>
      <c r="F426" t="s">
        <v>9359</v>
      </c>
      <c r="G426" t="s">
        <v>9336</v>
      </c>
    </row>
    <row r="427" spans="2:7" x14ac:dyDescent="0.25">
      <c r="E427" t="s">
        <v>9360</v>
      </c>
      <c r="F427" t="s">
        <v>680</v>
      </c>
      <c r="G427" t="s">
        <v>9361</v>
      </c>
    </row>
    <row r="428" spans="2:7" x14ac:dyDescent="0.25">
      <c r="E428" t="s">
        <v>9362</v>
      </c>
      <c r="F428" t="s">
        <v>9363</v>
      </c>
      <c r="G428" t="s">
        <v>9364</v>
      </c>
    </row>
    <row r="429" spans="2:7" x14ac:dyDescent="0.25">
      <c r="E429" t="s">
        <v>9365</v>
      </c>
      <c r="F429" t="s">
        <v>9366</v>
      </c>
      <c r="G429" t="s">
        <v>9331</v>
      </c>
    </row>
    <row r="430" spans="2:7" x14ac:dyDescent="0.25">
      <c r="E430" t="s">
        <v>9367</v>
      </c>
      <c r="F430" t="s">
        <v>9368</v>
      </c>
      <c r="G430" t="s">
        <v>9369</v>
      </c>
    </row>
    <row r="431" spans="2:7" x14ac:dyDescent="0.25">
      <c r="E431" t="s">
        <v>9370</v>
      </c>
      <c r="F431" t="s">
        <v>9371</v>
      </c>
      <c r="G431" t="s">
        <v>9372</v>
      </c>
    </row>
    <row r="432" spans="2:7" x14ac:dyDescent="0.25">
      <c r="B432">
        <v>88</v>
      </c>
      <c r="C432" t="s">
        <v>9622</v>
      </c>
      <c r="D432" t="s">
        <v>9623</v>
      </c>
    </row>
    <row r="433" spans="2:7" x14ac:dyDescent="0.25">
      <c r="E433" t="s">
        <v>9484</v>
      </c>
      <c r="F433" t="s">
        <v>9359</v>
      </c>
      <c r="G433" t="s">
        <v>9336</v>
      </c>
    </row>
    <row r="434" spans="2:7" x14ac:dyDescent="0.25">
      <c r="E434" t="s">
        <v>9485</v>
      </c>
      <c r="F434" t="s">
        <v>1322</v>
      </c>
      <c r="G434" t="s">
        <v>9331</v>
      </c>
    </row>
    <row r="435" spans="2:7" x14ac:dyDescent="0.25">
      <c r="E435" t="s">
        <v>9486</v>
      </c>
      <c r="F435" t="s">
        <v>1558</v>
      </c>
      <c r="G435" t="s">
        <v>9396</v>
      </c>
    </row>
    <row r="436" spans="2:7" x14ac:dyDescent="0.25">
      <c r="E436" t="s">
        <v>9487</v>
      </c>
      <c r="F436" t="s">
        <v>9488</v>
      </c>
      <c r="G436" t="s">
        <v>9364</v>
      </c>
    </row>
    <row r="437" spans="2:7" x14ac:dyDescent="0.25">
      <c r="E437" t="s">
        <v>9489</v>
      </c>
      <c r="F437" t="s">
        <v>9490</v>
      </c>
      <c r="G437" t="s">
        <v>9350</v>
      </c>
    </row>
    <row r="438" spans="2:7" x14ac:dyDescent="0.25">
      <c r="E438" t="s">
        <v>9491</v>
      </c>
      <c r="F438" t="s">
        <v>899</v>
      </c>
      <c r="G438" t="s">
        <v>9325</v>
      </c>
    </row>
    <row r="439" spans="2:7" x14ac:dyDescent="0.25">
      <c r="E439" t="s">
        <v>9492</v>
      </c>
      <c r="F439" t="s">
        <v>866</v>
      </c>
      <c r="G439" t="s">
        <v>9355</v>
      </c>
    </row>
    <row r="440" spans="2:7" x14ac:dyDescent="0.25">
      <c r="B440">
        <v>50</v>
      </c>
      <c r="C440" t="s">
        <v>9624</v>
      </c>
      <c r="D440" t="s">
        <v>9625</v>
      </c>
    </row>
    <row r="441" spans="2:7" x14ac:dyDescent="0.25">
      <c r="E441" t="s">
        <v>9409</v>
      </c>
      <c r="F441" t="s">
        <v>818</v>
      </c>
      <c r="G441" t="s">
        <v>9353</v>
      </c>
    </row>
    <row r="442" spans="2:7" x14ac:dyDescent="0.25">
      <c r="E442" t="s">
        <v>9410</v>
      </c>
      <c r="F442" t="s">
        <v>9363</v>
      </c>
      <c r="G442" t="s">
        <v>9364</v>
      </c>
    </row>
    <row r="443" spans="2:7" x14ac:dyDescent="0.25">
      <c r="E443" t="s">
        <v>9411</v>
      </c>
      <c r="F443" t="s">
        <v>1154</v>
      </c>
      <c r="G443" t="s">
        <v>9325</v>
      </c>
    </row>
    <row r="444" spans="2:7" x14ac:dyDescent="0.25">
      <c r="E444" t="s">
        <v>9412</v>
      </c>
      <c r="F444" t="s">
        <v>569</v>
      </c>
      <c r="G444" t="s">
        <v>9336</v>
      </c>
    </row>
    <row r="445" spans="2:7" x14ac:dyDescent="0.25">
      <c r="E445" t="s">
        <v>9413</v>
      </c>
      <c r="F445" t="s">
        <v>9366</v>
      </c>
      <c r="G445" t="s">
        <v>9331</v>
      </c>
    </row>
    <row r="446" spans="2:7" x14ac:dyDescent="0.25">
      <c r="E446" t="s">
        <v>9414</v>
      </c>
      <c r="F446" t="s">
        <v>1299</v>
      </c>
      <c r="G446" t="s">
        <v>9355</v>
      </c>
    </row>
    <row r="447" spans="2:7" x14ac:dyDescent="0.25">
      <c r="E447" t="s">
        <v>9415</v>
      </c>
      <c r="F447" t="s">
        <v>1312</v>
      </c>
      <c r="G447" t="s">
        <v>9350</v>
      </c>
    </row>
    <row r="448" spans="2:7" x14ac:dyDescent="0.25">
      <c r="E448" t="s">
        <v>9416</v>
      </c>
      <c r="F448" t="s">
        <v>1552</v>
      </c>
      <c r="G448" t="s">
        <v>9396</v>
      </c>
    </row>
    <row r="449" spans="2:7" x14ac:dyDescent="0.25">
      <c r="B449">
        <v>13</v>
      </c>
      <c r="C449" t="s">
        <v>9626</v>
      </c>
      <c r="D449" t="s">
        <v>9627</v>
      </c>
    </row>
    <row r="450" spans="2:7" x14ac:dyDescent="0.25">
      <c r="E450" t="s">
        <v>9628</v>
      </c>
      <c r="F450" t="s">
        <v>9430</v>
      </c>
      <c r="G450" t="s">
        <v>9431</v>
      </c>
    </row>
    <row r="451" spans="2:7" x14ac:dyDescent="0.25">
      <c r="E451" t="s">
        <v>9629</v>
      </c>
      <c r="F451" t="s">
        <v>680</v>
      </c>
      <c r="G451" t="s">
        <v>9361</v>
      </c>
    </row>
    <row r="452" spans="2:7" x14ac:dyDescent="0.25">
      <c r="E452" t="s">
        <v>9630</v>
      </c>
      <c r="F452" t="s">
        <v>9366</v>
      </c>
      <c r="G452" t="s">
        <v>9331</v>
      </c>
    </row>
    <row r="453" spans="2:7" x14ac:dyDescent="0.25">
      <c r="E453" t="s">
        <v>9425</v>
      </c>
      <c r="F453" t="s">
        <v>9426</v>
      </c>
      <c r="G453" t="s">
        <v>9322</v>
      </c>
    </row>
    <row r="454" spans="2:7" x14ac:dyDescent="0.25">
      <c r="E454" t="s">
        <v>9631</v>
      </c>
      <c r="F454" t="s">
        <v>9341</v>
      </c>
      <c r="G454" t="s">
        <v>9325</v>
      </c>
    </row>
    <row r="455" spans="2:7" x14ac:dyDescent="0.25">
      <c r="E455" t="s">
        <v>9632</v>
      </c>
      <c r="F455" t="s">
        <v>9422</v>
      </c>
      <c r="G455" t="s">
        <v>9423</v>
      </c>
    </row>
    <row r="456" spans="2:7" x14ac:dyDescent="0.25">
      <c r="E456" t="s">
        <v>9633</v>
      </c>
      <c r="F456" t="s">
        <v>9345</v>
      </c>
      <c r="G456" t="s">
        <v>9319</v>
      </c>
    </row>
    <row r="457" spans="2:7" x14ac:dyDescent="0.25">
      <c r="E457" t="s">
        <v>9432</v>
      </c>
      <c r="F457" t="s">
        <v>9433</v>
      </c>
      <c r="G457" t="s">
        <v>9355</v>
      </c>
    </row>
    <row r="458" spans="2:7" x14ac:dyDescent="0.25">
      <c r="B458">
        <v>67</v>
      </c>
      <c r="C458" t="s">
        <v>9634</v>
      </c>
      <c r="D458" t="s">
        <v>9635</v>
      </c>
    </row>
    <row r="459" spans="2:7" x14ac:dyDescent="0.25">
      <c r="E459" t="s">
        <v>9340</v>
      </c>
      <c r="F459" t="s">
        <v>9341</v>
      </c>
      <c r="G459" t="s">
        <v>9325</v>
      </c>
    </row>
    <row r="460" spans="2:7" x14ac:dyDescent="0.25">
      <c r="E460" t="s">
        <v>9342</v>
      </c>
      <c r="F460" t="s">
        <v>9343</v>
      </c>
      <c r="G460" t="s">
        <v>9331</v>
      </c>
    </row>
    <row r="461" spans="2:7" x14ac:dyDescent="0.25">
      <c r="E461" t="s">
        <v>9344</v>
      </c>
      <c r="F461" t="s">
        <v>9345</v>
      </c>
      <c r="G461" t="s">
        <v>9319</v>
      </c>
    </row>
    <row r="462" spans="2:7" x14ac:dyDescent="0.25">
      <c r="B462">
        <v>10</v>
      </c>
      <c r="C462" t="s">
        <v>9636</v>
      </c>
      <c r="D462" t="s">
        <v>9637</v>
      </c>
    </row>
    <row r="463" spans="2:7" x14ac:dyDescent="0.25">
      <c r="E463" t="s">
        <v>9638</v>
      </c>
      <c r="F463" t="s">
        <v>9430</v>
      </c>
      <c r="G463" t="s">
        <v>9431</v>
      </c>
    </row>
    <row r="464" spans="2:7" x14ac:dyDescent="0.25">
      <c r="E464" t="s">
        <v>9639</v>
      </c>
      <c r="F464" t="s">
        <v>9345</v>
      </c>
      <c r="G464" t="s">
        <v>9319</v>
      </c>
    </row>
    <row r="465" spans="2:7" x14ac:dyDescent="0.25">
      <c r="E465" t="s">
        <v>9640</v>
      </c>
      <c r="F465" t="s">
        <v>680</v>
      </c>
      <c r="G465" t="s">
        <v>9361</v>
      </c>
    </row>
    <row r="466" spans="2:7" x14ac:dyDescent="0.25">
      <c r="E466" t="s">
        <v>9425</v>
      </c>
      <c r="F466" t="s">
        <v>9426</v>
      </c>
      <c r="G466" t="s">
        <v>9322</v>
      </c>
    </row>
    <row r="467" spans="2:7" x14ac:dyDescent="0.25">
      <c r="E467" t="s">
        <v>9641</v>
      </c>
      <c r="F467" t="s">
        <v>9341</v>
      </c>
      <c r="G467" t="s">
        <v>9325</v>
      </c>
    </row>
    <row r="468" spans="2:7" x14ac:dyDescent="0.25">
      <c r="E468" t="s">
        <v>9642</v>
      </c>
      <c r="F468" t="s">
        <v>9366</v>
      </c>
      <c r="G468" t="s">
        <v>9331</v>
      </c>
    </row>
    <row r="469" spans="2:7" x14ac:dyDescent="0.25">
      <c r="E469" t="s">
        <v>9432</v>
      </c>
      <c r="F469" t="s">
        <v>9433</v>
      </c>
      <c r="G469" t="s">
        <v>9355</v>
      </c>
    </row>
    <row r="470" spans="2:7" x14ac:dyDescent="0.25">
      <c r="E470" t="s">
        <v>9643</v>
      </c>
      <c r="F470" t="s">
        <v>9422</v>
      </c>
      <c r="G470" t="s">
        <v>9423</v>
      </c>
    </row>
    <row r="471" spans="2:7" x14ac:dyDescent="0.25">
      <c r="B471">
        <v>5</v>
      </c>
      <c r="C471" t="s">
        <v>9644</v>
      </c>
      <c r="D471" t="s">
        <v>9645</v>
      </c>
    </row>
    <row r="472" spans="2:7" x14ac:dyDescent="0.25">
      <c r="E472" t="s">
        <v>9646</v>
      </c>
      <c r="F472" t="s">
        <v>9341</v>
      </c>
      <c r="G472" t="s">
        <v>9325</v>
      </c>
    </row>
    <row r="473" spans="2:7" x14ac:dyDescent="0.25">
      <c r="E473" t="s">
        <v>9425</v>
      </c>
      <c r="F473" t="s">
        <v>9426</v>
      </c>
      <c r="G473" t="s">
        <v>9322</v>
      </c>
    </row>
    <row r="474" spans="2:7" x14ac:dyDescent="0.25">
      <c r="E474" t="s">
        <v>9647</v>
      </c>
      <c r="F474" t="s">
        <v>9366</v>
      </c>
      <c r="G474" t="s">
        <v>9331</v>
      </c>
    </row>
    <row r="475" spans="2:7" x14ac:dyDescent="0.25">
      <c r="E475" t="s">
        <v>9648</v>
      </c>
      <c r="F475" t="s">
        <v>9422</v>
      </c>
      <c r="G475" t="s">
        <v>9423</v>
      </c>
    </row>
    <row r="476" spans="2:7" x14ac:dyDescent="0.25">
      <c r="E476" t="s">
        <v>9432</v>
      </c>
      <c r="F476" t="s">
        <v>9433</v>
      </c>
      <c r="G476" t="s">
        <v>9355</v>
      </c>
    </row>
    <row r="477" spans="2:7" x14ac:dyDescent="0.25">
      <c r="E477" t="s">
        <v>9649</v>
      </c>
      <c r="F477" t="s">
        <v>9345</v>
      </c>
      <c r="G477" t="s">
        <v>9319</v>
      </c>
    </row>
    <row r="478" spans="2:7" x14ac:dyDescent="0.25">
      <c r="E478" t="s">
        <v>9650</v>
      </c>
      <c r="F478" t="s">
        <v>9430</v>
      </c>
      <c r="G478" t="s">
        <v>9431</v>
      </c>
    </row>
    <row r="479" spans="2:7" x14ac:dyDescent="0.25">
      <c r="E479" t="s">
        <v>9651</v>
      </c>
      <c r="F479" t="s">
        <v>680</v>
      </c>
      <c r="G479" t="s">
        <v>9361</v>
      </c>
    </row>
    <row r="480" spans="2:7" x14ac:dyDescent="0.25">
      <c r="B480">
        <v>77</v>
      </c>
      <c r="C480" t="s">
        <v>9652</v>
      </c>
      <c r="D480" t="s">
        <v>9653</v>
      </c>
    </row>
    <row r="481" spans="2:7" x14ac:dyDescent="0.25">
      <c r="E481" t="s">
        <v>9654</v>
      </c>
      <c r="F481" t="s">
        <v>9496</v>
      </c>
      <c r="G481" t="s">
        <v>9396</v>
      </c>
    </row>
    <row r="482" spans="2:7" x14ac:dyDescent="0.25">
      <c r="E482" t="s">
        <v>9655</v>
      </c>
      <c r="F482" t="s">
        <v>9656</v>
      </c>
      <c r="G482" t="s">
        <v>9325</v>
      </c>
    </row>
    <row r="483" spans="2:7" x14ac:dyDescent="0.25">
      <c r="E483" t="s">
        <v>9657</v>
      </c>
      <c r="F483" t="s">
        <v>9658</v>
      </c>
      <c r="G483" t="s">
        <v>9350</v>
      </c>
    </row>
    <row r="484" spans="2:7" x14ac:dyDescent="0.25">
      <c r="E484" t="s">
        <v>9659</v>
      </c>
      <c r="F484" t="s">
        <v>9660</v>
      </c>
      <c r="G484" t="s">
        <v>9336</v>
      </c>
    </row>
    <row r="485" spans="2:7" x14ac:dyDescent="0.25">
      <c r="B485">
        <v>87</v>
      </c>
      <c r="C485" t="s">
        <v>9661</v>
      </c>
      <c r="D485" t="s">
        <v>9662</v>
      </c>
    </row>
    <row r="486" spans="2:7" x14ac:dyDescent="0.25">
      <c r="E486" t="s">
        <v>9484</v>
      </c>
      <c r="F486" t="s">
        <v>9359</v>
      </c>
      <c r="G486" t="s">
        <v>9336</v>
      </c>
    </row>
    <row r="487" spans="2:7" x14ac:dyDescent="0.25">
      <c r="E487" t="s">
        <v>9485</v>
      </c>
      <c r="F487" t="s">
        <v>1322</v>
      </c>
      <c r="G487" t="s">
        <v>9331</v>
      </c>
    </row>
    <row r="488" spans="2:7" x14ac:dyDescent="0.25">
      <c r="E488" t="s">
        <v>9486</v>
      </c>
      <c r="F488" t="s">
        <v>1558</v>
      </c>
      <c r="G488" t="s">
        <v>9396</v>
      </c>
    </row>
    <row r="489" spans="2:7" x14ac:dyDescent="0.25">
      <c r="E489" t="s">
        <v>9487</v>
      </c>
      <c r="F489" t="s">
        <v>9488</v>
      </c>
      <c r="G489" t="s">
        <v>9364</v>
      </c>
    </row>
    <row r="490" spans="2:7" x14ac:dyDescent="0.25">
      <c r="E490" t="s">
        <v>9489</v>
      </c>
      <c r="F490" t="s">
        <v>9490</v>
      </c>
      <c r="G490" t="s">
        <v>9350</v>
      </c>
    </row>
    <row r="491" spans="2:7" x14ac:dyDescent="0.25">
      <c r="E491" t="s">
        <v>9491</v>
      </c>
      <c r="F491" t="s">
        <v>899</v>
      </c>
      <c r="G491" t="s">
        <v>9325</v>
      </c>
    </row>
    <row r="492" spans="2:7" x14ac:dyDescent="0.25">
      <c r="E492" t="s">
        <v>9492</v>
      </c>
      <c r="F492" t="s">
        <v>866</v>
      </c>
      <c r="G492" t="s">
        <v>9355</v>
      </c>
    </row>
    <row r="493" spans="2:7" x14ac:dyDescent="0.25">
      <c r="B493">
        <v>16</v>
      </c>
      <c r="C493" t="s">
        <v>9663</v>
      </c>
      <c r="D493" t="s">
        <v>9664</v>
      </c>
    </row>
    <row r="494" spans="2:7" x14ac:dyDescent="0.25">
      <c r="E494" t="s">
        <v>9334</v>
      </c>
      <c r="F494" t="s">
        <v>9335</v>
      </c>
      <c r="G494" t="s">
        <v>9336</v>
      </c>
    </row>
    <row r="495" spans="2:7" x14ac:dyDescent="0.25">
      <c r="E495" t="s">
        <v>9337</v>
      </c>
      <c r="F495" t="s">
        <v>9324</v>
      </c>
      <c r="G495" t="s">
        <v>9325</v>
      </c>
    </row>
    <row r="496" spans="2:7" x14ac:dyDescent="0.25">
      <c r="B496">
        <v>30</v>
      </c>
      <c r="C496" t="s">
        <v>9665</v>
      </c>
      <c r="D496" t="s">
        <v>9666</v>
      </c>
    </row>
    <row r="497" spans="2:7" x14ac:dyDescent="0.25">
      <c r="E497" t="s">
        <v>9314</v>
      </c>
      <c r="F497" t="s">
        <v>9315</v>
      </c>
      <c r="G497" t="s">
        <v>9316</v>
      </c>
    </row>
    <row r="498" spans="2:7" x14ac:dyDescent="0.25">
      <c r="E498" t="s">
        <v>9317</v>
      </c>
      <c r="F498" t="s">
        <v>9318</v>
      </c>
      <c r="G498" t="s">
        <v>9319</v>
      </c>
    </row>
    <row r="499" spans="2:7" x14ac:dyDescent="0.25">
      <c r="E499" t="s">
        <v>9320</v>
      </c>
      <c r="F499" t="s">
        <v>9321</v>
      </c>
      <c r="G499" t="s">
        <v>9322</v>
      </c>
    </row>
    <row r="500" spans="2:7" x14ac:dyDescent="0.25">
      <c r="E500" t="s">
        <v>9323</v>
      </c>
      <c r="F500" t="s">
        <v>9324</v>
      </c>
      <c r="G500" t="s">
        <v>9325</v>
      </c>
    </row>
    <row r="501" spans="2:7" x14ac:dyDescent="0.25">
      <c r="E501" t="s">
        <v>9326</v>
      </c>
      <c r="F501" t="s">
        <v>9327</v>
      </c>
      <c r="G501" t="s">
        <v>9328</v>
      </c>
    </row>
    <row r="502" spans="2:7" x14ac:dyDescent="0.25">
      <c r="E502" t="s">
        <v>9329</v>
      </c>
      <c r="F502" t="s">
        <v>9330</v>
      </c>
      <c r="G502" t="s">
        <v>9331</v>
      </c>
    </row>
    <row r="503" spans="2:7" x14ac:dyDescent="0.25">
      <c r="B503">
        <v>75</v>
      </c>
      <c r="C503" t="s">
        <v>9667</v>
      </c>
      <c r="D503" t="s">
        <v>9668</v>
      </c>
    </row>
    <row r="504" spans="2:7" x14ac:dyDescent="0.25">
      <c r="E504" t="s">
        <v>9495</v>
      </c>
      <c r="F504" t="s">
        <v>9496</v>
      </c>
      <c r="G504" t="s">
        <v>9396</v>
      </c>
    </row>
    <row r="505" spans="2:7" x14ac:dyDescent="0.25">
      <c r="E505" t="s">
        <v>9497</v>
      </c>
      <c r="F505" t="s">
        <v>1064</v>
      </c>
      <c r="G505" t="s">
        <v>9325</v>
      </c>
    </row>
    <row r="506" spans="2:7" x14ac:dyDescent="0.25">
      <c r="E506" t="s">
        <v>9498</v>
      </c>
      <c r="F506" t="s">
        <v>9359</v>
      </c>
      <c r="G506" t="s">
        <v>9336</v>
      </c>
    </row>
    <row r="507" spans="2:7" x14ac:dyDescent="0.25">
      <c r="E507" t="s">
        <v>9499</v>
      </c>
      <c r="F507" t="s">
        <v>688</v>
      </c>
      <c r="G507" t="s">
        <v>9472</v>
      </c>
    </row>
    <row r="508" spans="2:7" x14ac:dyDescent="0.25">
      <c r="B508">
        <v>61</v>
      </c>
      <c r="C508" t="s">
        <v>9669</v>
      </c>
      <c r="D508" t="s">
        <v>9670</v>
      </c>
    </row>
    <row r="509" spans="2:7" x14ac:dyDescent="0.25">
      <c r="E509" t="s">
        <v>9375</v>
      </c>
      <c r="F509" t="s">
        <v>9341</v>
      </c>
      <c r="G509" t="s">
        <v>9325</v>
      </c>
    </row>
    <row r="510" spans="2:7" x14ac:dyDescent="0.25">
      <c r="E510" t="s">
        <v>9376</v>
      </c>
      <c r="F510" t="s">
        <v>9345</v>
      </c>
      <c r="G510" t="s">
        <v>9319</v>
      </c>
    </row>
    <row r="511" spans="2:7" x14ac:dyDescent="0.25">
      <c r="E511" t="s">
        <v>9377</v>
      </c>
      <c r="F511" t="s">
        <v>9343</v>
      </c>
      <c r="G511" t="s">
        <v>9331</v>
      </c>
    </row>
    <row r="512" spans="2:7" x14ac:dyDescent="0.25">
      <c r="B512">
        <v>92</v>
      </c>
      <c r="C512" t="s">
        <v>9671</v>
      </c>
      <c r="D512" t="s">
        <v>9672</v>
      </c>
    </row>
    <row r="513" spans="2:7" x14ac:dyDescent="0.25">
      <c r="E513" t="s">
        <v>9484</v>
      </c>
      <c r="F513" t="s">
        <v>9359</v>
      </c>
      <c r="G513" t="s">
        <v>9336</v>
      </c>
    </row>
    <row r="514" spans="2:7" x14ac:dyDescent="0.25">
      <c r="E514" t="s">
        <v>9485</v>
      </c>
      <c r="F514" t="s">
        <v>1322</v>
      </c>
      <c r="G514" t="s">
        <v>9331</v>
      </c>
    </row>
    <row r="515" spans="2:7" x14ac:dyDescent="0.25">
      <c r="E515" t="s">
        <v>9486</v>
      </c>
      <c r="F515" t="s">
        <v>1558</v>
      </c>
      <c r="G515" t="s">
        <v>9396</v>
      </c>
    </row>
    <row r="516" spans="2:7" x14ac:dyDescent="0.25">
      <c r="E516" t="s">
        <v>9487</v>
      </c>
      <c r="F516" t="s">
        <v>9488</v>
      </c>
      <c r="G516" t="s">
        <v>9364</v>
      </c>
    </row>
    <row r="517" spans="2:7" x14ac:dyDescent="0.25">
      <c r="E517" t="s">
        <v>9489</v>
      </c>
      <c r="F517" t="s">
        <v>9490</v>
      </c>
      <c r="G517" t="s">
        <v>9350</v>
      </c>
    </row>
    <row r="518" spans="2:7" x14ac:dyDescent="0.25">
      <c r="E518" t="s">
        <v>9491</v>
      </c>
      <c r="F518" t="s">
        <v>899</v>
      </c>
      <c r="G518" t="s">
        <v>9325</v>
      </c>
    </row>
    <row r="519" spans="2:7" x14ac:dyDescent="0.25">
      <c r="E519" t="s">
        <v>9492</v>
      </c>
      <c r="F519" t="s">
        <v>866</v>
      </c>
      <c r="G519" t="s">
        <v>9355</v>
      </c>
    </row>
    <row r="520" spans="2:7" x14ac:dyDescent="0.25">
      <c r="B520">
        <v>58</v>
      </c>
      <c r="C520" t="s">
        <v>9673</v>
      </c>
      <c r="D520" t="s">
        <v>9674</v>
      </c>
    </row>
    <row r="521" spans="2:7" x14ac:dyDescent="0.25">
      <c r="E521" t="s">
        <v>9375</v>
      </c>
      <c r="F521" t="s">
        <v>9341</v>
      </c>
      <c r="G521" t="s">
        <v>9325</v>
      </c>
    </row>
    <row r="522" spans="2:7" x14ac:dyDescent="0.25">
      <c r="E522" t="s">
        <v>9376</v>
      </c>
      <c r="F522" t="s">
        <v>9345</v>
      </c>
      <c r="G522" t="s">
        <v>9319</v>
      </c>
    </row>
    <row r="523" spans="2:7" x14ac:dyDescent="0.25">
      <c r="E523" t="s">
        <v>9377</v>
      </c>
      <c r="F523" t="s">
        <v>9343</v>
      </c>
      <c r="G523" t="s">
        <v>9331</v>
      </c>
    </row>
    <row r="524" spans="2:7" x14ac:dyDescent="0.25">
      <c r="B524">
        <v>24</v>
      </c>
      <c r="C524" t="s">
        <v>9675</v>
      </c>
      <c r="D524" t="s">
        <v>9676</v>
      </c>
    </row>
    <row r="525" spans="2:7" x14ac:dyDescent="0.25">
      <c r="E525" t="s">
        <v>9334</v>
      </c>
      <c r="F525" t="s">
        <v>9335</v>
      </c>
      <c r="G525" t="s">
        <v>9336</v>
      </c>
    </row>
    <row r="526" spans="2:7" x14ac:dyDescent="0.25">
      <c r="E526" t="s">
        <v>9337</v>
      </c>
      <c r="F526" t="s">
        <v>9324</v>
      </c>
      <c r="G526" t="s">
        <v>9325</v>
      </c>
    </row>
    <row r="527" spans="2:7" x14ac:dyDescent="0.25">
      <c r="B527">
        <v>82</v>
      </c>
      <c r="C527" t="s">
        <v>9677</v>
      </c>
      <c r="D527" t="s">
        <v>9678</v>
      </c>
    </row>
    <row r="528" spans="2:7" x14ac:dyDescent="0.25">
      <c r="E528" t="s">
        <v>9348</v>
      </c>
      <c r="F528" t="s">
        <v>9349</v>
      </c>
      <c r="G528" t="s">
        <v>9350</v>
      </c>
    </row>
    <row r="529" spans="2:7" x14ac:dyDescent="0.25">
      <c r="E529" t="s">
        <v>9351</v>
      </c>
      <c r="F529" t="s">
        <v>9352</v>
      </c>
      <c r="G529" t="s">
        <v>9353</v>
      </c>
    </row>
    <row r="530" spans="2:7" x14ac:dyDescent="0.25">
      <c r="E530" t="s">
        <v>9354</v>
      </c>
      <c r="F530" t="s">
        <v>866</v>
      </c>
      <c r="G530" t="s">
        <v>9355</v>
      </c>
    </row>
    <row r="531" spans="2:7" x14ac:dyDescent="0.25">
      <c r="E531" t="s">
        <v>9356</v>
      </c>
      <c r="F531" t="s">
        <v>9357</v>
      </c>
      <c r="G531" t="s">
        <v>9325</v>
      </c>
    </row>
    <row r="532" spans="2:7" x14ac:dyDescent="0.25">
      <c r="E532" t="s">
        <v>9358</v>
      </c>
      <c r="F532" t="s">
        <v>9359</v>
      </c>
      <c r="G532" t="s">
        <v>9336</v>
      </c>
    </row>
    <row r="533" spans="2:7" x14ac:dyDescent="0.25">
      <c r="E533" t="s">
        <v>9360</v>
      </c>
      <c r="F533" t="s">
        <v>680</v>
      </c>
      <c r="G533" t="s">
        <v>9361</v>
      </c>
    </row>
    <row r="534" spans="2:7" x14ac:dyDescent="0.25">
      <c r="E534" t="s">
        <v>9362</v>
      </c>
      <c r="F534" t="s">
        <v>9363</v>
      </c>
      <c r="G534" t="s">
        <v>9364</v>
      </c>
    </row>
    <row r="535" spans="2:7" x14ac:dyDescent="0.25">
      <c r="E535" t="s">
        <v>9365</v>
      </c>
      <c r="F535" t="s">
        <v>9366</v>
      </c>
      <c r="G535" t="s">
        <v>9331</v>
      </c>
    </row>
    <row r="536" spans="2:7" x14ac:dyDescent="0.25">
      <c r="E536" t="s">
        <v>9367</v>
      </c>
      <c r="F536" t="s">
        <v>9368</v>
      </c>
      <c r="G536" t="s">
        <v>9369</v>
      </c>
    </row>
    <row r="537" spans="2:7" x14ac:dyDescent="0.25">
      <c r="E537" t="s">
        <v>9370</v>
      </c>
      <c r="F537" t="s">
        <v>9371</v>
      </c>
      <c r="G537" t="s">
        <v>9372</v>
      </c>
    </row>
    <row r="538" spans="2:7" x14ac:dyDescent="0.25">
      <c r="B538">
        <v>25</v>
      </c>
      <c r="C538" t="s">
        <v>9679</v>
      </c>
      <c r="D538" t="s">
        <v>9680</v>
      </c>
    </row>
    <row r="539" spans="2:7" x14ac:dyDescent="0.25">
      <c r="E539" t="s">
        <v>9314</v>
      </c>
      <c r="F539" t="s">
        <v>9315</v>
      </c>
      <c r="G539" t="s">
        <v>9316</v>
      </c>
    </row>
    <row r="540" spans="2:7" x14ac:dyDescent="0.25">
      <c r="E540" t="s">
        <v>9317</v>
      </c>
      <c r="F540" t="s">
        <v>9318</v>
      </c>
      <c r="G540" t="s">
        <v>9319</v>
      </c>
    </row>
    <row r="541" spans="2:7" x14ac:dyDescent="0.25">
      <c r="E541" t="s">
        <v>9320</v>
      </c>
      <c r="F541" t="s">
        <v>9321</v>
      </c>
      <c r="G541" t="s">
        <v>9322</v>
      </c>
    </row>
    <row r="542" spans="2:7" x14ac:dyDescent="0.25">
      <c r="E542" t="s">
        <v>9323</v>
      </c>
      <c r="F542" t="s">
        <v>9324</v>
      </c>
      <c r="G542" t="s">
        <v>9325</v>
      </c>
    </row>
    <row r="543" spans="2:7" x14ac:dyDescent="0.25">
      <c r="E543" t="s">
        <v>9326</v>
      </c>
      <c r="F543" t="s">
        <v>9327</v>
      </c>
      <c r="G543" t="s">
        <v>9328</v>
      </c>
    </row>
    <row r="544" spans="2:7" x14ac:dyDescent="0.25">
      <c r="E544" t="s">
        <v>9329</v>
      </c>
      <c r="F544" t="s">
        <v>9330</v>
      </c>
      <c r="G544" t="s">
        <v>9331</v>
      </c>
    </row>
    <row r="545" spans="2:7" x14ac:dyDescent="0.25">
      <c r="B545">
        <v>12</v>
      </c>
      <c r="C545" t="s">
        <v>9681</v>
      </c>
      <c r="D545" t="s">
        <v>9682</v>
      </c>
    </row>
    <row r="546" spans="2:7" x14ac:dyDescent="0.25">
      <c r="E546" t="s">
        <v>9683</v>
      </c>
      <c r="F546" t="s">
        <v>9430</v>
      </c>
      <c r="G546" t="s">
        <v>9431</v>
      </c>
    </row>
    <row r="547" spans="2:7" x14ac:dyDescent="0.25">
      <c r="E547" t="s">
        <v>9684</v>
      </c>
      <c r="F547" t="s">
        <v>9366</v>
      </c>
      <c r="G547" t="s">
        <v>9331</v>
      </c>
    </row>
    <row r="548" spans="2:7" x14ac:dyDescent="0.25">
      <c r="E548" t="s">
        <v>9425</v>
      </c>
      <c r="F548" t="s">
        <v>9426</v>
      </c>
      <c r="G548" t="s">
        <v>9322</v>
      </c>
    </row>
    <row r="549" spans="2:7" x14ac:dyDescent="0.25">
      <c r="E549" t="s">
        <v>9685</v>
      </c>
      <c r="F549" t="s">
        <v>9341</v>
      </c>
      <c r="G549" t="s">
        <v>9325</v>
      </c>
    </row>
    <row r="550" spans="2:7" x14ac:dyDescent="0.25">
      <c r="E550" t="s">
        <v>9686</v>
      </c>
      <c r="F550" t="s">
        <v>9422</v>
      </c>
      <c r="G550" t="s">
        <v>9423</v>
      </c>
    </row>
    <row r="551" spans="2:7" x14ac:dyDescent="0.25">
      <c r="E551" t="s">
        <v>9432</v>
      </c>
      <c r="F551" t="s">
        <v>9433</v>
      </c>
      <c r="G551" t="s">
        <v>9355</v>
      </c>
    </row>
    <row r="552" spans="2:7" x14ac:dyDescent="0.25">
      <c r="E552" t="s">
        <v>9687</v>
      </c>
      <c r="F552" t="s">
        <v>9345</v>
      </c>
      <c r="G552" t="s">
        <v>9319</v>
      </c>
    </row>
    <row r="553" spans="2:7" x14ac:dyDescent="0.25">
      <c r="E553" t="s">
        <v>9688</v>
      </c>
      <c r="F553" t="s">
        <v>680</v>
      </c>
      <c r="G553" t="s">
        <v>9361</v>
      </c>
    </row>
    <row r="554" spans="2:7" x14ac:dyDescent="0.25">
      <c r="B554">
        <v>14</v>
      </c>
      <c r="C554" t="s">
        <v>9689</v>
      </c>
      <c r="D554" t="s">
        <v>9690</v>
      </c>
    </row>
    <row r="555" spans="2:7" x14ac:dyDescent="0.25">
      <c r="E555" t="s">
        <v>9334</v>
      </c>
      <c r="F555" t="s">
        <v>9335</v>
      </c>
      <c r="G555" t="s">
        <v>9336</v>
      </c>
    </row>
    <row r="556" spans="2:7" x14ac:dyDescent="0.25">
      <c r="E556" t="s">
        <v>9337</v>
      </c>
      <c r="F556" t="s">
        <v>9324</v>
      </c>
      <c r="G556" t="s">
        <v>9325</v>
      </c>
    </row>
    <row r="557" spans="2:7" x14ac:dyDescent="0.25">
      <c r="B557">
        <v>9</v>
      </c>
      <c r="C557" t="s">
        <v>9691</v>
      </c>
      <c r="D557" t="s">
        <v>9692</v>
      </c>
    </row>
    <row r="558" spans="2:7" x14ac:dyDescent="0.25">
      <c r="E558" t="s">
        <v>9693</v>
      </c>
      <c r="F558" t="s">
        <v>9366</v>
      </c>
      <c r="G558" t="s">
        <v>9331</v>
      </c>
    </row>
    <row r="559" spans="2:7" x14ac:dyDescent="0.25">
      <c r="E559" t="s">
        <v>9694</v>
      </c>
      <c r="F559" t="s">
        <v>9430</v>
      </c>
      <c r="G559" t="s">
        <v>9431</v>
      </c>
    </row>
    <row r="560" spans="2:7" x14ac:dyDescent="0.25">
      <c r="E560" t="s">
        <v>9425</v>
      </c>
      <c r="F560" t="s">
        <v>9426</v>
      </c>
      <c r="G560" t="s">
        <v>9322</v>
      </c>
    </row>
    <row r="561" spans="2:7" x14ac:dyDescent="0.25">
      <c r="E561" t="s">
        <v>9695</v>
      </c>
      <c r="F561" t="s">
        <v>9345</v>
      </c>
      <c r="G561" t="s">
        <v>9319</v>
      </c>
    </row>
    <row r="562" spans="2:7" x14ac:dyDescent="0.25">
      <c r="E562" t="s">
        <v>9696</v>
      </c>
      <c r="F562" t="s">
        <v>9341</v>
      </c>
      <c r="G562" t="s">
        <v>9325</v>
      </c>
    </row>
    <row r="563" spans="2:7" x14ac:dyDescent="0.25">
      <c r="E563" t="s">
        <v>9432</v>
      </c>
      <c r="F563" t="s">
        <v>9433</v>
      </c>
      <c r="G563" t="s">
        <v>9355</v>
      </c>
    </row>
    <row r="564" spans="2:7" x14ac:dyDescent="0.25">
      <c r="E564" t="s">
        <v>9697</v>
      </c>
      <c r="F564" t="s">
        <v>9422</v>
      </c>
      <c r="G564" t="s">
        <v>9423</v>
      </c>
    </row>
    <row r="565" spans="2:7" x14ac:dyDescent="0.25">
      <c r="E565" t="s">
        <v>9698</v>
      </c>
      <c r="F565" t="s">
        <v>680</v>
      </c>
      <c r="G565" t="s">
        <v>9361</v>
      </c>
    </row>
    <row r="566" spans="2:7" x14ac:dyDescent="0.25">
      <c r="B566">
        <v>79</v>
      </c>
      <c r="C566" t="s">
        <v>9699</v>
      </c>
      <c r="D566" t="s">
        <v>9700</v>
      </c>
    </row>
    <row r="567" spans="2:7" x14ac:dyDescent="0.25">
      <c r="E567" t="s">
        <v>9348</v>
      </c>
      <c r="F567" t="s">
        <v>9349</v>
      </c>
      <c r="G567" t="s">
        <v>9350</v>
      </c>
    </row>
    <row r="568" spans="2:7" x14ac:dyDescent="0.25">
      <c r="E568" t="s">
        <v>9351</v>
      </c>
      <c r="F568" t="s">
        <v>9352</v>
      </c>
      <c r="G568" t="s">
        <v>9353</v>
      </c>
    </row>
    <row r="569" spans="2:7" x14ac:dyDescent="0.25">
      <c r="E569" t="s">
        <v>9354</v>
      </c>
      <c r="F569" t="s">
        <v>866</v>
      </c>
      <c r="G569" t="s">
        <v>9355</v>
      </c>
    </row>
    <row r="570" spans="2:7" x14ac:dyDescent="0.25">
      <c r="E570" t="s">
        <v>9356</v>
      </c>
      <c r="F570" t="s">
        <v>9357</v>
      </c>
      <c r="G570" t="s">
        <v>9325</v>
      </c>
    </row>
    <row r="571" spans="2:7" x14ac:dyDescent="0.25">
      <c r="E571" t="s">
        <v>9358</v>
      </c>
      <c r="F571" t="s">
        <v>9359</v>
      </c>
      <c r="G571" t="s">
        <v>9336</v>
      </c>
    </row>
    <row r="572" spans="2:7" x14ac:dyDescent="0.25">
      <c r="E572" t="s">
        <v>9360</v>
      </c>
      <c r="F572" t="s">
        <v>680</v>
      </c>
      <c r="G572" t="s">
        <v>9361</v>
      </c>
    </row>
    <row r="573" spans="2:7" x14ac:dyDescent="0.25">
      <c r="E573" t="s">
        <v>9362</v>
      </c>
      <c r="F573" t="s">
        <v>9363</v>
      </c>
      <c r="G573" t="s">
        <v>9364</v>
      </c>
    </row>
    <row r="574" spans="2:7" x14ac:dyDescent="0.25">
      <c r="E574" t="s">
        <v>9365</v>
      </c>
      <c r="F574" t="s">
        <v>9366</v>
      </c>
      <c r="G574" t="s">
        <v>9331</v>
      </c>
    </row>
    <row r="575" spans="2:7" x14ac:dyDescent="0.25">
      <c r="E575" t="s">
        <v>9367</v>
      </c>
      <c r="F575" t="s">
        <v>9368</v>
      </c>
      <c r="G575" t="s">
        <v>9369</v>
      </c>
    </row>
    <row r="576" spans="2:7" x14ac:dyDescent="0.25">
      <c r="E576" t="s">
        <v>9370</v>
      </c>
      <c r="F576" t="s">
        <v>9371</v>
      </c>
      <c r="G576" t="s">
        <v>9372</v>
      </c>
    </row>
    <row r="577" spans="2:7" x14ac:dyDescent="0.25">
      <c r="B577">
        <v>71</v>
      </c>
      <c r="C577" t="s">
        <v>9701</v>
      </c>
      <c r="D577" t="s">
        <v>9702</v>
      </c>
    </row>
    <row r="578" spans="2:7" x14ac:dyDescent="0.25">
      <c r="E578" t="s">
        <v>9340</v>
      </c>
      <c r="F578" t="s">
        <v>9341</v>
      </c>
      <c r="G578" t="s">
        <v>9325</v>
      </c>
    </row>
    <row r="579" spans="2:7" x14ac:dyDescent="0.25">
      <c r="E579" t="s">
        <v>9342</v>
      </c>
      <c r="F579" t="s">
        <v>9343</v>
      </c>
      <c r="G579" t="s">
        <v>9331</v>
      </c>
    </row>
    <row r="580" spans="2:7" x14ac:dyDescent="0.25">
      <c r="E580" t="s">
        <v>9344</v>
      </c>
      <c r="F580" t="s">
        <v>9345</v>
      </c>
      <c r="G580" t="s">
        <v>9319</v>
      </c>
    </row>
    <row r="581" spans="2:7" x14ac:dyDescent="0.25">
      <c r="B581">
        <v>29</v>
      </c>
      <c r="C581" t="s">
        <v>9703</v>
      </c>
      <c r="D581" t="s">
        <v>9704</v>
      </c>
    </row>
    <row r="582" spans="2:7" x14ac:dyDescent="0.25">
      <c r="E582" t="s">
        <v>9314</v>
      </c>
      <c r="F582" t="s">
        <v>9315</v>
      </c>
      <c r="G582" t="s">
        <v>9316</v>
      </c>
    </row>
    <row r="583" spans="2:7" x14ac:dyDescent="0.25">
      <c r="E583" t="s">
        <v>9317</v>
      </c>
      <c r="F583" t="s">
        <v>9318</v>
      </c>
      <c r="G583" t="s">
        <v>9319</v>
      </c>
    </row>
    <row r="584" spans="2:7" x14ac:dyDescent="0.25">
      <c r="E584" t="s">
        <v>9320</v>
      </c>
      <c r="F584" t="s">
        <v>9321</v>
      </c>
      <c r="G584" t="s">
        <v>9322</v>
      </c>
    </row>
    <row r="585" spans="2:7" x14ac:dyDescent="0.25">
      <c r="E585" t="s">
        <v>9323</v>
      </c>
      <c r="F585" t="s">
        <v>9324</v>
      </c>
      <c r="G585" t="s">
        <v>9325</v>
      </c>
    </row>
    <row r="586" spans="2:7" x14ac:dyDescent="0.25">
      <c r="E586" t="s">
        <v>9326</v>
      </c>
      <c r="F586" t="s">
        <v>9327</v>
      </c>
      <c r="G586" t="s">
        <v>9328</v>
      </c>
    </row>
    <row r="587" spans="2:7" x14ac:dyDescent="0.25">
      <c r="E587" t="s">
        <v>9329</v>
      </c>
      <c r="F587" t="s">
        <v>9330</v>
      </c>
      <c r="G587" t="s">
        <v>9331</v>
      </c>
    </row>
    <row r="588" spans="2:7" x14ac:dyDescent="0.25">
      <c r="B588">
        <v>48</v>
      </c>
      <c r="C588" t="s">
        <v>9705</v>
      </c>
      <c r="D588" t="s">
        <v>9706</v>
      </c>
    </row>
    <row r="589" spans="2:7" x14ac:dyDescent="0.25">
      <c r="E589" t="s">
        <v>9314</v>
      </c>
      <c r="F589" t="s">
        <v>9315</v>
      </c>
      <c r="G589" t="s">
        <v>9316</v>
      </c>
    </row>
    <row r="590" spans="2:7" x14ac:dyDescent="0.25">
      <c r="E590" t="s">
        <v>9317</v>
      </c>
      <c r="F590" t="s">
        <v>9318</v>
      </c>
      <c r="G590" t="s">
        <v>9319</v>
      </c>
    </row>
    <row r="591" spans="2:7" x14ac:dyDescent="0.25">
      <c r="E591" t="s">
        <v>9320</v>
      </c>
      <c r="F591" t="s">
        <v>9321</v>
      </c>
      <c r="G591" t="s">
        <v>9322</v>
      </c>
    </row>
    <row r="592" spans="2:7" x14ac:dyDescent="0.25">
      <c r="E592" t="s">
        <v>9323</v>
      </c>
      <c r="F592" t="s">
        <v>9324</v>
      </c>
      <c r="G592" t="s">
        <v>9325</v>
      </c>
    </row>
    <row r="593" spans="2:7" x14ac:dyDescent="0.25">
      <c r="E593" t="s">
        <v>9326</v>
      </c>
      <c r="F593" t="s">
        <v>9327</v>
      </c>
      <c r="G593" t="s">
        <v>9328</v>
      </c>
    </row>
    <row r="594" spans="2:7" x14ac:dyDescent="0.25">
      <c r="E594" t="s">
        <v>9329</v>
      </c>
      <c r="F594" t="s">
        <v>9330</v>
      </c>
      <c r="G594" t="s">
        <v>9331</v>
      </c>
    </row>
    <row r="595" spans="2:7" x14ac:dyDescent="0.25">
      <c r="B595">
        <v>38</v>
      </c>
      <c r="C595" t="s">
        <v>9707</v>
      </c>
      <c r="D595" t="s">
        <v>9708</v>
      </c>
    </row>
    <row r="596" spans="2:7" x14ac:dyDescent="0.25">
      <c r="E596" t="s">
        <v>9314</v>
      </c>
      <c r="F596" t="s">
        <v>9315</v>
      </c>
      <c r="G596" t="s">
        <v>9316</v>
      </c>
    </row>
    <row r="597" spans="2:7" x14ac:dyDescent="0.25">
      <c r="E597" t="s">
        <v>9317</v>
      </c>
      <c r="F597" t="s">
        <v>9318</v>
      </c>
      <c r="G597" t="s">
        <v>9319</v>
      </c>
    </row>
    <row r="598" spans="2:7" x14ac:dyDescent="0.25">
      <c r="E598" t="s">
        <v>9320</v>
      </c>
      <c r="F598" t="s">
        <v>9321</v>
      </c>
      <c r="G598" t="s">
        <v>9322</v>
      </c>
    </row>
    <row r="599" spans="2:7" x14ac:dyDescent="0.25">
      <c r="E599" t="s">
        <v>9323</v>
      </c>
      <c r="F599" t="s">
        <v>9324</v>
      </c>
      <c r="G599" t="s">
        <v>9325</v>
      </c>
    </row>
    <row r="600" spans="2:7" x14ac:dyDescent="0.25">
      <c r="E600" t="s">
        <v>9326</v>
      </c>
      <c r="F600" t="s">
        <v>9327</v>
      </c>
      <c r="G600" t="s">
        <v>9328</v>
      </c>
    </row>
    <row r="601" spans="2:7" x14ac:dyDescent="0.25">
      <c r="E601" t="s">
        <v>9329</v>
      </c>
      <c r="F601" t="s">
        <v>9330</v>
      </c>
      <c r="G601" t="s">
        <v>9331</v>
      </c>
    </row>
    <row r="602" spans="2:7" x14ac:dyDescent="0.25">
      <c r="B602">
        <v>52</v>
      </c>
      <c r="C602" t="s">
        <v>9709</v>
      </c>
      <c r="D602" t="s">
        <v>9710</v>
      </c>
    </row>
    <row r="603" spans="2:7" x14ac:dyDescent="0.25">
      <c r="E603" t="s">
        <v>9409</v>
      </c>
      <c r="F603" t="s">
        <v>818</v>
      </c>
      <c r="G603" t="s">
        <v>9353</v>
      </c>
    </row>
    <row r="604" spans="2:7" x14ac:dyDescent="0.25">
      <c r="E604" t="s">
        <v>9410</v>
      </c>
      <c r="F604" t="s">
        <v>9363</v>
      </c>
      <c r="G604" t="s">
        <v>9364</v>
      </c>
    </row>
    <row r="605" spans="2:7" x14ac:dyDescent="0.25">
      <c r="E605" t="s">
        <v>9411</v>
      </c>
      <c r="F605" t="s">
        <v>1154</v>
      </c>
      <c r="G605" t="s">
        <v>9325</v>
      </c>
    </row>
    <row r="606" spans="2:7" x14ac:dyDescent="0.25">
      <c r="E606" t="s">
        <v>9412</v>
      </c>
      <c r="F606" t="s">
        <v>569</v>
      </c>
      <c r="G606" t="s">
        <v>9336</v>
      </c>
    </row>
    <row r="607" spans="2:7" x14ac:dyDescent="0.25">
      <c r="E607" t="s">
        <v>9413</v>
      </c>
      <c r="F607" t="s">
        <v>9366</v>
      </c>
      <c r="G607" t="s">
        <v>9331</v>
      </c>
    </row>
    <row r="608" spans="2:7" x14ac:dyDescent="0.25">
      <c r="E608" t="s">
        <v>9414</v>
      </c>
      <c r="F608" t="s">
        <v>1299</v>
      </c>
      <c r="G608" t="s">
        <v>9355</v>
      </c>
    </row>
    <row r="609" spans="2:7" x14ac:dyDescent="0.25">
      <c r="E609" t="s">
        <v>9415</v>
      </c>
      <c r="F609" t="s">
        <v>1312</v>
      </c>
      <c r="G609" t="s">
        <v>9350</v>
      </c>
    </row>
    <row r="610" spans="2:7" x14ac:dyDescent="0.25">
      <c r="E610" t="s">
        <v>9416</v>
      </c>
      <c r="F610" t="s">
        <v>1552</v>
      </c>
      <c r="G610" t="s">
        <v>9396</v>
      </c>
    </row>
    <row r="611" spans="2:7" x14ac:dyDescent="0.25">
      <c r="B611">
        <v>105</v>
      </c>
      <c r="C611" t="s">
        <v>9711</v>
      </c>
      <c r="D611" t="s">
        <v>9712</v>
      </c>
    </row>
    <row r="612" spans="2:7" x14ac:dyDescent="0.25">
      <c r="E612" t="s">
        <v>9713</v>
      </c>
      <c r="F612" t="s">
        <v>9462</v>
      </c>
      <c r="G612" t="s">
        <v>9463</v>
      </c>
    </row>
    <row r="613" spans="2:7" x14ac:dyDescent="0.25">
      <c r="E613" t="s">
        <v>9714</v>
      </c>
      <c r="F613" t="s">
        <v>9715</v>
      </c>
      <c r="G613" t="s">
        <v>9399</v>
      </c>
    </row>
    <row r="614" spans="2:7" x14ac:dyDescent="0.25">
      <c r="E614" t="s">
        <v>9716</v>
      </c>
      <c r="F614" t="s">
        <v>9430</v>
      </c>
      <c r="G614" t="s">
        <v>9431</v>
      </c>
    </row>
    <row r="615" spans="2:7" x14ac:dyDescent="0.25">
      <c r="E615" t="s">
        <v>9717</v>
      </c>
      <c r="F615" t="s">
        <v>9459</v>
      </c>
      <c r="G615" t="s">
        <v>9460</v>
      </c>
    </row>
    <row r="616" spans="2:7" x14ac:dyDescent="0.25">
      <c r="E616" t="s">
        <v>9718</v>
      </c>
      <c r="F616" t="s">
        <v>9474</v>
      </c>
      <c r="G616" t="s">
        <v>9475</v>
      </c>
    </row>
    <row r="617" spans="2:7" x14ac:dyDescent="0.25">
      <c r="E617" t="s">
        <v>9719</v>
      </c>
      <c r="F617" t="s">
        <v>818</v>
      </c>
      <c r="G617" t="s">
        <v>9353</v>
      </c>
    </row>
    <row r="618" spans="2:7" x14ac:dyDescent="0.25">
      <c r="E618" t="s">
        <v>9720</v>
      </c>
      <c r="F618" t="s">
        <v>9422</v>
      </c>
      <c r="G618" t="s">
        <v>9423</v>
      </c>
    </row>
    <row r="619" spans="2:7" x14ac:dyDescent="0.25">
      <c r="E619" t="s">
        <v>9721</v>
      </c>
      <c r="F619" t="s">
        <v>1064</v>
      </c>
      <c r="G619" t="s">
        <v>9325</v>
      </c>
    </row>
    <row r="620" spans="2:7" x14ac:dyDescent="0.25">
      <c r="E620" t="s">
        <v>9722</v>
      </c>
      <c r="F620" t="s">
        <v>9433</v>
      </c>
      <c r="G620" t="s">
        <v>9355</v>
      </c>
    </row>
    <row r="621" spans="2:7" x14ac:dyDescent="0.25">
      <c r="E621" t="s">
        <v>9723</v>
      </c>
      <c r="F621" t="s">
        <v>9466</v>
      </c>
      <c r="G621" t="s">
        <v>9322</v>
      </c>
    </row>
    <row r="622" spans="2:7" x14ac:dyDescent="0.25">
      <c r="E622" t="s">
        <v>9724</v>
      </c>
      <c r="F622" t="s">
        <v>622</v>
      </c>
      <c r="G622" t="s">
        <v>9381</v>
      </c>
    </row>
    <row r="623" spans="2:7" x14ac:dyDescent="0.25">
      <c r="B623">
        <v>72</v>
      </c>
      <c r="C623" t="s">
        <v>9725</v>
      </c>
      <c r="D623" t="s">
        <v>9726</v>
      </c>
    </row>
    <row r="624" spans="2:7" x14ac:dyDescent="0.25">
      <c r="E624" t="s">
        <v>9340</v>
      </c>
      <c r="F624" t="s">
        <v>9341</v>
      </c>
      <c r="G624" t="s">
        <v>9325</v>
      </c>
    </row>
    <row r="625" spans="2:7" x14ac:dyDescent="0.25">
      <c r="E625" t="s">
        <v>9342</v>
      </c>
      <c r="F625" t="s">
        <v>9343</v>
      </c>
      <c r="G625" t="s">
        <v>9331</v>
      </c>
    </row>
    <row r="626" spans="2:7" x14ac:dyDescent="0.25">
      <c r="E626" t="s">
        <v>9344</v>
      </c>
      <c r="F626" t="s">
        <v>9345</v>
      </c>
      <c r="G626" t="s">
        <v>9319</v>
      </c>
    </row>
    <row r="627" spans="2:7" x14ac:dyDescent="0.25">
      <c r="B627">
        <v>101</v>
      </c>
      <c r="C627" t="s">
        <v>9727</v>
      </c>
      <c r="D627" t="s">
        <v>9728</v>
      </c>
    </row>
    <row r="628" spans="2:7" x14ac:dyDescent="0.25">
      <c r="E628" t="s">
        <v>9495</v>
      </c>
      <c r="F628" t="s">
        <v>9496</v>
      </c>
      <c r="G628" t="s">
        <v>9396</v>
      </c>
    </row>
    <row r="629" spans="2:7" x14ac:dyDescent="0.25">
      <c r="E629" t="s">
        <v>9497</v>
      </c>
      <c r="F629" t="s">
        <v>1064</v>
      </c>
      <c r="G629" t="s">
        <v>9325</v>
      </c>
    </row>
    <row r="630" spans="2:7" x14ac:dyDescent="0.25">
      <c r="E630" t="s">
        <v>9498</v>
      </c>
      <c r="F630" t="s">
        <v>9359</v>
      </c>
      <c r="G630" t="s">
        <v>9336</v>
      </c>
    </row>
    <row r="631" spans="2:7" x14ac:dyDescent="0.25">
      <c r="E631" t="s">
        <v>9499</v>
      </c>
      <c r="F631" t="s">
        <v>688</v>
      </c>
      <c r="G631" t="s">
        <v>9472</v>
      </c>
    </row>
    <row r="632" spans="2:7" x14ac:dyDescent="0.25">
      <c r="B632">
        <v>41</v>
      </c>
      <c r="C632" t="s">
        <v>9729</v>
      </c>
      <c r="D632" t="s">
        <v>9730</v>
      </c>
    </row>
    <row r="633" spans="2:7" x14ac:dyDescent="0.25">
      <c r="E633" t="s">
        <v>9314</v>
      </c>
      <c r="F633" t="s">
        <v>9315</v>
      </c>
      <c r="G633" t="s">
        <v>9316</v>
      </c>
    </row>
    <row r="634" spans="2:7" x14ac:dyDescent="0.25">
      <c r="E634" t="s">
        <v>9317</v>
      </c>
      <c r="F634" t="s">
        <v>9318</v>
      </c>
      <c r="G634" t="s">
        <v>9319</v>
      </c>
    </row>
    <row r="635" spans="2:7" x14ac:dyDescent="0.25">
      <c r="E635" t="s">
        <v>9320</v>
      </c>
      <c r="F635" t="s">
        <v>9321</v>
      </c>
      <c r="G635" t="s">
        <v>9322</v>
      </c>
    </row>
    <row r="636" spans="2:7" x14ac:dyDescent="0.25">
      <c r="E636" t="s">
        <v>9323</v>
      </c>
      <c r="F636" t="s">
        <v>9324</v>
      </c>
      <c r="G636" t="s">
        <v>9325</v>
      </c>
    </row>
    <row r="637" spans="2:7" x14ac:dyDescent="0.25">
      <c r="E637" t="s">
        <v>9326</v>
      </c>
      <c r="F637" t="s">
        <v>9327</v>
      </c>
      <c r="G637" t="s">
        <v>9328</v>
      </c>
    </row>
    <row r="638" spans="2:7" x14ac:dyDescent="0.25">
      <c r="E638" t="s">
        <v>9329</v>
      </c>
      <c r="F638" t="s">
        <v>9330</v>
      </c>
      <c r="G638" t="s">
        <v>9331</v>
      </c>
    </row>
    <row r="639" spans="2:7" x14ac:dyDescent="0.25">
      <c r="B639">
        <v>78</v>
      </c>
      <c r="C639" t="s">
        <v>9731</v>
      </c>
      <c r="D639" t="s">
        <v>9732</v>
      </c>
    </row>
    <row r="640" spans="2:7" x14ac:dyDescent="0.25">
      <c r="E640" t="s">
        <v>9733</v>
      </c>
      <c r="F640" t="s">
        <v>9734</v>
      </c>
      <c r="G640" t="s">
        <v>9364</v>
      </c>
    </row>
    <row r="641" spans="2:7" x14ac:dyDescent="0.25">
      <c r="E641" t="s">
        <v>9735</v>
      </c>
      <c r="F641" t="s">
        <v>9341</v>
      </c>
      <c r="G641" t="s">
        <v>9325</v>
      </c>
    </row>
    <row r="642" spans="2:7" x14ac:dyDescent="0.25">
      <c r="B642">
        <v>102</v>
      </c>
      <c r="C642" t="s">
        <v>9736</v>
      </c>
      <c r="D642" t="s">
        <v>9737</v>
      </c>
    </row>
    <row r="643" spans="2:7" x14ac:dyDescent="0.25">
      <c r="E643" t="s">
        <v>9495</v>
      </c>
      <c r="F643" t="s">
        <v>9496</v>
      </c>
      <c r="G643" t="s">
        <v>9396</v>
      </c>
    </row>
    <row r="644" spans="2:7" x14ac:dyDescent="0.25">
      <c r="E644" t="s">
        <v>9497</v>
      </c>
      <c r="F644" t="s">
        <v>1064</v>
      </c>
      <c r="G644" t="s">
        <v>9325</v>
      </c>
    </row>
    <row r="645" spans="2:7" x14ac:dyDescent="0.25">
      <c r="E645" t="s">
        <v>9498</v>
      </c>
      <c r="F645" t="s">
        <v>9359</v>
      </c>
      <c r="G645" t="s">
        <v>9336</v>
      </c>
    </row>
    <row r="646" spans="2:7" x14ac:dyDescent="0.25">
      <c r="E646" t="s">
        <v>9499</v>
      </c>
      <c r="F646" t="s">
        <v>688</v>
      </c>
      <c r="G646" t="s">
        <v>9472</v>
      </c>
    </row>
    <row r="647" spans="2:7" x14ac:dyDescent="0.25">
      <c r="B647">
        <v>85</v>
      </c>
      <c r="C647" t="s">
        <v>9738</v>
      </c>
      <c r="D647" t="s">
        <v>9739</v>
      </c>
    </row>
    <row r="648" spans="2:7" x14ac:dyDescent="0.25">
      <c r="E648" t="s">
        <v>9348</v>
      </c>
      <c r="F648" t="s">
        <v>9349</v>
      </c>
      <c r="G648" t="s">
        <v>9350</v>
      </c>
    </row>
    <row r="649" spans="2:7" x14ac:dyDescent="0.25">
      <c r="E649" t="s">
        <v>9351</v>
      </c>
      <c r="F649" t="s">
        <v>9352</v>
      </c>
      <c r="G649" t="s">
        <v>9353</v>
      </c>
    </row>
    <row r="650" spans="2:7" x14ac:dyDescent="0.25">
      <c r="E650" t="s">
        <v>9354</v>
      </c>
      <c r="F650" t="s">
        <v>866</v>
      </c>
      <c r="G650" t="s">
        <v>9355</v>
      </c>
    </row>
    <row r="651" spans="2:7" x14ac:dyDescent="0.25">
      <c r="E651" t="s">
        <v>9356</v>
      </c>
      <c r="F651" t="s">
        <v>9357</v>
      </c>
      <c r="G651" t="s">
        <v>9325</v>
      </c>
    </row>
    <row r="652" spans="2:7" x14ac:dyDescent="0.25">
      <c r="E652" t="s">
        <v>9358</v>
      </c>
      <c r="F652" t="s">
        <v>9359</v>
      </c>
      <c r="G652" t="s">
        <v>9336</v>
      </c>
    </row>
    <row r="653" spans="2:7" x14ac:dyDescent="0.25">
      <c r="E653" t="s">
        <v>9360</v>
      </c>
      <c r="F653" t="s">
        <v>680</v>
      </c>
      <c r="G653" t="s">
        <v>9361</v>
      </c>
    </row>
    <row r="654" spans="2:7" x14ac:dyDescent="0.25">
      <c r="E654" t="s">
        <v>9362</v>
      </c>
      <c r="F654" t="s">
        <v>9363</v>
      </c>
      <c r="G654" t="s">
        <v>9364</v>
      </c>
    </row>
    <row r="655" spans="2:7" x14ac:dyDescent="0.25">
      <c r="E655" t="s">
        <v>9365</v>
      </c>
      <c r="F655" t="s">
        <v>9366</v>
      </c>
      <c r="G655" t="s">
        <v>9331</v>
      </c>
    </row>
    <row r="656" spans="2:7" x14ac:dyDescent="0.25">
      <c r="E656" t="s">
        <v>9367</v>
      </c>
      <c r="F656" t="s">
        <v>9368</v>
      </c>
      <c r="G656" t="s">
        <v>9369</v>
      </c>
    </row>
    <row r="657" spans="2:7" x14ac:dyDescent="0.25">
      <c r="E657" t="s">
        <v>9370</v>
      </c>
      <c r="F657" t="s">
        <v>9371</v>
      </c>
      <c r="G657" t="s">
        <v>9372</v>
      </c>
    </row>
    <row r="658" spans="2:7" x14ac:dyDescent="0.25">
      <c r="B658">
        <v>26</v>
      </c>
      <c r="C658" t="s">
        <v>9740</v>
      </c>
      <c r="D658" t="s">
        <v>9741</v>
      </c>
    </row>
    <row r="659" spans="2:7" x14ac:dyDescent="0.25">
      <c r="E659" t="s">
        <v>9314</v>
      </c>
      <c r="F659" t="s">
        <v>9315</v>
      </c>
      <c r="G659" t="s">
        <v>9316</v>
      </c>
    </row>
    <row r="660" spans="2:7" x14ac:dyDescent="0.25">
      <c r="E660" t="s">
        <v>9317</v>
      </c>
      <c r="F660" t="s">
        <v>9318</v>
      </c>
      <c r="G660" t="s">
        <v>9319</v>
      </c>
    </row>
    <row r="661" spans="2:7" x14ac:dyDescent="0.25">
      <c r="E661" t="s">
        <v>9320</v>
      </c>
      <c r="F661" t="s">
        <v>9321</v>
      </c>
      <c r="G661" t="s">
        <v>9322</v>
      </c>
    </row>
    <row r="662" spans="2:7" x14ac:dyDescent="0.25">
      <c r="E662" t="s">
        <v>9323</v>
      </c>
      <c r="F662" t="s">
        <v>9324</v>
      </c>
      <c r="G662" t="s">
        <v>9325</v>
      </c>
    </row>
    <row r="663" spans="2:7" x14ac:dyDescent="0.25">
      <c r="E663" t="s">
        <v>9326</v>
      </c>
      <c r="F663" t="s">
        <v>9327</v>
      </c>
      <c r="G663" t="s">
        <v>9328</v>
      </c>
    </row>
    <row r="664" spans="2:7" x14ac:dyDescent="0.25">
      <c r="E664" t="s">
        <v>9329</v>
      </c>
      <c r="F664" t="s">
        <v>9330</v>
      </c>
      <c r="G664" t="s">
        <v>9331</v>
      </c>
    </row>
    <row r="665" spans="2:7" x14ac:dyDescent="0.25">
      <c r="B665">
        <v>62</v>
      </c>
      <c r="C665" t="s">
        <v>9742</v>
      </c>
      <c r="D665" t="s">
        <v>9743</v>
      </c>
    </row>
    <row r="666" spans="2:7" x14ac:dyDescent="0.25">
      <c r="E666" t="s">
        <v>9375</v>
      </c>
      <c r="F666" t="s">
        <v>9341</v>
      </c>
      <c r="G666" t="s">
        <v>9325</v>
      </c>
    </row>
    <row r="667" spans="2:7" x14ac:dyDescent="0.25">
      <c r="E667" t="s">
        <v>9376</v>
      </c>
      <c r="F667" t="s">
        <v>9345</v>
      </c>
      <c r="G667" t="s">
        <v>9319</v>
      </c>
    </row>
    <row r="668" spans="2:7" x14ac:dyDescent="0.25">
      <c r="E668" t="s">
        <v>9377</v>
      </c>
      <c r="F668" t="s">
        <v>9343</v>
      </c>
      <c r="G668" t="s">
        <v>9331</v>
      </c>
    </row>
    <row r="669" spans="2:7" x14ac:dyDescent="0.25">
      <c r="B669">
        <v>95</v>
      </c>
      <c r="C669" t="s">
        <v>9744</v>
      </c>
      <c r="D669" t="s">
        <v>9745</v>
      </c>
    </row>
    <row r="670" spans="2:7" x14ac:dyDescent="0.25">
      <c r="E670" t="s">
        <v>9495</v>
      </c>
      <c r="F670" t="s">
        <v>9496</v>
      </c>
      <c r="G670" t="s">
        <v>9396</v>
      </c>
    </row>
    <row r="671" spans="2:7" x14ac:dyDescent="0.25">
      <c r="E671" t="s">
        <v>9497</v>
      </c>
      <c r="F671" t="s">
        <v>1064</v>
      </c>
      <c r="G671" t="s">
        <v>9325</v>
      </c>
    </row>
    <row r="672" spans="2:7" x14ac:dyDescent="0.25">
      <c r="E672" t="s">
        <v>9498</v>
      </c>
      <c r="F672" t="s">
        <v>9359</v>
      </c>
      <c r="G672" t="s">
        <v>9336</v>
      </c>
    </row>
    <row r="673" spans="2:7" x14ac:dyDescent="0.25">
      <c r="E673" t="s">
        <v>9499</v>
      </c>
      <c r="F673" t="s">
        <v>688</v>
      </c>
      <c r="G673" t="s">
        <v>9472</v>
      </c>
    </row>
    <row r="674" spans="2:7" x14ac:dyDescent="0.25">
      <c r="B674">
        <v>81</v>
      </c>
      <c r="C674" t="s">
        <v>9746</v>
      </c>
      <c r="D674" t="s">
        <v>9747</v>
      </c>
    </row>
    <row r="675" spans="2:7" x14ac:dyDescent="0.25">
      <c r="E675" t="s">
        <v>9348</v>
      </c>
      <c r="F675" t="s">
        <v>9349</v>
      </c>
      <c r="G675" t="s">
        <v>9350</v>
      </c>
    </row>
    <row r="676" spans="2:7" x14ac:dyDescent="0.25">
      <c r="E676" t="s">
        <v>9351</v>
      </c>
      <c r="F676" t="s">
        <v>9352</v>
      </c>
      <c r="G676" t="s">
        <v>9353</v>
      </c>
    </row>
    <row r="677" spans="2:7" x14ac:dyDescent="0.25">
      <c r="E677" t="s">
        <v>9354</v>
      </c>
      <c r="F677" t="s">
        <v>866</v>
      </c>
      <c r="G677" t="s">
        <v>9355</v>
      </c>
    </row>
    <row r="678" spans="2:7" x14ac:dyDescent="0.25">
      <c r="E678" t="s">
        <v>9356</v>
      </c>
      <c r="F678" t="s">
        <v>9357</v>
      </c>
      <c r="G678" t="s">
        <v>9325</v>
      </c>
    </row>
    <row r="679" spans="2:7" x14ac:dyDescent="0.25">
      <c r="E679" t="s">
        <v>9358</v>
      </c>
      <c r="F679" t="s">
        <v>9359</v>
      </c>
      <c r="G679" t="s">
        <v>9336</v>
      </c>
    </row>
    <row r="680" spans="2:7" x14ac:dyDescent="0.25">
      <c r="E680" t="s">
        <v>9360</v>
      </c>
      <c r="F680" t="s">
        <v>680</v>
      </c>
      <c r="G680" t="s">
        <v>9361</v>
      </c>
    </row>
    <row r="681" spans="2:7" x14ac:dyDescent="0.25">
      <c r="E681" t="s">
        <v>9362</v>
      </c>
      <c r="F681" t="s">
        <v>9363</v>
      </c>
      <c r="G681" t="s">
        <v>9364</v>
      </c>
    </row>
    <row r="682" spans="2:7" x14ac:dyDescent="0.25">
      <c r="E682" t="s">
        <v>9365</v>
      </c>
      <c r="F682" t="s">
        <v>9366</v>
      </c>
      <c r="G682" t="s">
        <v>9331</v>
      </c>
    </row>
    <row r="683" spans="2:7" x14ac:dyDescent="0.25">
      <c r="E683" t="s">
        <v>9367</v>
      </c>
      <c r="F683" t="s">
        <v>9368</v>
      </c>
      <c r="G683" t="s">
        <v>9369</v>
      </c>
    </row>
    <row r="684" spans="2:7" x14ac:dyDescent="0.25">
      <c r="E684" t="s">
        <v>9370</v>
      </c>
      <c r="F684" t="s">
        <v>9371</v>
      </c>
      <c r="G684" t="s">
        <v>9372</v>
      </c>
    </row>
    <row r="685" spans="2:7" x14ac:dyDescent="0.25">
      <c r="B685">
        <v>60</v>
      </c>
      <c r="C685" t="s">
        <v>9748</v>
      </c>
      <c r="D685" t="s">
        <v>9749</v>
      </c>
    </row>
    <row r="686" spans="2:7" x14ac:dyDescent="0.25">
      <c r="E686" t="s">
        <v>9375</v>
      </c>
      <c r="F686" t="s">
        <v>9341</v>
      </c>
      <c r="G686" t="s">
        <v>9325</v>
      </c>
    </row>
    <row r="687" spans="2:7" x14ac:dyDescent="0.25">
      <c r="E687" t="s">
        <v>9376</v>
      </c>
      <c r="F687" t="s">
        <v>9345</v>
      </c>
      <c r="G687" t="s">
        <v>9319</v>
      </c>
    </row>
    <row r="688" spans="2:7" x14ac:dyDescent="0.25">
      <c r="E688" t="s">
        <v>9377</v>
      </c>
      <c r="F688" t="s">
        <v>9343</v>
      </c>
      <c r="G688" t="s">
        <v>9331</v>
      </c>
    </row>
    <row r="689" spans="2:7" x14ac:dyDescent="0.25">
      <c r="B689">
        <v>17</v>
      </c>
      <c r="C689" t="s">
        <v>9750</v>
      </c>
      <c r="D689" t="s">
        <v>9751</v>
      </c>
    </row>
    <row r="690" spans="2:7" x14ac:dyDescent="0.25">
      <c r="E690" t="s">
        <v>9334</v>
      </c>
      <c r="F690" t="s">
        <v>9335</v>
      </c>
      <c r="G690" t="s">
        <v>9336</v>
      </c>
    </row>
    <row r="691" spans="2:7" x14ac:dyDescent="0.25">
      <c r="E691" t="s">
        <v>9337</v>
      </c>
      <c r="F691" t="s">
        <v>9324</v>
      </c>
      <c r="G691" t="s">
        <v>9325</v>
      </c>
    </row>
    <row r="692" spans="2:7" x14ac:dyDescent="0.25">
      <c r="B692">
        <v>68</v>
      </c>
      <c r="C692" t="s">
        <v>9752</v>
      </c>
      <c r="D692" t="s">
        <v>9753</v>
      </c>
    </row>
    <row r="693" spans="2:7" x14ac:dyDescent="0.25">
      <c r="E693" t="s">
        <v>9340</v>
      </c>
      <c r="F693" t="s">
        <v>9341</v>
      </c>
      <c r="G693" t="s">
        <v>9325</v>
      </c>
    </row>
    <row r="694" spans="2:7" x14ac:dyDescent="0.25">
      <c r="E694" t="s">
        <v>9342</v>
      </c>
      <c r="F694" t="s">
        <v>9343</v>
      </c>
      <c r="G694" t="s">
        <v>9331</v>
      </c>
    </row>
    <row r="695" spans="2:7" x14ac:dyDescent="0.25">
      <c r="E695" t="s">
        <v>9344</v>
      </c>
      <c r="F695" t="s">
        <v>9345</v>
      </c>
      <c r="G695" t="s">
        <v>9319</v>
      </c>
    </row>
    <row r="696" spans="2:7" x14ac:dyDescent="0.25">
      <c r="B696">
        <v>89</v>
      </c>
      <c r="C696" t="s">
        <v>9754</v>
      </c>
      <c r="D696" t="s">
        <v>9755</v>
      </c>
    </row>
    <row r="697" spans="2:7" x14ac:dyDescent="0.25">
      <c r="E697" t="s">
        <v>9484</v>
      </c>
      <c r="F697" t="s">
        <v>9359</v>
      </c>
      <c r="G697" t="s">
        <v>9336</v>
      </c>
    </row>
    <row r="698" spans="2:7" x14ac:dyDescent="0.25">
      <c r="E698" t="s">
        <v>9485</v>
      </c>
      <c r="F698" t="s">
        <v>1322</v>
      </c>
      <c r="G698" t="s">
        <v>9331</v>
      </c>
    </row>
    <row r="699" spans="2:7" x14ac:dyDescent="0.25">
      <c r="E699" t="s">
        <v>9486</v>
      </c>
      <c r="F699" t="s">
        <v>1558</v>
      </c>
      <c r="G699" t="s">
        <v>9396</v>
      </c>
    </row>
    <row r="700" spans="2:7" x14ac:dyDescent="0.25">
      <c r="E700" t="s">
        <v>9487</v>
      </c>
      <c r="F700" t="s">
        <v>9488</v>
      </c>
      <c r="G700" t="s">
        <v>9364</v>
      </c>
    </row>
    <row r="701" spans="2:7" x14ac:dyDescent="0.25">
      <c r="E701" t="s">
        <v>9489</v>
      </c>
      <c r="F701" t="s">
        <v>9490</v>
      </c>
      <c r="G701" t="s">
        <v>9350</v>
      </c>
    </row>
    <row r="702" spans="2:7" x14ac:dyDescent="0.25">
      <c r="E702" t="s">
        <v>9491</v>
      </c>
      <c r="F702" t="s">
        <v>899</v>
      </c>
      <c r="G702" t="s">
        <v>9325</v>
      </c>
    </row>
    <row r="703" spans="2:7" x14ac:dyDescent="0.25">
      <c r="E703" t="s">
        <v>9492</v>
      </c>
      <c r="F703" t="s">
        <v>866</v>
      </c>
      <c r="G703" t="s">
        <v>9355</v>
      </c>
    </row>
    <row r="704" spans="2:7" x14ac:dyDescent="0.25">
      <c r="B704">
        <v>34</v>
      </c>
      <c r="C704" t="s">
        <v>9756</v>
      </c>
      <c r="D704" t="s">
        <v>9757</v>
      </c>
    </row>
    <row r="705" spans="2:7" x14ac:dyDescent="0.25">
      <c r="E705" t="s">
        <v>9314</v>
      </c>
      <c r="F705" t="s">
        <v>9315</v>
      </c>
      <c r="G705" t="s">
        <v>9316</v>
      </c>
    </row>
    <row r="706" spans="2:7" x14ac:dyDescent="0.25">
      <c r="E706" t="s">
        <v>9317</v>
      </c>
      <c r="F706" t="s">
        <v>9318</v>
      </c>
      <c r="G706" t="s">
        <v>9319</v>
      </c>
    </row>
    <row r="707" spans="2:7" x14ac:dyDescent="0.25">
      <c r="E707" t="s">
        <v>9320</v>
      </c>
      <c r="F707" t="s">
        <v>9321</v>
      </c>
      <c r="G707" t="s">
        <v>9322</v>
      </c>
    </row>
    <row r="708" spans="2:7" x14ac:dyDescent="0.25">
      <c r="E708" t="s">
        <v>9323</v>
      </c>
      <c r="F708" t="s">
        <v>9324</v>
      </c>
      <c r="G708" t="s">
        <v>9325</v>
      </c>
    </row>
    <row r="709" spans="2:7" x14ac:dyDescent="0.25">
      <c r="E709" t="s">
        <v>9326</v>
      </c>
      <c r="F709" t="s">
        <v>9327</v>
      </c>
      <c r="G709" t="s">
        <v>9328</v>
      </c>
    </row>
    <row r="710" spans="2:7" x14ac:dyDescent="0.25">
      <c r="E710" t="s">
        <v>9329</v>
      </c>
      <c r="F710" t="s">
        <v>9330</v>
      </c>
      <c r="G710" t="s">
        <v>9331</v>
      </c>
    </row>
    <row r="711" spans="2:7" x14ac:dyDescent="0.25">
      <c r="B711">
        <v>35</v>
      </c>
      <c r="C711" t="s">
        <v>9758</v>
      </c>
      <c r="D711" t="s">
        <v>9759</v>
      </c>
    </row>
    <row r="712" spans="2:7" x14ac:dyDescent="0.25">
      <c r="E712" t="s">
        <v>9314</v>
      </c>
      <c r="F712" t="s">
        <v>9315</v>
      </c>
      <c r="G712" t="s">
        <v>9316</v>
      </c>
    </row>
    <row r="713" spans="2:7" x14ac:dyDescent="0.25">
      <c r="E713" t="s">
        <v>9317</v>
      </c>
      <c r="F713" t="s">
        <v>9318</v>
      </c>
      <c r="G713" t="s">
        <v>9319</v>
      </c>
    </row>
    <row r="714" spans="2:7" x14ac:dyDescent="0.25">
      <c r="E714" t="s">
        <v>9320</v>
      </c>
      <c r="F714" t="s">
        <v>9321</v>
      </c>
      <c r="G714" t="s">
        <v>9322</v>
      </c>
    </row>
    <row r="715" spans="2:7" x14ac:dyDescent="0.25">
      <c r="E715" t="s">
        <v>9323</v>
      </c>
      <c r="F715" t="s">
        <v>9324</v>
      </c>
      <c r="G715" t="s">
        <v>9325</v>
      </c>
    </row>
    <row r="716" spans="2:7" x14ac:dyDescent="0.25">
      <c r="E716" t="s">
        <v>9326</v>
      </c>
      <c r="F716" t="s">
        <v>9327</v>
      </c>
      <c r="G716" t="s">
        <v>9328</v>
      </c>
    </row>
    <row r="717" spans="2:7" x14ac:dyDescent="0.25">
      <c r="E717" t="s">
        <v>9329</v>
      </c>
      <c r="F717" t="s">
        <v>9330</v>
      </c>
      <c r="G717" t="s">
        <v>9331</v>
      </c>
    </row>
    <row r="718" spans="2:7" x14ac:dyDescent="0.25">
      <c r="B718">
        <v>33</v>
      </c>
      <c r="C718" t="s">
        <v>9760</v>
      </c>
      <c r="D718" t="s">
        <v>9761</v>
      </c>
    </row>
    <row r="719" spans="2:7" x14ac:dyDescent="0.25">
      <c r="E719" t="s">
        <v>9762</v>
      </c>
      <c r="F719" t="s">
        <v>9433</v>
      </c>
      <c r="G719" t="s">
        <v>9355</v>
      </c>
    </row>
    <row r="720" spans="2:7" x14ac:dyDescent="0.25">
      <c r="E720" t="s">
        <v>9763</v>
      </c>
      <c r="F720" t="s">
        <v>9422</v>
      </c>
      <c r="G720" t="s">
        <v>9423</v>
      </c>
    </row>
    <row r="721" spans="1:7" x14ac:dyDescent="0.25">
      <c r="E721" t="s">
        <v>9764</v>
      </c>
      <c r="F721" t="s">
        <v>680</v>
      </c>
      <c r="G721" t="s">
        <v>9361</v>
      </c>
    </row>
    <row r="722" spans="1:7" x14ac:dyDescent="0.25">
      <c r="E722" t="s">
        <v>9765</v>
      </c>
      <c r="F722" t="s">
        <v>9766</v>
      </c>
      <c r="G722" t="s">
        <v>9396</v>
      </c>
    </row>
    <row r="723" spans="1:7" x14ac:dyDescent="0.25">
      <c r="E723" t="s">
        <v>9767</v>
      </c>
      <c r="F723" t="s">
        <v>9366</v>
      </c>
      <c r="G723" t="s">
        <v>9331</v>
      </c>
    </row>
    <row r="724" spans="1:7" x14ac:dyDescent="0.25">
      <c r="E724" t="s">
        <v>9768</v>
      </c>
      <c r="F724" t="s">
        <v>622</v>
      </c>
      <c r="G724" t="s">
        <v>9381</v>
      </c>
    </row>
    <row r="725" spans="1:7" x14ac:dyDescent="0.25">
      <c r="E725" t="s">
        <v>9769</v>
      </c>
      <c r="F725" t="s">
        <v>9430</v>
      </c>
      <c r="G725" t="s">
        <v>9431</v>
      </c>
    </row>
    <row r="726" spans="1:7" x14ac:dyDescent="0.25">
      <c r="E726" t="s">
        <v>9770</v>
      </c>
      <c r="F726" t="s">
        <v>1148</v>
      </c>
      <c r="G726" t="s">
        <v>9399</v>
      </c>
    </row>
    <row r="727" spans="1:7" x14ac:dyDescent="0.25">
      <c r="E727" t="s">
        <v>9771</v>
      </c>
      <c r="F727" t="s">
        <v>1064</v>
      </c>
      <c r="G727" t="s">
        <v>9325</v>
      </c>
    </row>
    <row r="728" spans="1:7" x14ac:dyDescent="0.25">
      <c r="A728" t="s">
        <v>9772</v>
      </c>
    </row>
    <row r="729" spans="1:7" x14ac:dyDescent="0.25">
      <c r="B729">
        <v>73</v>
      </c>
      <c r="C729" t="s">
        <v>9634</v>
      </c>
      <c r="D729" t="s">
        <v>9635</v>
      </c>
    </row>
    <row r="730" spans="1:7" x14ac:dyDescent="0.25">
      <c r="E730" t="s">
        <v>9340</v>
      </c>
      <c r="F730" t="s">
        <v>9341</v>
      </c>
      <c r="G730" t="s">
        <v>9325</v>
      </c>
    </row>
    <row r="731" spans="1:7" x14ac:dyDescent="0.25">
      <c r="E731" t="s">
        <v>9342</v>
      </c>
      <c r="F731" t="s">
        <v>9343</v>
      </c>
      <c r="G731" t="s">
        <v>9331</v>
      </c>
    </row>
    <row r="732" spans="1:7" x14ac:dyDescent="0.25">
      <c r="E732" t="s">
        <v>9344</v>
      </c>
      <c r="F732" t="s">
        <v>9345</v>
      </c>
      <c r="G732" t="s">
        <v>9319</v>
      </c>
    </row>
    <row r="733" spans="1:7" x14ac:dyDescent="0.25">
      <c r="B733">
        <v>18</v>
      </c>
      <c r="C733" t="s">
        <v>9332</v>
      </c>
      <c r="D733" t="s">
        <v>9333</v>
      </c>
    </row>
    <row r="734" spans="1:7" x14ac:dyDescent="0.25">
      <c r="E734" t="s">
        <v>9334</v>
      </c>
      <c r="F734" t="s">
        <v>9335</v>
      </c>
      <c r="G734" t="s">
        <v>9336</v>
      </c>
    </row>
    <row r="735" spans="1:7" x14ac:dyDescent="0.25">
      <c r="E735" t="s">
        <v>9337</v>
      </c>
      <c r="F735" t="s">
        <v>9324</v>
      </c>
      <c r="G735" t="s">
        <v>9325</v>
      </c>
    </row>
    <row r="736" spans="1:7" x14ac:dyDescent="0.25">
      <c r="B736">
        <v>72</v>
      </c>
      <c r="C736" t="s">
        <v>9338</v>
      </c>
      <c r="D736" t="s">
        <v>9339</v>
      </c>
    </row>
    <row r="737" spans="2:7" x14ac:dyDescent="0.25">
      <c r="E737" t="s">
        <v>9340</v>
      </c>
      <c r="F737" t="s">
        <v>9341</v>
      </c>
      <c r="G737" t="s">
        <v>9325</v>
      </c>
    </row>
    <row r="738" spans="2:7" x14ac:dyDescent="0.25">
      <c r="E738" t="s">
        <v>9342</v>
      </c>
      <c r="F738" t="s">
        <v>9343</v>
      </c>
      <c r="G738" t="s">
        <v>9331</v>
      </c>
    </row>
    <row r="739" spans="2:7" x14ac:dyDescent="0.25">
      <c r="E739" t="s">
        <v>9344</v>
      </c>
      <c r="F739" t="s">
        <v>9345</v>
      </c>
      <c r="G739" t="s">
        <v>9319</v>
      </c>
    </row>
    <row r="740" spans="2:7" x14ac:dyDescent="0.25">
      <c r="B740">
        <v>89</v>
      </c>
      <c r="C740" t="s">
        <v>9346</v>
      </c>
      <c r="D740" t="s">
        <v>9347</v>
      </c>
    </row>
    <row r="741" spans="2:7" x14ac:dyDescent="0.25">
      <c r="E741" t="s">
        <v>9348</v>
      </c>
      <c r="F741" t="s">
        <v>9349</v>
      </c>
      <c r="G741" t="s">
        <v>9350</v>
      </c>
    </row>
    <row r="742" spans="2:7" x14ac:dyDescent="0.25">
      <c r="E742" t="s">
        <v>9351</v>
      </c>
      <c r="F742" t="s">
        <v>9352</v>
      </c>
      <c r="G742" t="s">
        <v>9353</v>
      </c>
    </row>
    <row r="743" spans="2:7" x14ac:dyDescent="0.25">
      <c r="E743" t="s">
        <v>9354</v>
      </c>
      <c r="F743" t="s">
        <v>866</v>
      </c>
      <c r="G743" t="s">
        <v>9355</v>
      </c>
    </row>
    <row r="744" spans="2:7" x14ac:dyDescent="0.25">
      <c r="E744" t="s">
        <v>9356</v>
      </c>
      <c r="F744" t="s">
        <v>9357</v>
      </c>
      <c r="G744" t="s">
        <v>9325</v>
      </c>
    </row>
    <row r="745" spans="2:7" x14ac:dyDescent="0.25">
      <c r="E745" t="s">
        <v>9358</v>
      </c>
      <c r="F745" t="s">
        <v>9359</v>
      </c>
      <c r="G745" t="s">
        <v>9336</v>
      </c>
    </row>
    <row r="746" spans="2:7" x14ac:dyDescent="0.25">
      <c r="E746" t="s">
        <v>9360</v>
      </c>
      <c r="F746" t="s">
        <v>680</v>
      </c>
      <c r="G746" t="s">
        <v>9361</v>
      </c>
    </row>
    <row r="747" spans="2:7" x14ac:dyDescent="0.25">
      <c r="E747" t="s">
        <v>9362</v>
      </c>
      <c r="F747" t="s">
        <v>9363</v>
      </c>
      <c r="G747" t="s">
        <v>9364</v>
      </c>
    </row>
    <row r="748" spans="2:7" x14ac:dyDescent="0.25">
      <c r="E748" t="s">
        <v>9365</v>
      </c>
      <c r="F748" t="s">
        <v>9366</v>
      </c>
      <c r="G748" t="s">
        <v>9331</v>
      </c>
    </row>
    <row r="749" spans="2:7" x14ac:dyDescent="0.25">
      <c r="E749" t="s">
        <v>9367</v>
      </c>
      <c r="F749" t="s">
        <v>9368</v>
      </c>
      <c r="G749" t="s">
        <v>9369</v>
      </c>
    </row>
    <row r="750" spans="2:7" x14ac:dyDescent="0.25">
      <c r="E750" t="s">
        <v>9370</v>
      </c>
      <c r="F750" t="s">
        <v>9371</v>
      </c>
      <c r="G750" t="s">
        <v>9372</v>
      </c>
    </row>
    <row r="751" spans="2:7" x14ac:dyDescent="0.25">
      <c r="B751">
        <v>69</v>
      </c>
      <c r="C751" t="s">
        <v>9535</v>
      </c>
      <c r="D751" t="s">
        <v>9536</v>
      </c>
    </row>
    <row r="752" spans="2:7" x14ac:dyDescent="0.25">
      <c r="E752" t="s">
        <v>9375</v>
      </c>
      <c r="F752" t="s">
        <v>9341</v>
      </c>
      <c r="G752" t="s">
        <v>9325</v>
      </c>
    </row>
    <row r="753" spans="2:7" x14ac:dyDescent="0.25">
      <c r="E753" t="s">
        <v>9376</v>
      </c>
      <c r="F753" t="s">
        <v>9345</v>
      </c>
      <c r="G753" t="s">
        <v>9319</v>
      </c>
    </row>
    <row r="754" spans="2:7" x14ac:dyDescent="0.25">
      <c r="E754" t="s">
        <v>9377</v>
      </c>
      <c r="F754" t="s">
        <v>9343</v>
      </c>
      <c r="G754" t="s">
        <v>9331</v>
      </c>
    </row>
    <row r="755" spans="2:7" x14ac:dyDescent="0.25">
      <c r="B755">
        <v>0</v>
      </c>
      <c r="C755" t="s">
        <v>9378</v>
      </c>
      <c r="D755" t="s">
        <v>9379</v>
      </c>
    </row>
    <row r="756" spans="2:7" x14ac:dyDescent="0.25">
      <c r="E756" t="s">
        <v>9380</v>
      </c>
      <c r="F756" t="s">
        <v>622</v>
      </c>
      <c r="G756" t="s">
        <v>9381</v>
      </c>
    </row>
    <row r="757" spans="2:7" x14ac:dyDescent="0.25">
      <c r="E757" t="s">
        <v>9382</v>
      </c>
      <c r="F757" t="s">
        <v>539</v>
      </c>
      <c r="G757" t="s">
        <v>9383</v>
      </c>
    </row>
    <row r="758" spans="2:7" x14ac:dyDescent="0.25">
      <c r="E758" t="s">
        <v>9384</v>
      </c>
      <c r="F758" t="s">
        <v>1235</v>
      </c>
      <c r="G758" t="s">
        <v>9385</v>
      </c>
    </row>
    <row r="759" spans="2:7" x14ac:dyDescent="0.25">
      <c r="E759" t="s">
        <v>9386</v>
      </c>
      <c r="F759" t="s">
        <v>9387</v>
      </c>
      <c r="G759" t="s">
        <v>9369</v>
      </c>
    </row>
    <row r="760" spans="2:7" x14ac:dyDescent="0.25">
      <c r="E760" t="s">
        <v>9388</v>
      </c>
      <c r="F760" t="s">
        <v>728</v>
      </c>
      <c r="G760" t="s">
        <v>9389</v>
      </c>
    </row>
    <row r="761" spans="2:7" x14ac:dyDescent="0.25">
      <c r="E761" t="s">
        <v>9390</v>
      </c>
      <c r="F761" t="s">
        <v>1149</v>
      </c>
      <c r="G761" t="s">
        <v>9391</v>
      </c>
    </row>
    <row r="762" spans="2:7" x14ac:dyDescent="0.25">
      <c r="E762" t="s">
        <v>9392</v>
      </c>
      <c r="F762" t="s">
        <v>1312</v>
      </c>
      <c r="G762" t="s">
        <v>9350</v>
      </c>
    </row>
    <row r="763" spans="2:7" x14ac:dyDescent="0.25">
      <c r="E763" t="s">
        <v>9393</v>
      </c>
      <c r="F763" t="s">
        <v>1455</v>
      </c>
      <c r="G763" t="s">
        <v>9328</v>
      </c>
    </row>
    <row r="764" spans="2:7" x14ac:dyDescent="0.25">
      <c r="E764" t="s">
        <v>9394</v>
      </c>
      <c r="F764" t="s">
        <v>1064</v>
      </c>
      <c r="G764" t="s">
        <v>9325</v>
      </c>
    </row>
    <row r="765" spans="2:7" x14ac:dyDescent="0.25">
      <c r="E765" t="s">
        <v>9395</v>
      </c>
      <c r="F765" t="s">
        <v>1552</v>
      </c>
      <c r="G765" t="s">
        <v>9396</v>
      </c>
    </row>
    <row r="766" spans="2:7" x14ac:dyDescent="0.25">
      <c r="E766" t="s">
        <v>9397</v>
      </c>
      <c r="F766" t="s">
        <v>1143</v>
      </c>
      <c r="G766" t="s">
        <v>9336</v>
      </c>
    </row>
    <row r="767" spans="2:7" x14ac:dyDescent="0.25">
      <c r="E767" t="s">
        <v>9398</v>
      </c>
      <c r="F767" t="s">
        <v>1148</v>
      </c>
      <c r="G767" t="s">
        <v>9399</v>
      </c>
    </row>
    <row r="768" spans="2:7" x14ac:dyDescent="0.25">
      <c r="E768" t="s">
        <v>9400</v>
      </c>
      <c r="F768" t="s">
        <v>9401</v>
      </c>
      <c r="G768" t="s">
        <v>9402</v>
      </c>
    </row>
    <row r="769" spans="2:7" x14ac:dyDescent="0.25">
      <c r="B769">
        <v>47</v>
      </c>
      <c r="C769" t="s">
        <v>9403</v>
      </c>
      <c r="D769" t="s">
        <v>9404</v>
      </c>
    </row>
    <row r="770" spans="2:7" x14ac:dyDescent="0.25">
      <c r="E770" t="s">
        <v>9314</v>
      </c>
      <c r="F770" t="s">
        <v>9315</v>
      </c>
      <c r="G770" t="s">
        <v>9316</v>
      </c>
    </row>
    <row r="771" spans="2:7" x14ac:dyDescent="0.25">
      <c r="E771" t="s">
        <v>9317</v>
      </c>
      <c r="F771" t="s">
        <v>9318</v>
      </c>
      <c r="G771" t="s">
        <v>9319</v>
      </c>
    </row>
    <row r="772" spans="2:7" x14ac:dyDescent="0.25">
      <c r="E772" t="s">
        <v>9320</v>
      </c>
      <c r="F772" t="s">
        <v>9321</v>
      </c>
      <c r="G772" t="s">
        <v>9322</v>
      </c>
    </row>
    <row r="773" spans="2:7" x14ac:dyDescent="0.25">
      <c r="E773" t="s">
        <v>9323</v>
      </c>
      <c r="F773" t="s">
        <v>9324</v>
      </c>
      <c r="G773" t="s">
        <v>9325</v>
      </c>
    </row>
    <row r="774" spans="2:7" x14ac:dyDescent="0.25">
      <c r="E774" t="s">
        <v>9326</v>
      </c>
      <c r="F774" t="s">
        <v>9327</v>
      </c>
      <c r="G774" t="s">
        <v>9328</v>
      </c>
    </row>
    <row r="775" spans="2:7" x14ac:dyDescent="0.25">
      <c r="E775" t="s">
        <v>9329</v>
      </c>
      <c r="F775" t="s">
        <v>9330</v>
      </c>
      <c r="G775" t="s">
        <v>9331</v>
      </c>
    </row>
    <row r="776" spans="2:7" x14ac:dyDescent="0.25">
      <c r="B776">
        <v>42</v>
      </c>
      <c r="C776" t="s">
        <v>9405</v>
      </c>
      <c r="D776" t="s">
        <v>9406</v>
      </c>
    </row>
    <row r="777" spans="2:7" x14ac:dyDescent="0.25">
      <c r="E777" t="s">
        <v>9314</v>
      </c>
      <c r="F777" t="s">
        <v>9315</v>
      </c>
      <c r="G777" t="s">
        <v>9316</v>
      </c>
    </row>
    <row r="778" spans="2:7" x14ac:dyDescent="0.25">
      <c r="E778" t="s">
        <v>9317</v>
      </c>
      <c r="F778" t="s">
        <v>9318</v>
      </c>
      <c r="G778" t="s">
        <v>9319</v>
      </c>
    </row>
    <row r="779" spans="2:7" x14ac:dyDescent="0.25">
      <c r="E779" t="s">
        <v>9320</v>
      </c>
      <c r="F779" t="s">
        <v>9321</v>
      </c>
      <c r="G779" t="s">
        <v>9322</v>
      </c>
    </row>
    <row r="780" spans="2:7" x14ac:dyDescent="0.25">
      <c r="E780" t="s">
        <v>9323</v>
      </c>
      <c r="F780" t="s">
        <v>9324</v>
      </c>
      <c r="G780" t="s">
        <v>9325</v>
      </c>
    </row>
    <row r="781" spans="2:7" x14ac:dyDescent="0.25">
      <c r="E781" t="s">
        <v>9326</v>
      </c>
      <c r="F781" t="s">
        <v>9327</v>
      </c>
      <c r="G781" t="s">
        <v>9328</v>
      </c>
    </row>
    <row r="782" spans="2:7" x14ac:dyDescent="0.25">
      <c r="E782" t="s">
        <v>9329</v>
      </c>
      <c r="F782" t="s">
        <v>9330</v>
      </c>
      <c r="G782" t="s">
        <v>9331</v>
      </c>
    </row>
    <row r="783" spans="2:7" x14ac:dyDescent="0.25">
      <c r="B783">
        <v>49</v>
      </c>
      <c r="C783" t="s">
        <v>9407</v>
      </c>
      <c r="D783" t="s">
        <v>9408</v>
      </c>
    </row>
    <row r="784" spans="2:7" x14ac:dyDescent="0.25">
      <c r="E784" t="s">
        <v>9409</v>
      </c>
      <c r="F784" t="s">
        <v>818</v>
      </c>
      <c r="G784" t="s">
        <v>9353</v>
      </c>
    </row>
    <row r="785" spans="2:7" x14ac:dyDescent="0.25">
      <c r="E785" t="s">
        <v>9410</v>
      </c>
      <c r="F785" t="s">
        <v>9363</v>
      </c>
      <c r="G785" t="s">
        <v>9364</v>
      </c>
    </row>
    <row r="786" spans="2:7" x14ac:dyDescent="0.25">
      <c r="E786" t="s">
        <v>9411</v>
      </c>
      <c r="F786" t="s">
        <v>1154</v>
      </c>
      <c r="G786" t="s">
        <v>9325</v>
      </c>
    </row>
    <row r="787" spans="2:7" x14ac:dyDescent="0.25">
      <c r="E787" t="s">
        <v>9412</v>
      </c>
      <c r="F787" t="s">
        <v>569</v>
      </c>
      <c r="G787" t="s">
        <v>9336</v>
      </c>
    </row>
    <row r="788" spans="2:7" x14ac:dyDescent="0.25">
      <c r="E788" t="s">
        <v>9413</v>
      </c>
      <c r="F788" t="s">
        <v>9366</v>
      </c>
      <c r="G788" t="s">
        <v>9331</v>
      </c>
    </row>
    <row r="789" spans="2:7" x14ac:dyDescent="0.25">
      <c r="E789" t="s">
        <v>9414</v>
      </c>
      <c r="F789" t="s">
        <v>1299</v>
      </c>
      <c r="G789" t="s">
        <v>9355</v>
      </c>
    </row>
    <row r="790" spans="2:7" x14ac:dyDescent="0.25">
      <c r="E790" t="s">
        <v>9415</v>
      </c>
      <c r="F790" t="s">
        <v>1312</v>
      </c>
      <c r="G790" t="s">
        <v>9350</v>
      </c>
    </row>
    <row r="791" spans="2:7" x14ac:dyDescent="0.25">
      <c r="E791" t="s">
        <v>9416</v>
      </c>
      <c r="F791" t="s">
        <v>1552</v>
      </c>
      <c r="G791" t="s">
        <v>9396</v>
      </c>
    </row>
    <row r="792" spans="2:7" x14ac:dyDescent="0.25">
      <c r="B792">
        <v>76</v>
      </c>
      <c r="C792" t="s">
        <v>9417</v>
      </c>
      <c r="D792" t="s">
        <v>9418</v>
      </c>
    </row>
    <row r="793" spans="2:7" x14ac:dyDescent="0.25">
      <c r="E793" t="s">
        <v>9340</v>
      </c>
      <c r="F793" t="s">
        <v>9341</v>
      </c>
      <c r="G793" t="s">
        <v>9325</v>
      </c>
    </row>
    <row r="794" spans="2:7" x14ac:dyDescent="0.25">
      <c r="E794" t="s">
        <v>9342</v>
      </c>
      <c r="F794" t="s">
        <v>9343</v>
      </c>
      <c r="G794" t="s">
        <v>9331</v>
      </c>
    </row>
    <row r="795" spans="2:7" x14ac:dyDescent="0.25">
      <c r="E795" t="s">
        <v>9344</v>
      </c>
      <c r="F795" t="s">
        <v>9345</v>
      </c>
      <c r="G795" t="s">
        <v>9319</v>
      </c>
    </row>
    <row r="796" spans="2:7" x14ac:dyDescent="0.25">
      <c r="B796">
        <v>63</v>
      </c>
      <c r="C796" t="s">
        <v>9773</v>
      </c>
      <c r="D796" t="s">
        <v>9774</v>
      </c>
    </row>
    <row r="797" spans="2:7" x14ac:dyDescent="0.25">
      <c r="E797" t="s">
        <v>9516</v>
      </c>
      <c r="F797" t="s">
        <v>9324</v>
      </c>
      <c r="G797" t="s">
        <v>9325</v>
      </c>
    </row>
    <row r="798" spans="2:7" x14ac:dyDescent="0.25">
      <c r="E798" t="s">
        <v>9517</v>
      </c>
      <c r="F798" t="s">
        <v>9518</v>
      </c>
      <c r="G798" t="s">
        <v>9336</v>
      </c>
    </row>
    <row r="799" spans="2:7" x14ac:dyDescent="0.25">
      <c r="B799">
        <v>6</v>
      </c>
      <c r="C799" t="s">
        <v>9419</v>
      </c>
      <c r="D799" t="s">
        <v>9420</v>
      </c>
    </row>
    <row r="800" spans="2:7" x14ac:dyDescent="0.25">
      <c r="E800" t="s">
        <v>9421</v>
      </c>
      <c r="F800" t="s">
        <v>9422</v>
      </c>
      <c r="G800" t="s">
        <v>9423</v>
      </c>
    </row>
    <row r="801" spans="2:7" x14ac:dyDescent="0.25">
      <c r="E801" t="s">
        <v>9424</v>
      </c>
      <c r="F801" t="s">
        <v>680</v>
      </c>
      <c r="G801" t="s">
        <v>9361</v>
      </c>
    </row>
    <row r="802" spans="2:7" x14ac:dyDescent="0.25">
      <c r="E802" t="s">
        <v>9425</v>
      </c>
      <c r="F802" t="s">
        <v>9426</v>
      </c>
      <c r="G802" t="s">
        <v>9322</v>
      </c>
    </row>
    <row r="803" spans="2:7" x14ac:dyDescent="0.25">
      <c r="E803" t="s">
        <v>9427</v>
      </c>
      <c r="F803" t="s">
        <v>9366</v>
      </c>
      <c r="G803" t="s">
        <v>9331</v>
      </c>
    </row>
    <row r="804" spans="2:7" x14ac:dyDescent="0.25">
      <c r="E804" t="s">
        <v>9428</v>
      </c>
      <c r="F804" t="s">
        <v>9341</v>
      </c>
      <c r="G804" t="s">
        <v>9325</v>
      </c>
    </row>
    <row r="805" spans="2:7" x14ac:dyDescent="0.25">
      <c r="E805" t="s">
        <v>9429</v>
      </c>
      <c r="F805" t="s">
        <v>9430</v>
      </c>
      <c r="G805" t="s">
        <v>9431</v>
      </c>
    </row>
    <row r="806" spans="2:7" x14ac:dyDescent="0.25">
      <c r="E806" t="s">
        <v>9432</v>
      </c>
      <c r="F806" t="s">
        <v>9433</v>
      </c>
      <c r="G806" t="s">
        <v>9355</v>
      </c>
    </row>
    <row r="807" spans="2:7" x14ac:dyDescent="0.25">
      <c r="E807" t="s">
        <v>9434</v>
      </c>
      <c r="F807" t="s">
        <v>9345</v>
      </c>
      <c r="G807" t="s">
        <v>9319</v>
      </c>
    </row>
    <row r="808" spans="2:7" x14ac:dyDescent="0.25">
      <c r="B808">
        <v>58</v>
      </c>
      <c r="C808" t="s">
        <v>9775</v>
      </c>
      <c r="D808" t="s">
        <v>9776</v>
      </c>
    </row>
    <row r="809" spans="2:7" x14ac:dyDescent="0.25">
      <c r="E809" t="s">
        <v>9516</v>
      </c>
      <c r="F809" t="s">
        <v>9324</v>
      </c>
      <c r="G809" t="s">
        <v>9325</v>
      </c>
    </row>
    <row r="810" spans="2:7" x14ac:dyDescent="0.25">
      <c r="E810" t="s">
        <v>9517</v>
      </c>
      <c r="F810" t="s">
        <v>9518</v>
      </c>
      <c r="G810" t="s">
        <v>9336</v>
      </c>
    </row>
    <row r="811" spans="2:7" x14ac:dyDescent="0.25">
      <c r="B811">
        <v>75</v>
      </c>
      <c r="C811" t="s">
        <v>9435</v>
      </c>
      <c r="D811" t="s">
        <v>9436</v>
      </c>
    </row>
    <row r="812" spans="2:7" x14ac:dyDescent="0.25">
      <c r="E812" t="s">
        <v>9340</v>
      </c>
      <c r="F812" t="s">
        <v>9341</v>
      </c>
      <c r="G812" t="s">
        <v>9325</v>
      </c>
    </row>
    <row r="813" spans="2:7" x14ac:dyDescent="0.25">
      <c r="E813" t="s">
        <v>9342</v>
      </c>
      <c r="F813" t="s">
        <v>9343</v>
      </c>
      <c r="G813" t="s">
        <v>9331</v>
      </c>
    </row>
    <row r="814" spans="2:7" x14ac:dyDescent="0.25">
      <c r="E814" t="s">
        <v>9344</v>
      </c>
      <c r="F814" t="s">
        <v>9345</v>
      </c>
      <c r="G814" t="s">
        <v>9319</v>
      </c>
    </row>
    <row r="815" spans="2:7" x14ac:dyDescent="0.25">
      <c r="B815">
        <v>17</v>
      </c>
      <c r="C815" t="s">
        <v>9437</v>
      </c>
      <c r="D815" t="s">
        <v>9438</v>
      </c>
    </row>
    <row r="816" spans="2:7" x14ac:dyDescent="0.25">
      <c r="E816" t="s">
        <v>9334</v>
      </c>
      <c r="F816" t="s">
        <v>9335</v>
      </c>
      <c r="G816" t="s">
        <v>9336</v>
      </c>
    </row>
    <row r="817" spans="2:7" x14ac:dyDescent="0.25">
      <c r="E817" t="s">
        <v>9337</v>
      </c>
      <c r="F817" t="s">
        <v>9324</v>
      </c>
      <c r="G817" t="s">
        <v>9325</v>
      </c>
    </row>
    <row r="818" spans="2:7" x14ac:dyDescent="0.25">
      <c r="B818">
        <v>34</v>
      </c>
      <c r="C818" t="s">
        <v>9439</v>
      </c>
      <c r="D818" t="s">
        <v>9440</v>
      </c>
    </row>
    <row r="819" spans="2:7" x14ac:dyDescent="0.25">
      <c r="E819" t="s">
        <v>9314</v>
      </c>
      <c r="F819" t="s">
        <v>9315</v>
      </c>
      <c r="G819" t="s">
        <v>9316</v>
      </c>
    </row>
    <row r="820" spans="2:7" x14ac:dyDescent="0.25">
      <c r="E820" t="s">
        <v>9317</v>
      </c>
      <c r="F820" t="s">
        <v>9318</v>
      </c>
      <c r="G820" t="s">
        <v>9319</v>
      </c>
    </row>
    <row r="821" spans="2:7" x14ac:dyDescent="0.25">
      <c r="E821" t="s">
        <v>9320</v>
      </c>
      <c r="F821" t="s">
        <v>9321</v>
      </c>
      <c r="G821" t="s">
        <v>9322</v>
      </c>
    </row>
    <row r="822" spans="2:7" x14ac:dyDescent="0.25">
      <c r="E822" t="s">
        <v>9323</v>
      </c>
      <c r="F822" t="s">
        <v>9324</v>
      </c>
      <c r="G822" t="s">
        <v>9325</v>
      </c>
    </row>
    <row r="823" spans="2:7" x14ac:dyDescent="0.25">
      <c r="E823" t="s">
        <v>9326</v>
      </c>
      <c r="F823" t="s">
        <v>9327</v>
      </c>
      <c r="G823" t="s">
        <v>9328</v>
      </c>
    </row>
    <row r="824" spans="2:7" x14ac:dyDescent="0.25">
      <c r="E824" t="s">
        <v>9329</v>
      </c>
      <c r="F824" t="s">
        <v>9330</v>
      </c>
      <c r="G824" t="s">
        <v>9331</v>
      </c>
    </row>
    <row r="825" spans="2:7" x14ac:dyDescent="0.25">
      <c r="B825">
        <v>14</v>
      </c>
      <c r="C825" t="s">
        <v>9441</v>
      </c>
      <c r="D825" t="s">
        <v>9442</v>
      </c>
    </row>
    <row r="826" spans="2:7" x14ac:dyDescent="0.25">
      <c r="E826" t="s">
        <v>9334</v>
      </c>
      <c r="F826" t="s">
        <v>9335</v>
      </c>
      <c r="G826" t="s">
        <v>9336</v>
      </c>
    </row>
    <row r="827" spans="2:7" x14ac:dyDescent="0.25">
      <c r="E827" t="s">
        <v>9337</v>
      </c>
      <c r="F827" t="s">
        <v>9324</v>
      </c>
      <c r="G827" t="s">
        <v>9325</v>
      </c>
    </row>
    <row r="828" spans="2:7" x14ac:dyDescent="0.25">
      <c r="B828">
        <v>31</v>
      </c>
      <c r="C828" t="s">
        <v>9443</v>
      </c>
      <c r="D828" t="s">
        <v>9444</v>
      </c>
    </row>
    <row r="829" spans="2:7" x14ac:dyDescent="0.25">
      <c r="E829" t="s">
        <v>9314</v>
      </c>
      <c r="F829" t="s">
        <v>9315</v>
      </c>
      <c r="G829" t="s">
        <v>9316</v>
      </c>
    </row>
    <row r="830" spans="2:7" x14ac:dyDescent="0.25">
      <c r="E830" t="s">
        <v>9317</v>
      </c>
      <c r="F830" t="s">
        <v>9318</v>
      </c>
      <c r="G830" t="s">
        <v>9319</v>
      </c>
    </row>
    <row r="831" spans="2:7" x14ac:dyDescent="0.25">
      <c r="E831" t="s">
        <v>9320</v>
      </c>
      <c r="F831" t="s">
        <v>9321</v>
      </c>
      <c r="G831" t="s">
        <v>9322</v>
      </c>
    </row>
    <row r="832" spans="2:7" x14ac:dyDescent="0.25">
      <c r="E832" t="s">
        <v>9323</v>
      </c>
      <c r="F832" t="s">
        <v>9324</v>
      </c>
      <c r="G832" t="s">
        <v>9325</v>
      </c>
    </row>
    <row r="833" spans="2:7" x14ac:dyDescent="0.25">
      <c r="E833" t="s">
        <v>9326</v>
      </c>
      <c r="F833" t="s">
        <v>9327</v>
      </c>
      <c r="G833" t="s">
        <v>9328</v>
      </c>
    </row>
    <row r="834" spans="2:7" x14ac:dyDescent="0.25">
      <c r="E834" t="s">
        <v>9329</v>
      </c>
      <c r="F834" t="s">
        <v>9330</v>
      </c>
      <c r="G834" t="s">
        <v>9331</v>
      </c>
    </row>
    <row r="835" spans="2:7" x14ac:dyDescent="0.25">
      <c r="B835">
        <v>45</v>
      </c>
      <c r="C835" t="s">
        <v>9451</v>
      </c>
      <c r="D835" t="s">
        <v>9452</v>
      </c>
    </row>
    <row r="836" spans="2:7" x14ac:dyDescent="0.25">
      <c r="E836" t="s">
        <v>9314</v>
      </c>
      <c r="F836" t="s">
        <v>9315</v>
      </c>
      <c r="G836" t="s">
        <v>9316</v>
      </c>
    </row>
    <row r="837" spans="2:7" x14ac:dyDescent="0.25">
      <c r="E837" t="s">
        <v>9317</v>
      </c>
      <c r="F837" t="s">
        <v>9318</v>
      </c>
      <c r="G837" t="s">
        <v>9319</v>
      </c>
    </row>
    <row r="838" spans="2:7" x14ac:dyDescent="0.25">
      <c r="E838" t="s">
        <v>9320</v>
      </c>
      <c r="F838" t="s">
        <v>9321</v>
      </c>
      <c r="G838" t="s">
        <v>9322</v>
      </c>
    </row>
    <row r="839" spans="2:7" x14ac:dyDescent="0.25">
      <c r="E839" t="s">
        <v>9323</v>
      </c>
      <c r="F839" t="s">
        <v>9324</v>
      </c>
      <c r="G839" t="s">
        <v>9325</v>
      </c>
    </row>
    <row r="840" spans="2:7" x14ac:dyDescent="0.25">
      <c r="E840" t="s">
        <v>9326</v>
      </c>
      <c r="F840" t="s">
        <v>9327</v>
      </c>
      <c r="G840" t="s">
        <v>9328</v>
      </c>
    </row>
    <row r="841" spans="2:7" x14ac:dyDescent="0.25">
      <c r="E841" t="s">
        <v>9329</v>
      </c>
      <c r="F841" t="s">
        <v>9330</v>
      </c>
      <c r="G841" t="s">
        <v>9331</v>
      </c>
    </row>
    <row r="842" spans="2:7" x14ac:dyDescent="0.25">
      <c r="B842">
        <v>61</v>
      </c>
      <c r="C842" t="s">
        <v>9777</v>
      </c>
      <c r="D842" t="s">
        <v>9778</v>
      </c>
    </row>
    <row r="843" spans="2:7" x14ac:dyDescent="0.25">
      <c r="E843" t="s">
        <v>9516</v>
      </c>
      <c r="F843" t="s">
        <v>9324</v>
      </c>
      <c r="G843" t="s">
        <v>9325</v>
      </c>
    </row>
    <row r="844" spans="2:7" x14ac:dyDescent="0.25">
      <c r="E844" t="s">
        <v>9517</v>
      </c>
      <c r="F844" t="s">
        <v>9518</v>
      </c>
      <c r="G844" t="s">
        <v>9336</v>
      </c>
    </row>
    <row r="845" spans="2:7" x14ac:dyDescent="0.25">
      <c r="B845">
        <v>95</v>
      </c>
      <c r="C845" t="s">
        <v>9453</v>
      </c>
      <c r="D845" t="s">
        <v>9454</v>
      </c>
    </row>
    <row r="846" spans="2:7" x14ac:dyDescent="0.25">
      <c r="E846" t="s">
        <v>9455</v>
      </c>
      <c r="F846" t="s">
        <v>9456</v>
      </c>
      <c r="G846" t="s">
        <v>9381</v>
      </c>
    </row>
    <row r="847" spans="2:7" x14ac:dyDescent="0.25">
      <c r="E847" t="s">
        <v>9457</v>
      </c>
      <c r="F847" t="s">
        <v>9433</v>
      </c>
      <c r="G847" t="s">
        <v>9355</v>
      </c>
    </row>
    <row r="848" spans="2:7" x14ac:dyDescent="0.25">
      <c r="E848" t="s">
        <v>9458</v>
      </c>
      <c r="F848" t="s">
        <v>9459</v>
      </c>
      <c r="G848" t="s">
        <v>9460</v>
      </c>
    </row>
    <row r="849" spans="2:7" x14ac:dyDescent="0.25">
      <c r="E849" t="s">
        <v>9461</v>
      </c>
      <c r="F849" t="s">
        <v>9462</v>
      </c>
      <c r="G849" t="s">
        <v>9463</v>
      </c>
    </row>
    <row r="850" spans="2:7" x14ac:dyDescent="0.25">
      <c r="E850" t="s">
        <v>9464</v>
      </c>
      <c r="F850" t="s">
        <v>818</v>
      </c>
      <c r="G850" t="s">
        <v>9353</v>
      </c>
    </row>
    <row r="851" spans="2:7" x14ac:dyDescent="0.25">
      <c r="E851" t="s">
        <v>9465</v>
      </c>
      <c r="F851" t="s">
        <v>9466</v>
      </c>
      <c r="G851" t="s">
        <v>9322</v>
      </c>
    </row>
    <row r="852" spans="2:7" x14ac:dyDescent="0.25">
      <c r="E852" t="s">
        <v>9467</v>
      </c>
      <c r="F852" t="s">
        <v>1064</v>
      </c>
      <c r="G852" t="s">
        <v>9325</v>
      </c>
    </row>
    <row r="853" spans="2:7" x14ac:dyDescent="0.25">
      <c r="E853" t="s">
        <v>9468</v>
      </c>
      <c r="F853" t="s">
        <v>9469</v>
      </c>
      <c r="G853" t="s">
        <v>9470</v>
      </c>
    </row>
    <row r="854" spans="2:7" x14ac:dyDescent="0.25">
      <c r="E854" t="s">
        <v>9471</v>
      </c>
      <c r="F854" t="s">
        <v>688</v>
      </c>
      <c r="G854" t="s">
        <v>9472</v>
      </c>
    </row>
    <row r="855" spans="2:7" x14ac:dyDescent="0.25">
      <c r="E855" t="s">
        <v>9473</v>
      </c>
      <c r="F855" t="s">
        <v>9474</v>
      </c>
      <c r="G855" t="s">
        <v>9475</v>
      </c>
    </row>
    <row r="856" spans="2:7" x14ac:dyDescent="0.25">
      <c r="E856" t="s">
        <v>9476</v>
      </c>
      <c r="F856" t="s">
        <v>9422</v>
      </c>
      <c r="G856" t="s">
        <v>9423</v>
      </c>
    </row>
    <row r="857" spans="2:7" x14ac:dyDescent="0.25">
      <c r="E857" t="s">
        <v>9477</v>
      </c>
      <c r="F857" t="s">
        <v>9478</v>
      </c>
      <c r="G857" t="s">
        <v>9350</v>
      </c>
    </row>
    <row r="858" spans="2:7" x14ac:dyDescent="0.25">
      <c r="E858" t="s">
        <v>9479</v>
      </c>
      <c r="F858" t="s">
        <v>9430</v>
      </c>
      <c r="G858" t="s">
        <v>9431</v>
      </c>
    </row>
    <row r="859" spans="2:7" x14ac:dyDescent="0.25">
      <c r="B859">
        <v>40</v>
      </c>
      <c r="C859" t="s">
        <v>9480</v>
      </c>
      <c r="D859" t="s">
        <v>9481</v>
      </c>
    </row>
    <row r="860" spans="2:7" x14ac:dyDescent="0.25">
      <c r="E860" t="s">
        <v>9314</v>
      </c>
      <c r="F860" t="s">
        <v>9315</v>
      </c>
      <c r="G860" t="s">
        <v>9316</v>
      </c>
    </row>
    <row r="861" spans="2:7" x14ac:dyDescent="0.25">
      <c r="E861" t="s">
        <v>9317</v>
      </c>
      <c r="F861" t="s">
        <v>9318</v>
      </c>
      <c r="G861" t="s">
        <v>9319</v>
      </c>
    </row>
    <row r="862" spans="2:7" x14ac:dyDescent="0.25">
      <c r="E862" t="s">
        <v>9320</v>
      </c>
      <c r="F862" t="s">
        <v>9321</v>
      </c>
      <c r="G862" t="s">
        <v>9322</v>
      </c>
    </row>
    <row r="863" spans="2:7" x14ac:dyDescent="0.25">
      <c r="E863" t="s">
        <v>9323</v>
      </c>
      <c r="F863" t="s">
        <v>9324</v>
      </c>
      <c r="G863" t="s">
        <v>9325</v>
      </c>
    </row>
    <row r="864" spans="2:7" x14ac:dyDescent="0.25">
      <c r="E864" t="s">
        <v>9326</v>
      </c>
      <c r="F864" t="s">
        <v>9327</v>
      </c>
      <c r="G864" t="s">
        <v>9328</v>
      </c>
    </row>
    <row r="865" spans="2:7" x14ac:dyDescent="0.25">
      <c r="E865" t="s">
        <v>9329</v>
      </c>
      <c r="F865" t="s">
        <v>9330</v>
      </c>
      <c r="G865" t="s">
        <v>9331</v>
      </c>
    </row>
    <row r="866" spans="2:7" x14ac:dyDescent="0.25">
      <c r="B866">
        <v>54</v>
      </c>
      <c r="C866" t="s">
        <v>9541</v>
      </c>
      <c r="D866" t="s">
        <v>9542</v>
      </c>
    </row>
    <row r="867" spans="2:7" x14ac:dyDescent="0.25">
      <c r="E867" t="s">
        <v>9409</v>
      </c>
      <c r="F867" t="s">
        <v>818</v>
      </c>
      <c r="G867" t="s">
        <v>9353</v>
      </c>
    </row>
    <row r="868" spans="2:7" x14ac:dyDescent="0.25">
      <c r="E868" t="s">
        <v>9410</v>
      </c>
      <c r="F868" t="s">
        <v>9363</v>
      </c>
      <c r="G868" t="s">
        <v>9364</v>
      </c>
    </row>
    <row r="869" spans="2:7" x14ac:dyDescent="0.25">
      <c r="E869" t="s">
        <v>9411</v>
      </c>
      <c r="F869" t="s">
        <v>1154</v>
      </c>
      <c r="G869" t="s">
        <v>9325</v>
      </c>
    </row>
    <row r="870" spans="2:7" x14ac:dyDescent="0.25">
      <c r="E870" t="s">
        <v>9412</v>
      </c>
      <c r="F870" t="s">
        <v>569</v>
      </c>
      <c r="G870" t="s">
        <v>9336</v>
      </c>
    </row>
    <row r="871" spans="2:7" x14ac:dyDescent="0.25">
      <c r="E871" t="s">
        <v>9413</v>
      </c>
      <c r="F871" t="s">
        <v>9366</v>
      </c>
      <c r="G871" t="s">
        <v>9331</v>
      </c>
    </row>
    <row r="872" spans="2:7" x14ac:dyDescent="0.25">
      <c r="E872" t="s">
        <v>9414</v>
      </c>
      <c r="F872" t="s">
        <v>1299</v>
      </c>
      <c r="G872" t="s">
        <v>9355</v>
      </c>
    </row>
    <row r="873" spans="2:7" x14ac:dyDescent="0.25">
      <c r="E873" t="s">
        <v>9415</v>
      </c>
      <c r="F873" t="s">
        <v>1312</v>
      </c>
      <c r="G873" t="s">
        <v>9350</v>
      </c>
    </row>
    <row r="874" spans="2:7" x14ac:dyDescent="0.25">
      <c r="E874" t="s">
        <v>9416</v>
      </c>
      <c r="F874" t="s">
        <v>1552</v>
      </c>
      <c r="G874" t="s">
        <v>9396</v>
      </c>
    </row>
    <row r="875" spans="2:7" x14ac:dyDescent="0.25">
      <c r="B875">
        <v>37</v>
      </c>
      <c r="C875" t="s">
        <v>9508</v>
      </c>
      <c r="D875" t="s">
        <v>9509</v>
      </c>
    </row>
    <row r="876" spans="2:7" x14ac:dyDescent="0.25">
      <c r="E876" t="s">
        <v>9314</v>
      </c>
      <c r="F876" t="s">
        <v>9315</v>
      </c>
      <c r="G876" t="s">
        <v>9316</v>
      </c>
    </row>
    <row r="877" spans="2:7" x14ac:dyDescent="0.25">
      <c r="E877" t="s">
        <v>9317</v>
      </c>
      <c r="F877" t="s">
        <v>9318</v>
      </c>
      <c r="G877" t="s">
        <v>9319</v>
      </c>
    </row>
    <row r="878" spans="2:7" x14ac:dyDescent="0.25">
      <c r="E878" t="s">
        <v>9320</v>
      </c>
      <c r="F878" t="s">
        <v>9321</v>
      </c>
      <c r="G878" t="s">
        <v>9322</v>
      </c>
    </row>
    <row r="879" spans="2:7" x14ac:dyDescent="0.25">
      <c r="E879" t="s">
        <v>9323</v>
      </c>
      <c r="F879" t="s">
        <v>9324</v>
      </c>
      <c r="G879" t="s">
        <v>9325</v>
      </c>
    </row>
    <row r="880" spans="2:7" x14ac:dyDescent="0.25">
      <c r="E880" t="s">
        <v>9326</v>
      </c>
      <c r="F880" t="s">
        <v>9327</v>
      </c>
      <c r="G880" t="s">
        <v>9328</v>
      </c>
    </row>
    <row r="881" spans="2:7" x14ac:dyDescent="0.25">
      <c r="E881" t="s">
        <v>9329</v>
      </c>
      <c r="F881" t="s">
        <v>9330</v>
      </c>
      <c r="G881" t="s">
        <v>9331</v>
      </c>
    </row>
    <row r="882" spans="2:7" x14ac:dyDescent="0.25">
      <c r="B882">
        <v>5</v>
      </c>
      <c r="C882" t="s">
        <v>9565</v>
      </c>
      <c r="D882" t="s">
        <v>9566</v>
      </c>
    </row>
    <row r="883" spans="2:7" x14ac:dyDescent="0.25">
      <c r="E883" t="s">
        <v>9567</v>
      </c>
      <c r="F883" t="s">
        <v>9366</v>
      </c>
      <c r="G883" t="s">
        <v>9331</v>
      </c>
    </row>
    <row r="884" spans="2:7" x14ac:dyDescent="0.25">
      <c r="E884" t="s">
        <v>9568</v>
      </c>
      <c r="F884" t="s">
        <v>9341</v>
      </c>
      <c r="G884" t="s">
        <v>9325</v>
      </c>
    </row>
    <row r="885" spans="2:7" x14ac:dyDescent="0.25">
      <c r="E885" t="s">
        <v>9425</v>
      </c>
      <c r="F885" t="s">
        <v>9426</v>
      </c>
      <c r="G885" t="s">
        <v>9322</v>
      </c>
    </row>
    <row r="886" spans="2:7" x14ac:dyDescent="0.25">
      <c r="E886" t="s">
        <v>9569</v>
      </c>
      <c r="F886" t="s">
        <v>680</v>
      </c>
      <c r="G886" t="s">
        <v>9361</v>
      </c>
    </row>
    <row r="887" spans="2:7" x14ac:dyDescent="0.25">
      <c r="E887" t="s">
        <v>9570</v>
      </c>
      <c r="F887" t="s">
        <v>9430</v>
      </c>
      <c r="G887" t="s">
        <v>9431</v>
      </c>
    </row>
    <row r="888" spans="2:7" x14ac:dyDescent="0.25">
      <c r="E888" t="s">
        <v>9571</v>
      </c>
      <c r="F888" t="s">
        <v>9422</v>
      </c>
      <c r="G888" t="s">
        <v>9423</v>
      </c>
    </row>
    <row r="889" spans="2:7" x14ac:dyDescent="0.25">
      <c r="E889" t="s">
        <v>9432</v>
      </c>
      <c r="F889" t="s">
        <v>9433</v>
      </c>
      <c r="G889" t="s">
        <v>9355</v>
      </c>
    </row>
    <row r="890" spans="2:7" x14ac:dyDescent="0.25">
      <c r="E890" t="s">
        <v>9572</v>
      </c>
      <c r="F890" t="s">
        <v>9345</v>
      </c>
      <c r="G890" t="s">
        <v>9319</v>
      </c>
    </row>
    <row r="891" spans="2:7" x14ac:dyDescent="0.25">
      <c r="B891">
        <v>1</v>
      </c>
      <c r="C891" t="s">
        <v>9514</v>
      </c>
      <c r="D891" t="s">
        <v>9515</v>
      </c>
    </row>
    <row r="892" spans="2:7" x14ac:dyDescent="0.25">
      <c r="E892" t="s">
        <v>9516</v>
      </c>
      <c r="F892" t="s">
        <v>9324</v>
      </c>
      <c r="G892" t="s">
        <v>9325</v>
      </c>
    </row>
    <row r="893" spans="2:7" x14ac:dyDescent="0.25">
      <c r="E893" t="s">
        <v>9517</v>
      </c>
      <c r="F893" t="s">
        <v>9518</v>
      </c>
      <c r="G893" t="s">
        <v>9336</v>
      </c>
    </row>
    <row r="894" spans="2:7" x14ac:dyDescent="0.25">
      <c r="B894">
        <v>21</v>
      </c>
      <c r="C894" t="s">
        <v>9519</v>
      </c>
      <c r="D894" t="s">
        <v>9520</v>
      </c>
    </row>
    <row r="895" spans="2:7" x14ac:dyDescent="0.25">
      <c r="E895" t="s">
        <v>9334</v>
      </c>
      <c r="F895" t="s">
        <v>9335</v>
      </c>
      <c r="G895" t="s">
        <v>9336</v>
      </c>
    </row>
    <row r="896" spans="2:7" x14ac:dyDescent="0.25">
      <c r="E896" t="s">
        <v>9337</v>
      </c>
      <c r="F896" t="s">
        <v>9324</v>
      </c>
      <c r="G896" t="s">
        <v>9325</v>
      </c>
    </row>
    <row r="897" spans="2:7" x14ac:dyDescent="0.25">
      <c r="B897">
        <v>53</v>
      </c>
      <c r="C897" t="s">
        <v>9521</v>
      </c>
      <c r="D897" t="s">
        <v>9522</v>
      </c>
    </row>
    <row r="898" spans="2:7" x14ac:dyDescent="0.25">
      <c r="E898" t="s">
        <v>9409</v>
      </c>
      <c r="F898" t="s">
        <v>818</v>
      </c>
      <c r="G898" t="s">
        <v>9353</v>
      </c>
    </row>
    <row r="899" spans="2:7" x14ac:dyDescent="0.25">
      <c r="E899" t="s">
        <v>9410</v>
      </c>
      <c r="F899" t="s">
        <v>9363</v>
      </c>
      <c r="G899" t="s">
        <v>9364</v>
      </c>
    </row>
    <row r="900" spans="2:7" x14ac:dyDescent="0.25">
      <c r="E900" t="s">
        <v>9411</v>
      </c>
      <c r="F900" t="s">
        <v>1154</v>
      </c>
      <c r="G900" t="s">
        <v>9325</v>
      </c>
    </row>
    <row r="901" spans="2:7" x14ac:dyDescent="0.25">
      <c r="E901" t="s">
        <v>9412</v>
      </c>
      <c r="F901" t="s">
        <v>569</v>
      </c>
      <c r="G901" t="s">
        <v>9336</v>
      </c>
    </row>
    <row r="902" spans="2:7" x14ac:dyDescent="0.25">
      <c r="E902" t="s">
        <v>9413</v>
      </c>
      <c r="F902" t="s">
        <v>9366</v>
      </c>
      <c r="G902" t="s">
        <v>9331</v>
      </c>
    </row>
    <row r="903" spans="2:7" x14ac:dyDescent="0.25">
      <c r="E903" t="s">
        <v>9414</v>
      </c>
      <c r="F903" t="s">
        <v>1299</v>
      </c>
      <c r="G903" t="s">
        <v>9355</v>
      </c>
    </row>
    <row r="904" spans="2:7" x14ac:dyDescent="0.25">
      <c r="E904" t="s">
        <v>9415</v>
      </c>
      <c r="F904" t="s">
        <v>1312</v>
      </c>
      <c r="G904" t="s">
        <v>9350</v>
      </c>
    </row>
    <row r="905" spans="2:7" x14ac:dyDescent="0.25">
      <c r="E905" t="s">
        <v>9416</v>
      </c>
      <c r="F905" t="s">
        <v>1552</v>
      </c>
      <c r="G905" t="s">
        <v>9396</v>
      </c>
    </row>
    <row r="906" spans="2:7" x14ac:dyDescent="0.25">
      <c r="B906">
        <v>10</v>
      </c>
      <c r="C906" t="s">
        <v>9523</v>
      </c>
      <c r="D906" t="s">
        <v>9524</v>
      </c>
    </row>
    <row r="907" spans="2:7" x14ac:dyDescent="0.25">
      <c r="E907" t="s">
        <v>9525</v>
      </c>
      <c r="F907" t="s">
        <v>9345</v>
      </c>
      <c r="G907" t="s">
        <v>9319</v>
      </c>
    </row>
    <row r="908" spans="2:7" x14ac:dyDescent="0.25">
      <c r="E908" t="s">
        <v>9425</v>
      </c>
      <c r="F908" t="s">
        <v>9426</v>
      </c>
      <c r="G908" t="s">
        <v>9322</v>
      </c>
    </row>
    <row r="909" spans="2:7" x14ac:dyDescent="0.25">
      <c r="E909" t="s">
        <v>9526</v>
      </c>
      <c r="F909" t="s">
        <v>9366</v>
      </c>
      <c r="G909" t="s">
        <v>9331</v>
      </c>
    </row>
    <row r="910" spans="2:7" x14ac:dyDescent="0.25">
      <c r="E910" t="s">
        <v>9527</v>
      </c>
      <c r="F910" t="s">
        <v>680</v>
      </c>
      <c r="G910" t="s">
        <v>9361</v>
      </c>
    </row>
    <row r="911" spans="2:7" x14ac:dyDescent="0.25">
      <c r="E911" t="s">
        <v>9528</v>
      </c>
      <c r="F911" t="s">
        <v>9341</v>
      </c>
      <c r="G911" t="s">
        <v>9325</v>
      </c>
    </row>
    <row r="912" spans="2:7" x14ac:dyDescent="0.25">
      <c r="E912" t="s">
        <v>9432</v>
      </c>
      <c r="F912" t="s">
        <v>9433</v>
      </c>
      <c r="G912" t="s">
        <v>9355</v>
      </c>
    </row>
    <row r="913" spans="2:7" x14ac:dyDescent="0.25">
      <c r="E913" t="s">
        <v>9529</v>
      </c>
      <c r="F913" t="s">
        <v>9430</v>
      </c>
      <c r="G913" t="s">
        <v>9431</v>
      </c>
    </row>
    <row r="914" spans="2:7" x14ac:dyDescent="0.25">
      <c r="E914" t="s">
        <v>9530</v>
      </c>
      <c r="F914" t="s">
        <v>9422</v>
      </c>
      <c r="G914" t="s">
        <v>9423</v>
      </c>
    </row>
    <row r="915" spans="2:7" x14ac:dyDescent="0.25">
      <c r="B915">
        <v>35</v>
      </c>
      <c r="C915" t="s">
        <v>9531</v>
      </c>
      <c r="D915" t="s">
        <v>9532</v>
      </c>
    </row>
    <row r="916" spans="2:7" x14ac:dyDescent="0.25">
      <c r="E916" t="s">
        <v>9314</v>
      </c>
      <c r="F916" t="s">
        <v>9315</v>
      </c>
      <c r="G916" t="s">
        <v>9316</v>
      </c>
    </row>
    <row r="917" spans="2:7" x14ac:dyDescent="0.25">
      <c r="E917" t="s">
        <v>9317</v>
      </c>
      <c r="F917" t="s">
        <v>9318</v>
      </c>
      <c r="G917" t="s">
        <v>9319</v>
      </c>
    </row>
    <row r="918" spans="2:7" x14ac:dyDescent="0.25">
      <c r="E918" t="s">
        <v>9320</v>
      </c>
      <c r="F918" t="s">
        <v>9321</v>
      </c>
      <c r="G918" t="s">
        <v>9322</v>
      </c>
    </row>
    <row r="919" spans="2:7" x14ac:dyDescent="0.25">
      <c r="E919" t="s">
        <v>9323</v>
      </c>
      <c r="F919" t="s">
        <v>9324</v>
      </c>
      <c r="G919" t="s">
        <v>9325</v>
      </c>
    </row>
    <row r="920" spans="2:7" x14ac:dyDescent="0.25">
      <c r="E920" t="s">
        <v>9326</v>
      </c>
      <c r="F920" t="s">
        <v>9327</v>
      </c>
      <c r="G920" t="s">
        <v>9328</v>
      </c>
    </row>
    <row r="921" spans="2:7" x14ac:dyDescent="0.25">
      <c r="E921" t="s">
        <v>9329</v>
      </c>
      <c r="F921" t="s">
        <v>9330</v>
      </c>
      <c r="G921" t="s">
        <v>9331</v>
      </c>
    </row>
    <row r="922" spans="2:7" x14ac:dyDescent="0.25">
      <c r="B922">
        <v>44</v>
      </c>
      <c r="C922" t="s">
        <v>9533</v>
      </c>
      <c r="D922" t="s">
        <v>9534</v>
      </c>
    </row>
    <row r="923" spans="2:7" x14ac:dyDescent="0.25">
      <c r="E923" t="s">
        <v>9314</v>
      </c>
      <c r="F923" t="s">
        <v>9315</v>
      </c>
      <c r="G923" t="s">
        <v>9316</v>
      </c>
    </row>
    <row r="924" spans="2:7" x14ac:dyDescent="0.25">
      <c r="E924" t="s">
        <v>9317</v>
      </c>
      <c r="F924" t="s">
        <v>9318</v>
      </c>
      <c r="G924" t="s">
        <v>9319</v>
      </c>
    </row>
    <row r="925" spans="2:7" x14ac:dyDescent="0.25">
      <c r="E925" t="s">
        <v>9320</v>
      </c>
      <c r="F925" t="s">
        <v>9321</v>
      </c>
      <c r="G925" t="s">
        <v>9322</v>
      </c>
    </row>
    <row r="926" spans="2:7" x14ac:dyDescent="0.25">
      <c r="E926" t="s">
        <v>9323</v>
      </c>
      <c r="F926" t="s">
        <v>9324</v>
      </c>
      <c r="G926" t="s">
        <v>9325</v>
      </c>
    </row>
    <row r="927" spans="2:7" x14ac:dyDescent="0.25">
      <c r="E927" t="s">
        <v>9326</v>
      </c>
      <c r="F927" t="s">
        <v>9327</v>
      </c>
      <c r="G927" t="s">
        <v>9328</v>
      </c>
    </row>
    <row r="928" spans="2:7" x14ac:dyDescent="0.25">
      <c r="E928" t="s">
        <v>9329</v>
      </c>
      <c r="F928" t="s">
        <v>9330</v>
      </c>
      <c r="G928" t="s">
        <v>9331</v>
      </c>
    </row>
    <row r="929" spans="2:7" x14ac:dyDescent="0.25">
      <c r="B929">
        <v>70</v>
      </c>
      <c r="C929" t="s">
        <v>9373</v>
      </c>
      <c r="D929" t="s">
        <v>9374</v>
      </c>
    </row>
    <row r="930" spans="2:7" x14ac:dyDescent="0.25">
      <c r="E930" t="s">
        <v>9375</v>
      </c>
      <c r="F930" t="s">
        <v>9341</v>
      </c>
      <c r="G930" t="s">
        <v>9325</v>
      </c>
    </row>
    <row r="931" spans="2:7" x14ac:dyDescent="0.25">
      <c r="E931" t="s">
        <v>9376</v>
      </c>
      <c r="F931" t="s">
        <v>9345</v>
      </c>
      <c r="G931" t="s">
        <v>9319</v>
      </c>
    </row>
    <row r="932" spans="2:7" x14ac:dyDescent="0.25">
      <c r="E932" t="s">
        <v>9377</v>
      </c>
      <c r="F932" t="s">
        <v>9343</v>
      </c>
      <c r="G932" t="s">
        <v>9331</v>
      </c>
    </row>
    <row r="933" spans="2:7" x14ac:dyDescent="0.25">
      <c r="B933">
        <v>82</v>
      </c>
      <c r="C933" t="s">
        <v>9537</v>
      </c>
      <c r="D933" t="s">
        <v>9538</v>
      </c>
    </row>
    <row r="934" spans="2:7" x14ac:dyDescent="0.25">
      <c r="E934" t="s">
        <v>9484</v>
      </c>
      <c r="F934" t="s">
        <v>9359</v>
      </c>
      <c r="G934" t="s">
        <v>9336</v>
      </c>
    </row>
    <row r="935" spans="2:7" x14ac:dyDescent="0.25">
      <c r="E935" t="s">
        <v>9485</v>
      </c>
      <c r="F935" t="s">
        <v>1322</v>
      </c>
      <c r="G935" t="s">
        <v>9331</v>
      </c>
    </row>
    <row r="936" spans="2:7" x14ac:dyDescent="0.25">
      <c r="E936" t="s">
        <v>9486</v>
      </c>
      <c r="F936" t="s">
        <v>1558</v>
      </c>
      <c r="G936" t="s">
        <v>9396</v>
      </c>
    </row>
    <row r="937" spans="2:7" x14ac:dyDescent="0.25">
      <c r="E937" t="s">
        <v>9487</v>
      </c>
      <c r="F937" t="s">
        <v>9488</v>
      </c>
      <c r="G937" t="s">
        <v>9364</v>
      </c>
    </row>
    <row r="938" spans="2:7" x14ac:dyDescent="0.25">
      <c r="E938" t="s">
        <v>9489</v>
      </c>
      <c r="F938" t="s">
        <v>9490</v>
      </c>
      <c r="G938" t="s">
        <v>9350</v>
      </c>
    </row>
    <row r="939" spans="2:7" x14ac:dyDescent="0.25">
      <c r="E939" t="s">
        <v>9491</v>
      </c>
      <c r="F939" t="s">
        <v>899</v>
      </c>
      <c r="G939" t="s">
        <v>9325</v>
      </c>
    </row>
    <row r="940" spans="2:7" x14ac:dyDescent="0.25">
      <c r="E940" t="s">
        <v>9492</v>
      </c>
      <c r="F940" t="s">
        <v>866</v>
      </c>
      <c r="G940" t="s">
        <v>9355</v>
      </c>
    </row>
    <row r="941" spans="2:7" x14ac:dyDescent="0.25">
      <c r="B941">
        <v>93</v>
      </c>
      <c r="C941" t="s">
        <v>9539</v>
      </c>
      <c r="D941" t="s">
        <v>9540</v>
      </c>
    </row>
    <row r="942" spans="2:7" x14ac:dyDescent="0.25">
      <c r="E942" t="s">
        <v>9484</v>
      </c>
      <c r="F942" t="s">
        <v>9359</v>
      </c>
      <c r="G942" t="s">
        <v>9336</v>
      </c>
    </row>
    <row r="943" spans="2:7" x14ac:dyDescent="0.25">
      <c r="E943" t="s">
        <v>9485</v>
      </c>
      <c r="F943" t="s">
        <v>1322</v>
      </c>
      <c r="G943" t="s">
        <v>9331</v>
      </c>
    </row>
    <row r="944" spans="2:7" x14ac:dyDescent="0.25">
      <c r="E944" t="s">
        <v>9486</v>
      </c>
      <c r="F944" t="s">
        <v>1558</v>
      </c>
      <c r="G944" t="s">
        <v>9396</v>
      </c>
    </row>
    <row r="945" spans="2:7" x14ac:dyDescent="0.25">
      <c r="E945" t="s">
        <v>9487</v>
      </c>
      <c r="F945" t="s">
        <v>9488</v>
      </c>
      <c r="G945" t="s">
        <v>9364</v>
      </c>
    </row>
    <row r="946" spans="2:7" x14ac:dyDescent="0.25">
      <c r="E946" t="s">
        <v>9489</v>
      </c>
      <c r="F946" t="s">
        <v>9490</v>
      </c>
      <c r="G946" t="s">
        <v>9350</v>
      </c>
    </row>
    <row r="947" spans="2:7" x14ac:dyDescent="0.25">
      <c r="E947" t="s">
        <v>9491</v>
      </c>
      <c r="F947" t="s">
        <v>899</v>
      </c>
      <c r="G947" t="s">
        <v>9325</v>
      </c>
    </row>
    <row r="948" spans="2:7" x14ac:dyDescent="0.25">
      <c r="E948" t="s">
        <v>9492</v>
      </c>
      <c r="F948" t="s">
        <v>866</v>
      </c>
      <c r="G948" t="s">
        <v>9355</v>
      </c>
    </row>
    <row r="949" spans="2:7" x14ac:dyDescent="0.25">
      <c r="B949">
        <v>2</v>
      </c>
      <c r="C949" t="s">
        <v>9500</v>
      </c>
      <c r="D949" t="s">
        <v>9501</v>
      </c>
    </row>
    <row r="950" spans="2:7" x14ac:dyDescent="0.25">
      <c r="E950" t="s">
        <v>9502</v>
      </c>
      <c r="F950" t="s">
        <v>9341</v>
      </c>
      <c r="G950" t="s">
        <v>9325</v>
      </c>
    </row>
    <row r="951" spans="2:7" x14ac:dyDescent="0.25">
      <c r="E951" t="s">
        <v>9503</v>
      </c>
      <c r="F951" t="s">
        <v>9345</v>
      </c>
      <c r="G951" t="s">
        <v>9319</v>
      </c>
    </row>
    <row r="952" spans="2:7" x14ac:dyDescent="0.25">
      <c r="E952" t="s">
        <v>9425</v>
      </c>
      <c r="F952" t="s">
        <v>9426</v>
      </c>
      <c r="G952" t="s">
        <v>9322</v>
      </c>
    </row>
    <row r="953" spans="2:7" x14ac:dyDescent="0.25">
      <c r="E953" t="s">
        <v>9504</v>
      </c>
      <c r="F953" t="s">
        <v>9430</v>
      </c>
      <c r="G953" t="s">
        <v>9431</v>
      </c>
    </row>
    <row r="954" spans="2:7" x14ac:dyDescent="0.25">
      <c r="E954" t="s">
        <v>9505</v>
      </c>
      <c r="F954" t="s">
        <v>9366</v>
      </c>
      <c r="G954" t="s">
        <v>9331</v>
      </c>
    </row>
    <row r="955" spans="2:7" x14ac:dyDescent="0.25">
      <c r="E955" t="s">
        <v>9432</v>
      </c>
      <c r="F955" t="s">
        <v>9433</v>
      </c>
      <c r="G955" t="s">
        <v>9355</v>
      </c>
    </row>
    <row r="956" spans="2:7" x14ac:dyDescent="0.25">
      <c r="E956" t="s">
        <v>9506</v>
      </c>
      <c r="F956" t="s">
        <v>9422</v>
      </c>
      <c r="G956" t="s">
        <v>9423</v>
      </c>
    </row>
    <row r="957" spans="2:7" x14ac:dyDescent="0.25">
      <c r="E957" t="s">
        <v>9507</v>
      </c>
      <c r="F957" t="s">
        <v>680</v>
      </c>
      <c r="G957" t="s">
        <v>9361</v>
      </c>
    </row>
    <row r="958" spans="2:7" x14ac:dyDescent="0.25">
      <c r="B958">
        <v>30</v>
      </c>
      <c r="C958" t="s">
        <v>9543</v>
      </c>
      <c r="D958" t="s">
        <v>9544</v>
      </c>
    </row>
    <row r="959" spans="2:7" x14ac:dyDescent="0.25">
      <c r="E959" t="s">
        <v>9314</v>
      </c>
      <c r="F959" t="s">
        <v>9315</v>
      </c>
      <c r="G959" t="s">
        <v>9316</v>
      </c>
    </row>
    <row r="960" spans="2:7" x14ac:dyDescent="0.25">
      <c r="E960" t="s">
        <v>9317</v>
      </c>
      <c r="F960" t="s">
        <v>9318</v>
      </c>
      <c r="G960" t="s">
        <v>9319</v>
      </c>
    </row>
    <row r="961" spans="2:7" x14ac:dyDescent="0.25">
      <c r="E961" t="s">
        <v>9320</v>
      </c>
      <c r="F961" t="s">
        <v>9321</v>
      </c>
      <c r="G961" t="s">
        <v>9322</v>
      </c>
    </row>
    <row r="962" spans="2:7" x14ac:dyDescent="0.25">
      <c r="E962" t="s">
        <v>9323</v>
      </c>
      <c r="F962" t="s">
        <v>9324</v>
      </c>
      <c r="G962" t="s">
        <v>9325</v>
      </c>
    </row>
    <row r="963" spans="2:7" x14ac:dyDescent="0.25">
      <c r="E963" t="s">
        <v>9326</v>
      </c>
      <c r="F963" t="s">
        <v>9327</v>
      </c>
      <c r="G963" t="s">
        <v>9328</v>
      </c>
    </row>
    <row r="964" spans="2:7" x14ac:dyDescent="0.25">
      <c r="E964" t="s">
        <v>9329</v>
      </c>
      <c r="F964" t="s">
        <v>9330</v>
      </c>
      <c r="G964" t="s">
        <v>9331</v>
      </c>
    </row>
    <row r="965" spans="2:7" x14ac:dyDescent="0.25">
      <c r="B965">
        <v>22</v>
      </c>
      <c r="C965" t="s">
        <v>9547</v>
      </c>
      <c r="D965" t="s">
        <v>9548</v>
      </c>
    </row>
    <row r="966" spans="2:7" x14ac:dyDescent="0.25">
      <c r="E966" t="s">
        <v>9334</v>
      </c>
      <c r="F966" t="s">
        <v>9335</v>
      </c>
      <c r="G966" t="s">
        <v>9336</v>
      </c>
    </row>
    <row r="967" spans="2:7" x14ac:dyDescent="0.25">
      <c r="E967" t="s">
        <v>9337</v>
      </c>
      <c r="F967" t="s">
        <v>9324</v>
      </c>
      <c r="G967" t="s">
        <v>9325</v>
      </c>
    </row>
    <row r="968" spans="2:7" x14ac:dyDescent="0.25">
      <c r="B968">
        <v>55</v>
      </c>
      <c r="C968" t="s">
        <v>9551</v>
      </c>
      <c r="D968" t="s">
        <v>9552</v>
      </c>
    </row>
    <row r="969" spans="2:7" x14ac:dyDescent="0.25">
      <c r="E969" t="s">
        <v>9409</v>
      </c>
      <c r="F969" t="s">
        <v>818</v>
      </c>
      <c r="G969" t="s">
        <v>9353</v>
      </c>
    </row>
    <row r="970" spans="2:7" x14ac:dyDescent="0.25">
      <c r="E970" t="s">
        <v>9410</v>
      </c>
      <c r="F970" t="s">
        <v>9363</v>
      </c>
      <c r="G970" t="s">
        <v>9364</v>
      </c>
    </row>
    <row r="971" spans="2:7" x14ac:dyDescent="0.25">
      <c r="E971" t="s">
        <v>9411</v>
      </c>
      <c r="F971" t="s">
        <v>1154</v>
      </c>
      <c r="G971" t="s">
        <v>9325</v>
      </c>
    </row>
    <row r="972" spans="2:7" x14ac:dyDescent="0.25">
      <c r="E972" t="s">
        <v>9412</v>
      </c>
      <c r="F972" t="s">
        <v>569</v>
      </c>
      <c r="G972" t="s">
        <v>9336</v>
      </c>
    </row>
    <row r="973" spans="2:7" x14ac:dyDescent="0.25">
      <c r="E973" t="s">
        <v>9413</v>
      </c>
      <c r="F973" t="s">
        <v>9366</v>
      </c>
      <c r="G973" t="s">
        <v>9331</v>
      </c>
    </row>
    <row r="974" spans="2:7" x14ac:dyDescent="0.25">
      <c r="E974" t="s">
        <v>9414</v>
      </c>
      <c r="F974" t="s">
        <v>1299</v>
      </c>
      <c r="G974" t="s">
        <v>9355</v>
      </c>
    </row>
    <row r="975" spans="2:7" x14ac:dyDescent="0.25">
      <c r="E975" t="s">
        <v>9415</v>
      </c>
      <c r="F975" t="s">
        <v>1312</v>
      </c>
      <c r="G975" t="s">
        <v>9350</v>
      </c>
    </row>
    <row r="976" spans="2:7" x14ac:dyDescent="0.25">
      <c r="E976" t="s">
        <v>9416</v>
      </c>
      <c r="F976" t="s">
        <v>1552</v>
      </c>
      <c r="G976" t="s">
        <v>9396</v>
      </c>
    </row>
    <row r="977" spans="2:7" x14ac:dyDescent="0.25">
      <c r="B977">
        <v>90</v>
      </c>
      <c r="C977" t="s">
        <v>9553</v>
      </c>
      <c r="D977" t="s">
        <v>9554</v>
      </c>
    </row>
    <row r="978" spans="2:7" x14ac:dyDescent="0.25">
      <c r="E978" t="s">
        <v>9348</v>
      </c>
      <c r="F978" t="s">
        <v>9349</v>
      </c>
      <c r="G978" t="s">
        <v>9350</v>
      </c>
    </row>
    <row r="979" spans="2:7" x14ac:dyDescent="0.25">
      <c r="E979" t="s">
        <v>9351</v>
      </c>
      <c r="F979" t="s">
        <v>9352</v>
      </c>
      <c r="G979" t="s">
        <v>9353</v>
      </c>
    </row>
    <row r="980" spans="2:7" x14ac:dyDescent="0.25">
      <c r="E980" t="s">
        <v>9354</v>
      </c>
      <c r="F980" t="s">
        <v>866</v>
      </c>
      <c r="G980" t="s">
        <v>9355</v>
      </c>
    </row>
    <row r="981" spans="2:7" x14ac:dyDescent="0.25">
      <c r="E981" t="s">
        <v>9356</v>
      </c>
      <c r="F981" t="s">
        <v>9357</v>
      </c>
      <c r="G981" t="s">
        <v>9325</v>
      </c>
    </row>
    <row r="982" spans="2:7" x14ac:dyDescent="0.25">
      <c r="E982" t="s">
        <v>9358</v>
      </c>
      <c r="F982" t="s">
        <v>9359</v>
      </c>
      <c r="G982" t="s">
        <v>9336</v>
      </c>
    </row>
    <row r="983" spans="2:7" x14ac:dyDescent="0.25">
      <c r="E983" t="s">
        <v>9360</v>
      </c>
      <c r="F983" t="s">
        <v>680</v>
      </c>
      <c r="G983" t="s">
        <v>9361</v>
      </c>
    </row>
    <row r="984" spans="2:7" x14ac:dyDescent="0.25">
      <c r="E984" t="s">
        <v>9362</v>
      </c>
      <c r="F984" t="s">
        <v>9363</v>
      </c>
      <c r="G984" t="s">
        <v>9364</v>
      </c>
    </row>
    <row r="985" spans="2:7" x14ac:dyDescent="0.25">
      <c r="E985" t="s">
        <v>9365</v>
      </c>
      <c r="F985" t="s">
        <v>9366</v>
      </c>
      <c r="G985" t="s">
        <v>9331</v>
      </c>
    </row>
    <row r="986" spans="2:7" x14ac:dyDescent="0.25">
      <c r="E986" t="s">
        <v>9367</v>
      </c>
      <c r="F986" t="s">
        <v>9368</v>
      </c>
      <c r="G986" t="s">
        <v>9369</v>
      </c>
    </row>
    <row r="987" spans="2:7" x14ac:dyDescent="0.25">
      <c r="E987" t="s">
        <v>9370</v>
      </c>
      <c r="F987" t="s">
        <v>9371</v>
      </c>
      <c r="G987" t="s">
        <v>9372</v>
      </c>
    </row>
    <row r="988" spans="2:7" x14ac:dyDescent="0.25">
      <c r="B988">
        <v>43</v>
      </c>
      <c r="C988" t="s">
        <v>9555</v>
      </c>
      <c r="D988" t="s">
        <v>9556</v>
      </c>
    </row>
    <row r="989" spans="2:7" x14ac:dyDescent="0.25">
      <c r="E989" t="s">
        <v>9314</v>
      </c>
      <c r="F989" t="s">
        <v>9315</v>
      </c>
      <c r="G989" t="s">
        <v>9316</v>
      </c>
    </row>
    <row r="990" spans="2:7" x14ac:dyDescent="0.25">
      <c r="E990" t="s">
        <v>9317</v>
      </c>
      <c r="F990" t="s">
        <v>9318</v>
      </c>
      <c r="G990" t="s">
        <v>9319</v>
      </c>
    </row>
    <row r="991" spans="2:7" x14ac:dyDescent="0.25">
      <c r="E991" t="s">
        <v>9320</v>
      </c>
      <c r="F991" t="s">
        <v>9321</v>
      </c>
      <c r="G991" t="s">
        <v>9322</v>
      </c>
    </row>
    <row r="992" spans="2:7" x14ac:dyDescent="0.25">
      <c r="E992" t="s">
        <v>9323</v>
      </c>
      <c r="F992" t="s">
        <v>9324</v>
      </c>
      <c r="G992" t="s">
        <v>9325</v>
      </c>
    </row>
    <row r="993" spans="2:7" x14ac:dyDescent="0.25">
      <c r="E993" t="s">
        <v>9326</v>
      </c>
      <c r="F993" t="s">
        <v>9327</v>
      </c>
      <c r="G993" t="s">
        <v>9328</v>
      </c>
    </row>
    <row r="994" spans="2:7" x14ac:dyDescent="0.25">
      <c r="E994" t="s">
        <v>9329</v>
      </c>
      <c r="F994" t="s">
        <v>9330</v>
      </c>
      <c r="G994" t="s">
        <v>9331</v>
      </c>
    </row>
    <row r="995" spans="2:7" x14ac:dyDescent="0.25">
      <c r="B995">
        <v>71</v>
      </c>
      <c r="C995" t="s">
        <v>9557</v>
      </c>
      <c r="D995" t="s">
        <v>9558</v>
      </c>
    </row>
    <row r="996" spans="2:7" x14ac:dyDescent="0.25">
      <c r="E996" t="s">
        <v>9375</v>
      </c>
      <c r="F996" t="s">
        <v>9341</v>
      </c>
      <c r="G996" t="s">
        <v>9325</v>
      </c>
    </row>
    <row r="997" spans="2:7" x14ac:dyDescent="0.25">
      <c r="E997" t="s">
        <v>9376</v>
      </c>
      <c r="F997" t="s">
        <v>9345</v>
      </c>
      <c r="G997" t="s">
        <v>9319</v>
      </c>
    </row>
    <row r="998" spans="2:7" x14ac:dyDescent="0.25">
      <c r="E998" t="s">
        <v>9377</v>
      </c>
      <c r="F998" t="s">
        <v>9343</v>
      </c>
      <c r="G998" t="s">
        <v>9331</v>
      </c>
    </row>
    <row r="999" spans="2:7" x14ac:dyDescent="0.25">
      <c r="B999">
        <v>52</v>
      </c>
      <c r="C999" t="s">
        <v>9559</v>
      </c>
      <c r="D999" t="s">
        <v>9560</v>
      </c>
    </row>
    <row r="1000" spans="2:7" x14ac:dyDescent="0.25">
      <c r="E1000" t="s">
        <v>9409</v>
      </c>
      <c r="F1000" t="s">
        <v>818</v>
      </c>
      <c r="G1000" t="s">
        <v>9353</v>
      </c>
    </row>
    <row r="1001" spans="2:7" x14ac:dyDescent="0.25">
      <c r="E1001" t="s">
        <v>9410</v>
      </c>
      <c r="F1001" t="s">
        <v>9363</v>
      </c>
      <c r="G1001" t="s">
        <v>9364</v>
      </c>
    </row>
    <row r="1002" spans="2:7" x14ac:dyDescent="0.25">
      <c r="E1002" t="s">
        <v>9411</v>
      </c>
      <c r="F1002" t="s">
        <v>1154</v>
      </c>
      <c r="G1002" t="s">
        <v>9325</v>
      </c>
    </row>
    <row r="1003" spans="2:7" x14ac:dyDescent="0.25">
      <c r="E1003" t="s">
        <v>9412</v>
      </c>
      <c r="F1003" t="s">
        <v>569</v>
      </c>
      <c r="G1003" t="s">
        <v>9336</v>
      </c>
    </row>
    <row r="1004" spans="2:7" x14ac:dyDescent="0.25">
      <c r="E1004" t="s">
        <v>9413</v>
      </c>
      <c r="F1004" t="s">
        <v>9366</v>
      </c>
      <c r="G1004" t="s">
        <v>9331</v>
      </c>
    </row>
    <row r="1005" spans="2:7" x14ac:dyDescent="0.25">
      <c r="E1005" t="s">
        <v>9414</v>
      </c>
      <c r="F1005" t="s">
        <v>1299</v>
      </c>
      <c r="G1005" t="s">
        <v>9355</v>
      </c>
    </row>
    <row r="1006" spans="2:7" x14ac:dyDescent="0.25">
      <c r="E1006" t="s">
        <v>9415</v>
      </c>
      <c r="F1006" t="s">
        <v>1312</v>
      </c>
      <c r="G1006" t="s">
        <v>9350</v>
      </c>
    </row>
    <row r="1007" spans="2:7" x14ac:dyDescent="0.25">
      <c r="E1007" t="s">
        <v>9416</v>
      </c>
      <c r="F1007" t="s">
        <v>1552</v>
      </c>
      <c r="G1007" t="s">
        <v>9396</v>
      </c>
    </row>
    <row r="1008" spans="2:7" x14ac:dyDescent="0.25">
      <c r="B1008">
        <v>38</v>
      </c>
      <c r="C1008" t="s">
        <v>9561</v>
      </c>
      <c r="D1008" t="s">
        <v>9562</v>
      </c>
    </row>
    <row r="1009" spans="2:7" x14ac:dyDescent="0.25">
      <c r="E1009" t="s">
        <v>9314</v>
      </c>
      <c r="F1009" t="s">
        <v>9315</v>
      </c>
      <c r="G1009" t="s">
        <v>9316</v>
      </c>
    </row>
    <row r="1010" spans="2:7" x14ac:dyDescent="0.25">
      <c r="E1010" t="s">
        <v>9317</v>
      </c>
      <c r="F1010" t="s">
        <v>9318</v>
      </c>
      <c r="G1010" t="s">
        <v>9319</v>
      </c>
    </row>
    <row r="1011" spans="2:7" x14ac:dyDescent="0.25">
      <c r="E1011" t="s">
        <v>9320</v>
      </c>
      <c r="F1011" t="s">
        <v>9321</v>
      </c>
      <c r="G1011" t="s">
        <v>9322</v>
      </c>
    </row>
    <row r="1012" spans="2:7" x14ac:dyDescent="0.25">
      <c r="E1012" t="s">
        <v>9323</v>
      </c>
      <c r="F1012" t="s">
        <v>9324</v>
      </c>
      <c r="G1012" t="s">
        <v>9325</v>
      </c>
    </row>
    <row r="1013" spans="2:7" x14ac:dyDescent="0.25">
      <c r="E1013" t="s">
        <v>9326</v>
      </c>
      <c r="F1013" t="s">
        <v>9327</v>
      </c>
      <c r="G1013" t="s">
        <v>9328</v>
      </c>
    </row>
    <row r="1014" spans="2:7" x14ac:dyDescent="0.25">
      <c r="E1014" t="s">
        <v>9329</v>
      </c>
      <c r="F1014" t="s">
        <v>9330</v>
      </c>
      <c r="G1014" t="s">
        <v>9331</v>
      </c>
    </row>
    <row r="1015" spans="2:7" x14ac:dyDescent="0.25">
      <c r="B1015">
        <v>26</v>
      </c>
      <c r="C1015" t="s">
        <v>9563</v>
      </c>
      <c r="D1015" t="s">
        <v>9564</v>
      </c>
    </row>
    <row r="1016" spans="2:7" x14ac:dyDescent="0.25">
      <c r="E1016" t="s">
        <v>9314</v>
      </c>
      <c r="F1016" t="s">
        <v>9315</v>
      </c>
      <c r="G1016" t="s">
        <v>9316</v>
      </c>
    </row>
    <row r="1017" spans="2:7" x14ac:dyDescent="0.25">
      <c r="E1017" t="s">
        <v>9317</v>
      </c>
      <c r="F1017" t="s">
        <v>9318</v>
      </c>
      <c r="G1017" t="s">
        <v>9319</v>
      </c>
    </row>
    <row r="1018" spans="2:7" x14ac:dyDescent="0.25">
      <c r="E1018" t="s">
        <v>9320</v>
      </c>
      <c r="F1018" t="s">
        <v>9321</v>
      </c>
      <c r="G1018" t="s">
        <v>9322</v>
      </c>
    </row>
    <row r="1019" spans="2:7" x14ac:dyDescent="0.25">
      <c r="E1019" t="s">
        <v>9323</v>
      </c>
      <c r="F1019" t="s">
        <v>9324</v>
      </c>
      <c r="G1019" t="s">
        <v>9325</v>
      </c>
    </row>
    <row r="1020" spans="2:7" x14ac:dyDescent="0.25">
      <c r="E1020" t="s">
        <v>9326</v>
      </c>
      <c r="F1020" t="s">
        <v>9327</v>
      </c>
      <c r="G1020" t="s">
        <v>9328</v>
      </c>
    </row>
    <row r="1021" spans="2:7" x14ac:dyDescent="0.25">
      <c r="E1021" t="s">
        <v>9329</v>
      </c>
      <c r="F1021" t="s">
        <v>9330</v>
      </c>
      <c r="G1021" t="s">
        <v>9331</v>
      </c>
    </row>
    <row r="1022" spans="2:7" x14ac:dyDescent="0.25">
      <c r="B1022">
        <v>25</v>
      </c>
      <c r="C1022" t="s">
        <v>9740</v>
      </c>
      <c r="D1022" t="s">
        <v>9741</v>
      </c>
    </row>
    <row r="1023" spans="2:7" x14ac:dyDescent="0.25">
      <c r="E1023" t="s">
        <v>9314</v>
      </c>
      <c r="F1023" t="s">
        <v>9315</v>
      </c>
      <c r="G1023" t="s">
        <v>9316</v>
      </c>
    </row>
    <row r="1024" spans="2:7" x14ac:dyDescent="0.25">
      <c r="E1024" t="s">
        <v>9317</v>
      </c>
      <c r="F1024" t="s">
        <v>9318</v>
      </c>
      <c r="G1024" t="s">
        <v>9319</v>
      </c>
    </row>
    <row r="1025" spans="2:7" x14ac:dyDescent="0.25">
      <c r="E1025" t="s">
        <v>9320</v>
      </c>
      <c r="F1025" t="s">
        <v>9321</v>
      </c>
      <c r="G1025" t="s">
        <v>9322</v>
      </c>
    </row>
    <row r="1026" spans="2:7" x14ac:dyDescent="0.25">
      <c r="E1026" t="s">
        <v>9323</v>
      </c>
      <c r="F1026" t="s">
        <v>9324</v>
      </c>
      <c r="G1026" t="s">
        <v>9325</v>
      </c>
    </row>
    <row r="1027" spans="2:7" x14ac:dyDescent="0.25">
      <c r="E1027" t="s">
        <v>9326</v>
      </c>
      <c r="F1027" t="s">
        <v>9327</v>
      </c>
      <c r="G1027" t="s">
        <v>9328</v>
      </c>
    </row>
    <row r="1028" spans="2:7" x14ac:dyDescent="0.25">
      <c r="E1028" t="s">
        <v>9329</v>
      </c>
      <c r="F1028" t="s">
        <v>9330</v>
      </c>
      <c r="G1028" t="s">
        <v>9331</v>
      </c>
    </row>
    <row r="1029" spans="2:7" x14ac:dyDescent="0.25">
      <c r="B1029">
        <v>67</v>
      </c>
      <c r="C1029" t="s">
        <v>9669</v>
      </c>
      <c r="D1029" t="s">
        <v>9670</v>
      </c>
    </row>
    <row r="1030" spans="2:7" x14ac:dyDescent="0.25">
      <c r="E1030" t="s">
        <v>9375</v>
      </c>
      <c r="F1030" t="s">
        <v>9341</v>
      </c>
      <c r="G1030" t="s">
        <v>9325</v>
      </c>
    </row>
    <row r="1031" spans="2:7" x14ac:dyDescent="0.25">
      <c r="E1031" t="s">
        <v>9376</v>
      </c>
      <c r="F1031" t="s">
        <v>9345</v>
      </c>
      <c r="G1031" t="s">
        <v>9319</v>
      </c>
    </row>
    <row r="1032" spans="2:7" x14ac:dyDescent="0.25">
      <c r="E1032" t="s">
        <v>9377</v>
      </c>
      <c r="F1032" t="s">
        <v>9343</v>
      </c>
      <c r="G1032" t="s">
        <v>9331</v>
      </c>
    </row>
    <row r="1033" spans="2:7" x14ac:dyDescent="0.25">
      <c r="B1033">
        <v>94</v>
      </c>
      <c r="C1033" t="s">
        <v>9575</v>
      </c>
      <c r="D1033" t="s">
        <v>9576</v>
      </c>
    </row>
    <row r="1034" spans="2:7" x14ac:dyDescent="0.25">
      <c r="E1034" t="s">
        <v>9577</v>
      </c>
      <c r="F1034" t="s">
        <v>9363</v>
      </c>
      <c r="G1034" t="s">
        <v>9364</v>
      </c>
    </row>
    <row r="1035" spans="2:7" x14ac:dyDescent="0.25">
      <c r="E1035" t="s">
        <v>9578</v>
      </c>
      <c r="F1035" t="s">
        <v>1064</v>
      </c>
      <c r="G1035" t="s">
        <v>9325</v>
      </c>
    </row>
    <row r="1036" spans="2:7" x14ac:dyDescent="0.25">
      <c r="E1036" t="s">
        <v>9579</v>
      </c>
      <c r="F1036" t="s">
        <v>622</v>
      </c>
      <c r="G1036" t="s">
        <v>9381</v>
      </c>
    </row>
    <row r="1037" spans="2:7" x14ac:dyDescent="0.25">
      <c r="E1037" t="s">
        <v>9580</v>
      </c>
      <c r="F1037" t="s">
        <v>9581</v>
      </c>
      <c r="G1037" t="s">
        <v>9372</v>
      </c>
    </row>
    <row r="1038" spans="2:7" x14ac:dyDescent="0.25">
      <c r="E1038" t="s">
        <v>9582</v>
      </c>
      <c r="F1038" t="s">
        <v>9469</v>
      </c>
      <c r="G1038" t="s">
        <v>9470</v>
      </c>
    </row>
    <row r="1039" spans="2:7" x14ac:dyDescent="0.25">
      <c r="E1039" t="s">
        <v>9583</v>
      </c>
      <c r="F1039" t="s">
        <v>818</v>
      </c>
      <c r="G1039" t="s">
        <v>9353</v>
      </c>
    </row>
    <row r="1040" spans="2:7" x14ac:dyDescent="0.25">
      <c r="E1040" t="s">
        <v>9584</v>
      </c>
      <c r="F1040" t="s">
        <v>546</v>
      </c>
      <c r="G1040" t="s">
        <v>9585</v>
      </c>
    </row>
    <row r="1041" spans="2:7" x14ac:dyDescent="0.25">
      <c r="E1041" t="s">
        <v>9586</v>
      </c>
      <c r="F1041" t="s">
        <v>9459</v>
      </c>
      <c r="G1041" t="s">
        <v>9460</v>
      </c>
    </row>
    <row r="1042" spans="2:7" x14ac:dyDescent="0.25">
      <c r="E1042" t="s">
        <v>9587</v>
      </c>
      <c r="F1042" t="s">
        <v>9588</v>
      </c>
      <c r="G1042" t="s">
        <v>9399</v>
      </c>
    </row>
    <row r="1043" spans="2:7" x14ac:dyDescent="0.25">
      <c r="B1043">
        <v>7</v>
      </c>
      <c r="C1043" t="s">
        <v>9589</v>
      </c>
      <c r="D1043" t="s">
        <v>9590</v>
      </c>
    </row>
    <row r="1044" spans="2:7" x14ac:dyDescent="0.25">
      <c r="E1044" t="s">
        <v>9591</v>
      </c>
      <c r="F1044" t="s">
        <v>9345</v>
      </c>
      <c r="G1044" t="s">
        <v>9319</v>
      </c>
    </row>
    <row r="1045" spans="2:7" x14ac:dyDescent="0.25">
      <c r="E1045" t="s">
        <v>9592</v>
      </c>
      <c r="F1045" t="s">
        <v>9341</v>
      </c>
      <c r="G1045" t="s">
        <v>9325</v>
      </c>
    </row>
    <row r="1046" spans="2:7" x14ac:dyDescent="0.25">
      <c r="E1046" t="s">
        <v>9425</v>
      </c>
      <c r="F1046" t="s">
        <v>9426</v>
      </c>
      <c r="G1046" t="s">
        <v>9322</v>
      </c>
    </row>
    <row r="1047" spans="2:7" x14ac:dyDescent="0.25">
      <c r="E1047" t="s">
        <v>9593</v>
      </c>
      <c r="F1047" t="s">
        <v>9366</v>
      </c>
      <c r="G1047" t="s">
        <v>9331</v>
      </c>
    </row>
    <row r="1048" spans="2:7" x14ac:dyDescent="0.25">
      <c r="E1048" t="s">
        <v>9594</v>
      </c>
      <c r="F1048" t="s">
        <v>9422</v>
      </c>
      <c r="G1048" t="s">
        <v>9423</v>
      </c>
    </row>
    <row r="1049" spans="2:7" x14ac:dyDescent="0.25">
      <c r="E1049" t="s">
        <v>9432</v>
      </c>
      <c r="F1049" t="s">
        <v>9433</v>
      </c>
      <c r="G1049" t="s">
        <v>9355</v>
      </c>
    </row>
    <row r="1050" spans="2:7" x14ac:dyDescent="0.25">
      <c r="E1050" t="s">
        <v>9595</v>
      </c>
      <c r="F1050" t="s">
        <v>680</v>
      </c>
      <c r="G1050" t="s">
        <v>9361</v>
      </c>
    </row>
    <row r="1051" spans="2:7" x14ac:dyDescent="0.25">
      <c r="E1051" t="s">
        <v>9596</v>
      </c>
      <c r="F1051" t="s">
        <v>9430</v>
      </c>
      <c r="G1051" t="s">
        <v>9431</v>
      </c>
    </row>
    <row r="1052" spans="2:7" x14ac:dyDescent="0.25">
      <c r="B1052">
        <v>86</v>
      </c>
      <c r="C1052" t="s">
        <v>9510</v>
      </c>
      <c r="D1052" t="s">
        <v>9511</v>
      </c>
    </row>
    <row r="1053" spans="2:7" x14ac:dyDescent="0.25">
      <c r="E1053" t="s">
        <v>9348</v>
      </c>
      <c r="F1053" t="s">
        <v>9349</v>
      </c>
      <c r="G1053" t="s">
        <v>9350</v>
      </c>
    </row>
    <row r="1054" spans="2:7" x14ac:dyDescent="0.25">
      <c r="E1054" t="s">
        <v>9351</v>
      </c>
      <c r="F1054" t="s">
        <v>9352</v>
      </c>
      <c r="G1054" t="s">
        <v>9353</v>
      </c>
    </row>
    <row r="1055" spans="2:7" x14ac:dyDescent="0.25">
      <c r="E1055" t="s">
        <v>9354</v>
      </c>
      <c r="F1055" t="s">
        <v>866</v>
      </c>
      <c r="G1055" t="s">
        <v>9355</v>
      </c>
    </row>
    <row r="1056" spans="2:7" x14ac:dyDescent="0.25">
      <c r="E1056" t="s">
        <v>9356</v>
      </c>
      <c r="F1056" t="s">
        <v>9357</v>
      </c>
      <c r="G1056" t="s">
        <v>9325</v>
      </c>
    </row>
    <row r="1057" spans="2:7" x14ac:dyDescent="0.25">
      <c r="E1057" t="s">
        <v>9358</v>
      </c>
      <c r="F1057" t="s">
        <v>9359</v>
      </c>
      <c r="G1057" t="s">
        <v>9336</v>
      </c>
    </row>
    <row r="1058" spans="2:7" x14ac:dyDescent="0.25">
      <c r="E1058" t="s">
        <v>9360</v>
      </c>
      <c r="F1058" t="s">
        <v>680</v>
      </c>
      <c r="G1058" t="s">
        <v>9361</v>
      </c>
    </row>
    <row r="1059" spans="2:7" x14ac:dyDescent="0.25">
      <c r="E1059" t="s">
        <v>9362</v>
      </c>
      <c r="F1059" t="s">
        <v>9363</v>
      </c>
      <c r="G1059" t="s">
        <v>9364</v>
      </c>
    </row>
    <row r="1060" spans="2:7" x14ac:dyDescent="0.25">
      <c r="E1060" t="s">
        <v>9365</v>
      </c>
      <c r="F1060" t="s">
        <v>9366</v>
      </c>
      <c r="G1060" t="s">
        <v>9331</v>
      </c>
    </row>
    <row r="1061" spans="2:7" x14ac:dyDescent="0.25">
      <c r="E1061" t="s">
        <v>9367</v>
      </c>
      <c r="F1061" t="s">
        <v>9368</v>
      </c>
      <c r="G1061" t="s">
        <v>9369</v>
      </c>
    </row>
    <row r="1062" spans="2:7" x14ac:dyDescent="0.25">
      <c r="E1062" t="s">
        <v>9370</v>
      </c>
      <c r="F1062" t="s">
        <v>9371</v>
      </c>
      <c r="G1062" t="s">
        <v>9372</v>
      </c>
    </row>
    <row r="1063" spans="2:7" x14ac:dyDescent="0.25">
      <c r="B1063">
        <v>62</v>
      </c>
      <c r="C1063" t="s">
        <v>9779</v>
      </c>
      <c r="D1063" t="s">
        <v>9780</v>
      </c>
    </row>
    <row r="1064" spans="2:7" x14ac:dyDescent="0.25">
      <c r="E1064" t="s">
        <v>9516</v>
      </c>
      <c r="F1064" t="s">
        <v>9324</v>
      </c>
      <c r="G1064" t="s">
        <v>9325</v>
      </c>
    </row>
    <row r="1065" spans="2:7" x14ac:dyDescent="0.25">
      <c r="E1065" t="s">
        <v>9517</v>
      </c>
      <c r="F1065" t="s">
        <v>9518</v>
      </c>
      <c r="G1065" t="s">
        <v>9336</v>
      </c>
    </row>
    <row r="1066" spans="2:7" x14ac:dyDescent="0.25">
      <c r="B1066">
        <v>3</v>
      </c>
      <c r="C1066" t="s">
        <v>9600</v>
      </c>
      <c r="D1066" t="s">
        <v>9601</v>
      </c>
    </row>
    <row r="1067" spans="2:7" x14ac:dyDescent="0.25">
      <c r="E1067" t="s">
        <v>9602</v>
      </c>
      <c r="F1067" t="s">
        <v>9341</v>
      </c>
      <c r="G1067" t="s">
        <v>9325</v>
      </c>
    </row>
    <row r="1068" spans="2:7" x14ac:dyDescent="0.25">
      <c r="E1068" t="s">
        <v>9603</v>
      </c>
      <c r="F1068" t="s">
        <v>680</v>
      </c>
      <c r="G1068" t="s">
        <v>9361</v>
      </c>
    </row>
    <row r="1069" spans="2:7" x14ac:dyDescent="0.25">
      <c r="E1069" t="s">
        <v>9425</v>
      </c>
      <c r="F1069" t="s">
        <v>9426</v>
      </c>
      <c r="G1069" t="s">
        <v>9322</v>
      </c>
    </row>
    <row r="1070" spans="2:7" x14ac:dyDescent="0.25">
      <c r="E1070" t="s">
        <v>9604</v>
      </c>
      <c r="F1070" t="s">
        <v>9366</v>
      </c>
      <c r="G1070" t="s">
        <v>9331</v>
      </c>
    </row>
    <row r="1071" spans="2:7" x14ac:dyDescent="0.25">
      <c r="E1071" t="s">
        <v>9605</v>
      </c>
      <c r="F1071" t="s">
        <v>9430</v>
      </c>
      <c r="G1071" t="s">
        <v>9431</v>
      </c>
    </row>
    <row r="1072" spans="2:7" x14ac:dyDescent="0.25">
      <c r="E1072" t="s">
        <v>9432</v>
      </c>
      <c r="F1072" t="s">
        <v>9433</v>
      </c>
      <c r="G1072" t="s">
        <v>9355</v>
      </c>
    </row>
    <row r="1073" spans="2:7" x14ac:dyDescent="0.25">
      <c r="E1073" t="s">
        <v>9606</v>
      </c>
      <c r="F1073" t="s">
        <v>9345</v>
      </c>
      <c r="G1073" t="s">
        <v>9319</v>
      </c>
    </row>
    <row r="1074" spans="2:7" x14ac:dyDescent="0.25">
      <c r="E1074" t="s">
        <v>9607</v>
      </c>
      <c r="F1074" t="s">
        <v>9422</v>
      </c>
      <c r="G1074" t="s">
        <v>9423</v>
      </c>
    </row>
    <row r="1075" spans="2:7" x14ac:dyDescent="0.25">
      <c r="B1075">
        <v>19</v>
      </c>
      <c r="C1075" t="s">
        <v>9610</v>
      </c>
      <c r="D1075" t="s">
        <v>9611</v>
      </c>
    </row>
    <row r="1076" spans="2:7" x14ac:dyDescent="0.25">
      <c r="E1076" t="s">
        <v>9334</v>
      </c>
      <c r="F1076" t="s">
        <v>9335</v>
      </c>
      <c r="G1076" t="s">
        <v>9336</v>
      </c>
    </row>
    <row r="1077" spans="2:7" x14ac:dyDescent="0.25">
      <c r="E1077" t="s">
        <v>9337</v>
      </c>
      <c r="F1077" t="s">
        <v>9324</v>
      </c>
      <c r="G1077" t="s">
        <v>9325</v>
      </c>
    </row>
    <row r="1078" spans="2:7" x14ac:dyDescent="0.25">
      <c r="B1078">
        <v>41</v>
      </c>
      <c r="C1078" t="s">
        <v>9612</v>
      </c>
      <c r="D1078" t="s">
        <v>9613</v>
      </c>
    </row>
    <row r="1079" spans="2:7" x14ac:dyDescent="0.25">
      <c r="E1079" t="s">
        <v>9314</v>
      </c>
      <c r="F1079" t="s">
        <v>9315</v>
      </c>
      <c r="G1079" t="s">
        <v>9316</v>
      </c>
    </row>
    <row r="1080" spans="2:7" x14ac:dyDescent="0.25">
      <c r="E1080" t="s">
        <v>9317</v>
      </c>
      <c r="F1080" t="s">
        <v>9318</v>
      </c>
      <c r="G1080" t="s">
        <v>9319</v>
      </c>
    </row>
    <row r="1081" spans="2:7" x14ac:dyDescent="0.25">
      <c r="E1081" t="s">
        <v>9320</v>
      </c>
      <c r="F1081" t="s">
        <v>9321</v>
      </c>
      <c r="G1081" t="s">
        <v>9322</v>
      </c>
    </row>
    <row r="1082" spans="2:7" x14ac:dyDescent="0.25">
      <c r="E1082" t="s">
        <v>9323</v>
      </c>
      <c r="F1082" t="s">
        <v>9324</v>
      </c>
      <c r="G1082" t="s">
        <v>9325</v>
      </c>
    </row>
    <row r="1083" spans="2:7" x14ac:dyDescent="0.25">
      <c r="E1083" t="s">
        <v>9326</v>
      </c>
      <c r="F1083" t="s">
        <v>9327</v>
      </c>
      <c r="G1083" t="s">
        <v>9328</v>
      </c>
    </row>
    <row r="1084" spans="2:7" x14ac:dyDescent="0.25">
      <c r="E1084" t="s">
        <v>9329</v>
      </c>
      <c r="F1084" t="s">
        <v>9330</v>
      </c>
      <c r="G1084" t="s">
        <v>9331</v>
      </c>
    </row>
    <row r="1085" spans="2:7" x14ac:dyDescent="0.25">
      <c r="B1085">
        <v>57</v>
      </c>
      <c r="C1085" t="s">
        <v>9781</v>
      </c>
      <c r="D1085" t="s">
        <v>9782</v>
      </c>
    </row>
    <row r="1086" spans="2:7" x14ac:dyDescent="0.25">
      <c r="E1086" t="s">
        <v>9516</v>
      </c>
      <c r="F1086" t="s">
        <v>9324</v>
      </c>
      <c r="G1086" t="s">
        <v>9325</v>
      </c>
    </row>
    <row r="1087" spans="2:7" x14ac:dyDescent="0.25">
      <c r="E1087" t="s">
        <v>9517</v>
      </c>
      <c r="F1087" t="s">
        <v>9518</v>
      </c>
      <c r="G1087" t="s">
        <v>9336</v>
      </c>
    </row>
    <row r="1088" spans="2:7" x14ac:dyDescent="0.25">
      <c r="B1088">
        <v>20</v>
      </c>
      <c r="C1088" t="s">
        <v>9616</v>
      </c>
      <c r="D1088" t="s">
        <v>9617</v>
      </c>
    </row>
    <row r="1089" spans="2:7" x14ac:dyDescent="0.25">
      <c r="E1089" t="s">
        <v>9334</v>
      </c>
      <c r="F1089" t="s">
        <v>9335</v>
      </c>
      <c r="G1089" t="s">
        <v>9336</v>
      </c>
    </row>
    <row r="1090" spans="2:7" x14ac:dyDescent="0.25">
      <c r="E1090" t="s">
        <v>9337</v>
      </c>
      <c r="F1090" t="s">
        <v>9324</v>
      </c>
      <c r="G1090" t="s">
        <v>9325</v>
      </c>
    </row>
    <row r="1091" spans="2:7" x14ac:dyDescent="0.25">
      <c r="B1091">
        <v>51</v>
      </c>
      <c r="C1091" t="s">
        <v>9618</v>
      </c>
      <c r="D1091" t="s">
        <v>9619</v>
      </c>
    </row>
    <row r="1092" spans="2:7" x14ac:dyDescent="0.25">
      <c r="E1092" t="s">
        <v>9409</v>
      </c>
      <c r="F1092" t="s">
        <v>818</v>
      </c>
      <c r="G1092" t="s">
        <v>9353</v>
      </c>
    </row>
    <row r="1093" spans="2:7" x14ac:dyDescent="0.25">
      <c r="E1093" t="s">
        <v>9410</v>
      </c>
      <c r="F1093" t="s">
        <v>9363</v>
      </c>
      <c r="G1093" t="s">
        <v>9364</v>
      </c>
    </row>
    <row r="1094" spans="2:7" x14ac:dyDescent="0.25">
      <c r="E1094" t="s">
        <v>9411</v>
      </c>
      <c r="F1094" t="s">
        <v>1154</v>
      </c>
      <c r="G1094" t="s">
        <v>9325</v>
      </c>
    </row>
    <row r="1095" spans="2:7" x14ac:dyDescent="0.25">
      <c r="E1095" t="s">
        <v>9412</v>
      </c>
      <c r="F1095" t="s">
        <v>569</v>
      </c>
      <c r="G1095" t="s">
        <v>9336</v>
      </c>
    </row>
    <row r="1096" spans="2:7" x14ac:dyDescent="0.25">
      <c r="E1096" t="s">
        <v>9413</v>
      </c>
      <c r="F1096" t="s">
        <v>9366</v>
      </c>
      <c r="G1096" t="s">
        <v>9331</v>
      </c>
    </row>
    <row r="1097" spans="2:7" x14ac:dyDescent="0.25">
      <c r="E1097" t="s">
        <v>9414</v>
      </c>
      <c r="F1097" t="s">
        <v>1299</v>
      </c>
      <c r="G1097" t="s">
        <v>9355</v>
      </c>
    </row>
    <row r="1098" spans="2:7" x14ac:dyDescent="0.25">
      <c r="E1098" t="s">
        <v>9415</v>
      </c>
      <c r="F1098" t="s">
        <v>1312</v>
      </c>
      <c r="G1098" t="s">
        <v>9350</v>
      </c>
    </row>
    <row r="1099" spans="2:7" x14ac:dyDescent="0.25">
      <c r="E1099" t="s">
        <v>9416</v>
      </c>
      <c r="F1099" t="s">
        <v>1552</v>
      </c>
      <c r="G1099" t="s">
        <v>9396</v>
      </c>
    </row>
    <row r="1100" spans="2:7" x14ac:dyDescent="0.25">
      <c r="B1100">
        <v>80</v>
      </c>
      <c r="C1100" t="s">
        <v>9620</v>
      </c>
      <c r="D1100" t="s">
        <v>9621</v>
      </c>
    </row>
    <row r="1101" spans="2:7" x14ac:dyDescent="0.25">
      <c r="E1101" t="s">
        <v>9348</v>
      </c>
      <c r="F1101" t="s">
        <v>9349</v>
      </c>
      <c r="G1101" t="s">
        <v>9350</v>
      </c>
    </row>
    <row r="1102" spans="2:7" x14ac:dyDescent="0.25">
      <c r="E1102" t="s">
        <v>9351</v>
      </c>
      <c r="F1102" t="s">
        <v>9352</v>
      </c>
      <c r="G1102" t="s">
        <v>9353</v>
      </c>
    </row>
    <row r="1103" spans="2:7" x14ac:dyDescent="0.25">
      <c r="E1103" t="s">
        <v>9354</v>
      </c>
      <c r="F1103" t="s">
        <v>866</v>
      </c>
      <c r="G1103" t="s">
        <v>9355</v>
      </c>
    </row>
    <row r="1104" spans="2:7" x14ac:dyDescent="0.25">
      <c r="E1104" t="s">
        <v>9356</v>
      </c>
      <c r="F1104" t="s">
        <v>9357</v>
      </c>
      <c r="G1104" t="s">
        <v>9325</v>
      </c>
    </row>
    <row r="1105" spans="2:7" x14ac:dyDescent="0.25">
      <c r="E1105" t="s">
        <v>9358</v>
      </c>
      <c r="F1105" t="s">
        <v>9359</v>
      </c>
      <c r="G1105" t="s">
        <v>9336</v>
      </c>
    </row>
    <row r="1106" spans="2:7" x14ac:dyDescent="0.25">
      <c r="E1106" t="s">
        <v>9360</v>
      </c>
      <c r="F1106" t="s">
        <v>680</v>
      </c>
      <c r="G1106" t="s">
        <v>9361</v>
      </c>
    </row>
    <row r="1107" spans="2:7" x14ac:dyDescent="0.25">
      <c r="E1107" t="s">
        <v>9362</v>
      </c>
      <c r="F1107" t="s">
        <v>9363</v>
      </c>
      <c r="G1107" t="s">
        <v>9364</v>
      </c>
    </row>
    <row r="1108" spans="2:7" x14ac:dyDescent="0.25">
      <c r="E1108" t="s">
        <v>9365</v>
      </c>
      <c r="F1108" t="s">
        <v>9366</v>
      </c>
      <c r="G1108" t="s">
        <v>9331</v>
      </c>
    </row>
    <row r="1109" spans="2:7" x14ac:dyDescent="0.25">
      <c r="E1109" t="s">
        <v>9367</v>
      </c>
      <c r="F1109" t="s">
        <v>9368</v>
      </c>
      <c r="G1109" t="s">
        <v>9369</v>
      </c>
    </row>
    <row r="1110" spans="2:7" x14ac:dyDescent="0.25">
      <c r="E1110" t="s">
        <v>9370</v>
      </c>
      <c r="F1110" t="s">
        <v>9371</v>
      </c>
      <c r="G1110" t="s">
        <v>9372</v>
      </c>
    </row>
    <row r="1111" spans="2:7" x14ac:dyDescent="0.25">
      <c r="B1111">
        <v>48</v>
      </c>
      <c r="C1111" t="s">
        <v>9624</v>
      </c>
      <c r="D1111" t="s">
        <v>9625</v>
      </c>
    </row>
    <row r="1112" spans="2:7" x14ac:dyDescent="0.25">
      <c r="E1112" t="s">
        <v>9409</v>
      </c>
      <c r="F1112" t="s">
        <v>818</v>
      </c>
      <c r="G1112" t="s">
        <v>9353</v>
      </c>
    </row>
    <row r="1113" spans="2:7" x14ac:dyDescent="0.25">
      <c r="E1113" t="s">
        <v>9410</v>
      </c>
      <c r="F1113" t="s">
        <v>9363</v>
      </c>
      <c r="G1113" t="s">
        <v>9364</v>
      </c>
    </row>
    <row r="1114" spans="2:7" x14ac:dyDescent="0.25">
      <c r="E1114" t="s">
        <v>9411</v>
      </c>
      <c r="F1114" t="s">
        <v>1154</v>
      </c>
      <c r="G1114" t="s">
        <v>9325</v>
      </c>
    </row>
    <row r="1115" spans="2:7" x14ac:dyDescent="0.25">
      <c r="E1115" t="s">
        <v>9412</v>
      </c>
      <c r="F1115" t="s">
        <v>569</v>
      </c>
      <c r="G1115" t="s">
        <v>9336</v>
      </c>
    </row>
    <row r="1116" spans="2:7" x14ac:dyDescent="0.25">
      <c r="E1116" t="s">
        <v>9413</v>
      </c>
      <c r="F1116" t="s">
        <v>9366</v>
      </c>
      <c r="G1116" t="s">
        <v>9331</v>
      </c>
    </row>
    <row r="1117" spans="2:7" x14ac:dyDescent="0.25">
      <c r="E1117" t="s">
        <v>9414</v>
      </c>
      <c r="F1117" t="s">
        <v>1299</v>
      </c>
      <c r="G1117" t="s">
        <v>9355</v>
      </c>
    </row>
    <row r="1118" spans="2:7" x14ac:dyDescent="0.25">
      <c r="E1118" t="s">
        <v>9415</v>
      </c>
      <c r="F1118" t="s">
        <v>1312</v>
      </c>
      <c r="G1118" t="s">
        <v>9350</v>
      </c>
    </row>
    <row r="1119" spans="2:7" x14ac:dyDescent="0.25">
      <c r="E1119" t="s">
        <v>9416</v>
      </c>
      <c r="F1119" t="s">
        <v>1552</v>
      </c>
      <c r="G1119" t="s">
        <v>9396</v>
      </c>
    </row>
    <row r="1120" spans="2:7" x14ac:dyDescent="0.25">
      <c r="B1120">
        <v>74</v>
      </c>
      <c r="C1120" t="s">
        <v>9752</v>
      </c>
      <c r="D1120" t="s">
        <v>9753</v>
      </c>
    </row>
    <row r="1121" spans="2:7" x14ac:dyDescent="0.25">
      <c r="E1121" t="s">
        <v>9340</v>
      </c>
      <c r="F1121" t="s">
        <v>9341</v>
      </c>
      <c r="G1121" t="s">
        <v>9325</v>
      </c>
    </row>
    <row r="1122" spans="2:7" x14ac:dyDescent="0.25">
      <c r="E1122" t="s">
        <v>9342</v>
      </c>
      <c r="F1122" t="s">
        <v>9343</v>
      </c>
      <c r="G1122" t="s">
        <v>9331</v>
      </c>
    </row>
    <row r="1123" spans="2:7" x14ac:dyDescent="0.25">
      <c r="E1123" t="s">
        <v>9344</v>
      </c>
      <c r="F1123" t="s">
        <v>9345</v>
      </c>
      <c r="G1123" t="s">
        <v>9319</v>
      </c>
    </row>
    <row r="1124" spans="2:7" x14ac:dyDescent="0.25">
      <c r="B1124">
        <v>27</v>
      </c>
      <c r="C1124" t="s">
        <v>9312</v>
      </c>
      <c r="D1124" t="s">
        <v>9313</v>
      </c>
    </row>
    <row r="1125" spans="2:7" x14ac:dyDescent="0.25">
      <c r="E1125" t="s">
        <v>9314</v>
      </c>
      <c r="F1125" t="s">
        <v>9315</v>
      </c>
      <c r="G1125" t="s">
        <v>9316</v>
      </c>
    </row>
    <row r="1126" spans="2:7" x14ac:dyDescent="0.25">
      <c r="E1126" t="s">
        <v>9317</v>
      </c>
      <c r="F1126" t="s">
        <v>9318</v>
      </c>
      <c r="G1126" t="s">
        <v>9319</v>
      </c>
    </row>
    <row r="1127" spans="2:7" x14ac:dyDescent="0.25">
      <c r="E1127" t="s">
        <v>9320</v>
      </c>
      <c r="F1127" t="s">
        <v>9321</v>
      </c>
      <c r="G1127" t="s">
        <v>9322</v>
      </c>
    </row>
    <row r="1128" spans="2:7" x14ac:dyDescent="0.25">
      <c r="E1128" t="s">
        <v>9323</v>
      </c>
      <c r="F1128" t="s">
        <v>9324</v>
      </c>
      <c r="G1128" t="s">
        <v>9325</v>
      </c>
    </row>
    <row r="1129" spans="2:7" x14ac:dyDescent="0.25">
      <c r="E1129" t="s">
        <v>9326</v>
      </c>
      <c r="F1129" t="s">
        <v>9327</v>
      </c>
      <c r="G1129" t="s">
        <v>9328</v>
      </c>
    </row>
    <row r="1130" spans="2:7" x14ac:dyDescent="0.25">
      <c r="E1130" t="s">
        <v>9329</v>
      </c>
      <c r="F1130" t="s">
        <v>9330</v>
      </c>
      <c r="G1130" t="s">
        <v>9331</v>
      </c>
    </row>
    <row r="1131" spans="2:7" x14ac:dyDescent="0.25">
      <c r="B1131">
        <v>9</v>
      </c>
      <c r="C1131" t="s">
        <v>9636</v>
      </c>
      <c r="D1131" t="s">
        <v>9637</v>
      </c>
    </row>
    <row r="1132" spans="2:7" x14ac:dyDescent="0.25">
      <c r="E1132" t="s">
        <v>9638</v>
      </c>
      <c r="F1132" t="s">
        <v>9430</v>
      </c>
      <c r="G1132" t="s">
        <v>9431</v>
      </c>
    </row>
    <row r="1133" spans="2:7" x14ac:dyDescent="0.25">
      <c r="E1133" t="s">
        <v>9639</v>
      </c>
      <c r="F1133" t="s">
        <v>9345</v>
      </c>
      <c r="G1133" t="s">
        <v>9319</v>
      </c>
    </row>
    <row r="1134" spans="2:7" x14ac:dyDescent="0.25">
      <c r="E1134" t="s">
        <v>9640</v>
      </c>
      <c r="F1134" t="s">
        <v>680</v>
      </c>
      <c r="G1134" t="s">
        <v>9361</v>
      </c>
    </row>
    <row r="1135" spans="2:7" x14ac:dyDescent="0.25">
      <c r="E1135" t="s">
        <v>9425</v>
      </c>
      <c r="F1135" t="s">
        <v>9426</v>
      </c>
      <c r="G1135" t="s">
        <v>9322</v>
      </c>
    </row>
    <row r="1136" spans="2:7" x14ac:dyDescent="0.25">
      <c r="E1136" t="s">
        <v>9641</v>
      </c>
      <c r="F1136" t="s">
        <v>9341</v>
      </c>
      <c r="G1136" t="s">
        <v>9325</v>
      </c>
    </row>
    <row r="1137" spans="2:7" x14ac:dyDescent="0.25">
      <c r="E1137" t="s">
        <v>9642</v>
      </c>
      <c r="F1137" t="s">
        <v>9366</v>
      </c>
      <c r="G1137" t="s">
        <v>9331</v>
      </c>
    </row>
    <row r="1138" spans="2:7" x14ac:dyDescent="0.25">
      <c r="E1138" t="s">
        <v>9432</v>
      </c>
      <c r="F1138" t="s">
        <v>9433</v>
      </c>
      <c r="G1138" t="s">
        <v>9355</v>
      </c>
    </row>
    <row r="1139" spans="2:7" x14ac:dyDescent="0.25">
      <c r="E1139" t="s">
        <v>9643</v>
      </c>
      <c r="F1139" t="s">
        <v>9422</v>
      </c>
      <c r="G1139" t="s">
        <v>9423</v>
      </c>
    </row>
    <row r="1140" spans="2:7" x14ac:dyDescent="0.25">
      <c r="B1140">
        <v>4</v>
      </c>
      <c r="C1140" t="s">
        <v>9644</v>
      </c>
      <c r="D1140" t="s">
        <v>9645</v>
      </c>
    </row>
    <row r="1141" spans="2:7" x14ac:dyDescent="0.25">
      <c r="E1141" t="s">
        <v>9646</v>
      </c>
      <c r="F1141" t="s">
        <v>9341</v>
      </c>
      <c r="G1141" t="s">
        <v>9325</v>
      </c>
    </row>
    <row r="1142" spans="2:7" x14ac:dyDescent="0.25">
      <c r="E1142" t="s">
        <v>9425</v>
      </c>
      <c r="F1142" t="s">
        <v>9426</v>
      </c>
      <c r="G1142" t="s">
        <v>9322</v>
      </c>
    </row>
    <row r="1143" spans="2:7" x14ac:dyDescent="0.25">
      <c r="E1143" t="s">
        <v>9647</v>
      </c>
      <c r="F1143" t="s">
        <v>9366</v>
      </c>
      <c r="G1143" t="s">
        <v>9331</v>
      </c>
    </row>
    <row r="1144" spans="2:7" x14ac:dyDescent="0.25">
      <c r="E1144" t="s">
        <v>9648</v>
      </c>
      <c r="F1144" t="s">
        <v>9422</v>
      </c>
      <c r="G1144" t="s">
        <v>9423</v>
      </c>
    </row>
    <row r="1145" spans="2:7" x14ac:dyDescent="0.25">
      <c r="E1145" t="s">
        <v>9432</v>
      </c>
      <c r="F1145" t="s">
        <v>9433</v>
      </c>
      <c r="G1145" t="s">
        <v>9355</v>
      </c>
    </row>
    <row r="1146" spans="2:7" x14ac:dyDescent="0.25">
      <c r="E1146" t="s">
        <v>9649</v>
      </c>
      <c r="F1146" t="s">
        <v>9345</v>
      </c>
      <c r="G1146" t="s">
        <v>9319</v>
      </c>
    </row>
    <row r="1147" spans="2:7" x14ac:dyDescent="0.25">
      <c r="E1147" t="s">
        <v>9650</v>
      </c>
      <c r="F1147" t="s">
        <v>9430</v>
      </c>
      <c r="G1147" t="s">
        <v>9431</v>
      </c>
    </row>
    <row r="1148" spans="2:7" x14ac:dyDescent="0.25">
      <c r="E1148" t="s">
        <v>9651</v>
      </c>
      <c r="F1148" t="s">
        <v>680</v>
      </c>
      <c r="G1148" t="s">
        <v>9361</v>
      </c>
    </row>
    <row r="1149" spans="2:7" x14ac:dyDescent="0.25">
      <c r="B1149">
        <v>83</v>
      </c>
      <c r="C1149" t="s">
        <v>9652</v>
      </c>
      <c r="D1149" t="s">
        <v>9653</v>
      </c>
    </row>
    <row r="1150" spans="2:7" x14ac:dyDescent="0.25">
      <c r="E1150" t="s">
        <v>9654</v>
      </c>
      <c r="F1150" t="s">
        <v>9496</v>
      </c>
      <c r="G1150" t="s">
        <v>9396</v>
      </c>
    </row>
    <row r="1151" spans="2:7" x14ac:dyDescent="0.25">
      <c r="E1151" t="s">
        <v>9655</v>
      </c>
      <c r="F1151" t="s">
        <v>9656</v>
      </c>
      <c r="G1151" t="s">
        <v>9325</v>
      </c>
    </row>
    <row r="1152" spans="2:7" x14ac:dyDescent="0.25">
      <c r="E1152" t="s">
        <v>9657</v>
      </c>
      <c r="F1152" t="s">
        <v>9658</v>
      </c>
      <c r="G1152" t="s">
        <v>9350</v>
      </c>
    </row>
    <row r="1153" spans="2:7" x14ac:dyDescent="0.25">
      <c r="E1153" t="s">
        <v>9659</v>
      </c>
      <c r="F1153" t="s">
        <v>9660</v>
      </c>
      <c r="G1153" t="s">
        <v>9336</v>
      </c>
    </row>
    <row r="1154" spans="2:7" x14ac:dyDescent="0.25">
      <c r="B1154">
        <v>79</v>
      </c>
      <c r="C1154" t="s">
        <v>9598</v>
      </c>
      <c r="D1154" t="s">
        <v>9599</v>
      </c>
    </row>
    <row r="1155" spans="2:7" x14ac:dyDescent="0.25">
      <c r="E1155" t="s">
        <v>9340</v>
      </c>
      <c r="F1155" t="s">
        <v>9341</v>
      </c>
      <c r="G1155" t="s">
        <v>9325</v>
      </c>
    </row>
    <row r="1156" spans="2:7" x14ac:dyDescent="0.25">
      <c r="E1156" t="s">
        <v>9342</v>
      </c>
      <c r="F1156" t="s">
        <v>9343</v>
      </c>
      <c r="G1156" t="s">
        <v>9331</v>
      </c>
    </row>
    <row r="1157" spans="2:7" x14ac:dyDescent="0.25">
      <c r="E1157" t="s">
        <v>9344</v>
      </c>
      <c r="F1157" t="s">
        <v>9345</v>
      </c>
      <c r="G1157" t="s">
        <v>9319</v>
      </c>
    </row>
    <row r="1158" spans="2:7" x14ac:dyDescent="0.25">
      <c r="B1158">
        <v>15</v>
      </c>
      <c r="C1158" t="s">
        <v>9663</v>
      </c>
      <c r="D1158" t="s">
        <v>9664</v>
      </c>
    </row>
    <row r="1159" spans="2:7" x14ac:dyDescent="0.25">
      <c r="E1159" t="s">
        <v>9334</v>
      </c>
      <c r="F1159" t="s">
        <v>9335</v>
      </c>
      <c r="G1159" t="s">
        <v>9336</v>
      </c>
    </row>
    <row r="1160" spans="2:7" x14ac:dyDescent="0.25">
      <c r="E1160" t="s">
        <v>9337</v>
      </c>
      <c r="F1160" t="s">
        <v>9324</v>
      </c>
      <c r="G1160" t="s">
        <v>9325</v>
      </c>
    </row>
    <row r="1161" spans="2:7" x14ac:dyDescent="0.25">
      <c r="B1161">
        <v>29</v>
      </c>
      <c r="C1161" t="s">
        <v>9665</v>
      </c>
      <c r="D1161" t="s">
        <v>9666</v>
      </c>
    </row>
    <row r="1162" spans="2:7" x14ac:dyDescent="0.25">
      <c r="E1162" t="s">
        <v>9314</v>
      </c>
      <c r="F1162" t="s">
        <v>9315</v>
      </c>
      <c r="G1162" t="s">
        <v>9316</v>
      </c>
    </row>
    <row r="1163" spans="2:7" x14ac:dyDescent="0.25">
      <c r="E1163" t="s">
        <v>9317</v>
      </c>
      <c r="F1163" t="s">
        <v>9318</v>
      </c>
      <c r="G1163" t="s">
        <v>9319</v>
      </c>
    </row>
    <row r="1164" spans="2:7" x14ac:dyDescent="0.25">
      <c r="E1164" t="s">
        <v>9320</v>
      </c>
      <c r="F1164" t="s">
        <v>9321</v>
      </c>
      <c r="G1164" t="s">
        <v>9322</v>
      </c>
    </row>
    <row r="1165" spans="2:7" x14ac:dyDescent="0.25">
      <c r="E1165" t="s">
        <v>9323</v>
      </c>
      <c r="F1165" t="s">
        <v>9324</v>
      </c>
      <c r="G1165" t="s">
        <v>9325</v>
      </c>
    </row>
    <row r="1166" spans="2:7" x14ac:dyDescent="0.25">
      <c r="E1166" t="s">
        <v>9326</v>
      </c>
      <c r="F1166" t="s">
        <v>9327</v>
      </c>
      <c r="G1166" t="s">
        <v>9328</v>
      </c>
    </row>
    <row r="1167" spans="2:7" x14ac:dyDescent="0.25">
      <c r="E1167" t="s">
        <v>9329</v>
      </c>
      <c r="F1167" t="s">
        <v>9330</v>
      </c>
      <c r="G1167" t="s">
        <v>9331</v>
      </c>
    </row>
    <row r="1168" spans="2:7" x14ac:dyDescent="0.25">
      <c r="B1168">
        <v>81</v>
      </c>
      <c r="C1168" t="s">
        <v>9667</v>
      </c>
      <c r="D1168" t="s">
        <v>9668</v>
      </c>
    </row>
    <row r="1169" spans="2:7" x14ac:dyDescent="0.25">
      <c r="E1169" t="s">
        <v>9495</v>
      </c>
      <c r="F1169" t="s">
        <v>9496</v>
      </c>
      <c r="G1169" t="s">
        <v>9396</v>
      </c>
    </row>
    <row r="1170" spans="2:7" x14ac:dyDescent="0.25">
      <c r="E1170" t="s">
        <v>9497</v>
      </c>
      <c r="F1170" t="s">
        <v>1064</v>
      </c>
      <c r="G1170" t="s">
        <v>9325</v>
      </c>
    </row>
    <row r="1171" spans="2:7" x14ac:dyDescent="0.25">
      <c r="E1171" t="s">
        <v>9498</v>
      </c>
      <c r="F1171" t="s">
        <v>9359</v>
      </c>
      <c r="G1171" t="s">
        <v>9336</v>
      </c>
    </row>
    <row r="1172" spans="2:7" x14ac:dyDescent="0.25">
      <c r="E1172" t="s">
        <v>9499</v>
      </c>
      <c r="F1172" t="s">
        <v>688</v>
      </c>
      <c r="G1172" t="s">
        <v>9472</v>
      </c>
    </row>
    <row r="1173" spans="2:7" x14ac:dyDescent="0.25">
      <c r="B1173">
        <v>56</v>
      </c>
      <c r="C1173" t="s">
        <v>9783</v>
      </c>
      <c r="D1173" t="s">
        <v>9784</v>
      </c>
    </row>
    <row r="1174" spans="2:7" x14ac:dyDescent="0.25">
      <c r="E1174" t="s">
        <v>9516</v>
      </c>
      <c r="F1174" t="s">
        <v>9324</v>
      </c>
      <c r="G1174" t="s">
        <v>9325</v>
      </c>
    </row>
    <row r="1175" spans="2:7" x14ac:dyDescent="0.25">
      <c r="E1175" t="s">
        <v>9517</v>
      </c>
      <c r="F1175" t="s">
        <v>9518</v>
      </c>
      <c r="G1175" t="s">
        <v>9336</v>
      </c>
    </row>
    <row r="1176" spans="2:7" x14ac:dyDescent="0.25">
      <c r="B1176">
        <v>64</v>
      </c>
      <c r="C1176" t="s">
        <v>9673</v>
      </c>
      <c r="D1176" t="s">
        <v>9674</v>
      </c>
    </row>
    <row r="1177" spans="2:7" x14ac:dyDescent="0.25">
      <c r="E1177" t="s">
        <v>9375</v>
      </c>
      <c r="F1177" t="s">
        <v>9341</v>
      </c>
      <c r="G1177" t="s">
        <v>9325</v>
      </c>
    </row>
    <row r="1178" spans="2:7" x14ac:dyDescent="0.25">
      <c r="E1178" t="s">
        <v>9376</v>
      </c>
      <c r="F1178" t="s">
        <v>9345</v>
      </c>
      <c r="G1178" t="s">
        <v>9319</v>
      </c>
    </row>
    <row r="1179" spans="2:7" x14ac:dyDescent="0.25">
      <c r="E1179" t="s">
        <v>9377</v>
      </c>
      <c r="F1179" t="s">
        <v>9343</v>
      </c>
      <c r="G1179" t="s">
        <v>9331</v>
      </c>
    </row>
    <row r="1180" spans="2:7" x14ac:dyDescent="0.25">
      <c r="B1180">
        <v>23</v>
      </c>
      <c r="C1180" t="s">
        <v>9675</v>
      </c>
      <c r="D1180" t="s">
        <v>9676</v>
      </c>
    </row>
    <row r="1181" spans="2:7" x14ac:dyDescent="0.25">
      <c r="E1181" t="s">
        <v>9334</v>
      </c>
      <c r="F1181" t="s">
        <v>9335</v>
      </c>
      <c r="G1181" t="s">
        <v>9336</v>
      </c>
    </row>
    <row r="1182" spans="2:7" x14ac:dyDescent="0.25">
      <c r="E1182" t="s">
        <v>9337</v>
      </c>
      <c r="F1182" t="s">
        <v>9324</v>
      </c>
      <c r="G1182" t="s">
        <v>9325</v>
      </c>
    </row>
    <row r="1183" spans="2:7" x14ac:dyDescent="0.25">
      <c r="B1183">
        <v>88</v>
      </c>
      <c r="C1183" t="s">
        <v>9677</v>
      </c>
      <c r="D1183" t="s">
        <v>9678</v>
      </c>
    </row>
    <row r="1184" spans="2:7" x14ac:dyDescent="0.25">
      <c r="E1184" t="s">
        <v>9348</v>
      </c>
      <c r="F1184" t="s">
        <v>9349</v>
      </c>
      <c r="G1184" t="s">
        <v>9350</v>
      </c>
    </row>
    <row r="1185" spans="2:7" x14ac:dyDescent="0.25">
      <c r="E1185" t="s">
        <v>9351</v>
      </c>
      <c r="F1185" t="s">
        <v>9352</v>
      </c>
      <c r="G1185" t="s">
        <v>9353</v>
      </c>
    </row>
    <row r="1186" spans="2:7" x14ac:dyDescent="0.25">
      <c r="E1186" t="s">
        <v>9354</v>
      </c>
      <c r="F1186" t="s">
        <v>866</v>
      </c>
      <c r="G1186" t="s">
        <v>9355</v>
      </c>
    </row>
    <row r="1187" spans="2:7" x14ac:dyDescent="0.25">
      <c r="E1187" t="s">
        <v>9356</v>
      </c>
      <c r="F1187" t="s">
        <v>9357</v>
      </c>
      <c r="G1187" t="s">
        <v>9325</v>
      </c>
    </row>
    <row r="1188" spans="2:7" x14ac:dyDescent="0.25">
      <c r="E1188" t="s">
        <v>9358</v>
      </c>
      <c r="F1188" t="s">
        <v>9359</v>
      </c>
      <c r="G1188" t="s">
        <v>9336</v>
      </c>
    </row>
    <row r="1189" spans="2:7" x14ac:dyDescent="0.25">
      <c r="E1189" t="s">
        <v>9360</v>
      </c>
      <c r="F1189" t="s">
        <v>680</v>
      </c>
      <c r="G1189" t="s">
        <v>9361</v>
      </c>
    </row>
    <row r="1190" spans="2:7" x14ac:dyDescent="0.25">
      <c r="E1190" t="s">
        <v>9362</v>
      </c>
      <c r="F1190" t="s">
        <v>9363</v>
      </c>
      <c r="G1190" t="s">
        <v>9364</v>
      </c>
    </row>
    <row r="1191" spans="2:7" x14ac:dyDescent="0.25">
      <c r="E1191" t="s">
        <v>9365</v>
      </c>
      <c r="F1191" t="s">
        <v>9366</v>
      </c>
      <c r="G1191" t="s">
        <v>9331</v>
      </c>
    </row>
    <row r="1192" spans="2:7" x14ac:dyDescent="0.25">
      <c r="E1192" t="s">
        <v>9367</v>
      </c>
      <c r="F1192" t="s">
        <v>9368</v>
      </c>
      <c r="G1192" t="s">
        <v>9369</v>
      </c>
    </row>
    <row r="1193" spans="2:7" x14ac:dyDescent="0.25">
      <c r="E1193" t="s">
        <v>9370</v>
      </c>
      <c r="F1193" t="s">
        <v>9371</v>
      </c>
      <c r="G1193" t="s">
        <v>9372</v>
      </c>
    </row>
    <row r="1194" spans="2:7" x14ac:dyDescent="0.25">
      <c r="B1194">
        <v>24</v>
      </c>
      <c r="C1194" t="s">
        <v>9679</v>
      </c>
      <c r="D1194" t="s">
        <v>9680</v>
      </c>
    </row>
    <row r="1195" spans="2:7" x14ac:dyDescent="0.25">
      <c r="E1195" t="s">
        <v>9314</v>
      </c>
      <c r="F1195" t="s">
        <v>9315</v>
      </c>
      <c r="G1195" t="s">
        <v>9316</v>
      </c>
    </row>
    <row r="1196" spans="2:7" x14ac:dyDescent="0.25">
      <c r="E1196" t="s">
        <v>9317</v>
      </c>
      <c r="F1196" t="s">
        <v>9318</v>
      </c>
      <c r="G1196" t="s">
        <v>9319</v>
      </c>
    </row>
    <row r="1197" spans="2:7" x14ac:dyDescent="0.25">
      <c r="E1197" t="s">
        <v>9320</v>
      </c>
      <c r="F1197" t="s">
        <v>9321</v>
      </c>
      <c r="G1197" t="s">
        <v>9322</v>
      </c>
    </row>
    <row r="1198" spans="2:7" x14ac:dyDescent="0.25">
      <c r="E1198" t="s">
        <v>9323</v>
      </c>
      <c r="F1198" t="s">
        <v>9324</v>
      </c>
      <c r="G1198" t="s">
        <v>9325</v>
      </c>
    </row>
    <row r="1199" spans="2:7" x14ac:dyDescent="0.25">
      <c r="E1199" t="s">
        <v>9326</v>
      </c>
      <c r="F1199" t="s">
        <v>9327</v>
      </c>
      <c r="G1199" t="s">
        <v>9328</v>
      </c>
    </row>
    <row r="1200" spans="2:7" x14ac:dyDescent="0.25">
      <c r="E1200" t="s">
        <v>9329</v>
      </c>
      <c r="F1200" t="s">
        <v>9330</v>
      </c>
      <c r="G1200" t="s">
        <v>9331</v>
      </c>
    </row>
    <row r="1201" spans="2:7" x14ac:dyDescent="0.25">
      <c r="B1201">
        <v>11</v>
      </c>
      <c r="C1201" t="s">
        <v>9681</v>
      </c>
      <c r="D1201" t="s">
        <v>9682</v>
      </c>
    </row>
    <row r="1202" spans="2:7" x14ac:dyDescent="0.25">
      <c r="E1202" t="s">
        <v>9683</v>
      </c>
      <c r="F1202" t="s">
        <v>9430</v>
      </c>
      <c r="G1202" t="s">
        <v>9431</v>
      </c>
    </row>
    <row r="1203" spans="2:7" x14ac:dyDescent="0.25">
      <c r="E1203" t="s">
        <v>9684</v>
      </c>
      <c r="F1203" t="s">
        <v>9366</v>
      </c>
      <c r="G1203" t="s">
        <v>9331</v>
      </c>
    </row>
    <row r="1204" spans="2:7" x14ac:dyDescent="0.25">
      <c r="E1204" t="s">
        <v>9425</v>
      </c>
      <c r="F1204" t="s">
        <v>9426</v>
      </c>
      <c r="G1204" t="s">
        <v>9322</v>
      </c>
    </row>
    <row r="1205" spans="2:7" x14ac:dyDescent="0.25">
      <c r="E1205" t="s">
        <v>9685</v>
      </c>
      <c r="F1205" t="s">
        <v>9341</v>
      </c>
      <c r="G1205" t="s">
        <v>9325</v>
      </c>
    </row>
    <row r="1206" spans="2:7" x14ac:dyDescent="0.25">
      <c r="E1206" t="s">
        <v>9686</v>
      </c>
      <c r="F1206" t="s">
        <v>9422</v>
      </c>
      <c r="G1206" t="s">
        <v>9423</v>
      </c>
    </row>
    <row r="1207" spans="2:7" x14ac:dyDescent="0.25">
      <c r="E1207" t="s">
        <v>9432</v>
      </c>
      <c r="F1207" t="s">
        <v>9433</v>
      </c>
      <c r="G1207" t="s">
        <v>9355</v>
      </c>
    </row>
    <row r="1208" spans="2:7" x14ac:dyDescent="0.25">
      <c r="E1208" t="s">
        <v>9687</v>
      </c>
      <c r="F1208" t="s">
        <v>9345</v>
      </c>
      <c r="G1208" t="s">
        <v>9319</v>
      </c>
    </row>
    <row r="1209" spans="2:7" x14ac:dyDescent="0.25">
      <c r="E1209" t="s">
        <v>9688</v>
      </c>
      <c r="F1209" t="s">
        <v>680</v>
      </c>
      <c r="G1209" t="s">
        <v>9361</v>
      </c>
    </row>
    <row r="1210" spans="2:7" x14ac:dyDescent="0.25">
      <c r="B1210">
        <v>13</v>
      </c>
      <c r="C1210" t="s">
        <v>9689</v>
      </c>
      <c r="D1210" t="s">
        <v>9690</v>
      </c>
    </row>
    <row r="1211" spans="2:7" x14ac:dyDescent="0.25">
      <c r="E1211" t="s">
        <v>9334</v>
      </c>
      <c r="F1211" t="s">
        <v>9335</v>
      </c>
      <c r="G1211" t="s">
        <v>9336</v>
      </c>
    </row>
    <row r="1212" spans="2:7" x14ac:dyDescent="0.25">
      <c r="E1212" t="s">
        <v>9337</v>
      </c>
      <c r="F1212" t="s">
        <v>9324</v>
      </c>
      <c r="G1212" t="s">
        <v>9325</v>
      </c>
    </row>
    <row r="1213" spans="2:7" x14ac:dyDescent="0.25">
      <c r="B1213">
        <v>8</v>
      </c>
      <c r="C1213" t="s">
        <v>9691</v>
      </c>
      <c r="D1213" t="s">
        <v>9692</v>
      </c>
    </row>
    <row r="1214" spans="2:7" x14ac:dyDescent="0.25">
      <c r="E1214" t="s">
        <v>9693</v>
      </c>
      <c r="F1214" t="s">
        <v>9366</v>
      </c>
      <c r="G1214" t="s">
        <v>9331</v>
      </c>
    </row>
    <row r="1215" spans="2:7" x14ac:dyDescent="0.25">
      <c r="E1215" t="s">
        <v>9694</v>
      </c>
      <c r="F1215" t="s">
        <v>9430</v>
      </c>
      <c r="G1215" t="s">
        <v>9431</v>
      </c>
    </row>
    <row r="1216" spans="2:7" x14ac:dyDescent="0.25">
      <c r="E1216" t="s">
        <v>9425</v>
      </c>
      <c r="F1216" t="s">
        <v>9426</v>
      </c>
      <c r="G1216" t="s">
        <v>9322</v>
      </c>
    </row>
    <row r="1217" spans="2:7" x14ac:dyDescent="0.25">
      <c r="E1217" t="s">
        <v>9695</v>
      </c>
      <c r="F1217" t="s">
        <v>9345</v>
      </c>
      <c r="G1217" t="s">
        <v>9319</v>
      </c>
    </row>
    <row r="1218" spans="2:7" x14ac:dyDescent="0.25">
      <c r="E1218" t="s">
        <v>9696</v>
      </c>
      <c r="F1218" t="s">
        <v>9341</v>
      </c>
      <c r="G1218" t="s">
        <v>9325</v>
      </c>
    </row>
    <row r="1219" spans="2:7" x14ac:dyDescent="0.25">
      <c r="E1219" t="s">
        <v>9432</v>
      </c>
      <c r="F1219" t="s">
        <v>9433</v>
      </c>
      <c r="G1219" t="s">
        <v>9355</v>
      </c>
    </row>
    <row r="1220" spans="2:7" x14ac:dyDescent="0.25">
      <c r="E1220" t="s">
        <v>9697</v>
      </c>
      <c r="F1220" t="s">
        <v>9422</v>
      </c>
      <c r="G1220" t="s">
        <v>9423</v>
      </c>
    </row>
    <row r="1221" spans="2:7" x14ac:dyDescent="0.25">
      <c r="E1221" t="s">
        <v>9698</v>
      </c>
      <c r="F1221" t="s">
        <v>680</v>
      </c>
      <c r="G1221" t="s">
        <v>9361</v>
      </c>
    </row>
    <row r="1222" spans="2:7" x14ac:dyDescent="0.25">
      <c r="B1222">
        <v>68</v>
      </c>
      <c r="C1222" t="s">
        <v>9742</v>
      </c>
      <c r="D1222" t="s">
        <v>9743</v>
      </c>
    </row>
    <row r="1223" spans="2:7" x14ac:dyDescent="0.25">
      <c r="E1223" t="s">
        <v>9375</v>
      </c>
      <c r="F1223" t="s">
        <v>9341</v>
      </c>
      <c r="G1223" t="s">
        <v>9325</v>
      </c>
    </row>
    <row r="1224" spans="2:7" x14ac:dyDescent="0.25">
      <c r="E1224" t="s">
        <v>9376</v>
      </c>
      <c r="F1224" t="s">
        <v>9345</v>
      </c>
      <c r="G1224" t="s">
        <v>9319</v>
      </c>
    </row>
    <row r="1225" spans="2:7" x14ac:dyDescent="0.25">
      <c r="E1225" t="s">
        <v>9377</v>
      </c>
      <c r="F1225" t="s">
        <v>9343</v>
      </c>
      <c r="G1225" t="s">
        <v>9331</v>
      </c>
    </row>
    <row r="1226" spans="2:7" x14ac:dyDescent="0.25">
      <c r="B1226">
        <v>59</v>
      </c>
      <c r="C1226" t="s">
        <v>9785</v>
      </c>
      <c r="D1226" t="s">
        <v>9786</v>
      </c>
    </row>
    <row r="1227" spans="2:7" x14ac:dyDescent="0.25">
      <c r="E1227" t="s">
        <v>9516</v>
      </c>
      <c r="F1227" t="s">
        <v>9324</v>
      </c>
      <c r="G1227" t="s">
        <v>9325</v>
      </c>
    </row>
    <row r="1228" spans="2:7" x14ac:dyDescent="0.25">
      <c r="E1228" t="s">
        <v>9517</v>
      </c>
      <c r="F1228" t="s">
        <v>9518</v>
      </c>
      <c r="G1228" t="s">
        <v>9336</v>
      </c>
    </row>
    <row r="1229" spans="2:7" x14ac:dyDescent="0.25">
      <c r="B1229">
        <v>32</v>
      </c>
      <c r="C1229" t="s">
        <v>9756</v>
      </c>
      <c r="D1229" t="s">
        <v>9757</v>
      </c>
    </row>
    <row r="1230" spans="2:7" x14ac:dyDescent="0.25">
      <c r="E1230" t="s">
        <v>9314</v>
      </c>
      <c r="F1230" t="s">
        <v>9315</v>
      </c>
      <c r="G1230" t="s">
        <v>9316</v>
      </c>
    </row>
    <row r="1231" spans="2:7" x14ac:dyDescent="0.25">
      <c r="E1231" t="s">
        <v>9317</v>
      </c>
      <c r="F1231" t="s">
        <v>9318</v>
      </c>
      <c r="G1231" t="s">
        <v>9319</v>
      </c>
    </row>
    <row r="1232" spans="2:7" x14ac:dyDescent="0.25">
      <c r="E1232" t="s">
        <v>9320</v>
      </c>
      <c r="F1232" t="s">
        <v>9321</v>
      </c>
      <c r="G1232" t="s">
        <v>9322</v>
      </c>
    </row>
    <row r="1233" spans="2:7" x14ac:dyDescent="0.25">
      <c r="E1233" t="s">
        <v>9323</v>
      </c>
      <c r="F1233" t="s">
        <v>9324</v>
      </c>
      <c r="G1233" t="s">
        <v>9325</v>
      </c>
    </row>
    <row r="1234" spans="2:7" x14ac:dyDescent="0.25">
      <c r="E1234" t="s">
        <v>9326</v>
      </c>
      <c r="F1234" t="s">
        <v>9327</v>
      </c>
      <c r="G1234" t="s">
        <v>9328</v>
      </c>
    </row>
    <row r="1235" spans="2:7" x14ac:dyDescent="0.25">
      <c r="E1235" t="s">
        <v>9329</v>
      </c>
      <c r="F1235" t="s">
        <v>9330</v>
      </c>
      <c r="G1235" t="s">
        <v>9331</v>
      </c>
    </row>
    <row r="1236" spans="2:7" x14ac:dyDescent="0.25">
      <c r="B1236">
        <v>28</v>
      </c>
      <c r="C1236" t="s">
        <v>9703</v>
      </c>
      <c r="D1236" t="s">
        <v>9704</v>
      </c>
    </row>
    <row r="1237" spans="2:7" x14ac:dyDescent="0.25">
      <c r="E1237" t="s">
        <v>9314</v>
      </c>
      <c r="F1237" t="s">
        <v>9315</v>
      </c>
      <c r="G1237" t="s">
        <v>9316</v>
      </c>
    </row>
    <row r="1238" spans="2:7" x14ac:dyDescent="0.25">
      <c r="E1238" t="s">
        <v>9317</v>
      </c>
      <c r="F1238" t="s">
        <v>9318</v>
      </c>
      <c r="G1238" t="s">
        <v>9319</v>
      </c>
    </row>
    <row r="1239" spans="2:7" x14ac:dyDescent="0.25">
      <c r="E1239" t="s">
        <v>9320</v>
      </c>
      <c r="F1239" t="s">
        <v>9321</v>
      </c>
      <c r="G1239" t="s">
        <v>9322</v>
      </c>
    </row>
    <row r="1240" spans="2:7" x14ac:dyDescent="0.25">
      <c r="E1240" t="s">
        <v>9323</v>
      </c>
      <c r="F1240" t="s">
        <v>9324</v>
      </c>
      <c r="G1240" t="s">
        <v>9325</v>
      </c>
    </row>
    <row r="1241" spans="2:7" x14ac:dyDescent="0.25">
      <c r="E1241" t="s">
        <v>9326</v>
      </c>
      <c r="F1241" t="s">
        <v>9327</v>
      </c>
      <c r="G1241" t="s">
        <v>9328</v>
      </c>
    </row>
    <row r="1242" spans="2:7" x14ac:dyDescent="0.25">
      <c r="E1242" t="s">
        <v>9329</v>
      </c>
      <c r="F1242" t="s">
        <v>9330</v>
      </c>
      <c r="G1242" t="s">
        <v>9331</v>
      </c>
    </row>
    <row r="1243" spans="2:7" x14ac:dyDescent="0.25">
      <c r="B1243">
        <v>46</v>
      </c>
      <c r="C1243" t="s">
        <v>9705</v>
      </c>
      <c r="D1243" t="s">
        <v>9706</v>
      </c>
    </row>
    <row r="1244" spans="2:7" x14ac:dyDescent="0.25">
      <c r="E1244" t="s">
        <v>9314</v>
      </c>
      <c r="F1244" t="s">
        <v>9315</v>
      </c>
      <c r="G1244" t="s">
        <v>9316</v>
      </c>
    </row>
    <row r="1245" spans="2:7" x14ac:dyDescent="0.25">
      <c r="E1245" t="s">
        <v>9317</v>
      </c>
      <c r="F1245" t="s">
        <v>9318</v>
      </c>
      <c r="G1245" t="s">
        <v>9319</v>
      </c>
    </row>
    <row r="1246" spans="2:7" x14ac:dyDescent="0.25">
      <c r="E1246" t="s">
        <v>9320</v>
      </c>
      <c r="F1246" t="s">
        <v>9321</v>
      </c>
      <c r="G1246" t="s">
        <v>9322</v>
      </c>
    </row>
    <row r="1247" spans="2:7" x14ac:dyDescent="0.25">
      <c r="E1247" t="s">
        <v>9323</v>
      </c>
      <c r="F1247" t="s">
        <v>9324</v>
      </c>
      <c r="G1247" t="s">
        <v>9325</v>
      </c>
    </row>
    <row r="1248" spans="2:7" x14ac:dyDescent="0.25">
      <c r="E1248" t="s">
        <v>9326</v>
      </c>
      <c r="F1248" t="s">
        <v>9327</v>
      </c>
      <c r="G1248" t="s">
        <v>9328</v>
      </c>
    </row>
    <row r="1249" spans="2:7" x14ac:dyDescent="0.25">
      <c r="E1249" t="s">
        <v>9329</v>
      </c>
      <c r="F1249" t="s">
        <v>9330</v>
      </c>
      <c r="G1249" t="s">
        <v>9331</v>
      </c>
    </row>
    <row r="1250" spans="2:7" x14ac:dyDescent="0.25">
      <c r="B1250">
        <v>36</v>
      </c>
      <c r="C1250" t="s">
        <v>9707</v>
      </c>
      <c r="D1250" t="s">
        <v>9708</v>
      </c>
    </row>
    <row r="1251" spans="2:7" x14ac:dyDescent="0.25">
      <c r="E1251" t="s">
        <v>9314</v>
      </c>
      <c r="F1251" t="s">
        <v>9315</v>
      </c>
      <c r="G1251" t="s">
        <v>9316</v>
      </c>
    </row>
    <row r="1252" spans="2:7" x14ac:dyDescent="0.25">
      <c r="E1252" t="s">
        <v>9317</v>
      </c>
      <c r="F1252" t="s">
        <v>9318</v>
      </c>
      <c r="G1252" t="s">
        <v>9319</v>
      </c>
    </row>
    <row r="1253" spans="2:7" x14ac:dyDescent="0.25">
      <c r="E1253" t="s">
        <v>9320</v>
      </c>
      <c r="F1253" t="s">
        <v>9321</v>
      </c>
      <c r="G1253" t="s">
        <v>9322</v>
      </c>
    </row>
    <row r="1254" spans="2:7" x14ac:dyDescent="0.25">
      <c r="E1254" t="s">
        <v>9323</v>
      </c>
      <c r="F1254" t="s">
        <v>9324</v>
      </c>
      <c r="G1254" t="s">
        <v>9325</v>
      </c>
    </row>
    <row r="1255" spans="2:7" x14ac:dyDescent="0.25">
      <c r="E1255" t="s">
        <v>9326</v>
      </c>
      <c r="F1255" t="s">
        <v>9327</v>
      </c>
      <c r="G1255" t="s">
        <v>9328</v>
      </c>
    </row>
    <row r="1256" spans="2:7" x14ac:dyDescent="0.25">
      <c r="E1256" t="s">
        <v>9329</v>
      </c>
      <c r="F1256" t="s">
        <v>9330</v>
      </c>
      <c r="G1256" t="s">
        <v>9331</v>
      </c>
    </row>
    <row r="1257" spans="2:7" x14ac:dyDescent="0.25">
      <c r="B1257">
        <v>60</v>
      </c>
      <c r="C1257" t="s">
        <v>9787</v>
      </c>
      <c r="D1257" t="s">
        <v>9788</v>
      </c>
    </row>
    <row r="1258" spans="2:7" x14ac:dyDescent="0.25">
      <c r="E1258" t="s">
        <v>9516</v>
      </c>
      <c r="F1258" t="s">
        <v>9324</v>
      </c>
      <c r="G1258" t="s">
        <v>9325</v>
      </c>
    </row>
    <row r="1259" spans="2:7" x14ac:dyDescent="0.25">
      <c r="E1259" t="s">
        <v>9517</v>
      </c>
      <c r="F1259" t="s">
        <v>9518</v>
      </c>
      <c r="G1259" t="s">
        <v>9336</v>
      </c>
    </row>
    <row r="1260" spans="2:7" x14ac:dyDescent="0.25">
      <c r="B1260">
        <v>50</v>
      </c>
      <c r="C1260" t="s">
        <v>9709</v>
      </c>
      <c r="D1260" t="s">
        <v>9710</v>
      </c>
    </row>
    <row r="1261" spans="2:7" x14ac:dyDescent="0.25">
      <c r="E1261" t="s">
        <v>9409</v>
      </c>
      <c r="F1261" t="s">
        <v>818</v>
      </c>
      <c r="G1261" t="s">
        <v>9353</v>
      </c>
    </row>
    <row r="1262" spans="2:7" x14ac:dyDescent="0.25">
      <c r="E1262" t="s">
        <v>9410</v>
      </c>
      <c r="F1262" t="s">
        <v>9363</v>
      </c>
      <c r="G1262" t="s">
        <v>9364</v>
      </c>
    </row>
    <row r="1263" spans="2:7" x14ac:dyDescent="0.25">
      <c r="E1263" t="s">
        <v>9411</v>
      </c>
      <c r="F1263" t="s">
        <v>1154</v>
      </c>
      <c r="G1263" t="s">
        <v>9325</v>
      </c>
    </row>
    <row r="1264" spans="2:7" x14ac:dyDescent="0.25">
      <c r="E1264" t="s">
        <v>9412</v>
      </c>
      <c r="F1264" t="s">
        <v>569</v>
      </c>
      <c r="G1264" t="s">
        <v>9336</v>
      </c>
    </row>
    <row r="1265" spans="2:7" x14ac:dyDescent="0.25">
      <c r="E1265" t="s">
        <v>9413</v>
      </c>
      <c r="F1265" t="s">
        <v>9366</v>
      </c>
      <c r="G1265" t="s">
        <v>9331</v>
      </c>
    </row>
    <row r="1266" spans="2:7" x14ac:dyDescent="0.25">
      <c r="E1266" t="s">
        <v>9414</v>
      </c>
      <c r="F1266" t="s">
        <v>1299</v>
      </c>
      <c r="G1266" t="s">
        <v>9355</v>
      </c>
    </row>
    <row r="1267" spans="2:7" x14ac:dyDescent="0.25">
      <c r="E1267" t="s">
        <v>9415</v>
      </c>
      <c r="F1267" t="s">
        <v>1312</v>
      </c>
      <c r="G1267" t="s">
        <v>9350</v>
      </c>
    </row>
    <row r="1268" spans="2:7" x14ac:dyDescent="0.25">
      <c r="E1268" t="s">
        <v>9416</v>
      </c>
      <c r="F1268" t="s">
        <v>1552</v>
      </c>
      <c r="G1268" t="s">
        <v>9396</v>
      </c>
    </row>
    <row r="1269" spans="2:7" x14ac:dyDescent="0.25">
      <c r="B1269">
        <v>96</v>
      </c>
      <c r="C1269" t="s">
        <v>9711</v>
      </c>
      <c r="D1269" t="s">
        <v>9712</v>
      </c>
    </row>
    <row r="1270" spans="2:7" x14ac:dyDescent="0.25">
      <c r="E1270" t="s">
        <v>9713</v>
      </c>
      <c r="F1270" t="s">
        <v>9462</v>
      </c>
      <c r="G1270" t="s">
        <v>9463</v>
      </c>
    </row>
    <row r="1271" spans="2:7" x14ac:dyDescent="0.25">
      <c r="E1271" t="s">
        <v>9714</v>
      </c>
      <c r="F1271" t="s">
        <v>9715</v>
      </c>
      <c r="G1271" t="s">
        <v>9399</v>
      </c>
    </row>
    <row r="1272" spans="2:7" x14ac:dyDescent="0.25">
      <c r="E1272" t="s">
        <v>9716</v>
      </c>
      <c r="F1272" t="s">
        <v>9430</v>
      </c>
      <c r="G1272" t="s">
        <v>9431</v>
      </c>
    </row>
    <row r="1273" spans="2:7" x14ac:dyDescent="0.25">
      <c r="E1273" t="s">
        <v>9717</v>
      </c>
      <c r="F1273" t="s">
        <v>9459</v>
      </c>
      <c r="G1273" t="s">
        <v>9460</v>
      </c>
    </row>
    <row r="1274" spans="2:7" x14ac:dyDescent="0.25">
      <c r="E1274" t="s">
        <v>9718</v>
      </c>
      <c r="F1274" t="s">
        <v>9474</v>
      </c>
      <c r="G1274" t="s">
        <v>9475</v>
      </c>
    </row>
    <row r="1275" spans="2:7" x14ac:dyDescent="0.25">
      <c r="E1275" t="s">
        <v>9719</v>
      </c>
      <c r="F1275" t="s">
        <v>818</v>
      </c>
      <c r="G1275" t="s">
        <v>9353</v>
      </c>
    </row>
    <row r="1276" spans="2:7" x14ac:dyDescent="0.25">
      <c r="E1276" t="s">
        <v>9720</v>
      </c>
      <c r="F1276" t="s">
        <v>9422</v>
      </c>
      <c r="G1276" t="s">
        <v>9423</v>
      </c>
    </row>
    <row r="1277" spans="2:7" x14ac:dyDescent="0.25">
      <c r="E1277" t="s">
        <v>9721</v>
      </c>
      <c r="F1277" t="s">
        <v>1064</v>
      </c>
      <c r="G1277" t="s">
        <v>9325</v>
      </c>
    </row>
    <row r="1278" spans="2:7" x14ac:dyDescent="0.25">
      <c r="E1278" t="s">
        <v>9722</v>
      </c>
      <c r="F1278" t="s">
        <v>9433</v>
      </c>
      <c r="G1278" t="s">
        <v>9355</v>
      </c>
    </row>
    <row r="1279" spans="2:7" x14ac:dyDescent="0.25">
      <c r="E1279" t="s">
        <v>9723</v>
      </c>
      <c r="F1279" t="s">
        <v>9466</v>
      </c>
      <c r="G1279" t="s">
        <v>9322</v>
      </c>
    </row>
    <row r="1280" spans="2:7" x14ac:dyDescent="0.25">
      <c r="E1280" t="s">
        <v>9724</v>
      </c>
      <c r="F1280" t="s">
        <v>622</v>
      </c>
      <c r="G1280" t="s">
        <v>9381</v>
      </c>
    </row>
    <row r="1281" spans="2:7" x14ac:dyDescent="0.25">
      <c r="B1281">
        <v>78</v>
      </c>
      <c r="C1281" t="s">
        <v>9725</v>
      </c>
      <c r="D1281" t="s">
        <v>9726</v>
      </c>
    </row>
    <row r="1282" spans="2:7" x14ac:dyDescent="0.25">
      <c r="E1282" t="s">
        <v>9340</v>
      </c>
      <c r="F1282" t="s">
        <v>9341</v>
      </c>
      <c r="G1282" t="s">
        <v>9325</v>
      </c>
    </row>
    <row r="1283" spans="2:7" x14ac:dyDescent="0.25">
      <c r="E1283" t="s">
        <v>9342</v>
      </c>
      <c r="F1283" t="s">
        <v>9343</v>
      </c>
      <c r="G1283" t="s">
        <v>9331</v>
      </c>
    </row>
    <row r="1284" spans="2:7" x14ac:dyDescent="0.25">
      <c r="E1284" t="s">
        <v>9344</v>
      </c>
      <c r="F1284" t="s">
        <v>9345</v>
      </c>
      <c r="G1284" t="s">
        <v>9319</v>
      </c>
    </row>
    <row r="1285" spans="2:7" x14ac:dyDescent="0.25">
      <c r="B1285">
        <v>39</v>
      </c>
      <c r="C1285" t="s">
        <v>9729</v>
      </c>
      <c r="D1285" t="s">
        <v>9730</v>
      </c>
    </row>
    <row r="1286" spans="2:7" x14ac:dyDescent="0.25">
      <c r="E1286" t="s">
        <v>9314</v>
      </c>
      <c r="F1286" t="s">
        <v>9315</v>
      </c>
      <c r="G1286" t="s">
        <v>9316</v>
      </c>
    </row>
    <row r="1287" spans="2:7" x14ac:dyDescent="0.25">
      <c r="E1287" t="s">
        <v>9317</v>
      </c>
      <c r="F1287" t="s">
        <v>9318</v>
      </c>
      <c r="G1287" t="s">
        <v>9319</v>
      </c>
    </row>
    <row r="1288" spans="2:7" x14ac:dyDescent="0.25">
      <c r="E1288" t="s">
        <v>9320</v>
      </c>
      <c r="F1288" t="s">
        <v>9321</v>
      </c>
      <c r="G1288" t="s">
        <v>9322</v>
      </c>
    </row>
    <row r="1289" spans="2:7" x14ac:dyDescent="0.25">
      <c r="E1289" t="s">
        <v>9323</v>
      </c>
      <c r="F1289" t="s">
        <v>9324</v>
      </c>
      <c r="G1289" t="s">
        <v>9325</v>
      </c>
    </row>
    <row r="1290" spans="2:7" x14ac:dyDescent="0.25">
      <c r="E1290" t="s">
        <v>9326</v>
      </c>
      <c r="F1290" t="s">
        <v>9327</v>
      </c>
      <c r="G1290" t="s">
        <v>9328</v>
      </c>
    </row>
    <row r="1291" spans="2:7" x14ac:dyDescent="0.25">
      <c r="E1291" t="s">
        <v>9329</v>
      </c>
      <c r="F1291" t="s">
        <v>9330</v>
      </c>
      <c r="G1291" t="s">
        <v>9331</v>
      </c>
    </row>
    <row r="1292" spans="2:7" x14ac:dyDescent="0.25">
      <c r="B1292">
        <v>84</v>
      </c>
      <c r="C1292" t="s">
        <v>9731</v>
      </c>
      <c r="D1292" t="s">
        <v>9732</v>
      </c>
    </row>
    <row r="1293" spans="2:7" x14ac:dyDescent="0.25">
      <c r="E1293" t="s">
        <v>9733</v>
      </c>
      <c r="F1293" t="s">
        <v>9734</v>
      </c>
      <c r="G1293" t="s">
        <v>9364</v>
      </c>
    </row>
    <row r="1294" spans="2:7" x14ac:dyDescent="0.25">
      <c r="E1294" t="s">
        <v>9735</v>
      </c>
      <c r="F1294" t="s">
        <v>9341</v>
      </c>
      <c r="G1294" t="s">
        <v>9325</v>
      </c>
    </row>
    <row r="1295" spans="2:7" x14ac:dyDescent="0.25">
      <c r="B1295">
        <v>91</v>
      </c>
      <c r="C1295" t="s">
        <v>9738</v>
      </c>
      <c r="D1295" t="s">
        <v>9739</v>
      </c>
    </row>
    <row r="1296" spans="2:7" x14ac:dyDescent="0.25">
      <c r="E1296" t="s">
        <v>9348</v>
      </c>
      <c r="F1296" t="s">
        <v>9349</v>
      </c>
      <c r="G1296" t="s">
        <v>9350</v>
      </c>
    </row>
    <row r="1297" spans="2:7" x14ac:dyDescent="0.25">
      <c r="E1297" t="s">
        <v>9351</v>
      </c>
      <c r="F1297" t="s">
        <v>9352</v>
      </c>
      <c r="G1297" t="s">
        <v>9353</v>
      </c>
    </row>
    <row r="1298" spans="2:7" x14ac:dyDescent="0.25">
      <c r="E1298" t="s">
        <v>9354</v>
      </c>
      <c r="F1298" t="s">
        <v>866</v>
      </c>
      <c r="G1298" t="s">
        <v>9355</v>
      </c>
    </row>
    <row r="1299" spans="2:7" x14ac:dyDescent="0.25">
      <c r="E1299" t="s">
        <v>9356</v>
      </c>
      <c r="F1299" t="s">
        <v>9357</v>
      </c>
      <c r="G1299" t="s">
        <v>9325</v>
      </c>
    </row>
    <row r="1300" spans="2:7" x14ac:dyDescent="0.25">
      <c r="E1300" t="s">
        <v>9358</v>
      </c>
      <c r="F1300" t="s">
        <v>9359</v>
      </c>
      <c r="G1300" t="s">
        <v>9336</v>
      </c>
    </row>
    <row r="1301" spans="2:7" x14ac:dyDescent="0.25">
      <c r="E1301" t="s">
        <v>9360</v>
      </c>
      <c r="F1301" t="s">
        <v>680</v>
      </c>
      <c r="G1301" t="s">
        <v>9361</v>
      </c>
    </row>
    <row r="1302" spans="2:7" x14ac:dyDescent="0.25">
      <c r="E1302" t="s">
        <v>9362</v>
      </c>
      <c r="F1302" t="s">
        <v>9363</v>
      </c>
      <c r="G1302" t="s">
        <v>9364</v>
      </c>
    </row>
    <row r="1303" spans="2:7" x14ac:dyDescent="0.25">
      <c r="E1303" t="s">
        <v>9365</v>
      </c>
      <c r="F1303" t="s">
        <v>9366</v>
      </c>
      <c r="G1303" t="s">
        <v>9331</v>
      </c>
    </row>
    <row r="1304" spans="2:7" x14ac:dyDescent="0.25">
      <c r="E1304" t="s">
        <v>9367</v>
      </c>
      <c r="F1304" t="s">
        <v>9368</v>
      </c>
      <c r="G1304" t="s">
        <v>9369</v>
      </c>
    </row>
    <row r="1305" spans="2:7" x14ac:dyDescent="0.25">
      <c r="E1305" t="s">
        <v>9370</v>
      </c>
      <c r="F1305" t="s">
        <v>9371</v>
      </c>
      <c r="G1305" t="s">
        <v>9372</v>
      </c>
    </row>
    <row r="1306" spans="2:7" x14ac:dyDescent="0.25">
      <c r="B1306">
        <v>85</v>
      </c>
      <c r="C1306" t="s">
        <v>9699</v>
      </c>
      <c r="D1306" t="s">
        <v>9700</v>
      </c>
    </row>
    <row r="1307" spans="2:7" x14ac:dyDescent="0.25">
      <c r="E1307" t="s">
        <v>9348</v>
      </c>
      <c r="F1307" t="s">
        <v>9349</v>
      </c>
      <c r="G1307" t="s">
        <v>9350</v>
      </c>
    </row>
    <row r="1308" spans="2:7" x14ac:dyDescent="0.25">
      <c r="E1308" t="s">
        <v>9351</v>
      </c>
      <c r="F1308" t="s">
        <v>9352</v>
      </c>
      <c r="G1308" t="s">
        <v>9353</v>
      </c>
    </row>
    <row r="1309" spans="2:7" x14ac:dyDescent="0.25">
      <c r="E1309" t="s">
        <v>9354</v>
      </c>
      <c r="F1309" t="s">
        <v>866</v>
      </c>
      <c r="G1309" t="s">
        <v>9355</v>
      </c>
    </row>
    <row r="1310" spans="2:7" x14ac:dyDescent="0.25">
      <c r="E1310" t="s">
        <v>9356</v>
      </c>
      <c r="F1310" t="s">
        <v>9357</v>
      </c>
      <c r="G1310" t="s">
        <v>9325</v>
      </c>
    </row>
    <row r="1311" spans="2:7" x14ac:dyDescent="0.25">
      <c r="E1311" t="s">
        <v>9358</v>
      </c>
      <c r="F1311" t="s">
        <v>9359</v>
      </c>
      <c r="G1311" t="s">
        <v>9336</v>
      </c>
    </row>
    <row r="1312" spans="2:7" x14ac:dyDescent="0.25">
      <c r="E1312" t="s">
        <v>9360</v>
      </c>
      <c r="F1312" t="s">
        <v>680</v>
      </c>
      <c r="G1312" t="s">
        <v>9361</v>
      </c>
    </row>
    <row r="1313" spans="2:7" x14ac:dyDescent="0.25">
      <c r="E1313" t="s">
        <v>9362</v>
      </c>
      <c r="F1313" t="s">
        <v>9363</v>
      </c>
      <c r="G1313" t="s">
        <v>9364</v>
      </c>
    </row>
    <row r="1314" spans="2:7" x14ac:dyDescent="0.25">
      <c r="E1314" t="s">
        <v>9365</v>
      </c>
      <c r="F1314" t="s">
        <v>9366</v>
      </c>
      <c r="G1314" t="s">
        <v>9331</v>
      </c>
    </row>
    <row r="1315" spans="2:7" x14ac:dyDescent="0.25">
      <c r="E1315" t="s">
        <v>9367</v>
      </c>
      <c r="F1315" t="s">
        <v>9368</v>
      </c>
      <c r="G1315" t="s">
        <v>9369</v>
      </c>
    </row>
    <row r="1316" spans="2:7" x14ac:dyDescent="0.25">
      <c r="E1316" t="s">
        <v>9370</v>
      </c>
      <c r="F1316" t="s">
        <v>9371</v>
      </c>
      <c r="G1316" t="s">
        <v>9372</v>
      </c>
    </row>
    <row r="1317" spans="2:7" x14ac:dyDescent="0.25">
      <c r="B1317">
        <v>87</v>
      </c>
      <c r="C1317" t="s">
        <v>9746</v>
      </c>
      <c r="D1317" t="s">
        <v>9747</v>
      </c>
    </row>
    <row r="1318" spans="2:7" x14ac:dyDescent="0.25">
      <c r="E1318" t="s">
        <v>9348</v>
      </c>
      <c r="F1318" t="s">
        <v>9349</v>
      </c>
      <c r="G1318" t="s">
        <v>9350</v>
      </c>
    </row>
    <row r="1319" spans="2:7" x14ac:dyDescent="0.25">
      <c r="E1319" t="s">
        <v>9351</v>
      </c>
      <c r="F1319" t="s">
        <v>9352</v>
      </c>
      <c r="G1319" t="s">
        <v>9353</v>
      </c>
    </row>
    <row r="1320" spans="2:7" x14ac:dyDescent="0.25">
      <c r="E1320" t="s">
        <v>9354</v>
      </c>
      <c r="F1320" t="s">
        <v>866</v>
      </c>
      <c r="G1320" t="s">
        <v>9355</v>
      </c>
    </row>
    <row r="1321" spans="2:7" x14ac:dyDescent="0.25">
      <c r="E1321" t="s">
        <v>9356</v>
      </c>
      <c r="F1321" t="s">
        <v>9357</v>
      </c>
      <c r="G1321" t="s">
        <v>9325</v>
      </c>
    </row>
    <row r="1322" spans="2:7" x14ac:dyDescent="0.25">
      <c r="E1322" t="s">
        <v>9358</v>
      </c>
      <c r="F1322" t="s">
        <v>9359</v>
      </c>
      <c r="G1322" t="s">
        <v>9336</v>
      </c>
    </row>
    <row r="1323" spans="2:7" x14ac:dyDescent="0.25">
      <c r="E1323" t="s">
        <v>9360</v>
      </c>
      <c r="F1323" t="s">
        <v>680</v>
      </c>
      <c r="G1323" t="s">
        <v>9361</v>
      </c>
    </row>
    <row r="1324" spans="2:7" x14ac:dyDescent="0.25">
      <c r="E1324" t="s">
        <v>9362</v>
      </c>
      <c r="F1324" t="s">
        <v>9363</v>
      </c>
      <c r="G1324" t="s">
        <v>9364</v>
      </c>
    </row>
    <row r="1325" spans="2:7" x14ac:dyDescent="0.25">
      <c r="E1325" t="s">
        <v>9365</v>
      </c>
      <c r="F1325" t="s">
        <v>9366</v>
      </c>
      <c r="G1325" t="s">
        <v>9331</v>
      </c>
    </row>
    <row r="1326" spans="2:7" x14ac:dyDescent="0.25">
      <c r="E1326" t="s">
        <v>9367</v>
      </c>
      <c r="F1326" t="s">
        <v>9368</v>
      </c>
      <c r="G1326" t="s">
        <v>9369</v>
      </c>
    </row>
    <row r="1327" spans="2:7" x14ac:dyDescent="0.25">
      <c r="E1327" t="s">
        <v>9370</v>
      </c>
      <c r="F1327" t="s">
        <v>9371</v>
      </c>
      <c r="G1327" t="s">
        <v>9372</v>
      </c>
    </row>
    <row r="1328" spans="2:7" x14ac:dyDescent="0.25">
      <c r="B1328">
        <v>65</v>
      </c>
      <c r="C1328" t="s">
        <v>9545</v>
      </c>
      <c r="D1328" t="s">
        <v>9546</v>
      </c>
    </row>
    <row r="1329" spans="2:7" x14ac:dyDescent="0.25">
      <c r="E1329" t="s">
        <v>9375</v>
      </c>
      <c r="F1329" t="s">
        <v>9341</v>
      </c>
      <c r="G1329" t="s">
        <v>9325</v>
      </c>
    </row>
    <row r="1330" spans="2:7" x14ac:dyDescent="0.25">
      <c r="E1330" t="s">
        <v>9376</v>
      </c>
      <c r="F1330" t="s">
        <v>9345</v>
      </c>
      <c r="G1330" t="s">
        <v>9319</v>
      </c>
    </row>
    <row r="1331" spans="2:7" x14ac:dyDescent="0.25">
      <c r="E1331" t="s">
        <v>9377</v>
      </c>
      <c r="F1331" t="s">
        <v>9343</v>
      </c>
      <c r="G1331" t="s">
        <v>9331</v>
      </c>
    </row>
    <row r="1332" spans="2:7" x14ac:dyDescent="0.25">
      <c r="B1332">
        <v>66</v>
      </c>
      <c r="C1332" t="s">
        <v>9748</v>
      </c>
      <c r="D1332" t="s">
        <v>9749</v>
      </c>
    </row>
    <row r="1333" spans="2:7" x14ac:dyDescent="0.25">
      <c r="E1333" t="s">
        <v>9375</v>
      </c>
      <c r="F1333" t="s">
        <v>9341</v>
      </c>
      <c r="G1333" t="s">
        <v>9325</v>
      </c>
    </row>
    <row r="1334" spans="2:7" x14ac:dyDescent="0.25">
      <c r="E1334" t="s">
        <v>9376</v>
      </c>
      <c r="F1334" t="s">
        <v>9345</v>
      </c>
      <c r="G1334" t="s">
        <v>9319</v>
      </c>
    </row>
    <row r="1335" spans="2:7" x14ac:dyDescent="0.25">
      <c r="E1335" t="s">
        <v>9377</v>
      </c>
      <c r="F1335" t="s">
        <v>9343</v>
      </c>
      <c r="G1335" t="s">
        <v>9331</v>
      </c>
    </row>
    <row r="1336" spans="2:7" x14ac:dyDescent="0.25">
      <c r="B1336">
        <v>16</v>
      </c>
      <c r="C1336" t="s">
        <v>9750</v>
      </c>
      <c r="D1336" t="s">
        <v>9751</v>
      </c>
    </row>
    <row r="1337" spans="2:7" x14ac:dyDescent="0.25">
      <c r="E1337" t="s">
        <v>9334</v>
      </c>
      <c r="F1337" t="s">
        <v>9335</v>
      </c>
      <c r="G1337" t="s">
        <v>9336</v>
      </c>
    </row>
    <row r="1338" spans="2:7" x14ac:dyDescent="0.25">
      <c r="E1338" t="s">
        <v>9337</v>
      </c>
      <c r="F1338" t="s">
        <v>9324</v>
      </c>
      <c r="G1338" t="s">
        <v>9325</v>
      </c>
    </row>
    <row r="1339" spans="2:7" x14ac:dyDescent="0.25">
      <c r="B1339">
        <v>12</v>
      </c>
      <c r="C1339" t="s">
        <v>9626</v>
      </c>
      <c r="D1339" t="s">
        <v>9627</v>
      </c>
    </row>
    <row r="1340" spans="2:7" x14ac:dyDescent="0.25">
      <c r="E1340" t="s">
        <v>9628</v>
      </c>
      <c r="F1340" t="s">
        <v>9430</v>
      </c>
      <c r="G1340" t="s">
        <v>9431</v>
      </c>
    </row>
    <row r="1341" spans="2:7" x14ac:dyDescent="0.25">
      <c r="E1341" t="s">
        <v>9629</v>
      </c>
      <c r="F1341" t="s">
        <v>680</v>
      </c>
      <c r="G1341" t="s">
        <v>9361</v>
      </c>
    </row>
    <row r="1342" spans="2:7" x14ac:dyDescent="0.25">
      <c r="E1342" t="s">
        <v>9630</v>
      </c>
      <c r="F1342" t="s">
        <v>9366</v>
      </c>
      <c r="G1342" t="s">
        <v>9331</v>
      </c>
    </row>
    <row r="1343" spans="2:7" x14ac:dyDescent="0.25">
      <c r="E1343" t="s">
        <v>9425</v>
      </c>
      <c r="F1343" t="s">
        <v>9426</v>
      </c>
      <c r="G1343" t="s">
        <v>9322</v>
      </c>
    </row>
    <row r="1344" spans="2:7" x14ac:dyDescent="0.25">
      <c r="E1344" t="s">
        <v>9631</v>
      </c>
      <c r="F1344" t="s">
        <v>9341</v>
      </c>
      <c r="G1344" t="s">
        <v>9325</v>
      </c>
    </row>
    <row r="1345" spans="2:7" x14ac:dyDescent="0.25">
      <c r="E1345" t="s">
        <v>9632</v>
      </c>
      <c r="F1345" t="s">
        <v>9422</v>
      </c>
      <c r="G1345" t="s">
        <v>9423</v>
      </c>
    </row>
    <row r="1346" spans="2:7" x14ac:dyDescent="0.25">
      <c r="E1346" t="s">
        <v>9633</v>
      </c>
      <c r="F1346" t="s">
        <v>9345</v>
      </c>
      <c r="G1346" t="s">
        <v>9319</v>
      </c>
    </row>
    <row r="1347" spans="2:7" x14ac:dyDescent="0.25">
      <c r="E1347" t="s">
        <v>9432</v>
      </c>
      <c r="F1347" t="s">
        <v>9433</v>
      </c>
      <c r="G1347" t="s">
        <v>9355</v>
      </c>
    </row>
    <row r="1348" spans="2:7" x14ac:dyDescent="0.25">
      <c r="B1348">
        <v>77</v>
      </c>
      <c r="C1348" t="s">
        <v>9701</v>
      </c>
      <c r="D1348" t="s">
        <v>9702</v>
      </c>
    </row>
    <row r="1349" spans="2:7" x14ac:dyDescent="0.25">
      <c r="E1349" t="s">
        <v>9340</v>
      </c>
      <c r="F1349" t="s">
        <v>9341</v>
      </c>
      <c r="G1349" t="s">
        <v>9325</v>
      </c>
    </row>
    <row r="1350" spans="2:7" x14ac:dyDescent="0.25">
      <c r="E1350" t="s">
        <v>9342</v>
      </c>
      <c r="F1350" t="s">
        <v>9343</v>
      </c>
      <c r="G1350" t="s">
        <v>9331</v>
      </c>
    </row>
    <row r="1351" spans="2:7" x14ac:dyDescent="0.25">
      <c r="E1351" t="s">
        <v>9344</v>
      </c>
      <c r="F1351" t="s">
        <v>9345</v>
      </c>
      <c r="G1351" t="s">
        <v>9319</v>
      </c>
    </row>
    <row r="1352" spans="2:7" x14ac:dyDescent="0.25">
      <c r="B1352">
        <v>33</v>
      </c>
      <c r="C1352" t="s">
        <v>9758</v>
      </c>
      <c r="D1352" t="s">
        <v>9759</v>
      </c>
    </row>
    <row r="1353" spans="2:7" x14ac:dyDescent="0.25">
      <c r="E1353" t="s">
        <v>9314</v>
      </c>
      <c r="F1353" t="s">
        <v>9315</v>
      </c>
      <c r="G1353" t="s">
        <v>9316</v>
      </c>
    </row>
    <row r="1354" spans="2:7" x14ac:dyDescent="0.25">
      <c r="E1354" t="s">
        <v>9317</v>
      </c>
      <c r="F1354" t="s">
        <v>9318</v>
      </c>
      <c r="G1354" t="s">
        <v>9319</v>
      </c>
    </row>
    <row r="1355" spans="2:7" x14ac:dyDescent="0.25">
      <c r="E1355" t="s">
        <v>9320</v>
      </c>
      <c r="F1355" t="s">
        <v>9321</v>
      </c>
      <c r="G1355" t="s">
        <v>9322</v>
      </c>
    </row>
    <row r="1356" spans="2:7" x14ac:dyDescent="0.25">
      <c r="E1356" t="s">
        <v>9323</v>
      </c>
      <c r="F1356" t="s">
        <v>9324</v>
      </c>
      <c r="G1356" t="s">
        <v>9325</v>
      </c>
    </row>
    <row r="1357" spans="2:7" x14ac:dyDescent="0.25">
      <c r="E1357" t="s">
        <v>9326</v>
      </c>
      <c r="F1357" t="s">
        <v>9327</v>
      </c>
      <c r="G1357" t="s">
        <v>9328</v>
      </c>
    </row>
    <row r="1358" spans="2:7" x14ac:dyDescent="0.25">
      <c r="E1358" t="s">
        <v>9329</v>
      </c>
      <c r="F1358" t="s">
        <v>9330</v>
      </c>
      <c r="G1358" t="s">
        <v>9331</v>
      </c>
    </row>
    <row r="1359" spans="2:7" x14ac:dyDescent="0.25">
      <c r="B1359">
        <v>92</v>
      </c>
      <c r="C1359" t="s">
        <v>9445</v>
      </c>
      <c r="D1359" t="s">
        <v>9446</v>
      </c>
    </row>
    <row r="1360" spans="2:7" x14ac:dyDescent="0.25">
      <c r="E1360" t="s">
        <v>9348</v>
      </c>
      <c r="F1360" t="s">
        <v>9349</v>
      </c>
      <c r="G1360" t="s">
        <v>9350</v>
      </c>
    </row>
    <row r="1361" spans="5:7" x14ac:dyDescent="0.25">
      <c r="E1361" t="s">
        <v>9351</v>
      </c>
      <c r="F1361" t="s">
        <v>9352</v>
      </c>
      <c r="G1361" t="s">
        <v>9353</v>
      </c>
    </row>
    <row r="1362" spans="5:7" x14ac:dyDescent="0.25">
      <c r="E1362" t="s">
        <v>9354</v>
      </c>
      <c r="F1362" t="s">
        <v>866</v>
      </c>
      <c r="G1362" t="s">
        <v>9355</v>
      </c>
    </row>
    <row r="1363" spans="5:7" x14ac:dyDescent="0.25">
      <c r="E1363" t="s">
        <v>9356</v>
      </c>
      <c r="F1363" t="s">
        <v>9357</v>
      </c>
      <c r="G1363" t="s">
        <v>9325</v>
      </c>
    </row>
    <row r="1364" spans="5:7" x14ac:dyDescent="0.25">
      <c r="E1364" t="s">
        <v>9358</v>
      </c>
      <c r="F1364" t="s">
        <v>9359</v>
      </c>
      <c r="G1364" t="s">
        <v>9336</v>
      </c>
    </row>
    <row r="1365" spans="5:7" x14ac:dyDescent="0.25">
      <c r="E1365" t="s">
        <v>9360</v>
      </c>
      <c r="F1365" t="s">
        <v>680</v>
      </c>
      <c r="G1365" t="s">
        <v>9361</v>
      </c>
    </row>
    <row r="1366" spans="5:7" x14ac:dyDescent="0.25">
      <c r="E1366" t="s">
        <v>9362</v>
      </c>
      <c r="F1366" t="s">
        <v>9363</v>
      </c>
      <c r="G1366" t="s">
        <v>9364</v>
      </c>
    </row>
    <row r="1367" spans="5:7" x14ac:dyDescent="0.25">
      <c r="E1367" t="s">
        <v>9365</v>
      </c>
      <c r="F1367" t="s">
        <v>9366</v>
      </c>
      <c r="G1367" t="s">
        <v>9331</v>
      </c>
    </row>
    <row r="1368" spans="5:7" x14ac:dyDescent="0.25">
      <c r="E1368" t="s">
        <v>9367</v>
      </c>
      <c r="F1368" t="s">
        <v>9368</v>
      </c>
      <c r="G1368" t="s">
        <v>9369</v>
      </c>
    </row>
    <row r="1369" spans="5:7" x14ac:dyDescent="0.25">
      <c r="E1369" t="s">
        <v>9370</v>
      </c>
      <c r="F1369" t="s">
        <v>9371</v>
      </c>
      <c r="G1369" t="s">
        <v>9372</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2" tint="-9.9978637043366805E-2"/>
  </sheetPr>
  <dimension ref="A1:M33"/>
  <sheetViews>
    <sheetView topLeftCell="F1" workbookViewId="0">
      <selection activeCell="D21" sqref="D21"/>
    </sheetView>
  </sheetViews>
  <sheetFormatPr defaultColWidth="11.42578125" defaultRowHeight="15" x14ac:dyDescent="0.25"/>
  <cols>
    <col min="1" max="1" width="18.28515625" style="100" customWidth="1"/>
    <col min="2" max="2" width="21.42578125" style="100" bestFit="1" customWidth="1"/>
    <col min="3" max="3" width="11.28515625" style="100" bestFit="1" customWidth="1"/>
    <col min="4" max="4" width="18.28515625" style="100" bestFit="1" customWidth="1"/>
    <col min="5" max="5" width="30.5703125" style="100" bestFit="1" customWidth="1"/>
    <col min="6" max="6" width="30.5703125" style="100" customWidth="1"/>
    <col min="7" max="7" width="21.85546875" style="100" bestFit="1" customWidth="1"/>
    <col min="8" max="8" width="32.28515625" style="100" bestFit="1" customWidth="1"/>
    <col min="9" max="9" width="14.5703125" style="100" bestFit="1" customWidth="1"/>
    <col min="10" max="10" width="25.140625" style="100" customWidth="1"/>
    <col min="11" max="11" width="33.5703125" style="100" bestFit="1" customWidth="1"/>
    <col min="12" max="12" width="14.42578125" style="100" customWidth="1"/>
    <col min="13" max="48" width="11.42578125" style="100" customWidth="1"/>
    <col min="49" max="16384" width="11.42578125" style="100"/>
  </cols>
  <sheetData>
    <row r="1" spans="1:13" x14ac:dyDescent="0.25">
      <c r="A1" s="37" t="s">
        <v>9789</v>
      </c>
      <c r="B1" s="37" t="s">
        <v>9790</v>
      </c>
      <c r="C1" s="37" t="s">
        <v>9791</v>
      </c>
      <c r="D1" s="37" t="s">
        <v>13</v>
      </c>
      <c r="E1" s="37" t="s">
        <v>9792</v>
      </c>
      <c r="F1" s="37" t="s">
        <v>9793</v>
      </c>
      <c r="G1" s="37" t="s">
        <v>9794</v>
      </c>
      <c r="H1" s="37" t="s">
        <v>9795</v>
      </c>
      <c r="I1" s="37" t="s">
        <v>9796</v>
      </c>
      <c r="J1" s="39" t="s">
        <v>9797</v>
      </c>
      <c r="K1" s="39" t="s">
        <v>9798</v>
      </c>
      <c r="L1" s="39" t="s">
        <v>9799</v>
      </c>
      <c r="M1" s="99" t="s">
        <v>9800</v>
      </c>
    </row>
    <row r="2" spans="1:13" x14ac:dyDescent="0.25">
      <c r="A2" s="38" t="s">
        <v>97</v>
      </c>
      <c r="B2" s="38" t="s">
        <v>39</v>
      </c>
      <c r="C2" s="38" t="s">
        <v>9801</v>
      </c>
      <c r="D2" s="38" t="s">
        <v>39</v>
      </c>
      <c r="E2" s="38" t="s">
        <v>97</v>
      </c>
      <c r="F2" s="38" t="s">
        <v>9802</v>
      </c>
      <c r="G2" s="38" t="s">
        <v>9802</v>
      </c>
      <c r="H2" s="38" t="s">
        <v>9803</v>
      </c>
      <c r="I2" s="38" t="s">
        <v>89</v>
      </c>
      <c r="J2" s="38" t="s">
        <v>9804</v>
      </c>
      <c r="K2" s="38" t="s">
        <v>463</v>
      </c>
      <c r="L2" s="38" t="s">
        <v>9805</v>
      </c>
      <c r="M2" s="100" t="s">
        <v>9806</v>
      </c>
    </row>
    <row r="3" spans="1:13" x14ac:dyDescent="0.25">
      <c r="A3" s="38" t="s">
        <v>89</v>
      </c>
      <c r="B3" s="38" t="s">
        <v>40</v>
      </c>
      <c r="C3" s="38" t="s">
        <v>9801</v>
      </c>
      <c r="D3" s="38" t="s">
        <v>40</v>
      </c>
      <c r="E3" s="38" t="s">
        <v>97</v>
      </c>
      <c r="F3" s="38" t="s">
        <v>9802</v>
      </c>
      <c r="G3" s="38" t="s">
        <v>9802</v>
      </c>
      <c r="H3" s="38" t="s">
        <v>9807</v>
      </c>
      <c r="I3" s="38" t="s">
        <v>89</v>
      </c>
      <c r="J3" s="38" t="s">
        <v>9804</v>
      </c>
      <c r="K3" s="38" t="s">
        <v>463</v>
      </c>
      <c r="L3" s="38" t="s">
        <v>9808</v>
      </c>
      <c r="M3" s="100" t="s">
        <v>9806</v>
      </c>
    </row>
    <row r="4" spans="1:13" x14ac:dyDescent="0.25">
      <c r="A4" s="38" t="s">
        <v>82</v>
      </c>
      <c r="B4" s="38" t="s">
        <v>42</v>
      </c>
      <c r="C4" s="38" t="s">
        <v>9801</v>
      </c>
      <c r="D4" s="38" t="s">
        <v>42</v>
      </c>
      <c r="E4" s="38" t="s">
        <v>97</v>
      </c>
      <c r="F4" s="38" t="s">
        <v>42</v>
      </c>
      <c r="G4" s="38" t="s">
        <v>42</v>
      </c>
      <c r="H4" s="38" t="s">
        <v>9809</v>
      </c>
      <c r="I4" s="38">
        <v>1</v>
      </c>
      <c r="J4" s="38" t="s">
        <v>9810</v>
      </c>
      <c r="K4" s="38" t="s">
        <v>466</v>
      </c>
      <c r="L4" s="38" t="s">
        <v>9811</v>
      </c>
      <c r="M4" s="100" t="s">
        <v>9812</v>
      </c>
    </row>
    <row r="5" spans="1:13" x14ac:dyDescent="0.25">
      <c r="A5" s="38" t="s">
        <v>195</v>
      </c>
      <c r="B5" s="38" t="s">
        <v>9813</v>
      </c>
      <c r="C5" s="38" t="s">
        <v>9813</v>
      </c>
      <c r="D5" s="38" t="s">
        <v>46</v>
      </c>
      <c r="E5" s="38" t="s">
        <v>9814</v>
      </c>
      <c r="F5" s="38" t="s">
        <v>46</v>
      </c>
      <c r="G5" s="38" t="s">
        <v>46</v>
      </c>
      <c r="H5" s="38" t="s">
        <v>9815</v>
      </c>
      <c r="I5" s="38">
        <v>0</v>
      </c>
      <c r="J5" s="38" t="s">
        <v>9816</v>
      </c>
      <c r="K5" s="38" t="s">
        <v>467</v>
      </c>
      <c r="L5" s="38" t="s">
        <v>9817</v>
      </c>
      <c r="M5" s="100" t="s">
        <v>9818</v>
      </c>
    </row>
    <row r="6" spans="1:13" x14ac:dyDescent="0.25">
      <c r="A6" s="38">
        <v>4</v>
      </c>
      <c r="B6" s="38" t="s">
        <v>9813</v>
      </c>
      <c r="C6" s="38" t="s">
        <v>9813</v>
      </c>
      <c r="D6" s="38" t="s">
        <v>20</v>
      </c>
      <c r="E6" s="38" t="s">
        <v>9819</v>
      </c>
      <c r="F6" s="38" t="s">
        <v>20</v>
      </c>
      <c r="G6" s="38" t="s">
        <v>20</v>
      </c>
      <c r="H6" s="38" t="s">
        <v>9820</v>
      </c>
      <c r="I6" s="38">
        <v>0</v>
      </c>
      <c r="J6" s="38" t="s">
        <v>9816</v>
      </c>
      <c r="K6" s="38" t="s">
        <v>467</v>
      </c>
      <c r="L6" s="38" t="s">
        <v>9817</v>
      </c>
      <c r="M6" s="100" t="s">
        <v>9818</v>
      </c>
    </row>
    <row r="7" spans="1:13" x14ac:dyDescent="0.25">
      <c r="A7" s="38" t="s">
        <v>314</v>
      </c>
      <c r="B7" s="38" t="s">
        <v>9813</v>
      </c>
      <c r="C7" s="38" t="s">
        <v>9813</v>
      </c>
      <c r="D7" s="38" t="s">
        <v>41</v>
      </c>
      <c r="E7" s="38" t="s">
        <v>9821</v>
      </c>
      <c r="F7" s="38" t="s">
        <v>41</v>
      </c>
      <c r="G7" s="38" t="s">
        <v>41</v>
      </c>
      <c r="H7" s="38" t="s">
        <v>9822</v>
      </c>
      <c r="I7" s="38">
        <v>0</v>
      </c>
      <c r="J7" s="38" t="s">
        <v>9816</v>
      </c>
      <c r="K7" s="38" t="s">
        <v>467</v>
      </c>
      <c r="L7" s="38" t="s">
        <v>9817</v>
      </c>
      <c r="M7" s="100" t="s">
        <v>9818</v>
      </c>
    </row>
    <row r="8" spans="1:13" x14ac:dyDescent="0.25">
      <c r="A8" s="38">
        <v>6</v>
      </c>
      <c r="B8" s="38" t="s">
        <v>9813</v>
      </c>
      <c r="C8" s="38" t="s">
        <v>9813</v>
      </c>
      <c r="D8" s="38" t="s">
        <v>47</v>
      </c>
      <c r="E8" s="38" t="s">
        <v>9823</v>
      </c>
      <c r="F8" s="38" t="s">
        <v>47</v>
      </c>
      <c r="G8" s="38" t="s">
        <v>47</v>
      </c>
      <c r="H8" s="38" t="s">
        <v>9824</v>
      </c>
      <c r="I8" s="38">
        <v>0</v>
      </c>
      <c r="J8" s="38" t="s">
        <v>9816</v>
      </c>
      <c r="K8" s="38" t="s">
        <v>467</v>
      </c>
      <c r="L8" s="38" t="s">
        <v>9817</v>
      </c>
      <c r="M8" s="100" t="s">
        <v>9818</v>
      </c>
    </row>
    <row r="9" spans="1:13" x14ac:dyDescent="0.25">
      <c r="A9" s="38">
        <v>7</v>
      </c>
      <c r="B9" s="38" t="s">
        <v>9813</v>
      </c>
      <c r="C9" s="38" t="s">
        <v>9813</v>
      </c>
      <c r="D9" s="38" t="s">
        <v>37</v>
      </c>
      <c r="E9" s="38" t="s">
        <v>9825</v>
      </c>
      <c r="F9" s="38" t="s">
        <v>37</v>
      </c>
      <c r="G9" s="38" t="s">
        <v>37</v>
      </c>
      <c r="H9" s="38" t="s">
        <v>9826</v>
      </c>
      <c r="I9" s="38">
        <v>0</v>
      </c>
      <c r="J9" s="38" t="s">
        <v>9816</v>
      </c>
      <c r="K9" s="38" t="s">
        <v>467</v>
      </c>
      <c r="L9" s="38" t="s">
        <v>9817</v>
      </c>
      <c r="M9" s="100" t="s">
        <v>9818</v>
      </c>
    </row>
    <row r="10" spans="1:13" x14ac:dyDescent="0.25">
      <c r="A10" s="38" t="s">
        <v>312</v>
      </c>
      <c r="B10" s="38" t="s">
        <v>9813</v>
      </c>
      <c r="C10" s="38" t="s">
        <v>9813</v>
      </c>
      <c r="D10" s="38" t="s">
        <v>44</v>
      </c>
      <c r="E10" s="38" t="s">
        <v>9827</v>
      </c>
      <c r="F10" s="38" t="s">
        <v>44</v>
      </c>
      <c r="G10" s="38" t="s">
        <v>44</v>
      </c>
      <c r="H10" s="38" t="s">
        <v>9828</v>
      </c>
      <c r="I10" s="38">
        <v>0</v>
      </c>
      <c r="J10" s="38" t="s">
        <v>9816</v>
      </c>
      <c r="K10" s="38" t="s">
        <v>467</v>
      </c>
      <c r="L10" s="38" t="s">
        <v>9817</v>
      </c>
      <c r="M10" s="100" t="s">
        <v>9818</v>
      </c>
    </row>
    <row r="11" spans="1:13" x14ac:dyDescent="0.25">
      <c r="A11" s="38" t="s">
        <v>339</v>
      </c>
      <c r="B11" s="38" t="s">
        <v>9813</v>
      </c>
      <c r="C11" s="38" t="s">
        <v>9813</v>
      </c>
      <c r="D11" s="38" t="s">
        <v>43</v>
      </c>
      <c r="E11" s="38" t="s">
        <v>9829</v>
      </c>
      <c r="F11" s="38" t="s">
        <v>43</v>
      </c>
      <c r="G11" s="38" t="s">
        <v>43</v>
      </c>
      <c r="H11" s="38" t="s">
        <v>9830</v>
      </c>
      <c r="I11" s="38">
        <v>0</v>
      </c>
      <c r="J11" s="38" t="s">
        <v>9816</v>
      </c>
      <c r="K11" s="38" t="s">
        <v>467</v>
      </c>
      <c r="L11" s="38" t="s">
        <v>9817</v>
      </c>
      <c r="M11" s="100" t="s">
        <v>9818</v>
      </c>
    </row>
    <row r="12" spans="1:13" x14ac:dyDescent="0.25">
      <c r="A12" s="38" t="s">
        <v>9831</v>
      </c>
      <c r="B12" s="38" t="s">
        <v>9813</v>
      </c>
      <c r="C12" s="38" t="s">
        <v>9813</v>
      </c>
      <c r="D12" s="38" t="s">
        <v>45</v>
      </c>
      <c r="E12" s="38" t="s">
        <v>9832</v>
      </c>
      <c r="F12" s="38" t="s">
        <v>45</v>
      </c>
      <c r="G12" s="38" t="s">
        <v>45</v>
      </c>
      <c r="H12" s="38" t="s">
        <v>9833</v>
      </c>
      <c r="I12" s="38">
        <v>0</v>
      </c>
      <c r="J12" s="38" t="s">
        <v>9816</v>
      </c>
      <c r="K12" s="38" t="s">
        <v>467</v>
      </c>
      <c r="L12" s="38" t="s">
        <v>9817</v>
      </c>
      <c r="M12" s="100" t="s">
        <v>9818</v>
      </c>
    </row>
    <row r="13" spans="1:13" x14ac:dyDescent="0.25">
      <c r="A13" s="38" t="s">
        <v>9834</v>
      </c>
      <c r="B13" s="38" t="s">
        <v>9813</v>
      </c>
      <c r="C13" s="38" t="s">
        <v>9813</v>
      </c>
      <c r="D13" s="38" t="s">
        <v>23</v>
      </c>
      <c r="E13" s="38" t="s">
        <v>9835</v>
      </c>
      <c r="F13" s="38" t="s">
        <v>23</v>
      </c>
      <c r="G13" s="38" t="s">
        <v>23</v>
      </c>
      <c r="H13" s="38" t="s">
        <v>9836</v>
      </c>
      <c r="I13" s="38">
        <v>0</v>
      </c>
      <c r="J13" s="38" t="s">
        <v>9816</v>
      </c>
      <c r="K13" s="38" t="s">
        <v>467</v>
      </c>
      <c r="L13" s="38" t="s">
        <v>9817</v>
      </c>
      <c r="M13" s="100" t="s">
        <v>9818</v>
      </c>
    </row>
    <row r="14" spans="1:13" x14ac:dyDescent="0.25">
      <c r="A14" s="38" t="s">
        <v>235</v>
      </c>
      <c r="B14" s="38" t="s">
        <v>36</v>
      </c>
      <c r="C14" s="38" t="s">
        <v>9837</v>
      </c>
      <c r="D14" s="38" t="s">
        <v>36</v>
      </c>
      <c r="E14" s="38" t="s">
        <v>97</v>
      </c>
      <c r="F14" s="38" t="s">
        <v>36</v>
      </c>
      <c r="G14" s="38" t="s">
        <v>36</v>
      </c>
      <c r="H14" s="38" t="s">
        <v>9838</v>
      </c>
      <c r="I14" s="38">
        <v>0</v>
      </c>
      <c r="J14" s="38" t="s">
        <v>9839</v>
      </c>
      <c r="K14" t="s">
        <v>469</v>
      </c>
      <c r="L14" s="38" t="s">
        <v>9817</v>
      </c>
      <c r="M14" s="100" t="s">
        <v>9840</v>
      </c>
    </row>
    <row r="15" spans="1:13" x14ac:dyDescent="0.25">
      <c r="A15" s="38" t="s">
        <v>9841</v>
      </c>
      <c r="B15" s="38" t="s">
        <v>27</v>
      </c>
      <c r="C15" s="38" t="s">
        <v>9837</v>
      </c>
      <c r="D15" s="38" t="s">
        <v>27</v>
      </c>
      <c r="E15" s="38" t="s">
        <v>97</v>
      </c>
      <c r="F15" s="38" t="s">
        <v>27</v>
      </c>
      <c r="G15" s="38" t="s">
        <v>27</v>
      </c>
      <c r="H15" s="38" t="s">
        <v>9837</v>
      </c>
      <c r="I15" s="38">
        <v>0</v>
      </c>
      <c r="J15" s="38" t="s">
        <v>9839</v>
      </c>
      <c r="K15" t="s">
        <v>469</v>
      </c>
      <c r="L15" s="38" t="s">
        <v>9817</v>
      </c>
      <c r="M15" s="100" t="s">
        <v>9840</v>
      </c>
    </row>
    <row r="16" spans="1:13" x14ac:dyDescent="0.25">
      <c r="A16" s="38" t="s">
        <v>9842</v>
      </c>
      <c r="B16" s="38" t="s">
        <v>9843</v>
      </c>
      <c r="C16" s="38" t="s">
        <v>9843</v>
      </c>
      <c r="D16" s="38" t="s">
        <v>38</v>
      </c>
      <c r="E16" s="38" t="s">
        <v>97</v>
      </c>
      <c r="F16" s="38" t="s">
        <v>38</v>
      </c>
      <c r="G16" s="38" t="s">
        <v>38</v>
      </c>
      <c r="H16" s="38" t="s">
        <v>9843</v>
      </c>
      <c r="I16" s="38" t="s">
        <v>97</v>
      </c>
      <c r="J16" s="38" t="s">
        <v>9844</v>
      </c>
      <c r="K16" s="38" t="s">
        <v>464</v>
      </c>
      <c r="L16" s="38" t="s">
        <v>9817</v>
      </c>
      <c r="M16" s="100" t="s">
        <v>9845</v>
      </c>
    </row>
    <row r="17" spans="1:13" x14ac:dyDescent="0.25">
      <c r="A17" s="38" t="s">
        <v>355</v>
      </c>
      <c r="B17" s="38" t="s">
        <v>9846</v>
      </c>
      <c r="C17" s="38" t="s">
        <v>9846</v>
      </c>
      <c r="D17" s="38" t="s">
        <v>35</v>
      </c>
      <c r="E17" s="38" t="s">
        <v>9847</v>
      </c>
      <c r="F17" s="38" t="s">
        <v>9848</v>
      </c>
      <c r="G17" s="38" t="s">
        <v>35</v>
      </c>
      <c r="H17" s="38" t="s">
        <v>9849</v>
      </c>
      <c r="I17" s="38" t="s">
        <v>97</v>
      </c>
      <c r="J17" s="38" t="s">
        <v>9850</v>
      </c>
      <c r="K17" s="38" t="s">
        <v>465</v>
      </c>
      <c r="L17" s="38" t="s">
        <v>9817</v>
      </c>
      <c r="M17" s="100" t="s">
        <v>9851</v>
      </c>
    </row>
    <row r="18" spans="1:13" x14ac:dyDescent="0.25">
      <c r="A18" s="38" t="s">
        <v>9852</v>
      </c>
      <c r="B18" s="38" t="s">
        <v>9846</v>
      </c>
      <c r="C18" s="38" t="s">
        <v>9846</v>
      </c>
      <c r="D18" s="38" t="s">
        <v>18</v>
      </c>
      <c r="E18" s="38" t="s">
        <v>9853</v>
      </c>
      <c r="F18" s="38" t="s">
        <v>9854</v>
      </c>
      <c r="G18" s="38" t="s">
        <v>18</v>
      </c>
      <c r="H18" s="38" t="s">
        <v>9855</v>
      </c>
      <c r="I18" s="38" t="s">
        <v>97</v>
      </c>
      <c r="J18" s="38" t="s">
        <v>9850</v>
      </c>
      <c r="K18" s="38" t="s">
        <v>465</v>
      </c>
      <c r="L18" s="38" t="s">
        <v>9817</v>
      </c>
      <c r="M18" s="100" t="s">
        <v>9851</v>
      </c>
    </row>
    <row r="19" spans="1:13" x14ac:dyDescent="0.25">
      <c r="A19" s="38" t="s">
        <v>352</v>
      </c>
      <c r="B19" s="38" t="s">
        <v>9846</v>
      </c>
      <c r="C19" s="38" t="s">
        <v>9846</v>
      </c>
      <c r="D19" s="38" t="s">
        <v>17</v>
      </c>
      <c r="E19" s="38" t="s">
        <v>9856</v>
      </c>
      <c r="F19" s="38" t="s">
        <v>9857</v>
      </c>
      <c r="G19" s="38" t="s">
        <v>17</v>
      </c>
      <c r="H19" s="38" t="s">
        <v>9858</v>
      </c>
      <c r="I19" s="38" t="s">
        <v>97</v>
      </c>
      <c r="J19" s="38" t="s">
        <v>9850</v>
      </c>
      <c r="K19" s="38" t="s">
        <v>465</v>
      </c>
      <c r="L19" s="38" t="s">
        <v>9817</v>
      </c>
      <c r="M19" s="100" t="s">
        <v>9851</v>
      </c>
    </row>
    <row r="20" spans="1:13" x14ac:dyDescent="0.25">
      <c r="A20" s="38" t="s">
        <v>9859</v>
      </c>
      <c r="B20" s="38" t="s">
        <v>9846</v>
      </c>
      <c r="C20" s="38" t="s">
        <v>9846</v>
      </c>
      <c r="D20" s="38" t="s">
        <v>24</v>
      </c>
      <c r="E20" s="38" t="s">
        <v>9860</v>
      </c>
      <c r="F20" s="38" t="s">
        <v>9861</v>
      </c>
      <c r="G20" s="38" t="s">
        <v>24</v>
      </c>
      <c r="H20" s="38" t="s">
        <v>9862</v>
      </c>
      <c r="I20" s="38" t="s">
        <v>97</v>
      </c>
      <c r="J20" s="38" t="s">
        <v>9850</v>
      </c>
      <c r="K20" s="38" t="s">
        <v>465</v>
      </c>
      <c r="L20" s="38" t="s">
        <v>9817</v>
      </c>
      <c r="M20" s="100" t="s">
        <v>9851</v>
      </c>
    </row>
    <row r="21" spans="1:13" x14ac:dyDescent="0.25">
      <c r="A21" s="38" t="s">
        <v>9863</v>
      </c>
      <c r="B21" s="38" t="s">
        <v>9846</v>
      </c>
      <c r="C21" s="38" t="s">
        <v>9846</v>
      </c>
      <c r="D21" s="38" t="s">
        <v>29</v>
      </c>
      <c r="E21" s="38" t="s">
        <v>9864</v>
      </c>
      <c r="F21" s="38" t="s">
        <v>9865</v>
      </c>
      <c r="G21" s="38" t="s">
        <v>29</v>
      </c>
      <c r="H21" s="38" t="s">
        <v>9866</v>
      </c>
      <c r="I21" s="38" t="s">
        <v>97</v>
      </c>
      <c r="J21" s="38" t="s">
        <v>9850</v>
      </c>
      <c r="K21" s="38" t="s">
        <v>465</v>
      </c>
      <c r="L21" s="38" t="s">
        <v>9817</v>
      </c>
      <c r="M21" s="100" t="s">
        <v>9851</v>
      </c>
    </row>
    <row r="22" spans="1:13" x14ac:dyDescent="0.25">
      <c r="A22" s="38" t="s">
        <v>9867</v>
      </c>
      <c r="B22" s="38" t="s">
        <v>9846</v>
      </c>
      <c r="C22" s="38" t="s">
        <v>9846</v>
      </c>
      <c r="D22" s="38" t="s">
        <v>22</v>
      </c>
      <c r="E22" s="38" t="s">
        <v>9868</v>
      </c>
      <c r="F22" s="38" t="s">
        <v>9869</v>
      </c>
      <c r="G22" s="38" t="s">
        <v>22</v>
      </c>
      <c r="H22" s="38" t="s">
        <v>9870</v>
      </c>
      <c r="I22" s="38" t="s">
        <v>97</v>
      </c>
      <c r="J22" s="38" t="s">
        <v>9850</v>
      </c>
      <c r="K22" s="38" t="s">
        <v>465</v>
      </c>
      <c r="L22" s="38" t="s">
        <v>9817</v>
      </c>
      <c r="M22" s="100" t="s">
        <v>9851</v>
      </c>
    </row>
    <row r="23" spans="1:13" x14ac:dyDescent="0.25">
      <c r="A23" s="38" t="s">
        <v>9871</v>
      </c>
      <c r="B23" s="38" t="s">
        <v>9846</v>
      </c>
      <c r="C23" s="38" t="s">
        <v>9846</v>
      </c>
      <c r="D23" s="38" t="s">
        <v>21</v>
      </c>
      <c r="E23" s="38" t="s">
        <v>9872</v>
      </c>
      <c r="F23" s="38" t="s">
        <v>9873</v>
      </c>
      <c r="G23" s="38" t="s">
        <v>21</v>
      </c>
      <c r="H23" s="38" t="s">
        <v>9874</v>
      </c>
      <c r="I23" s="38" t="s">
        <v>97</v>
      </c>
      <c r="J23" s="38" t="s">
        <v>9850</v>
      </c>
      <c r="K23" s="38" t="s">
        <v>465</v>
      </c>
      <c r="L23" s="38" t="s">
        <v>9817</v>
      </c>
      <c r="M23" s="100" t="s">
        <v>9851</v>
      </c>
    </row>
    <row r="24" spans="1:13" x14ac:dyDescent="0.25">
      <c r="A24" s="38" t="s">
        <v>9875</v>
      </c>
      <c r="B24" s="38" t="s">
        <v>9846</v>
      </c>
      <c r="C24" s="38" t="s">
        <v>9846</v>
      </c>
      <c r="D24" s="38" t="s">
        <v>30</v>
      </c>
      <c r="E24" s="38" t="s">
        <v>9876</v>
      </c>
      <c r="F24" s="38" t="s">
        <v>9877</v>
      </c>
      <c r="G24" s="38" t="s">
        <v>30</v>
      </c>
      <c r="H24" s="38" t="s">
        <v>9878</v>
      </c>
      <c r="I24" s="38" t="s">
        <v>97</v>
      </c>
      <c r="J24" s="38" t="s">
        <v>9850</v>
      </c>
      <c r="K24" s="38" t="s">
        <v>465</v>
      </c>
      <c r="L24" s="38" t="s">
        <v>9817</v>
      </c>
      <c r="M24" s="100" t="s">
        <v>9851</v>
      </c>
    </row>
    <row r="25" spans="1:13" x14ac:dyDescent="0.25">
      <c r="A25" s="38" t="s">
        <v>9879</v>
      </c>
      <c r="B25" s="38" t="s">
        <v>9846</v>
      </c>
      <c r="C25" s="38" t="s">
        <v>9846</v>
      </c>
      <c r="D25" s="38" t="s">
        <v>28</v>
      </c>
      <c r="E25" s="38" t="s">
        <v>9880</v>
      </c>
      <c r="F25" s="38" t="s">
        <v>9881</v>
      </c>
      <c r="G25" s="38" t="s">
        <v>28</v>
      </c>
      <c r="H25" s="38" t="s">
        <v>9882</v>
      </c>
      <c r="I25" s="38" t="s">
        <v>97</v>
      </c>
      <c r="J25" s="38" t="s">
        <v>9850</v>
      </c>
      <c r="K25" s="38" t="s">
        <v>465</v>
      </c>
      <c r="L25" s="38" t="s">
        <v>9817</v>
      </c>
      <c r="M25" s="100" t="s">
        <v>9851</v>
      </c>
    </row>
    <row r="26" spans="1:13" x14ac:dyDescent="0.25">
      <c r="A26" s="38" t="s">
        <v>237</v>
      </c>
      <c r="B26" s="38" t="s">
        <v>9846</v>
      </c>
      <c r="C26" s="38" t="s">
        <v>9846</v>
      </c>
      <c r="D26" s="38" t="s">
        <v>25</v>
      </c>
      <c r="E26" s="38" t="s">
        <v>9883</v>
      </c>
      <c r="F26" s="38" t="s">
        <v>9884</v>
      </c>
      <c r="G26" s="38" t="s">
        <v>25</v>
      </c>
      <c r="H26" s="38" t="s">
        <v>9885</v>
      </c>
      <c r="I26" s="38" t="s">
        <v>97</v>
      </c>
      <c r="J26" s="38" t="s">
        <v>9850</v>
      </c>
      <c r="K26" s="38" t="s">
        <v>465</v>
      </c>
      <c r="L26" s="38" t="s">
        <v>9817</v>
      </c>
      <c r="M26" s="100" t="s">
        <v>9851</v>
      </c>
    </row>
    <row r="27" spans="1:13" x14ac:dyDescent="0.25">
      <c r="A27" s="38" t="s">
        <v>345</v>
      </c>
      <c r="B27" s="38" t="s">
        <v>9846</v>
      </c>
      <c r="C27" s="38" t="s">
        <v>9846</v>
      </c>
      <c r="D27" s="38" t="s">
        <v>32</v>
      </c>
      <c r="E27" s="38" t="s">
        <v>9886</v>
      </c>
      <c r="F27" s="38" t="s">
        <v>9887</v>
      </c>
      <c r="G27" s="38" t="s">
        <v>32</v>
      </c>
      <c r="H27" s="38" t="s">
        <v>9888</v>
      </c>
      <c r="I27" s="38" t="s">
        <v>97</v>
      </c>
      <c r="J27" s="38" t="s">
        <v>9850</v>
      </c>
      <c r="K27" s="38" t="s">
        <v>465</v>
      </c>
      <c r="L27" s="38" t="s">
        <v>9817</v>
      </c>
      <c r="M27" s="100" t="s">
        <v>9851</v>
      </c>
    </row>
    <row r="28" spans="1:13" x14ac:dyDescent="0.25">
      <c r="A28" s="38" t="s">
        <v>9889</v>
      </c>
      <c r="B28" s="38" t="s">
        <v>9846</v>
      </c>
      <c r="C28" s="38" t="s">
        <v>9846</v>
      </c>
      <c r="D28" s="38" t="s">
        <v>26</v>
      </c>
      <c r="E28" s="38" t="s">
        <v>9890</v>
      </c>
      <c r="F28" s="38" t="s">
        <v>9891</v>
      </c>
      <c r="G28" s="38" t="s">
        <v>26</v>
      </c>
      <c r="H28" s="38" t="s">
        <v>9892</v>
      </c>
      <c r="I28" s="38" t="s">
        <v>97</v>
      </c>
      <c r="J28" s="38" t="s">
        <v>9850</v>
      </c>
      <c r="K28" s="38" t="s">
        <v>465</v>
      </c>
      <c r="L28" s="38" t="s">
        <v>9817</v>
      </c>
      <c r="M28" s="100" t="s">
        <v>9851</v>
      </c>
    </row>
    <row r="29" spans="1:13" x14ac:dyDescent="0.25">
      <c r="A29" s="38" t="s">
        <v>9893</v>
      </c>
      <c r="B29" s="38" t="s">
        <v>9846</v>
      </c>
      <c r="C29" s="38" t="s">
        <v>9846</v>
      </c>
      <c r="D29" s="38" t="s">
        <v>31</v>
      </c>
      <c r="E29" s="38" t="s">
        <v>9894</v>
      </c>
      <c r="F29" s="38" t="s">
        <v>9895</v>
      </c>
      <c r="G29" s="38" t="s">
        <v>31</v>
      </c>
      <c r="H29" s="38" t="s">
        <v>9896</v>
      </c>
      <c r="I29" s="38" t="s">
        <v>97</v>
      </c>
      <c r="J29" s="38" t="s">
        <v>9850</v>
      </c>
      <c r="K29" s="38" t="s">
        <v>465</v>
      </c>
      <c r="L29" s="38" t="s">
        <v>9817</v>
      </c>
      <c r="M29" s="100" t="s">
        <v>9851</v>
      </c>
    </row>
    <row r="30" spans="1:13" x14ac:dyDescent="0.25">
      <c r="A30" s="38" t="s">
        <v>9897</v>
      </c>
      <c r="B30" s="38" t="s">
        <v>9898</v>
      </c>
      <c r="C30" s="38" t="s">
        <v>9898</v>
      </c>
      <c r="D30" s="38" t="s">
        <v>33</v>
      </c>
      <c r="E30" s="38" t="s">
        <v>97</v>
      </c>
      <c r="F30" s="38" t="s">
        <v>9898</v>
      </c>
      <c r="G30" s="38" t="s">
        <v>9898</v>
      </c>
      <c r="H30" s="38" t="s">
        <v>9898</v>
      </c>
      <c r="I30" s="38" t="s">
        <v>97</v>
      </c>
      <c r="J30" s="38" t="s">
        <v>9899</v>
      </c>
      <c r="K30" s="38" t="s">
        <v>470</v>
      </c>
      <c r="L30" s="38" t="s">
        <v>9817</v>
      </c>
      <c r="M30" s="100" t="s">
        <v>9900</v>
      </c>
    </row>
    <row r="31" spans="1:13" x14ac:dyDescent="0.25">
      <c r="A31" s="38" t="s">
        <v>111</v>
      </c>
      <c r="B31" s="38" t="s">
        <v>9901</v>
      </c>
      <c r="C31" s="38" t="s">
        <v>9901</v>
      </c>
      <c r="D31" s="38" t="s">
        <v>34</v>
      </c>
      <c r="E31" s="38" t="s">
        <v>9902</v>
      </c>
      <c r="F31" s="38" t="s">
        <v>34</v>
      </c>
      <c r="G31" s="38" t="s">
        <v>34</v>
      </c>
      <c r="H31" s="38" t="s">
        <v>9903</v>
      </c>
      <c r="I31" s="38" t="s">
        <v>97</v>
      </c>
      <c r="J31" s="38" t="s">
        <v>9904</v>
      </c>
      <c r="K31" s="38" t="s">
        <v>468</v>
      </c>
      <c r="L31" s="38" t="s">
        <v>9817</v>
      </c>
      <c r="M31" s="100" t="s">
        <v>9905</v>
      </c>
    </row>
    <row r="32" spans="1:13" x14ac:dyDescent="0.25">
      <c r="A32" s="38" t="s">
        <v>9906</v>
      </c>
      <c r="B32" s="38" t="s">
        <v>9901</v>
      </c>
      <c r="C32" s="38" t="s">
        <v>9901</v>
      </c>
      <c r="D32" s="38" t="s">
        <v>19</v>
      </c>
      <c r="E32" s="38" t="s">
        <v>9907</v>
      </c>
      <c r="F32" s="38" t="s">
        <v>19</v>
      </c>
      <c r="G32" s="38" t="s">
        <v>19</v>
      </c>
      <c r="H32" s="38" t="s">
        <v>9908</v>
      </c>
      <c r="I32" s="38" t="s">
        <v>97</v>
      </c>
      <c r="J32" s="38" t="s">
        <v>9904</v>
      </c>
      <c r="K32" s="38" t="s">
        <v>468</v>
      </c>
      <c r="L32" s="38" t="s">
        <v>9817</v>
      </c>
      <c r="M32" s="100" t="s">
        <v>9905</v>
      </c>
    </row>
    <row r="33" spans="8:8" x14ac:dyDescent="0.25">
      <c r="H33" s="38"/>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theme="2" tint="-9.9978637043366805E-2"/>
  </sheetPr>
  <dimension ref="A1:B21"/>
  <sheetViews>
    <sheetView workbookViewId="0">
      <selection activeCell="G23" sqref="G23"/>
    </sheetView>
  </sheetViews>
  <sheetFormatPr defaultColWidth="11.42578125" defaultRowHeight="15" x14ac:dyDescent="0.25"/>
  <cols>
    <col min="1" max="1" width="14.140625" style="100" bestFit="1" customWidth="1"/>
    <col min="2" max="2" width="9" style="100" bestFit="1" customWidth="1"/>
  </cols>
  <sheetData>
    <row r="1" spans="1:2" x14ac:dyDescent="0.25">
      <c r="A1" s="99" t="s">
        <v>9909</v>
      </c>
      <c r="B1" s="100" t="s">
        <v>9910</v>
      </c>
    </row>
    <row r="2" spans="1:2" x14ac:dyDescent="0.25">
      <c r="A2" s="100" t="b">
        <v>0</v>
      </c>
      <c r="B2" s="100" t="str">
        <f>DEC2HEX(HEX2DEC("0"),8)</f>
        <v>00000000</v>
      </c>
    </row>
    <row r="3" spans="1:2" x14ac:dyDescent="0.25">
      <c r="A3" s="100" t="b">
        <v>1</v>
      </c>
      <c r="B3" s="100" t="str">
        <f>DEC2HEX(HEX2DEC("1"),8)</f>
        <v>00000001</v>
      </c>
    </row>
    <row r="5" spans="1:2" x14ac:dyDescent="0.25">
      <c r="A5" s="99" t="s">
        <v>9911</v>
      </c>
      <c r="B5" s="100" t="s">
        <v>9910</v>
      </c>
    </row>
    <row r="6" spans="1:2" x14ac:dyDescent="0.25">
      <c r="A6" s="100" t="s">
        <v>68</v>
      </c>
      <c r="B6" s="100" t="str">
        <f>DEC2HEX(HEX2DEC("0"),8)</f>
        <v>00000000</v>
      </c>
    </row>
    <row r="7" spans="1:2" x14ac:dyDescent="0.25">
      <c r="A7" s="100" t="s">
        <v>69</v>
      </c>
      <c r="B7" s="100" t="str">
        <f>DEC2HEX(HEX2DEC("1"),8)</f>
        <v>00000001</v>
      </c>
    </row>
    <row r="8" spans="1:2" x14ac:dyDescent="0.25">
      <c r="A8" s="100" t="s">
        <v>58</v>
      </c>
      <c r="B8" s="100" t="str">
        <f>DEC2HEX(HEX2DEC("FF"),8)</f>
        <v>000000FF</v>
      </c>
    </row>
    <row r="10" spans="1:2" x14ac:dyDescent="0.25">
      <c r="A10" s="99" t="s">
        <v>9912</v>
      </c>
      <c r="B10" s="100" t="s">
        <v>9910</v>
      </c>
    </row>
    <row r="11" spans="1:2" x14ac:dyDescent="0.25">
      <c r="A11" s="100" t="s">
        <v>71</v>
      </c>
      <c r="B11" s="100" t="str">
        <f>DEC2HEX(HEX2DEC("0"),8)</f>
        <v>00000000</v>
      </c>
    </row>
    <row r="12" spans="1:2" x14ac:dyDescent="0.25">
      <c r="A12" s="100" t="s">
        <v>9913</v>
      </c>
      <c r="B12" s="100" t="str">
        <f>DEC2HEX(HEX2DEC("10"),8)</f>
        <v>00000010</v>
      </c>
    </row>
    <row r="13" spans="1:2" x14ac:dyDescent="0.25">
      <c r="A13" s="100" t="s">
        <v>176</v>
      </c>
      <c r="B13" s="100" t="str">
        <f>DEC2HEX(HEX2DEC("30"),8)</f>
        <v>00000030</v>
      </c>
    </row>
    <row r="14" spans="1:2" x14ac:dyDescent="0.25">
      <c r="A14" s="100" t="s">
        <v>177</v>
      </c>
      <c r="B14" s="100" t="str">
        <f>DEC2HEX(HEX2DEC("40"),8)</f>
        <v>00000040</v>
      </c>
    </row>
    <row r="15" spans="1:2" x14ac:dyDescent="0.25">
      <c r="A15" s="100" t="s">
        <v>178</v>
      </c>
      <c r="B15" s="100" t="str">
        <f>DEC2HEX(HEX2DEC("80"),8)</f>
        <v>00000080</v>
      </c>
    </row>
    <row r="16" spans="1:2" x14ac:dyDescent="0.25">
      <c r="A16" s="100" t="s">
        <v>179</v>
      </c>
      <c r="B16" s="100" t="str">
        <f>DEC2HEX(HEX2DEC("C0"),8)</f>
        <v>000000C0</v>
      </c>
    </row>
    <row r="17" spans="1:2" x14ac:dyDescent="0.25">
      <c r="A17" s="100" t="s">
        <v>180</v>
      </c>
      <c r="B17" s="100" t="str">
        <f>DEC2HEX(HEX2DEC("100"),8)</f>
        <v>00000100</v>
      </c>
    </row>
    <row r="18" spans="1:2" x14ac:dyDescent="0.25">
      <c r="A18" s="100" t="s">
        <v>9914</v>
      </c>
      <c r="B18" s="100" t="str">
        <f>DEC2HEX(HEX2DEC("140"),8)</f>
        <v>00000140</v>
      </c>
    </row>
    <row r="19" spans="1:2" x14ac:dyDescent="0.25">
      <c r="A19" s="100" t="s">
        <v>9915</v>
      </c>
      <c r="B19" s="100" t="str">
        <f>DEC2HEX(HEX2DEC("150"),8)</f>
        <v>00000150</v>
      </c>
    </row>
    <row r="20" spans="1:2" x14ac:dyDescent="0.25">
      <c r="A20" s="100" t="s">
        <v>412</v>
      </c>
      <c r="B20" s="100" t="str">
        <f>DEC2HEX(HEX2DEC("180"),8)</f>
        <v>00000180</v>
      </c>
    </row>
    <row r="21" spans="1:2" x14ac:dyDescent="0.25">
      <c r="A21" s="100" t="s">
        <v>9916</v>
      </c>
      <c r="B21" s="100" t="str">
        <f>DEC2HEX(HEX2DEC("1A0"),8)</f>
        <v>000001A0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6228"/>
  <sheetViews>
    <sheetView workbookViewId="0"/>
  </sheetViews>
  <sheetFormatPr defaultRowHeight="15" x14ac:dyDescent="0.25"/>
  <sheetData>
    <row r="1" spans="1:2" x14ac:dyDescent="0.25">
      <c r="A1" t="s">
        <v>9917</v>
      </c>
      <c r="B1" t="s">
        <v>50</v>
      </c>
    </row>
    <row r="2" spans="1:2" x14ac:dyDescent="0.25">
      <c r="A2" t="s">
        <v>2233</v>
      </c>
      <c r="B2" t="s">
        <v>9918</v>
      </c>
    </row>
    <row r="3" spans="1:2" x14ac:dyDescent="0.25">
      <c r="A3" t="s">
        <v>496</v>
      </c>
      <c r="B3" t="s">
        <v>9919</v>
      </c>
    </row>
    <row r="4" spans="1:2" x14ac:dyDescent="0.25">
      <c r="A4" t="s">
        <v>1297</v>
      </c>
      <c r="B4" t="s">
        <v>9920</v>
      </c>
    </row>
    <row r="5" spans="1:2" x14ac:dyDescent="0.25">
      <c r="A5" t="s">
        <v>1300</v>
      </c>
      <c r="B5" t="s">
        <v>9921</v>
      </c>
    </row>
    <row r="6" spans="1:2" x14ac:dyDescent="0.25">
      <c r="A6" t="s">
        <v>1302</v>
      </c>
      <c r="B6" t="s">
        <v>9922</v>
      </c>
    </row>
    <row r="7" spans="1:2" x14ac:dyDescent="0.25">
      <c r="A7" t="s">
        <v>1304</v>
      </c>
      <c r="B7" t="s">
        <v>9923</v>
      </c>
    </row>
    <row r="8" spans="1:2" x14ac:dyDescent="0.25">
      <c r="A8" t="s">
        <v>1307</v>
      </c>
      <c r="B8" t="s">
        <v>9924</v>
      </c>
    </row>
    <row r="9" spans="1:2" x14ac:dyDescent="0.25">
      <c r="A9" t="s">
        <v>1309</v>
      </c>
      <c r="B9" t="s">
        <v>9925</v>
      </c>
    </row>
    <row r="10" spans="1:2" x14ac:dyDescent="0.25">
      <c r="A10" t="s">
        <v>2311</v>
      </c>
      <c r="B10" t="s">
        <v>9926</v>
      </c>
    </row>
    <row r="11" spans="1:2" x14ac:dyDescent="0.25">
      <c r="A11" t="s">
        <v>518</v>
      </c>
      <c r="B11" t="s">
        <v>9927</v>
      </c>
    </row>
    <row r="12" spans="1:2" x14ac:dyDescent="0.25">
      <c r="A12" t="s">
        <v>521</v>
      </c>
      <c r="B12" t="s">
        <v>9928</v>
      </c>
    </row>
    <row r="13" spans="1:2" x14ac:dyDescent="0.25">
      <c r="A13" t="s">
        <v>523</v>
      </c>
      <c r="B13" t="s">
        <v>9929</v>
      </c>
    </row>
    <row r="14" spans="1:2" x14ac:dyDescent="0.25">
      <c r="A14" t="s">
        <v>525</v>
      </c>
      <c r="B14" t="s">
        <v>9930</v>
      </c>
    </row>
    <row r="15" spans="1:2" x14ac:dyDescent="0.25">
      <c r="A15" t="s">
        <v>527</v>
      </c>
      <c r="B15" t="s">
        <v>9931</v>
      </c>
    </row>
    <row r="16" spans="1:2" x14ac:dyDescent="0.25">
      <c r="A16" t="s">
        <v>529</v>
      </c>
      <c r="B16" t="s">
        <v>9932</v>
      </c>
    </row>
    <row r="17" spans="1:2" x14ac:dyDescent="0.25">
      <c r="A17" t="s">
        <v>531</v>
      </c>
      <c r="B17" t="s">
        <v>9933</v>
      </c>
    </row>
    <row r="18" spans="1:2" x14ac:dyDescent="0.25">
      <c r="A18" t="s">
        <v>533</v>
      </c>
      <c r="B18" t="s">
        <v>9934</v>
      </c>
    </row>
    <row r="19" spans="1:2" x14ac:dyDescent="0.25">
      <c r="A19" t="s">
        <v>535</v>
      </c>
      <c r="B19" t="s">
        <v>9935</v>
      </c>
    </row>
    <row r="20" spans="1:2" x14ac:dyDescent="0.25">
      <c r="A20" t="s">
        <v>537</v>
      </c>
      <c r="B20" t="s">
        <v>9936</v>
      </c>
    </row>
    <row r="21" spans="1:2" x14ac:dyDescent="0.25">
      <c r="A21" t="s">
        <v>540</v>
      </c>
      <c r="B21" t="s">
        <v>9937</v>
      </c>
    </row>
    <row r="22" spans="1:2" x14ac:dyDescent="0.25">
      <c r="A22" t="s">
        <v>542</v>
      </c>
      <c r="B22" t="s">
        <v>9938</v>
      </c>
    </row>
    <row r="23" spans="1:2" x14ac:dyDescent="0.25">
      <c r="A23" t="s">
        <v>544</v>
      </c>
      <c r="B23" t="s">
        <v>9939</v>
      </c>
    </row>
    <row r="24" spans="1:2" x14ac:dyDescent="0.25">
      <c r="A24" t="s">
        <v>1337</v>
      </c>
      <c r="B24" t="s">
        <v>9940</v>
      </c>
    </row>
    <row r="25" spans="1:2" x14ac:dyDescent="0.25">
      <c r="A25" t="s">
        <v>548</v>
      </c>
      <c r="B25" t="s">
        <v>9941</v>
      </c>
    </row>
    <row r="26" spans="1:2" x14ac:dyDescent="0.25">
      <c r="A26" t="s">
        <v>3177</v>
      </c>
      <c r="B26" t="s">
        <v>9942</v>
      </c>
    </row>
    <row r="27" spans="1:2" x14ac:dyDescent="0.25">
      <c r="A27" t="s">
        <v>1339</v>
      </c>
      <c r="B27" t="s">
        <v>9943</v>
      </c>
    </row>
    <row r="28" spans="1:2" x14ac:dyDescent="0.25">
      <c r="A28" t="s">
        <v>1341</v>
      </c>
      <c r="B28" t="s">
        <v>9944</v>
      </c>
    </row>
    <row r="29" spans="1:2" x14ac:dyDescent="0.25">
      <c r="A29" t="s">
        <v>1343</v>
      </c>
      <c r="B29" t="s">
        <v>9945</v>
      </c>
    </row>
    <row r="30" spans="1:2" x14ac:dyDescent="0.25">
      <c r="A30" t="s">
        <v>6134</v>
      </c>
      <c r="B30" t="s">
        <v>9946</v>
      </c>
    </row>
    <row r="31" spans="1:2" x14ac:dyDescent="0.25">
      <c r="A31" t="s">
        <v>550</v>
      </c>
      <c r="B31" t="s">
        <v>9947</v>
      </c>
    </row>
    <row r="32" spans="1:2" x14ac:dyDescent="0.25">
      <c r="A32" t="s">
        <v>553</v>
      </c>
      <c r="B32" t="s">
        <v>9948</v>
      </c>
    </row>
    <row r="33" spans="1:2" x14ac:dyDescent="0.25">
      <c r="A33" t="s">
        <v>555</v>
      </c>
      <c r="B33" t="s">
        <v>9949</v>
      </c>
    </row>
    <row r="34" spans="1:2" x14ac:dyDescent="0.25">
      <c r="A34" t="s">
        <v>558</v>
      </c>
      <c r="B34" t="s">
        <v>9950</v>
      </c>
    </row>
    <row r="35" spans="1:2" x14ac:dyDescent="0.25">
      <c r="A35" t="s">
        <v>561</v>
      </c>
      <c r="B35" t="s">
        <v>9951</v>
      </c>
    </row>
    <row r="36" spans="1:2" x14ac:dyDescent="0.25">
      <c r="A36" t="s">
        <v>2416</v>
      </c>
      <c r="B36" t="s">
        <v>9952</v>
      </c>
    </row>
    <row r="37" spans="1:2" x14ac:dyDescent="0.25">
      <c r="A37" t="s">
        <v>1345</v>
      </c>
      <c r="B37" t="s">
        <v>9953</v>
      </c>
    </row>
    <row r="38" spans="1:2" x14ac:dyDescent="0.25">
      <c r="A38" t="s">
        <v>1347</v>
      </c>
      <c r="B38" t="s">
        <v>9954</v>
      </c>
    </row>
    <row r="39" spans="1:2" x14ac:dyDescent="0.25">
      <c r="A39" t="s">
        <v>1349</v>
      </c>
      <c r="B39" t="s">
        <v>9955</v>
      </c>
    </row>
    <row r="40" spans="1:2" x14ac:dyDescent="0.25">
      <c r="A40" t="s">
        <v>2252</v>
      </c>
      <c r="B40" t="s">
        <v>9956</v>
      </c>
    </row>
    <row r="41" spans="1:2" x14ac:dyDescent="0.25">
      <c r="A41" t="s">
        <v>2254</v>
      </c>
      <c r="B41" t="s">
        <v>9957</v>
      </c>
    </row>
    <row r="42" spans="1:2" x14ac:dyDescent="0.25">
      <c r="A42" t="s">
        <v>2256</v>
      </c>
      <c r="B42" t="s">
        <v>9958</v>
      </c>
    </row>
    <row r="43" spans="1:2" x14ac:dyDescent="0.25">
      <c r="A43" t="s">
        <v>577</v>
      </c>
      <c r="B43" t="s">
        <v>9959</v>
      </c>
    </row>
    <row r="44" spans="1:2" x14ac:dyDescent="0.25">
      <c r="A44" t="s">
        <v>580</v>
      </c>
      <c r="B44" t="s">
        <v>9960</v>
      </c>
    </row>
    <row r="45" spans="1:2" x14ac:dyDescent="0.25">
      <c r="A45" t="s">
        <v>582</v>
      </c>
      <c r="B45" t="s">
        <v>9961</v>
      </c>
    </row>
    <row r="46" spans="1:2" x14ac:dyDescent="0.25">
      <c r="A46" t="s">
        <v>586</v>
      </c>
      <c r="B46" t="s">
        <v>9962</v>
      </c>
    </row>
    <row r="47" spans="1:2" x14ac:dyDescent="0.25">
      <c r="A47" t="s">
        <v>588</v>
      </c>
      <c r="B47" t="s">
        <v>9963</v>
      </c>
    </row>
    <row r="48" spans="1:2" x14ac:dyDescent="0.25">
      <c r="A48" t="s">
        <v>1353</v>
      </c>
      <c r="B48" t="s">
        <v>9964</v>
      </c>
    </row>
    <row r="49" spans="1:2" x14ac:dyDescent="0.25">
      <c r="A49" t="s">
        <v>2331</v>
      </c>
      <c r="B49" t="s">
        <v>9965</v>
      </c>
    </row>
    <row r="50" spans="1:2" x14ac:dyDescent="0.25">
      <c r="A50" t="s">
        <v>590</v>
      </c>
      <c r="B50" t="s">
        <v>9966</v>
      </c>
    </row>
    <row r="51" spans="1:2" x14ac:dyDescent="0.25">
      <c r="A51" t="s">
        <v>593</v>
      </c>
      <c r="B51" t="s">
        <v>9967</v>
      </c>
    </row>
    <row r="52" spans="1:2" x14ac:dyDescent="0.25">
      <c r="A52" t="s">
        <v>595</v>
      </c>
      <c r="B52" t="s">
        <v>9968</v>
      </c>
    </row>
    <row r="53" spans="1:2" x14ac:dyDescent="0.25">
      <c r="A53" t="s">
        <v>598</v>
      </c>
      <c r="B53" t="s">
        <v>9969</v>
      </c>
    </row>
    <row r="54" spans="1:2" x14ac:dyDescent="0.25">
      <c r="A54" t="s">
        <v>2266</v>
      </c>
      <c r="B54" t="s">
        <v>9970</v>
      </c>
    </row>
    <row r="55" spans="1:2" x14ac:dyDescent="0.25">
      <c r="A55" t="s">
        <v>601</v>
      </c>
      <c r="B55" t="s">
        <v>9971</v>
      </c>
    </row>
    <row r="56" spans="1:2" x14ac:dyDescent="0.25">
      <c r="A56" t="s">
        <v>603</v>
      </c>
      <c r="B56" t="s">
        <v>9972</v>
      </c>
    </row>
    <row r="57" spans="1:2" x14ac:dyDescent="0.25">
      <c r="A57" t="s">
        <v>606</v>
      </c>
      <c r="B57" t="s">
        <v>9973</v>
      </c>
    </row>
    <row r="58" spans="1:2" x14ac:dyDescent="0.25">
      <c r="A58" t="s">
        <v>2521</v>
      </c>
      <c r="B58" t="s">
        <v>9974</v>
      </c>
    </row>
    <row r="59" spans="1:2" x14ac:dyDescent="0.25">
      <c r="A59" t="s">
        <v>2268</v>
      </c>
      <c r="B59" t="s">
        <v>9975</v>
      </c>
    </row>
    <row r="60" spans="1:2" x14ac:dyDescent="0.25">
      <c r="A60" t="s">
        <v>2270</v>
      </c>
      <c r="B60" t="s">
        <v>9976</v>
      </c>
    </row>
    <row r="61" spans="1:2" x14ac:dyDescent="0.25">
      <c r="A61" t="s">
        <v>2274</v>
      </c>
      <c r="B61" t="s">
        <v>9977</v>
      </c>
    </row>
    <row r="62" spans="1:2" x14ac:dyDescent="0.25">
      <c r="A62" t="s">
        <v>2277</v>
      </c>
      <c r="B62" t="s">
        <v>9978</v>
      </c>
    </row>
    <row r="63" spans="1:2" x14ac:dyDescent="0.25">
      <c r="A63" t="s">
        <v>2434</v>
      </c>
      <c r="B63" t="s">
        <v>9979</v>
      </c>
    </row>
    <row r="64" spans="1:2" x14ac:dyDescent="0.25">
      <c r="A64" t="s">
        <v>2436</v>
      </c>
      <c r="B64" t="s">
        <v>9980</v>
      </c>
    </row>
    <row r="65" spans="1:2" x14ac:dyDescent="0.25">
      <c r="A65" t="s">
        <v>610</v>
      </c>
      <c r="B65" t="s">
        <v>9981</v>
      </c>
    </row>
    <row r="66" spans="1:2" x14ac:dyDescent="0.25">
      <c r="A66" t="s">
        <v>612</v>
      </c>
      <c r="B66" t="s">
        <v>9982</v>
      </c>
    </row>
    <row r="67" spans="1:2" x14ac:dyDescent="0.25">
      <c r="A67" t="s">
        <v>614</v>
      </c>
      <c r="B67" t="s">
        <v>9983</v>
      </c>
    </row>
    <row r="68" spans="1:2" x14ac:dyDescent="0.25">
      <c r="A68" t="s">
        <v>2440</v>
      </c>
      <c r="B68" t="s">
        <v>9984</v>
      </c>
    </row>
    <row r="69" spans="1:2" x14ac:dyDescent="0.25">
      <c r="A69" t="s">
        <v>1359</v>
      </c>
      <c r="B69" t="s">
        <v>9985</v>
      </c>
    </row>
    <row r="70" spans="1:2" x14ac:dyDescent="0.25">
      <c r="A70" t="s">
        <v>616</v>
      </c>
      <c r="B70" t="s">
        <v>9986</v>
      </c>
    </row>
    <row r="71" spans="1:2" x14ac:dyDescent="0.25">
      <c r="A71" t="s">
        <v>620</v>
      </c>
      <c r="B71" t="s">
        <v>9987</v>
      </c>
    </row>
    <row r="72" spans="1:2" x14ac:dyDescent="0.25">
      <c r="A72" t="s">
        <v>623</v>
      </c>
      <c r="B72" t="s">
        <v>9988</v>
      </c>
    </row>
    <row r="73" spans="1:2" x14ac:dyDescent="0.25">
      <c r="A73" t="s">
        <v>625</v>
      </c>
      <c r="B73" t="s">
        <v>9989</v>
      </c>
    </row>
    <row r="74" spans="1:2" x14ac:dyDescent="0.25">
      <c r="A74" t="s">
        <v>630</v>
      </c>
      <c r="B74" t="s">
        <v>9990</v>
      </c>
    </row>
    <row r="75" spans="1:2" x14ac:dyDescent="0.25">
      <c r="A75" t="s">
        <v>632</v>
      </c>
      <c r="B75" t="s">
        <v>9991</v>
      </c>
    </row>
    <row r="76" spans="1:2" x14ac:dyDescent="0.25">
      <c r="A76" t="s">
        <v>634</v>
      </c>
      <c r="B76" t="s">
        <v>9992</v>
      </c>
    </row>
    <row r="77" spans="1:2" x14ac:dyDescent="0.25">
      <c r="A77" t="s">
        <v>636</v>
      </c>
      <c r="B77" t="s">
        <v>9993</v>
      </c>
    </row>
    <row r="78" spans="1:2" x14ac:dyDescent="0.25">
      <c r="A78" t="s">
        <v>638</v>
      </c>
      <c r="B78" t="s">
        <v>9994</v>
      </c>
    </row>
    <row r="79" spans="1:2" x14ac:dyDescent="0.25">
      <c r="A79" t="s">
        <v>640</v>
      </c>
      <c r="B79" t="s">
        <v>9995</v>
      </c>
    </row>
    <row r="80" spans="1:2" x14ac:dyDescent="0.25">
      <c r="A80" t="s">
        <v>642</v>
      </c>
      <c r="B80" t="s">
        <v>9996</v>
      </c>
    </row>
    <row r="81" spans="1:2" x14ac:dyDescent="0.25">
      <c r="A81" t="s">
        <v>644</v>
      </c>
      <c r="B81" t="s">
        <v>9997</v>
      </c>
    </row>
    <row r="82" spans="1:2" x14ac:dyDescent="0.25">
      <c r="A82" t="s">
        <v>646</v>
      </c>
      <c r="B82" t="s">
        <v>9998</v>
      </c>
    </row>
    <row r="83" spans="1:2" x14ac:dyDescent="0.25">
      <c r="A83" t="s">
        <v>676</v>
      </c>
      <c r="B83" t="s">
        <v>9999</v>
      </c>
    </row>
    <row r="84" spans="1:2" x14ac:dyDescent="0.25">
      <c r="A84" t="s">
        <v>681</v>
      </c>
      <c r="B84" t="s">
        <v>10000</v>
      </c>
    </row>
    <row r="85" spans="1:2" x14ac:dyDescent="0.25">
      <c r="A85" t="s">
        <v>684</v>
      </c>
      <c r="B85" t="s">
        <v>10001</v>
      </c>
    </row>
    <row r="86" spans="1:2" x14ac:dyDescent="0.25">
      <c r="A86" t="s">
        <v>2538</v>
      </c>
      <c r="B86" t="s">
        <v>10002</v>
      </c>
    </row>
    <row r="87" spans="1:2" x14ac:dyDescent="0.25">
      <c r="A87" t="s">
        <v>2233</v>
      </c>
      <c r="B87" t="s">
        <v>198</v>
      </c>
    </row>
    <row r="88" spans="1:2" x14ac:dyDescent="0.25">
      <c r="A88" t="s">
        <v>2298</v>
      </c>
      <c r="B88" t="s">
        <v>202</v>
      </c>
    </row>
    <row r="89" spans="1:2" x14ac:dyDescent="0.25">
      <c r="A89" t="s">
        <v>2300</v>
      </c>
      <c r="B89" t="s">
        <v>207</v>
      </c>
    </row>
    <row r="90" spans="1:2" x14ac:dyDescent="0.25">
      <c r="A90" t="s">
        <v>479</v>
      </c>
      <c r="B90" t="s">
        <v>209</v>
      </c>
    </row>
    <row r="91" spans="1:2" x14ac:dyDescent="0.25">
      <c r="A91" t="s">
        <v>483</v>
      </c>
      <c r="B91" t="s">
        <v>211</v>
      </c>
    </row>
    <row r="92" spans="1:2" x14ac:dyDescent="0.25">
      <c r="A92" t="s">
        <v>487</v>
      </c>
      <c r="B92" t="s">
        <v>212</v>
      </c>
    </row>
    <row r="93" spans="1:2" x14ac:dyDescent="0.25">
      <c r="A93" t="s">
        <v>491</v>
      </c>
      <c r="B93" t="s">
        <v>213</v>
      </c>
    </row>
    <row r="94" spans="1:2" x14ac:dyDescent="0.25">
      <c r="A94" t="s">
        <v>494</v>
      </c>
      <c r="B94" t="s">
        <v>215</v>
      </c>
    </row>
    <row r="95" spans="1:2" x14ac:dyDescent="0.25">
      <c r="A95" t="s">
        <v>496</v>
      </c>
      <c r="B95" t="s">
        <v>216</v>
      </c>
    </row>
    <row r="96" spans="1:2" x14ac:dyDescent="0.25">
      <c r="A96" t="s">
        <v>1297</v>
      </c>
      <c r="B96" t="s">
        <v>217</v>
      </c>
    </row>
    <row r="97" spans="1:2" x14ac:dyDescent="0.25">
      <c r="A97" t="s">
        <v>1300</v>
      </c>
      <c r="B97" t="s">
        <v>219</v>
      </c>
    </row>
    <row r="98" spans="1:2" x14ac:dyDescent="0.25">
      <c r="A98" t="s">
        <v>1302</v>
      </c>
      <c r="B98" t="s">
        <v>220</v>
      </c>
    </row>
    <row r="99" spans="1:2" x14ac:dyDescent="0.25">
      <c r="A99" t="s">
        <v>1304</v>
      </c>
      <c r="B99" t="s">
        <v>10003</v>
      </c>
    </row>
    <row r="100" spans="1:2" x14ac:dyDescent="0.25">
      <c r="A100" t="s">
        <v>1307</v>
      </c>
      <c r="B100" t="s">
        <v>10004</v>
      </c>
    </row>
    <row r="101" spans="1:2" x14ac:dyDescent="0.25">
      <c r="A101" t="s">
        <v>1309</v>
      </c>
      <c r="B101" t="s">
        <v>10005</v>
      </c>
    </row>
    <row r="102" spans="1:2" x14ac:dyDescent="0.25">
      <c r="A102" t="s">
        <v>2311</v>
      </c>
      <c r="B102" t="s">
        <v>10006</v>
      </c>
    </row>
    <row r="103" spans="1:2" x14ac:dyDescent="0.25">
      <c r="A103" t="s">
        <v>498</v>
      </c>
      <c r="B103" t="s">
        <v>10007</v>
      </c>
    </row>
    <row r="104" spans="1:2" x14ac:dyDescent="0.25">
      <c r="A104" t="s">
        <v>500</v>
      </c>
      <c r="B104" t="s">
        <v>10008</v>
      </c>
    </row>
    <row r="105" spans="1:2" x14ac:dyDescent="0.25">
      <c r="A105" t="s">
        <v>2239</v>
      </c>
      <c r="B105" t="s">
        <v>10009</v>
      </c>
    </row>
    <row r="106" spans="1:2" x14ac:dyDescent="0.25">
      <c r="A106" t="s">
        <v>1316</v>
      </c>
      <c r="B106" t="s">
        <v>10010</v>
      </c>
    </row>
    <row r="107" spans="1:2" x14ac:dyDescent="0.25">
      <c r="A107" t="s">
        <v>502</v>
      </c>
      <c r="B107" t="s">
        <v>10011</v>
      </c>
    </row>
    <row r="108" spans="1:2" x14ac:dyDescent="0.25">
      <c r="A108" t="s">
        <v>506</v>
      </c>
      <c r="B108" t="s">
        <v>10012</v>
      </c>
    </row>
    <row r="109" spans="1:2" x14ac:dyDescent="0.25">
      <c r="A109" t="s">
        <v>510</v>
      </c>
      <c r="B109" t="s">
        <v>10013</v>
      </c>
    </row>
    <row r="110" spans="1:2" x14ac:dyDescent="0.25">
      <c r="A110" t="s">
        <v>514</v>
      </c>
      <c r="B110" t="s">
        <v>10014</v>
      </c>
    </row>
    <row r="111" spans="1:2" x14ac:dyDescent="0.25">
      <c r="A111" t="s">
        <v>518</v>
      </c>
      <c r="B111" t="s">
        <v>10015</v>
      </c>
    </row>
    <row r="112" spans="1:2" x14ac:dyDescent="0.25">
      <c r="A112" t="s">
        <v>521</v>
      </c>
      <c r="B112" t="s">
        <v>10016</v>
      </c>
    </row>
    <row r="113" spans="1:2" x14ac:dyDescent="0.25">
      <c r="A113" t="s">
        <v>523</v>
      </c>
      <c r="B113" t="s">
        <v>10017</v>
      </c>
    </row>
    <row r="114" spans="1:2" x14ac:dyDescent="0.25">
      <c r="A114" t="s">
        <v>527</v>
      </c>
      <c r="B114" t="s">
        <v>10018</v>
      </c>
    </row>
    <row r="115" spans="1:2" x14ac:dyDescent="0.25">
      <c r="A115" t="s">
        <v>529</v>
      </c>
      <c r="B115" t="s">
        <v>10019</v>
      </c>
    </row>
    <row r="116" spans="1:2" x14ac:dyDescent="0.25">
      <c r="A116" t="s">
        <v>531</v>
      </c>
      <c r="B116" t="s">
        <v>10020</v>
      </c>
    </row>
    <row r="117" spans="1:2" x14ac:dyDescent="0.25">
      <c r="A117" t="s">
        <v>533</v>
      </c>
      <c r="B117" t="s">
        <v>10021</v>
      </c>
    </row>
    <row r="118" spans="1:2" x14ac:dyDescent="0.25">
      <c r="A118" t="s">
        <v>535</v>
      </c>
      <c r="B118" t="s">
        <v>10022</v>
      </c>
    </row>
    <row r="119" spans="1:2" x14ac:dyDescent="0.25">
      <c r="A119" t="s">
        <v>537</v>
      </c>
      <c r="B119" t="s">
        <v>10023</v>
      </c>
    </row>
    <row r="120" spans="1:2" x14ac:dyDescent="0.25">
      <c r="A120" t="s">
        <v>540</v>
      </c>
      <c r="B120" t="s">
        <v>10024</v>
      </c>
    </row>
    <row r="121" spans="1:2" x14ac:dyDescent="0.25">
      <c r="A121" t="s">
        <v>542</v>
      </c>
      <c r="B121" t="s">
        <v>10025</v>
      </c>
    </row>
    <row r="122" spans="1:2" x14ac:dyDescent="0.25">
      <c r="A122" t="s">
        <v>544</v>
      </c>
      <c r="B122" t="s">
        <v>10026</v>
      </c>
    </row>
    <row r="123" spans="1:2" x14ac:dyDescent="0.25">
      <c r="A123" t="s">
        <v>1337</v>
      </c>
      <c r="B123" t="s">
        <v>10027</v>
      </c>
    </row>
    <row r="124" spans="1:2" x14ac:dyDescent="0.25">
      <c r="A124" t="s">
        <v>548</v>
      </c>
      <c r="B124" t="s">
        <v>10028</v>
      </c>
    </row>
    <row r="125" spans="1:2" x14ac:dyDescent="0.25">
      <c r="A125" t="s">
        <v>3177</v>
      </c>
      <c r="B125" t="s">
        <v>10029</v>
      </c>
    </row>
    <row r="126" spans="1:2" x14ac:dyDescent="0.25">
      <c r="A126" t="s">
        <v>1339</v>
      </c>
      <c r="B126" t="s">
        <v>10030</v>
      </c>
    </row>
    <row r="127" spans="1:2" x14ac:dyDescent="0.25">
      <c r="A127" t="s">
        <v>1341</v>
      </c>
      <c r="B127" t="s">
        <v>10031</v>
      </c>
    </row>
    <row r="128" spans="1:2" x14ac:dyDescent="0.25">
      <c r="A128" t="s">
        <v>1343</v>
      </c>
      <c r="B128" t="s">
        <v>10032</v>
      </c>
    </row>
    <row r="129" spans="1:2" x14ac:dyDescent="0.25">
      <c r="A129" t="s">
        <v>6134</v>
      </c>
      <c r="B129" t="s">
        <v>10033</v>
      </c>
    </row>
    <row r="130" spans="1:2" x14ac:dyDescent="0.25">
      <c r="A130" t="s">
        <v>550</v>
      </c>
      <c r="B130" t="s">
        <v>10034</v>
      </c>
    </row>
    <row r="131" spans="1:2" x14ac:dyDescent="0.25">
      <c r="A131" t="s">
        <v>553</v>
      </c>
      <c r="B131" t="s">
        <v>10035</v>
      </c>
    </row>
    <row r="132" spans="1:2" x14ac:dyDescent="0.25">
      <c r="A132" t="s">
        <v>555</v>
      </c>
      <c r="B132" t="s">
        <v>10036</v>
      </c>
    </row>
    <row r="133" spans="1:2" x14ac:dyDescent="0.25">
      <c r="A133" t="s">
        <v>558</v>
      </c>
      <c r="B133" t="s">
        <v>10037</v>
      </c>
    </row>
    <row r="134" spans="1:2" x14ac:dyDescent="0.25">
      <c r="A134" t="s">
        <v>561</v>
      </c>
      <c r="B134" t="s">
        <v>10038</v>
      </c>
    </row>
    <row r="135" spans="1:2" x14ac:dyDescent="0.25">
      <c r="A135" t="s">
        <v>2416</v>
      </c>
      <c r="B135" t="s">
        <v>10039</v>
      </c>
    </row>
    <row r="136" spans="1:2" x14ac:dyDescent="0.25">
      <c r="A136" t="s">
        <v>1345</v>
      </c>
      <c r="B136" t="s">
        <v>10040</v>
      </c>
    </row>
    <row r="137" spans="1:2" x14ac:dyDescent="0.25">
      <c r="A137" t="s">
        <v>1347</v>
      </c>
      <c r="B137" t="s">
        <v>10041</v>
      </c>
    </row>
    <row r="138" spans="1:2" x14ac:dyDescent="0.25">
      <c r="A138" t="s">
        <v>1349</v>
      </c>
      <c r="B138" t="s">
        <v>10042</v>
      </c>
    </row>
    <row r="139" spans="1:2" x14ac:dyDescent="0.25">
      <c r="A139" t="s">
        <v>2252</v>
      </c>
      <c r="B139" t="s">
        <v>10043</v>
      </c>
    </row>
    <row r="140" spans="1:2" x14ac:dyDescent="0.25">
      <c r="A140" t="s">
        <v>2254</v>
      </c>
      <c r="B140" t="s">
        <v>10044</v>
      </c>
    </row>
    <row r="141" spans="1:2" x14ac:dyDescent="0.25">
      <c r="A141" t="s">
        <v>2263</v>
      </c>
      <c r="B141" t="s">
        <v>10045</v>
      </c>
    </row>
    <row r="142" spans="1:2" x14ac:dyDescent="0.25">
      <c r="A142" t="s">
        <v>3298</v>
      </c>
      <c r="B142" t="s">
        <v>10046</v>
      </c>
    </row>
    <row r="143" spans="1:2" x14ac:dyDescent="0.25">
      <c r="A143" t="s">
        <v>3300</v>
      </c>
      <c r="B143" t="s">
        <v>10047</v>
      </c>
    </row>
    <row r="144" spans="1:2" x14ac:dyDescent="0.25">
      <c r="A144" t="s">
        <v>6234</v>
      </c>
      <c r="B144" t="s">
        <v>10048</v>
      </c>
    </row>
    <row r="145" spans="1:2" x14ac:dyDescent="0.25">
      <c r="A145" t="s">
        <v>3302</v>
      </c>
      <c r="B145" t="s">
        <v>10049</v>
      </c>
    </row>
    <row r="146" spans="1:2" x14ac:dyDescent="0.25">
      <c r="A146" t="s">
        <v>6238</v>
      </c>
      <c r="B146" t="s">
        <v>10050</v>
      </c>
    </row>
    <row r="147" spans="1:2" x14ac:dyDescent="0.25">
      <c r="A147" t="s">
        <v>3304</v>
      </c>
      <c r="B147" t="s">
        <v>10051</v>
      </c>
    </row>
    <row r="148" spans="1:2" x14ac:dyDescent="0.25">
      <c r="A148" t="s">
        <v>6241</v>
      </c>
      <c r="B148" t="s">
        <v>10052</v>
      </c>
    </row>
    <row r="149" spans="1:2" x14ac:dyDescent="0.25">
      <c r="A149" t="s">
        <v>3306</v>
      </c>
      <c r="B149" t="s">
        <v>10053</v>
      </c>
    </row>
    <row r="150" spans="1:2" x14ac:dyDescent="0.25">
      <c r="A150" t="s">
        <v>6205</v>
      </c>
      <c r="B150" t="s">
        <v>10054</v>
      </c>
    </row>
    <row r="151" spans="1:2" x14ac:dyDescent="0.25">
      <c r="A151" t="s">
        <v>3308</v>
      </c>
      <c r="B151" t="s">
        <v>10055</v>
      </c>
    </row>
    <row r="152" spans="1:2" x14ac:dyDescent="0.25">
      <c r="A152" t="s">
        <v>3310</v>
      </c>
      <c r="B152" t="s">
        <v>10056</v>
      </c>
    </row>
    <row r="153" spans="1:2" x14ac:dyDescent="0.25">
      <c r="A153" t="s">
        <v>6209</v>
      </c>
      <c r="B153" t="s">
        <v>10057</v>
      </c>
    </row>
    <row r="154" spans="1:2" x14ac:dyDescent="0.25">
      <c r="A154" t="s">
        <v>6211</v>
      </c>
      <c r="B154" t="s">
        <v>10058</v>
      </c>
    </row>
    <row r="155" spans="1:2" x14ac:dyDescent="0.25">
      <c r="A155" t="s">
        <v>6213</v>
      </c>
      <c r="B155" t="s">
        <v>10059</v>
      </c>
    </row>
    <row r="156" spans="1:2" x14ac:dyDescent="0.25">
      <c r="A156" t="s">
        <v>6215</v>
      </c>
      <c r="B156" t="s">
        <v>10060</v>
      </c>
    </row>
    <row r="157" spans="1:2" x14ac:dyDescent="0.25">
      <c r="A157" t="s">
        <v>3312</v>
      </c>
      <c r="B157" t="s">
        <v>10061</v>
      </c>
    </row>
    <row r="158" spans="1:2" x14ac:dyDescent="0.25">
      <c r="A158" t="s">
        <v>6218</v>
      </c>
      <c r="B158" t="s">
        <v>10062</v>
      </c>
    </row>
    <row r="159" spans="1:2" x14ac:dyDescent="0.25">
      <c r="A159" t="s">
        <v>3314</v>
      </c>
      <c r="B159" t="s">
        <v>10063</v>
      </c>
    </row>
    <row r="160" spans="1:2" x14ac:dyDescent="0.25">
      <c r="A160" t="s">
        <v>6221</v>
      </c>
      <c r="B160" t="s">
        <v>10064</v>
      </c>
    </row>
    <row r="161" spans="1:2" x14ac:dyDescent="0.25">
      <c r="A161" t="s">
        <v>3316</v>
      </c>
      <c r="B161" t="s">
        <v>10065</v>
      </c>
    </row>
    <row r="162" spans="1:2" x14ac:dyDescent="0.25">
      <c r="A162" t="s">
        <v>6224</v>
      </c>
      <c r="B162" t="s">
        <v>10066</v>
      </c>
    </row>
    <row r="163" spans="1:2" x14ac:dyDescent="0.25">
      <c r="A163" t="s">
        <v>3318</v>
      </c>
      <c r="B163" t="s">
        <v>10067</v>
      </c>
    </row>
    <row r="164" spans="1:2" x14ac:dyDescent="0.25">
      <c r="A164" t="s">
        <v>6227</v>
      </c>
      <c r="B164" t="s">
        <v>10068</v>
      </c>
    </row>
    <row r="165" spans="1:2" x14ac:dyDescent="0.25">
      <c r="A165" t="s">
        <v>3320</v>
      </c>
      <c r="B165" t="s">
        <v>10069</v>
      </c>
    </row>
    <row r="166" spans="1:2" x14ac:dyDescent="0.25">
      <c r="A166" t="s">
        <v>6450</v>
      </c>
      <c r="B166" t="s">
        <v>10070</v>
      </c>
    </row>
    <row r="167" spans="1:2" x14ac:dyDescent="0.25">
      <c r="A167" t="s">
        <v>3322</v>
      </c>
      <c r="B167" t="s">
        <v>10071</v>
      </c>
    </row>
    <row r="168" spans="1:2" x14ac:dyDescent="0.25">
      <c r="A168" t="s">
        <v>6839</v>
      </c>
      <c r="B168" t="s">
        <v>10072</v>
      </c>
    </row>
    <row r="169" spans="1:2" x14ac:dyDescent="0.25">
      <c r="A169" t="s">
        <v>3324</v>
      </c>
      <c r="B169" t="s">
        <v>10073</v>
      </c>
    </row>
    <row r="170" spans="1:2" x14ac:dyDescent="0.25">
      <c r="A170" t="s">
        <v>6842</v>
      </c>
      <c r="B170" t="s">
        <v>10074</v>
      </c>
    </row>
    <row r="171" spans="1:2" x14ac:dyDescent="0.25">
      <c r="A171" t="s">
        <v>3326</v>
      </c>
      <c r="B171" t="s">
        <v>10075</v>
      </c>
    </row>
    <row r="172" spans="1:2" x14ac:dyDescent="0.25">
      <c r="A172" t="s">
        <v>6845</v>
      </c>
      <c r="B172" t="s">
        <v>10076</v>
      </c>
    </row>
    <row r="173" spans="1:2" x14ac:dyDescent="0.25">
      <c r="A173" t="s">
        <v>6847</v>
      </c>
      <c r="B173" t="s">
        <v>10077</v>
      </c>
    </row>
    <row r="174" spans="1:2" x14ac:dyDescent="0.25">
      <c r="A174" t="s">
        <v>6850</v>
      </c>
      <c r="B174" t="s">
        <v>10078</v>
      </c>
    </row>
    <row r="175" spans="1:2" x14ac:dyDescent="0.25">
      <c r="A175" t="s">
        <v>3734</v>
      </c>
      <c r="B175" t="s">
        <v>10079</v>
      </c>
    </row>
    <row r="176" spans="1:2" x14ac:dyDescent="0.25">
      <c r="A176" t="s">
        <v>3739</v>
      </c>
      <c r="B176" t="s">
        <v>10080</v>
      </c>
    </row>
    <row r="177" spans="1:2" x14ac:dyDescent="0.25">
      <c r="A177" t="s">
        <v>6259</v>
      </c>
      <c r="B177" t="s">
        <v>10081</v>
      </c>
    </row>
    <row r="178" spans="1:2" x14ac:dyDescent="0.25">
      <c r="A178" t="s">
        <v>3741</v>
      </c>
      <c r="B178" t="s">
        <v>10082</v>
      </c>
    </row>
    <row r="179" spans="1:2" x14ac:dyDescent="0.25">
      <c r="A179" t="s">
        <v>6264</v>
      </c>
      <c r="B179" t="s">
        <v>10083</v>
      </c>
    </row>
    <row r="180" spans="1:2" x14ac:dyDescent="0.25">
      <c r="A180" t="s">
        <v>3743</v>
      </c>
      <c r="B180" t="s">
        <v>10084</v>
      </c>
    </row>
    <row r="181" spans="1:2" x14ac:dyDescent="0.25">
      <c r="A181" t="s">
        <v>6267</v>
      </c>
      <c r="B181" t="s">
        <v>10085</v>
      </c>
    </row>
    <row r="182" spans="1:2" x14ac:dyDescent="0.25">
      <c r="A182" t="s">
        <v>3745</v>
      </c>
      <c r="B182" t="s">
        <v>10086</v>
      </c>
    </row>
    <row r="183" spans="1:2" x14ac:dyDescent="0.25">
      <c r="A183" t="s">
        <v>6272</v>
      </c>
      <c r="B183" t="s">
        <v>10087</v>
      </c>
    </row>
    <row r="184" spans="1:2" x14ac:dyDescent="0.25">
      <c r="A184" t="s">
        <v>3747</v>
      </c>
      <c r="B184" t="s">
        <v>10088</v>
      </c>
    </row>
    <row r="185" spans="1:2" x14ac:dyDescent="0.25">
      <c r="A185" t="s">
        <v>3749</v>
      </c>
      <c r="B185" t="s">
        <v>10089</v>
      </c>
    </row>
    <row r="186" spans="1:2" x14ac:dyDescent="0.25">
      <c r="A186" t="s">
        <v>6276</v>
      </c>
      <c r="B186" t="s">
        <v>10090</v>
      </c>
    </row>
    <row r="187" spans="1:2" x14ac:dyDescent="0.25">
      <c r="A187" t="s">
        <v>6278</v>
      </c>
      <c r="B187" t="s">
        <v>10091</v>
      </c>
    </row>
    <row r="188" spans="1:2" x14ac:dyDescent="0.25">
      <c r="A188" t="s">
        <v>6280</v>
      </c>
      <c r="B188" t="s">
        <v>10092</v>
      </c>
    </row>
    <row r="189" spans="1:2" x14ac:dyDescent="0.25">
      <c r="A189" t="s">
        <v>6282</v>
      </c>
      <c r="B189" t="s">
        <v>10093</v>
      </c>
    </row>
    <row r="190" spans="1:2" x14ac:dyDescent="0.25">
      <c r="A190" t="s">
        <v>3751</v>
      </c>
      <c r="B190" t="s">
        <v>10094</v>
      </c>
    </row>
    <row r="191" spans="1:2" x14ac:dyDescent="0.25">
      <c r="A191" t="s">
        <v>6285</v>
      </c>
      <c r="B191" t="s">
        <v>10095</v>
      </c>
    </row>
    <row r="192" spans="1:2" x14ac:dyDescent="0.25">
      <c r="A192" t="s">
        <v>3753</v>
      </c>
      <c r="B192" t="s">
        <v>10096</v>
      </c>
    </row>
    <row r="193" spans="1:2" x14ac:dyDescent="0.25">
      <c r="A193" t="s">
        <v>6288</v>
      </c>
      <c r="B193" t="s">
        <v>10097</v>
      </c>
    </row>
    <row r="194" spans="1:2" x14ac:dyDescent="0.25">
      <c r="A194" t="s">
        <v>3755</v>
      </c>
      <c r="B194" t="s">
        <v>10098</v>
      </c>
    </row>
    <row r="195" spans="1:2" x14ac:dyDescent="0.25">
      <c r="A195" t="s">
        <v>3953</v>
      </c>
      <c r="B195" t="s">
        <v>10099</v>
      </c>
    </row>
    <row r="196" spans="1:2" x14ac:dyDescent="0.25">
      <c r="A196" t="s">
        <v>3958</v>
      </c>
      <c r="B196" t="s">
        <v>10100</v>
      </c>
    </row>
    <row r="197" spans="1:2" x14ac:dyDescent="0.25">
      <c r="A197" t="s">
        <v>6336</v>
      </c>
      <c r="B197" t="s">
        <v>10101</v>
      </c>
    </row>
    <row r="198" spans="1:2" x14ac:dyDescent="0.25">
      <c r="A198" t="s">
        <v>3960</v>
      </c>
      <c r="B198" t="s">
        <v>10102</v>
      </c>
    </row>
    <row r="199" spans="1:2" x14ac:dyDescent="0.25">
      <c r="A199" t="s">
        <v>6339</v>
      </c>
      <c r="B199" t="s">
        <v>10103</v>
      </c>
    </row>
    <row r="200" spans="1:2" x14ac:dyDescent="0.25">
      <c r="A200" t="s">
        <v>3962</v>
      </c>
      <c r="B200" t="s">
        <v>10104</v>
      </c>
    </row>
    <row r="201" spans="1:2" x14ac:dyDescent="0.25">
      <c r="A201" t="s">
        <v>6342</v>
      </c>
      <c r="B201" t="s">
        <v>10105</v>
      </c>
    </row>
    <row r="202" spans="1:2" x14ac:dyDescent="0.25">
      <c r="A202" t="s">
        <v>3964</v>
      </c>
      <c r="B202" t="s">
        <v>10106</v>
      </c>
    </row>
    <row r="203" spans="1:2" x14ac:dyDescent="0.25">
      <c r="A203" t="s">
        <v>6710</v>
      </c>
      <c r="B203" t="s">
        <v>10107</v>
      </c>
    </row>
    <row r="204" spans="1:2" x14ac:dyDescent="0.25">
      <c r="A204" t="s">
        <v>3966</v>
      </c>
      <c r="B204" t="s">
        <v>10108</v>
      </c>
    </row>
    <row r="205" spans="1:2" x14ac:dyDescent="0.25">
      <c r="A205" t="s">
        <v>6713</v>
      </c>
      <c r="B205" t="s">
        <v>10109</v>
      </c>
    </row>
    <row r="206" spans="1:2" x14ac:dyDescent="0.25">
      <c r="A206" t="s">
        <v>6345</v>
      </c>
      <c r="B206" t="s">
        <v>10110</v>
      </c>
    </row>
    <row r="207" spans="1:2" x14ac:dyDescent="0.25">
      <c r="A207" t="s">
        <v>6347</v>
      </c>
      <c r="B207" t="s">
        <v>10111</v>
      </c>
    </row>
    <row r="208" spans="1:2" x14ac:dyDescent="0.25">
      <c r="A208" t="s">
        <v>6349</v>
      </c>
      <c r="B208" t="s">
        <v>10112</v>
      </c>
    </row>
    <row r="209" spans="1:2" x14ac:dyDescent="0.25">
      <c r="A209" t="s">
        <v>6351</v>
      </c>
      <c r="B209" t="s">
        <v>10113</v>
      </c>
    </row>
    <row r="210" spans="1:2" x14ac:dyDescent="0.25">
      <c r="A210" t="s">
        <v>6353</v>
      </c>
      <c r="B210" t="s">
        <v>10114</v>
      </c>
    </row>
    <row r="211" spans="1:2" x14ac:dyDescent="0.25">
      <c r="A211" t="s">
        <v>6355</v>
      </c>
      <c r="B211" t="s">
        <v>10115</v>
      </c>
    </row>
    <row r="212" spans="1:2" x14ac:dyDescent="0.25">
      <c r="A212" t="s">
        <v>6357</v>
      </c>
      <c r="B212" t="s">
        <v>10116</v>
      </c>
    </row>
    <row r="213" spans="1:2" x14ac:dyDescent="0.25">
      <c r="A213" t="s">
        <v>6359</v>
      </c>
      <c r="B213" t="s">
        <v>10117</v>
      </c>
    </row>
    <row r="214" spans="1:2" x14ac:dyDescent="0.25">
      <c r="A214" t="s">
        <v>6361</v>
      </c>
      <c r="B214" t="s">
        <v>10118</v>
      </c>
    </row>
    <row r="215" spans="1:2" x14ac:dyDescent="0.25">
      <c r="A215" t="s">
        <v>2233</v>
      </c>
      <c r="B215" t="s">
        <v>10119</v>
      </c>
    </row>
    <row r="216" spans="1:2" x14ac:dyDescent="0.25">
      <c r="A216" t="s">
        <v>2298</v>
      </c>
      <c r="B216" t="s">
        <v>10120</v>
      </c>
    </row>
    <row r="217" spans="1:2" x14ac:dyDescent="0.25">
      <c r="A217" t="s">
        <v>483</v>
      </c>
      <c r="B217" t="s">
        <v>10121</v>
      </c>
    </row>
    <row r="218" spans="1:2" x14ac:dyDescent="0.25">
      <c r="A218" t="s">
        <v>487</v>
      </c>
      <c r="B218" t="s">
        <v>10122</v>
      </c>
    </row>
    <row r="219" spans="1:2" x14ac:dyDescent="0.25">
      <c r="A219" t="s">
        <v>494</v>
      </c>
      <c r="B219" t="s">
        <v>10123</v>
      </c>
    </row>
    <row r="220" spans="1:2" x14ac:dyDescent="0.25">
      <c r="A220" t="s">
        <v>1337</v>
      </c>
      <c r="B220" t="s">
        <v>10124</v>
      </c>
    </row>
    <row r="221" spans="1:2" x14ac:dyDescent="0.25">
      <c r="A221" t="s">
        <v>496</v>
      </c>
      <c r="B221" t="s">
        <v>10125</v>
      </c>
    </row>
    <row r="222" spans="1:2" x14ac:dyDescent="0.25">
      <c r="A222" t="s">
        <v>1297</v>
      </c>
      <c r="B222" t="s">
        <v>10126</v>
      </c>
    </row>
    <row r="223" spans="1:2" x14ac:dyDescent="0.25">
      <c r="A223" t="s">
        <v>1300</v>
      </c>
      <c r="B223" t="s">
        <v>10127</v>
      </c>
    </row>
    <row r="224" spans="1:2" x14ac:dyDescent="0.25">
      <c r="A224" t="s">
        <v>502</v>
      </c>
      <c r="B224" t="s">
        <v>10128</v>
      </c>
    </row>
    <row r="225" spans="1:2" x14ac:dyDescent="0.25">
      <c r="A225" t="s">
        <v>506</v>
      </c>
      <c r="B225" t="s">
        <v>10129</v>
      </c>
    </row>
    <row r="226" spans="1:2" x14ac:dyDescent="0.25">
      <c r="A226" t="s">
        <v>510</v>
      </c>
      <c r="B226" t="s">
        <v>10130</v>
      </c>
    </row>
    <row r="227" spans="1:2" x14ac:dyDescent="0.25">
      <c r="A227" t="s">
        <v>514</v>
      </c>
      <c r="B227" t="s">
        <v>10131</v>
      </c>
    </row>
    <row r="228" spans="1:2" x14ac:dyDescent="0.25">
      <c r="A228" t="s">
        <v>518</v>
      </c>
      <c r="B228" t="s">
        <v>10132</v>
      </c>
    </row>
    <row r="229" spans="1:2" x14ac:dyDescent="0.25">
      <c r="A229" t="s">
        <v>521</v>
      </c>
      <c r="B229" t="s">
        <v>10133</v>
      </c>
    </row>
    <row r="230" spans="1:2" x14ac:dyDescent="0.25">
      <c r="A230" t="s">
        <v>523</v>
      </c>
      <c r="B230" t="s">
        <v>10134</v>
      </c>
    </row>
    <row r="231" spans="1:2" x14ac:dyDescent="0.25">
      <c r="A231" t="s">
        <v>525</v>
      </c>
      <c r="B231" t="s">
        <v>10135</v>
      </c>
    </row>
    <row r="232" spans="1:2" x14ac:dyDescent="0.25">
      <c r="A232" t="s">
        <v>527</v>
      </c>
      <c r="B232" t="s">
        <v>10136</v>
      </c>
    </row>
    <row r="233" spans="1:2" x14ac:dyDescent="0.25">
      <c r="A233" t="s">
        <v>529</v>
      </c>
      <c r="B233" t="s">
        <v>10137</v>
      </c>
    </row>
    <row r="234" spans="1:2" x14ac:dyDescent="0.25">
      <c r="A234" t="s">
        <v>535</v>
      </c>
      <c r="B234" t="s">
        <v>10138</v>
      </c>
    </row>
    <row r="235" spans="1:2" x14ac:dyDescent="0.25">
      <c r="A235" t="s">
        <v>1238</v>
      </c>
      <c r="B235" t="s">
        <v>10139</v>
      </c>
    </row>
    <row r="236" spans="1:2" x14ac:dyDescent="0.25">
      <c r="A236" t="s">
        <v>540</v>
      </c>
      <c r="B236" t="s">
        <v>10140</v>
      </c>
    </row>
    <row r="237" spans="1:2" x14ac:dyDescent="0.25">
      <c r="A237" t="s">
        <v>542</v>
      </c>
      <c r="B237" t="s">
        <v>10141</v>
      </c>
    </row>
    <row r="238" spans="1:2" x14ac:dyDescent="0.25">
      <c r="A238" t="s">
        <v>544</v>
      </c>
      <c r="B238" t="s">
        <v>10142</v>
      </c>
    </row>
    <row r="239" spans="1:2" x14ac:dyDescent="0.25">
      <c r="A239" t="s">
        <v>3118</v>
      </c>
      <c r="B239" t="s">
        <v>10143</v>
      </c>
    </row>
    <row r="240" spans="1:2" x14ac:dyDescent="0.25">
      <c r="A240" t="s">
        <v>2263</v>
      </c>
      <c r="B240" t="s">
        <v>10144</v>
      </c>
    </row>
    <row r="241" spans="1:2" x14ac:dyDescent="0.25">
      <c r="A241" t="s">
        <v>3302</v>
      </c>
      <c r="B241" t="s">
        <v>10145</v>
      </c>
    </row>
    <row r="242" spans="1:2" x14ac:dyDescent="0.25">
      <c r="A242" t="s">
        <v>3306</v>
      </c>
      <c r="B242" t="s">
        <v>10146</v>
      </c>
    </row>
    <row r="243" spans="1:2" x14ac:dyDescent="0.25">
      <c r="A243" t="s">
        <v>6205</v>
      </c>
      <c r="B243" t="s">
        <v>10147</v>
      </c>
    </row>
    <row r="244" spans="1:2" x14ac:dyDescent="0.25">
      <c r="A244" t="s">
        <v>3308</v>
      </c>
      <c r="B244" t="s">
        <v>10148</v>
      </c>
    </row>
    <row r="245" spans="1:2" x14ac:dyDescent="0.25">
      <c r="A245" t="s">
        <v>3310</v>
      </c>
      <c r="B245" t="s">
        <v>10149</v>
      </c>
    </row>
    <row r="246" spans="1:2" x14ac:dyDescent="0.25">
      <c r="A246" t="s">
        <v>6209</v>
      </c>
      <c r="B246" t="s">
        <v>10150</v>
      </c>
    </row>
    <row r="247" spans="1:2" x14ac:dyDescent="0.25">
      <c r="A247" t="s">
        <v>6211</v>
      </c>
      <c r="B247" t="s">
        <v>10151</v>
      </c>
    </row>
    <row r="248" spans="1:2" x14ac:dyDescent="0.25">
      <c r="A248" t="s">
        <v>6213</v>
      </c>
      <c r="B248" t="s">
        <v>10152</v>
      </c>
    </row>
    <row r="249" spans="1:2" x14ac:dyDescent="0.25">
      <c r="A249" t="s">
        <v>6215</v>
      </c>
      <c r="B249" t="s">
        <v>10153</v>
      </c>
    </row>
    <row r="250" spans="1:2" x14ac:dyDescent="0.25">
      <c r="A250" t="s">
        <v>3312</v>
      </c>
      <c r="B250" t="s">
        <v>10154</v>
      </c>
    </row>
    <row r="251" spans="1:2" x14ac:dyDescent="0.25">
      <c r="A251" t="s">
        <v>6218</v>
      </c>
      <c r="B251" t="s">
        <v>10155</v>
      </c>
    </row>
    <row r="252" spans="1:2" x14ac:dyDescent="0.25">
      <c r="A252" t="s">
        <v>3314</v>
      </c>
      <c r="B252" t="s">
        <v>10156</v>
      </c>
    </row>
    <row r="253" spans="1:2" x14ac:dyDescent="0.25">
      <c r="A253" t="s">
        <v>6221</v>
      </c>
      <c r="B253" t="s">
        <v>10157</v>
      </c>
    </row>
    <row r="254" spans="1:2" x14ac:dyDescent="0.25">
      <c r="A254" t="s">
        <v>3316</v>
      </c>
      <c r="B254" t="s">
        <v>10158</v>
      </c>
    </row>
    <row r="255" spans="1:2" x14ac:dyDescent="0.25">
      <c r="A255" t="s">
        <v>6224</v>
      </c>
      <c r="B255" t="s">
        <v>10159</v>
      </c>
    </row>
    <row r="256" spans="1:2" x14ac:dyDescent="0.25">
      <c r="A256" t="s">
        <v>3318</v>
      </c>
      <c r="B256" t="s">
        <v>10160</v>
      </c>
    </row>
    <row r="257" spans="1:2" x14ac:dyDescent="0.25">
      <c r="A257" t="s">
        <v>6227</v>
      </c>
      <c r="B257" t="s">
        <v>10161</v>
      </c>
    </row>
    <row r="258" spans="1:2" x14ac:dyDescent="0.25">
      <c r="A258" t="s">
        <v>3320</v>
      </c>
      <c r="B258" t="s">
        <v>10162</v>
      </c>
    </row>
    <row r="259" spans="1:2" x14ac:dyDescent="0.25">
      <c r="A259" t="s">
        <v>6450</v>
      </c>
      <c r="B259" t="s">
        <v>10163</v>
      </c>
    </row>
    <row r="260" spans="1:2" x14ac:dyDescent="0.25">
      <c r="A260" t="s">
        <v>2233</v>
      </c>
      <c r="B260" t="s">
        <v>10164</v>
      </c>
    </row>
    <row r="261" spans="1:2" x14ac:dyDescent="0.25">
      <c r="A261" t="s">
        <v>2298</v>
      </c>
      <c r="B261" t="s">
        <v>10165</v>
      </c>
    </row>
    <row r="262" spans="1:2" x14ac:dyDescent="0.25">
      <c r="A262" t="s">
        <v>2300</v>
      </c>
      <c r="B262" t="s">
        <v>10166</v>
      </c>
    </row>
    <row r="263" spans="1:2" x14ac:dyDescent="0.25">
      <c r="A263" t="s">
        <v>483</v>
      </c>
      <c r="B263" t="s">
        <v>10167</v>
      </c>
    </row>
    <row r="264" spans="1:2" x14ac:dyDescent="0.25">
      <c r="A264" t="s">
        <v>487</v>
      </c>
      <c r="B264" t="s">
        <v>10168</v>
      </c>
    </row>
    <row r="265" spans="1:2" x14ac:dyDescent="0.25">
      <c r="A265" t="s">
        <v>491</v>
      </c>
      <c r="B265" t="s">
        <v>10169</v>
      </c>
    </row>
    <row r="266" spans="1:2" x14ac:dyDescent="0.25">
      <c r="A266" t="s">
        <v>494</v>
      </c>
      <c r="B266" t="s">
        <v>10170</v>
      </c>
    </row>
    <row r="267" spans="1:2" x14ac:dyDescent="0.25">
      <c r="A267" t="s">
        <v>1304</v>
      </c>
      <c r="B267" t="s">
        <v>10171</v>
      </c>
    </row>
    <row r="268" spans="1:2" x14ac:dyDescent="0.25">
      <c r="A268" t="s">
        <v>1307</v>
      </c>
      <c r="B268" t="s">
        <v>10172</v>
      </c>
    </row>
    <row r="269" spans="1:2" x14ac:dyDescent="0.25">
      <c r="A269" t="s">
        <v>1309</v>
      </c>
      <c r="B269" t="s">
        <v>10173</v>
      </c>
    </row>
    <row r="270" spans="1:2" x14ac:dyDescent="0.25">
      <c r="A270" t="s">
        <v>2311</v>
      </c>
      <c r="B270" t="s">
        <v>10174</v>
      </c>
    </row>
    <row r="271" spans="1:2" x14ac:dyDescent="0.25">
      <c r="A271" t="s">
        <v>502</v>
      </c>
      <c r="B271" t="s">
        <v>10175</v>
      </c>
    </row>
    <row r="272" spans="1:2" x14ac:dyDescent="0.25">
      <c r="A272" t="s">
        <v>506</v>
      </c>
      <c r="B272" t="s">
        <v>10176</v>
      </c>
    </row>
    <row r="273" spans="1:2" x14ac:dyDescent="0.25">
      <c r="A273" t="s">
        <v>518</v>
      </c>
      <c r="B273" t="s">
        <v>10177</v>
      </c>
    </row>
    <row r="274" spans="1:2" x14ac:dyDescent="0.25">
      <c r="A274" t="s">
        <v>521</v>
      </c>
      <c r="B274" t="s">
        <v>10178</v>
      </c>
    </row>
    <row r="275" spans="1:2" x14ac:dyDescent="0.25">
      <c r="A275" t="s">
        <v>527</v>
      </c>
      <c r="B275" t="s">
        <v>10179</v>
      </c>
    </row>
    <row r="276" spans="1:2" x14ac:dyDescent="0.25">
      <c r="A276" t="s">
        <v>529</v>
      </c>
      <c r="B276" t="s">
        <v>10180</v>
      </c>
    </row>
    <row r="277" spans="1:2" x14ac:dyDescent="0.25">
      <c r="A277" t="s">
        <v>531</v>
      </c>
      <c r="B277" t="s">
        <v>10181</v>
      </c>
    </row>
    <row r="278" spans="1:2" x14ac:dyDescent="0.25">
      <c r="A278" t="s">
        <v>533</v>
      </c>
      <c r="B278" t="s">
        <v>10182</v>
      </c>
    </row>
    <row r="279" spans="1:2" x14ac:dyDescent="0.25">
      <c r="A279" t="s">
        <v>2233</v>
      </c>
      <c r="B279" t="s">
        <v>10183</v>
      </c>
    </row>
    <row r="280" spans="1:2" x14ac:dyDescent="0.25">
      <c r="A280" t="s">
        <v>2298</v>
      </c>
      <c r="B280" t="s">
        <v>10184</v>
      </c>
    </row>
    <row r="281" spans="1:2" x14ac:dyDescent="0.25">
      <c r="A281" t="s">
        <v>2300</v>
      </c>
      <c r="B281" t="s">
        <v>10185</v>
      </c>
    </row>
    <row r="282" spans="1:2" x14ac:dyDescent="0.25">
      <c r="A282" t="s">
        <v>479</v>
      </c>
      <c r="B282" t="s">
        <v>10186</v>
      </c>
    </row>
    <row r="283" spans="1:2" x14ac:dyDescent="0.25">
      <c r="A283" t="s">
        <v>483</v>
      </c>
      <c r="B283" t="s">
        <v>10187</v>
      </c>
    </row>
    <row r="284" spans="1:2" x14ac:dyDescent="0.25">
      <c r="A284" t="s">
        <v>494</v>
      </c>
      <c r="B284" t="s">
        <v>10188</v>
      </c>
    </row>
    <row r="285" spans="1:2" x14ac:dyDescent="0.25">
      <c r="A285" t="s">
        <v>496</v>
      </c>
      <c r="B285" t="s">
        <v>10189</v>
      </c>
    </row>
    <row r="286" spans="1:2" x14ac:dyDescent="0.25">
      <c r="A286" t="s">
        <v>1302</v>
      </c>
      <c r="B286" t="s">
        <v>10190</v>
      </c>
    </row>
    <row r="287" spans="1:2" x14ac:dyDescent="0.25">
      <c r="A287" t="s">
        <v>1304</v>
      </c>
      <c r="B287" t="s">
        <v>10191</v>
      </c>
    </row>
    <row r="288" spans="1:2" x14ac:dyDescent="0.25">
      <c r="A288" t="s">
        <v>2311</v>
      </c>
      <c r="B288" t="s">
        <v>10192</v>
      </c>
    </row>
    <row r="289" spans="1:2" x14ac:dyDescent="0.25">
      <c r="A289" t="s">
        <v>498</v>
      </c>
      <c r="B289" t="s">
        <v>10193</v>
      </c>
    </row>
    <row r="290" spans="1:2" x14ac:dyDescent="0.25">
      <c r="A290" t="s">
        <v>1316</v>
      </c>
      <c r="B290" t="s">
        <v>10194</v>
      </c>
    </row>
    <row r="291" spans="1:2" x14ac:dyDescent="0.25">
      <c r="A291" t="s">
        <v>502</v>
      </c>
      <c r="B291" t="s">
        <v>10195</v>
      </c>
    </row>
    <row r="292" spans="1:2" x14ac:dyDescent="0.25">
      <c r="A292" t="s">
        <v>518</v>
      </c>
      <c r="B292" t="s">
        <v>10196</v>
      </c>
    </row>
    <row r="293" spans="1:2" x14ac:dyDescent="0.25">
      <c r="A293" t="s">
        <v>521</v>
      </c>
      <c r="B293" t="s">
        <v>10197</v>
      </c>
    </row>
    <row r="294" spans="1:2" x14ac:dyDescent="0.25">
      <c r="A294" t="s">
        <v>523</v>
      </c>
      <c r="B294" t="s">
        <v>10198</v>
      </c>
    </row>
    <row r="295" spans="1:2" x14ac:dyDescent="0.25">
      <c r="A295" t="s">
        <v>527</v>
      </c>
      <c r="B295" t="s">
        <v>10199</v>
      </c>
    </row>
    <row r="296" spans="1:2" x14ac:dyDescent="0.25">
      <c r="A296" t="s">
        <v>529</v>
      </c>
      <c r="B296" t="s">
        <v>10200</v>
      </c>
    </row>
    <row r="297" spans="1:2" x14ac:dyDescent="0.25">
      <c r="A297" t="s">
        <v>531</v>
      </c>
      <c r="B297" t="s">
        <v>10201</v>
      </c>
    </row>
    <row r="298" spans="1:2" x14ac:dyDescent="0.25">
      <c r="A298" t="s">
        <v>533</v>
      </c>
      <c r="B298" t="s">
        <v>10202</v>
      </c>
    </row>
    <row r="299" spans="1:2" x14ac:dyDescent="0.25">
      <c r="A299" t="s">
        <v>535</v>
      </c>
      <c r="B299" t="s">
        <v>10203</v>
      </c>
    </row>
    <row r="300" spans="1:2" x14ac:dyDescent="0.25">
      <c r="A300" t="s">
        <v>2233</v>
      </c>
      <c r="B300" t="s">
        <v>10204</v>
      </c>
    </row>
    <row r="301" spans="1:2" x14ac:dyDescent="0.25">
      <c r="A301" t="s">
        <v>2298</v>
      </c>
      <c r="B301" t="s">
        <v>10205</v>
      </c>
    </row>
    <row r="302" spans="1:2" x14ac:dyDescent="0.25">
      <c r="A302" t="s">
        <v>483</v>
      </c>
      <c r="B302" t="s">
        <v>10206</v>
      </c>
    </row>
    <row r="303" spans="1:2" x14ac:dyDescent="0.25">
      <c r="A303" t="s">
        <v>487</v>
      </c>
      <c r="B303" t="s">
        <v>10207</v>
      </c>
    </row>
    <row r="304" spans="1:2" x14ac:dyDescent="0.25">
      <c r="A304" t="s">
        <v>2263</v>
      </c>
      <c r="B304" t="s">
        <v>10208</v>
      </c>
    </row>
    <row r="305" spans="1:2" x14ac:dyDescent="0.25">
      <c r="A305" t="s">
        <v>3300</v>
      </c>
      <c r="B305" t="s">
        <v>10209</v>
      </c>
    </row>
    <row r="306" spans="1:2" x14ac:dyDescent="0.25">
      <c r="A306" t="s">
        <v>6234</v>
      </c>
      <c r="B306" t="s">
        <v>10210</v>
      </c>
    </row>
    <row r="307" spans="1:2" x14ac:dyDescent="0.25">
      <c r="A307" t="s">
        <v>3734</v>
      </c>
      <c r="B307" t="s">
        <v>10211</v>
      </c>
    </row>
    <row r="308" spans="1:2" x14ac:dyDescent="0.25">
      <c r="A308" t="s">
        <v>3737</v>
      </c>
      <c r="B308" t="s">
        <v>10212</v>
      </c>
    </row>
    <row r="309" spans="1:2" x14ac:dyDescent="0.25">
      <c r="A309" t="s">
        <v>3739</v>
      </c>
      <c r="B309" t="s">
        <v>10213</v>
      </c>
    </row>
    <row r="310" spans="1:2" x14ac:dyDescent="0.25">
      <c r="A310" t="s">
        <v>6259</v>
      </c>
      <c r="B310" t="s">
        <v>10214</v>
      </c>
    </row>
    <row r="311" spans="1:2" x14ac:dyDescent="0.25">
      <c r="A311" t="s">
        <v>3741</v>
      </c>
      <c r="B311" t="s">
        <v>10215</v>
      </c>
    </row>
    <row r="312" spans="1:2" x14ac:dyDescent="0.25">
      <c r="A312" t="s">
        <v>6264</v>
      </c>
      <c r="B312" t="s">
        <v>10216</v>
      </c>
    </row>
    <row r="313" spans="1:2" x14ac:dyDescent="0.25">
      <c r="A313" t="s">
        <v>3743</v>
      </c>
      <c r="B313" t="s">
        <v>10217</v>
      </c>
    </row>
    <row r="314" spans="1:2" x14ac:dyDescent="0.25">
      <c r="A314" t="s">
        <v>6267</v>
      </c>
      <c r="B314" t="s">
        <v>10218</v>
      </c>
    </row>
    <row r="315" spans="1:2" x14ac:dyDescent="0.25">
      <c r="A315" t="s">
        <v>6696</v>
      </c>
      <c r="B315" t="s">
        <v>10219</v>
      </c>
    </row>
    <row r="316" spans="1:2" x14ac:dyDescent="0.25">
      <c r="A316" t="s">
        <v>6698</v>
      </c>
      <c r="B316" t="s">
        <v>10220</v>
      </c>
    </row>
    <row r="317" spans="1:2" x14ac:dyDescent="0.25">
      <c r="A317" t="s">
        <v>6700</v>
      </c>
      <c r="B317" t="s">
        <v>10221</v>
      </c>
    </row>
    <row r="318" spans="1:2" x14ac:dyDescent="0.25">
      <c r="A318" t="s">
        <v>3747</v>
      </c>
      <c r="B318" t="s">
        <v>10222</v>
      </c>
    </row>
    <row r="319" spans="1:2" x14ac:dyDescent="0.25">
      <c r="A319" t="s">
        <v>3749</v>
      </c>
      <c r="B319" t="s">
        <v>10223</v>
      </c>
    </row>
    <row r="320" spans="1:2" x14ac:dyDescent="0.25">
      <c r="A320" t="s">
        <v>6276</v>
      </c>
      <c r="B320" t="s">
        <v>10224</v>
      </c>
    </row>
    <row r="321" spans="1:2" x14ac:dyDescent="0.25">
      <c r="A321" t="s">
        <v>6278</v>
      </c>
      <c r="B321" t="s">
        <v>10225</v>
      </c>
    </row>
    <row r="322" spans="1:2" x14ac:dyDescent="0.25">
      <c r="A322" t="s">
        <v>6280</v>
      </c>
      <c r="B322" t="s">
        <v>10226</v>
      </c>
    </row>
    <row r="323" spans="1:2" x14ac:dyDescent="0.25">
      <c r="A323" t="s">
        <v>6282</v>
      </c>
      <c r="B323" t="s">
        <v>10227</v>
      </c>
    </row>
    <row r="324" spans="1:2" x14ac:dyDescent="0.25">
      <c r="A324" t="s">
        <v>3751</v>
      </c>
      <c r="B324" t="s">
        <v>10228</v>
      </c>
    </row>
    <row r="325" spans="1:2" x14ac:dyDescent="0.25">
      <c r="A325" t="s">
        <v>6285</v>
      </c>
      <c r="B325" t="s">
        <v>10229</v>
      </c>
    </row>
    <row r="326" spans="1:2" x14ac:dyDescent="0.25">
      <c r="A326" t="s">
        <v>3753</v>
      </c>
      <c r="B326" t="s">
        <v>10230</v>
      </c>
    </row>
    <row r="327" spans="1:2" x14ac:dyDescent="0.25">
      <c r="A327" t="s">
        <v>6288</v>
      </c>
      <c r="B327" t="s">
        <v>10231</v>
      </c>
    </row>
    <row r="328" spans="1:2" x14ac:dyDescent="0.25">
      <c r="A328" t="s">
        <v>3755</v>
      </c>
      <c r="B328" t="s">
        <v>10232</v>
      </c>
    </row>
    <row r="329" spans="1:2" x14ac:dyDescent="0.25">
      <c r="A329" t="s">
        <v>6291</v>
      </c>
      <c r="B329" t="s">
        <v>10233</v>
      </c>
    </row>
    <row r="330" spans="1:2" x14ac:dyDescent="0.25">
      <c r="A330" t="s">
        <v>3757</v>
      </c>
      <c r="B330" t="s">
        <v>10234</v>
      </c>
    </row>
    <row r="331" spans="1:2" x14ac:dyDescent="0.25">
      <c r="A331" t="s">
        <v>6294</v>
      </c>
      <c r="B331" t="s">
        <v>10235</v>
      </c>
    </row>
    <row r="332" spans="1:2" x14ac:dyDescent="0.25">
      <c r="A332" t="s">
        <v>3759</v>
      </c>
      <c r="B332" t="s">
        <v>10236</v>
      </c>
    </row>
    <row r="333" spans="1:2" x14ac:dyDescent="0.25">
      <c r="A333" t="s">
        <v>6298</v>
      </c>
      <c r="B333" t="s">
        <v>10237</v>
      </c>
    </row>
    <row r="334" spans="1:2" x14ac:dyDescent="0.25">
      <c r="A334" t="s">
        <v>3761</v>
      </c>
      <c r="B334" t="s">
        <v>10238</v>
      </c>
    </row>
    <row r="335" spans="1:2" x14ac:dyDescent="0.25">
      <c r="A335" t="s">
        <v>3763</v>
      </c>
      <c r="B335" t="s">
        <v>10239</v>
      </c>
    </row>
    <row r="336" spans="1:2" x14ac:dyDescent="0.25">
      <c r="A336" t="s">
        <v>6306</v>
      </c>
      <c r="B336" t="s">
        <v>10240</v>
      </c>
    </row>
    <row r="337" spans="1:2" x14ac:dyDescent="0.25">
      <c r="A337" t="s">
        <v>3765</v>
      </c>
      <c r="B337" t="s">
        <v>10241</v>
      </c>
    </row>
    <row r="338" spans="1:2" x14ac:dyDescent="0.25">
      <c r="A338" t="s">
        <v>6309</v>
      </c>
      <c r="B338" t="s">
        <v>10242</v>
      </c>
    </row>
    <row r="339" spans="1:2" x14ac:dyDescent="0.25">
      <c r="A339" t="s">
        <v>6311</v>
      </c>
      <c r="B339" t="s">
        <v>10243</v>
      </c>
    </row>
    <row r="340" spans="1:2" x14ac:dyDescent="0.25">
      <c r="A340" t="s">
        <v>6313</v>
      </c>
      <c r="B340" t="s">
        <v>10244</v>
      </c>
    </row>
    <row r="341" spans="1:2" x14ac:dyDescent="0.25">
      <c r="A341" t="s">
        <v>6315</v>
      </c>
      <c r="B341" t="s">
        <v>10245</v>
      </c>
    </row>
    <row r="342" spans="1:2" x14ac:dyDescent="0.25">
      <c r="A342" t="s">
        <v>6317</v>
      </c>
      <c r="B342" t="s">
        <v>10246</v>
      </c>
    </row>
    <row r="343" spans="1:2" x14ac:dyDescent="0.25">
      <c r="A343" t="s">
        <v>6319</v>
      </c>
      <c r="B343" t="s">
        <v>10247</v>
      </c>
    </row>
    <row r="344" spans="1:2" x14ac:dyDescent="0.25">
      <c r="A344" t="s">
        <v>6683</v>
      </c>
      <c r="B344" t="s">
        <v>10248</v>
      </c>
    </row>
    <row r="345" spans="1:2" x14ac:dyDescent="0.25">
      <c r="A345" t="s">
        <v>6685</v>
      </c>
      <c r="B345" t="s">
        <v>10249</v>
      </c>
    </row>
    <row r="346" spans="1:2" x14ac:dyDescent="0.25">
      <c r="A346" t="s">
        <v>6321</v>
      </c>
      <c r="B346" t="s">
        <v>10250</v>
      </c>
    </row>
    <row r="347" spans="1:2" x14ac:dyDescent="0.25">
      <c r="A347" t="s">
        <v>6325</v>
      </c>
      <c r="B347" t="s">
        <v>10251</v>
      </c>
    </row>
    <row r="348" spans="1:2" x14ac:dyDescent="0.25">
      <c r="A348" t="s">
        <v>6327</v>
      </c>
      <c r="B348" t="s">
        <v>10252</v>
      </c>
    </row>
    <row r="349" spans="1:2" x14ac:dyDescent="0.25">
      <c r="A349" t="s">
        <v>6329</v>
      </c>
      <c r="B349" t="s">
        <v>10253</v>
      </c>
    </row>
    <row r="350" spans="1:2" x14ac:dyDescent="0.25">
      <c r="A350" t="s">
        <v>6691</v>
      </c>
      <c r="B350" t="s">
        <v>10254</v>
      </c>
    </row>
    <row r="351" spans="1:2" x14ac:dyDescent="0.25">
      <c r="A351" t="s">
        <v>6694</v>
      </c>
      <c r="B351" t="s">
        <v>10255</v>
      </c>
    </row>
    <row r="352" spans="1:2" x14ac:dyDescent="0.25">
      <c r="A352" t="s">
        <v>3953</v>
      </c>
      <c r="B352" t="s">
        <v>10256</v>
      </c>
    </row>
    <row r="353" spans="1:2" x14ac:dyDescent="0.25">
      <c r="A353" t="s">
        <v>3960</v>
      </c>
      <c r="B353" t="s">
        <v>181</v>
      </c>
    </row>
    <row r="354" spans="1:2" x14ac:dyDescent="0.25">
      <c r="A354" t="s">
        <v>6339</v>
      </c>
      <c r="B354" t="s">
        <v>187</v>
      </c>
    </row>
    <row r="355" spans="1:2" x14ac:dyDescent="0.25">
      <c r="A355" t="s">
        <v>3962</v>
      </c>
      <c r="B355" t="s">
        <v>192</v>
      </c>
    </row>
    <row r="356" spans="1:2" x14ac:dyDescent="0.25">
      <c r="A356" t="s">
        <v>6342</v>
      </c>
      <c r="B356" t="s">
        <v>10257</v>
      </c>
    </row>
    <row r="357" spans="1:2" x14ac:dyDescent="0.25">
      <c r="A357" t="s">
        <v>3964</v>
      </c>
      <c r="B357" t="s">
        <v>10258</v>
      </c>
    </row>
    <row r="358" spans="1:2" x14ac:dyDescent="0.25">
      <c r="A358" t="s">
        <v>6710</v>
      </c>
      <c r="B358" t="s">
        <v>10259</v>
      </c>
    </row>
    <row r="359" spans="1:2" x14ac:dyDescent="0.25">
      <c r="A359" t="s">
        <v>3966</v>
      </c>
      <c r="B359" t="s">
        <v>10260</v>
      </c>
    </row>
    <row r="360" spans="1:2" x14ac:dyDescent="0.25">
      <c r="A360" t="s">
        <v>6713</v>
      </c>
      <c r="B360" t="s">
        <v>10261</v>
      </c>
    </row>
    <row r="361" spans="1:2" x14ac:dyDescent="0.25">
      <c r="A361" t="s">
        <v>6345</v>
      </c>
      <c r="B361" t="s">
        <v>10262</v>
      </c>
    </row>
    <row r="362" spans="1:2" x14ac:dyDescent="0.25">
      <c r="A362" t="s">
        <v>3149</v>
      </c>
      <c r="B362" t="s">
        <v>10263</v>
      </c>
    </row>
    <row r="363" spans="1:2" x14ac:dyDescent="0.25">
      <c r="A363" t="s">
        <v>4209</v>
      </c>
      <c r="B363" t="s">
        <v>10264</v>
      </c>
    </row>
    <row r="364" spans="1:2" x14ac:dyDescent="0.25">
      <c r="A364" t="s">
        <v>4211</v>
      </c>
      <c r="B364" t="s">
        <v>10265</v>
      </c>
    </row>
    <row r="365" spans="1:2" x14ac:dyDescent="0.25">
      <c r="A365" t="s">
        <v>6719</v>
      </c>
      <c r="B365" t="s">
        <v>10266</v>
      </c>
    </row>
    <row r="366" spans="1:2" x14ac:dyDescent="0.25">
      <c r="A366" t="s">
        <v>4213</v>
      </c>
      <c r="B366" t="s">
        <v>10267</v>
      </c>
    </row>
    <row r="367" spans="1:2" x14ac:dyDescent="0.25">
      <c r="A367" t="s">
        <v>6722</v>
      </c>
      <c r="B367" t="s">
        <v>10268</v>
      </c>
    </row>
    <row r="368" spans="1:2" x14ac:dyDescent="0.25">
      <c r="A368" t="s">
        <v>4215</v>
      </c>
      <c r="B368" t="s">
        <v>10269</v>
      </c>
    </row>
    <row r="369" spans="1:2" x14ac:dyDescent="0.25">
      <c r="A369" t="s">
        <v>6725</v>
      </c>
      <c r="B369" t="s">
        <v>10270</v>
      </c>
    </row>
    <row r="370" spans="1:2" x14ac:dyDescent="0.25">
      <c r="A370" t="s">
        <v>4217</v>
      </c>
      <c r="B370" t="s">
        <v>10271</v>
      </c>
    </row>
    <row r="371" spans="1:2" x14ac:dyDescent="0.25">
      <c r="A371" t="s">
        <v>6728</v>
      </c>
      <c r="B371" t="s">
        <v>10272</v>
      </c>
    </row>
    <row r="372" spans="1:2" x14ac:dyDescent="0.25">
      <c r="A372" t="s">
        <v>4219</v>
      </c>
      <c r="B372" t="s">
        <v>10273</v>
      </c>
    </row>
    <row r="373" spans="1:2" x14ac:dyDescent="0.25">
      <c r="A373" t="s">
        <v>6731</v>
      </c>
      <c r="B373" t="s">
        <v>10274</v>
      </c>
    </row>
    <row r="374" spans="1:2" x14ac:dyDescent="0.25">
      <c r="A374" t="s">
        <v>6733</v>
      </c>
      <c r="B374" t="s">
        <v>10275</v>
      </c>
    </row>
    <row r="375" spans="1:2" x14ac:dyDescent="0.25">
      <c r="A375" t="s">
        <v>6735</v>
      </c>
      <c r="B375" t="s">
        <v>10276</v>
      </c>
    </row>
    <row r="376" spans="1:2" x14ac:dyDescent="0.25">
      <c r="A376" t="s">
        <v>6737</v>
      </c>
      <c r="B376" t="s">
        <v>10277</v>
      </c>
    </row>
    <row r="377" spans="1:2" x14ac:dyDescent="0.25">
      <c r="A377" t="s">
        <v>6739</v>
      </c>
      <c r="B377" t="s">
        <v>10278</v>
      </c>
    </row>
    <row r="378" spans="1:2" x14ac:dyDescent="0.25">
      <c r="A378" t="s">
        <v>6741</v>
      </c>
      <c r="B378" t="s">
        <v>10279</v>
      </c>
    </row>
    <row r="379" spans="1:2" x14ac:dyDescent="0.25">
      <c r="A379" t="s">
        <v>6743</v>
      </c>
      <c r="B379" t="s">
        <v>10280</v>
      </c>
    </row>
    <row r="380" spans="1:2" x14ac:dyDescent="0.25">
      <c r="A380" t="s">
        <v>6745</v>
      </c>
      <c r="B380" t="s">
        <v>10281</v>
      </c>
    </row>
    <row r="381" spans="1:2" x14ac:dyDescent="0.25">
      <c r="A381" t="s">
        <v>6747</v>
      </c>
      <c r="B381" t="s">
        <v>10282</v>
      </c>
    </row>
    <row r="382" spans="1:2" x14ac:dyDescent="0.25">
      <c r="A382" t="s">
        <v>6749</v>
      </c>
      <c r="B382" t="s">
        <v>10283</v>
      </c>
    </row>
    <row r="383" spans="1:2" x14ac:dyDescent="0.25">
      <c r="A383" t="s">
        <v>6751</v>
      </c>
      <c r="B383" t="s">
        <v>10284</v>
      </c>
    </row>
    <row r="384" spans="1:2" x14ac:dyDescent="0.25">
      <c r="A384" t="s">
        <v>2233</v>
      </c>
      <c r="B384" t="s">
        <v>10285</v>
      </c>
    </row>
    <row r="385" spans="1:2" x14ac:dyDescent="0.25">
      <c r="A385" t="s">
        <v>2298</v>
      </c>
      <c r="B385" t="s">
        <v>10286</v>
      </c>
    </row>
    <row r="386" spans="1:2" x14ac:dyDescent="0.25">
      <c r="A386" t="s">
        <v>2263</v>
      </c>
      <c r="B386" t="s">
        <v>10287</v>
      </c>
    </row>
    <row r="387" spans="1:2" x14ac:dyDescent="0.25">
      <c r="A387" t="s">
        <v>3298</v>
      </c>
      <c r="B387" t="s">
        <v>10288</v>
      </c>
    </row>
    <row r="388" spans="1:2" x14ac:dyDescent="0.25">
      <c r="A388" t="s">
        <v>3300</v>
      </c>
      <c r="B388" t="s">
        <v>10289</v>
      </c>
    </row>
    <row r="389" spans="1:2" x14ac:dyDescent="0.25">
      <c r="A389" t="s">
        <v>6234</v>
      </c>
      <c r="B389" t="s">
        <v>10290</v>
      </c>
    </row>
    <row r="390" spans="1:2" x14ac:dyDescent="0.25">
      <c r="A390" t="s">
        <v>3302</v>
      </c>
      <c r="B390" t="s">
        <v>10291</v>
      </c>
    </row>
    <row r="391" spans="1:2" x14ac:dyDescent="0.25">
      <c r="A391" t="s">
        <v>6238</v>
      </c>
      <c r="B391" t="s">
        <v>10292</v>
      </c>
    </row>
    <row r="392" spans="1:2" x14ac:dyDescent="0.25">
      <c r="A392" t="s">
        <v>3304</v>
      </c>
      <c r="B392" t="s">
        <v>10293</v>
      </c>
    </row>
    <row r="393" spans="1:2" x14ac:dyDescent="0.25">
      <c r="A393" t="s">
        <v>6241</v>
      </c>
      <c r="B393" t="s">
        <v>10294</v>
      </c>
    </row>
    <row r="394" spans="1:2" x14ac:dyDescent="0.25">
      <c r="A394" t="s">
        <v>3306</v>
      </c>
      <c r="B394" t="s">
        <v>10295</v>
      </c>
    </row>
    <row r="395" spans="1:2" x14ac:dyDescent="0.25">
      <c r="A395" t="s">
        <v>6205</v>
      </c>
      <c r="B395" t="s">
        <v>10296</v>
      </c>
    </row>
    <row r="396" spans="1:2" x14ac:dyDescent="0.25">
      <c r="A396" t="s">
        <v>3308</v>
      </c>
      <c r="B396" t="s">
        <v>10297</v>
      </c>
    </row>
    <row r="397" spans="1:2" x14ac:dyDescent="0.25">
      <c r="A397" t="s">
        <v>3310</v>
      </c>
      <c r="B397" t="s">
        <v>10298</v>
      </c>
    </row>
    <row r="398" spans="1:2" x14ac:dyDescent="0.25">
      <c r="A398" t="s">
        <v>6209</v>
      </c>
      <c r="B398" t="s">
        <v>10299</v>
      </c>
    </row>
    <row r="399" spans="1:2" x14ac:dyDescent="0.25">
      <c r="A399" t="s">
        <v>6211</v>
      </c>
      <c r="B399" t="s">
        <v>10300</v>
      </c>
    </row>
    <row r="400" spans="1:2" x14ac:dyDescent="0.25">
      <c r="A400" t="s">
        <v>6213</v>
      </c>
      <c r="B400" t="s">
        <v>10301</v>
      </c>
    </row>
    <row r="401" spans="1:2" x14ac:dyDescent="0.25">
      <c r="A401" t="s">
        <v>6215</v>
      </c>
      <c r="B401" t="s">
        <v>10302</v>
      </c>
    </row>
    <row r="402" spans="1:2" x14ac:dyDescent="0.25">
      <c r="A402" t="s">
        <v>3312</v>
      </c>
      <c r="B402" t="s">
        <v>10303</v>
      </c>
    </row>
    <row r="403" spans="1:2" x14ac:dyDescent="0.25">
      <c r="A403" t="s">
        <v>3734</v>
      </c>
      <c r="B403" t="s">
        <v>10304</v>
      </c>
    </row>
    <row r="404" spans="1:2" x14ac:dyDescent="0.25">
      <c r="A404" t="s">
        <v>3737</v>
      </c>
      <c r="B404" t="s">
        <v>10305</v>
      </c>
    </row>
    <row r="405" spans="1:2" x14ac:dyDescent="0.25">
      <c r="A405" t="s">
        <v>3739</v>
      </c>
      <c r="B405" t="s">
        <v>10306</v>
      </c>
    </row>
    <row r="406" spans="1:2" x14ac:dyDescent="0.25">
      <c r="A406" t="s">
        <v>6259</v>
      </c>
      <c r="B406" t="s">
        <v>10307</v>
      </c>
    </row>
    <row r="407" spans="1:2" x14ac:dyDescent="0.25">
      <c r="A407" t="s">
        <v>3741</v>
      </c>
      <c r="B407" t="s">
        <v>10308</v>
      </c>
    </row>
    <row r="408" spans="1:2" x14ac:dyDescent="0.25">
      <c r="A408" t="s">
        <v>6264</v>
      </c>
      <c r="B408" t="s">
        <v>10309</v>
      </c>
    </row>
    <row r="409" spans="1:2" x14ac:dyDescent="0.25">
      <c r="A409" t="s">
        <v>3743</v>
      </c>
      <c r="B409" t="s">
        <v>10310</v>
      </c>
    </row>
    <row r="410" spans="1:2" x14ac:dyDescent="0.25">
      <c r="A410" t="s">
        <v>6267</v>
      </c>
      <c r="B410" t="s">
        <v>10311</v>
      </c>
    </row>
    <row r="411" spans="1:2" x14ac:dyDescent="0.25">
      <c r="A411" t="s">
        <v>3745</v>
      </c>
      <c r="B411" t="s">
        <v>10312</v>
      </c>
    </row>
    <row r="412" spans="1:2" x14ac:dyDescent="0.25">
      <c r="A412" t="s">
        <v>3747</v>
      </c>
      <c r="B412" t="s">
        <v>10313</v>
      </c>
    </row>
    <row r="413" spans="1:2" x14ac:dyDescent="0.25">
      <c r="A413" t="s">
        <v>3749</v>
      </c>
      <c r="B413" t="s">
        <v>10314</v>
      </c>
    </row>
    <row r="414" spans="1:2" x14ac:dyDescent="0.25">
      <c r="A414" t="s">
        <v>6276</v>
      </c>
      <c r="B414" t="s">
        <v>10315</v>
      </c>
    </row>
    <row r="415" spans="1:2" x14ac:dyDescent="0.25">
      <c r="A415" t="s">
        <v>6278</v>
      </c>
      <c r="B415" t="s">
        <v>10316</v>
      </c>
    </row>
    <row r="416" spans="1:2" x14ac:dyDescent="0.25">
      <c r="A416" t="s">
        <v>6280</v>
      </c>
      <c r="B416" t="s">
        <v>10317</v>
      </c>
    </row>
    <row r="417" spans="1:2" x14ac:dyDescent="0.25">
      <c r="A417" t="s">
        <v>6282</v>
      </c>
      <c r="B417" t="s">
        <v>10318</v>
      </c>
    </row>
    <row r="418" spans="1:2" x14ac:dyDescent="0.25">
      <c r="A418" t="s">
        <v>3751</v>
      </c>
      <c r="B418" t="s">
        <v>10319</v>
      </c>
    </row>
    <row r="419" spans="1:2" x14ac:dyDescent="0.25">
      <c r="A419" t="s">
        <v>6329</v>
      </c>
      <c r="B419" t="s">
        <v>10320</v>
      </c>
    </row>
    <row r="420" spans="1:2" x14ac:dyDescent="0.25">
      <c r="A420" t="s">
        <v>6285</v>
      </c>
      <c r="B420" t="s">
        <v>10321</v>
      </c>
    </row>
    <row r="421" spans="1:2" x14ac:dyDescent="0.25">
      <c r="A421" t="s">
        <v>3753</v>
      </c>
      <c r="B421" t="s">
        <v>10322</v>
      </c>
    </row>
    <row r="422" spans="1:2" x14ac:dyDescent="0.25">
      <c r="A422" t="s">
        <v>6288</v>
      </c>
      <c r="B422" t="s">
        <v>10323</v>
      </c>
    </row>
    <row r="423" spans="1:2" x14ac:dyDescent="0.25">
      <c r="A423" t="s">
        <v>3755</v>
      </c>
      <c r="B423" t="s">
        <v>10324</v>
      </c>
    </row>
    <row r="424" spans="1:2" x14ac:dyDescent="0.25">
      <c r="A424" t="s">
        <v>6291</v>
      </c>
      <c r="B424" t="s">
        <v>10325</v>
      </c>
    </row>
    <row r="425" spans="1:2" x14ac:dyDescent="0.25">
      <c r="A425" t="s">
        <v>3757</v>
      </c>
      <c r="B425" t="s">
        <v>10326</v>
      </c>
    </row>
    <row r="426" spans="1:2" x14ac:dyDescent="0.25">
      <c r="A426" t="s">
        <v>6294</v>
      </c>
      <c r="B426" t="s">
        <v>10327</v>
      </c>
    </row>
    <row r="427" spans="1:2" x14ac:dyDescent="0.25">
      <c r="A427" t="s">
        <v>3759</v>
      </c>
      <c r="B427" t="s">
        <v>10328</v>
      </c>
    </row>
    <row r="428" spans="1:2" x14ac:dyDescent="0.25">
      <c r="A428" t="s">
        <v>6298</v>
      </c>
      <c r="B428" t="s">
        <v>10329</v>
      </c>
    </row>
    <row r="429" spans="1:2" x14ac:dyDescent="0.25">
      <c r="A429" t="s">
        <v>3761</v>
      </c>
      <c r="B429" t="s">
        <v>10330</v>
      </c>
    </row>
    <row r="430" spans="1:2" x14ac:dyDescent="0.25">
      <c r="A430" t="s">
        <v>6302</v>
      </c>
      <c r="B430" t="s">
        <v>10331</v>
      </c>
    </row>
    <row r="431" spans="1:2" x14ac:dyDescent="0.25">
      <c r="A431" t="s">
        <v>3763</v>
      </c>
      <c r="B431" t="s">
        <v>10332</v>
      </c>
    </row>
    <row r="432" spans="1:2" x14ac:dyDescent="0.25">
      <c r="A432" t="s">
        <v>6306</v>
      </c>
      <c r="B432" t="s">
        <v>10333</v>
      </c>
    </row>
    <row r="433" spans="1:2" x14ac:dyDescent="0.25">
      <c r="A433" t="s">
        <v>3765</v>
      </c>
      <c r="B433" t="s">
        <v>10334</v>
      </c>
    </row>
    <row r="434" spans="1:2" x14ac:dyDescent="0.25">
      <c r="A434" t="s">
        <v>6309</v>
      </c>
      <c r="B434" t="s">
        <v>10335</v>
      </c>
    </row>
    <row r="435" spans="1:2" x14ac:dyDescent="0.25">
      <c r="A435" t="s">
        <v>6311</v>
      </c>
      <c r="B435" t="s">
        <v>10336</v>
      </c>
    </row>
    <row r="436" spans="1:2" x14ac:dyDescent="0.25">
      <c r="A436" t="s">
        <v>6313</v>
      </c>
      <c r="B436" t="s">
        <v>10337</v>
      </c>
    </row>
    <row r="437" spans="1:2" x14ac:dyDescent="0.25">
      <c r="A437" t="s">
        <v>6315</v>
      </c>
      <c r="B437" t="s">
        <v>10338</v>
      </c>
    </row>
    <row r="438" spans="1:2" x14ac:dyDescent="0.25">
      <c r="A438" t="s">
        <v>6317</v>
      </c>
      <c r="B438" t="s">
        <v>10339</v>
      </c>
    </row>
    <row r="439" spans="1:2" x14ac:dyDescent="0.25">
      <c r="A439" t="s">
        <v>6319</v>
      </c>
      <c r="B439" t="s">
        <v>10340</v>
      </c>
    </row>
    <row r="440" spans="1:2" x14ac:dyDescent="0.25">
      <c r="A440" t="s">
        <v>6321</v>
      </c>
      <c r="B440" t="s">
        <v>10341</v>
      </c>
    </row>
    <row r="441" spans="1:2" x14ac:dyDescent="0.25">
      <c r="A441" t="s">
        <v>6323</v>
      </c>
      <c r="B441" t="s">
        <v>10342</v>
      </c>
    </row>
    <row r="442" spans="1:2" x14ac:dyDescent="0.25">
      <c r="A442" t="s">
        <v>6325</v>
      </c>
      <c r="B442" t="s">
        <v>10343</v>
      </c>
    </row>
    <row r="443" spans="1:2" x14ac:dyDescent="0.25">
      <c r="A443" t="s">
        <v>6327</v>
      </c>
      <c r="B443" t="s">
        <v>10344</v>
      </c>
    </row>
    <row r="444" spans="1:2" x14ac:dyDescent="0.25">
      <c r="A444" t="s">
        <v>6331</v>
      </c>
      <c r="B444" t="s">
        <v>10345</v>
      </c>
    </row>
    <row r="445" spans="1:2" x14ac:dyDescent="0.25">
      <c r="A445" t="s">
        <v>3953</v>
      </c>
      <c r="B445" t="s">
        <v>10346</v>
      </c>
    </row>
    <row r="446" spans="1:2" x14ac:dyDescent="0.25">
      <c r="A446" t="s">
        <v>3956</v>
      </c>
      <c r="B446" t="s">
        <v>10347</v>
      </c>
    </row>
    <row r="447" spans="1:2" x14ac:dyDescent="0.25">
      <c r="A447" t="s">
        <v>3958</v>
      </c>
      <c r="B447" t="s">
        <v>10348</v>
      </c>
    </row>
    <row r="448" spans="1:2" x14ac:dyDescent="0.25">
      <c r="A448" t="s">
        <v>6336</v>
      </c>
      <c r="B448" t="s">
        <v>10349</v>
      </c>
    </row>
    <row r="449" spans="1:2" x14ac:dyDescent="0.25">
      <c r="A449" t="s">
        <v>3960</v>
      </c>
      <c r="B449" t="s">
        <v>10350</v>
      </c>
    </row>
    <row r="450" spans="1:2" x14ac:dyDescent="0.25">
      <c r="A450" t="s">
        <v>6339</v>
      </c>
      <c r="B450" t="s">
        <v>10351</v>
      </c>
    </row>
    <row r="451" spans="1:2" x14ac:dyDescent="0.25">
      <c r="A451" t="s">
        <v>3962</v>
      </c>
      <c r="B451" t="s">
        <v>10352</v>
      </c>
    </row>
    <row r="452" spans="1:2" x14ac:dyDescent="0.25">
      <c r="A452" t="s">
        <v>6342</v>
      </c>
      <c r="B452" t="s">
        <v>10353</v>
      </c>
    </row>
    <row r="453" spans="1:2" x14ac:dyDescent="0.25">
      <c r="A453" t="s">
        <v>3964</v>
      </c>
      <c r="B453" t="s">
        <v>10354</v>
      </c>
    </row>
    <row r="454" spans="1:2" x14ac:dyDescent="0.25">
      <c r="A454" t="s">
        <v>6345</v>
      </c>
      <c r="B454" t="s">
        <v>10355</v>
      </c>
    </row>
    <row r="455" spans="1:2" x14ac:dyDescent="0.25">
      <c r="A455" t="s">
        <v>6347</v>
      </c>
      <c r="B455" t="s">
        <v>10356</v>
      </c>
    </row>
    <row r="456" spans="1:2" x14ac:dyDescent="0.25">
      <c r="A456" t="s">
        <v>6349</v>
      </c>
      <c r="B456" t="s">
        <v>10357</v>
      </c>
    </row>
    <row r="457" spans="1:2" x14ac:dyDescent="0.25">
      <c r="A457" t="s">
        <v>6351</v>
      </c>
      <c r="B457" t="s">
        <v>10358</v>
      </c>
    </row>
    <row r="458" spans="1:2" x14ac:dyDescent="0.25">
      <c r="A458" t="s">
        <v>6353</v>
      </c>
      <c r="B458" t="s">
        <v>10359</v>
      </c>
    </row>
    <row r="459" spans="1:2" x14ac:dyDescent="0.25">
      <c r="A459" t="s">
        <v>6355</v>
      </c>
      <c r="B459" t="s">
        <v>10360</v>
      </c>
    </row>
    <row r="460" spans="1:2" x14ac:dyDescent="0.25">
      <c r="A460" t="s">
        <v>6357</v>
      </c>
      <c r="B460" t="s">
        <v>10361</v>
      </c>
    </row>
    <row r="461" spans="1:2" x14ac:dyDescent="0.25">
      <c r="A461" t="s">
        <v>6359</v>
      </c>
      <c r="B461" t="s">
        <v>10362</v>
      </c>
    </row>
    <row r="462" spans="1:2" x14ac:dyDescent="0.25">
      <c r="A462" t="s">
        <v>6361</v>
      </c>
      <c r="B462" t="s">
        <v>10363</v>
      </c>
    </row>
    <row r="463" spans="1:2" x14ac:dyDescent="0.25">
      <c r="A463" t="s">
        <v>6363</v>
      </c>
      <c r="B463" t="s">
        <v>10364</v>
      </c>
    </row>
    <row r="464" spans="1:2" x14ac:dyDescent="0.25">
      <c r="A464" t="s">
        <v>6365</v>
      </c>
      <c r="B464" t="s">
        <v>10365</v>
      </c>
    </row>
    <row r="465" spans="1:2" x14ac:dyDescent="0.25">
      <c r="A465" t="s">
        <v>6367</v>
      </c>
      <c r="B465" t="s">
        <v>10366</v>
      </c>
    </row>
    <row r="466" spans="1:2" x14ac:dyDescent="0.25">
      <c r="A466" t="s">
        <v>6369</v>
      </c>
      <c r="B466" t="s">
        <v>10367</v>
      </c>
    </row>
    <row r="467" spans="1:2" x14ac:dyDescent="0.25">
      <c r="A467" t="s">
        <v>6371</v>
      </c>
      <c r="B467" t="s">
        <v>10368</v>
      </c>
    </row>
    <row r="468" spans="1:2" x14ac:dyDescent="0.25">
      <c r="A468" t="s">
        <v>6373</v>
      </c>
      <c r="B468" t="s">
        <v>10369</v>
      </c>
    </row>
    <row r="469" spans="1:2" x14ac:dyDescent="0.25">
      <c r="A469" t="s">
        <v>6375</v>
      </c>
      <c r="B469" t="s">
        <v>10370</v>
      </c>
    </row>
    <row r="470" spans="1:2" x14ac:dyDescent="0.25">
      <c r="A470" t="s">
        <v>6377</v>
      </c>
      <c r="B470" t="s">
        <v>10371</v>
      </c>
    </row>
    <row r="471" spans="1:2" x14ac:dyDescent="0.25">
      <c r="A471" t="s">
        <v>6379</v>
      </c>
      <c r="B471" t="s">
        <v>10372</v>
      </c>
    </row>
    <row r="472" spans="1:2" x14ac:dyDescent="0.25">
      <c r="A472" t="s">
        <v>6381</v>
      </c>
      <c r="B472" t="s">
        <v>10373</v>
      </c>
    </row>
    <row r="473" spans="1:2" x14ac:dyDescent="0.25">
      <c r="A473" t="s">
        <v>6383</v>
      </c>
      <c r="B473" t="s">
        <v>10374</v>
      </c>
    </row>
    <row r="474" spans="1:2" x14ac:dyDescent="0.25">
      <c r="A474" t="s">
        <v>6385</v>
      </c>
      <c r="B474" t="s">
        <v>10375</v>
      </c>
    </row>
    <row r="475" spans="1:2" x14ac:dyDescent="0.25">
      <c r="A475" t="s">
        <v>6387</v>
      </c>
      <c r="B475" t="s">
        <v>10376</v>
      </c>
    </row>
    <row r="476" spans="1:2" x14ac:dyDescent="0.25">
      <c r="A476" t="s">
        <v>6389</v>
      </c>
      <c r="B476" t="s">
        <v>10377</v>
      </c>
    </row>
    <row r="477" spans="1:2" x14ac:dyDescent="0.25">
      <c r="A477" t="s">
        <v>6391</v>
      </c>
      <c r="B477" t="s">
        <v>10378</v>
      </c>
    </row>
    <row r="478" spans="1:2" x14ac:dyDescent="0.25">
      <c r="A478" t="s">
        <v>6393</v>
      </c>
      <c r="B478" t="s">
        <v>10379</v>
      </c>
    </row>
    <row r="479" spans="1:2" x14ac:dyDescent="0.25">
      <c r="A479" t="s">
        <v>6395</v>
      </c>
      <c r="B479" t="s">
        <v>10380</v>
      </c>
    </row>
    <row r="480" spans="1:2" x14ac:dyDescent="0.25">
      <c r="A480" t="s">
        <v>6398</v>
      </c>
      <c r="B480" t="s">
        <v>10381</v>
      </c>
    </row>
    <row r="481" spans="1:2" x14ac:dyDescent="0.25">
      <c r="A481" t="s">
        <v>2233</v>
      </c>
      <c r="B481" t="s">
        <v>10382</v>
      </c>
    </row>
    <row r="482" spans="1:2" x14ac:dyDescent="0.25">
      <c r="A482" t="s">
        <v>2298</v>
      </c>
      <c r="B482" t="s">
        <v>10383</v>
      </c>
    </row>
    <row r="483" spans="1:2" x14ac:dyDescent="0.25">
      <c r="A483" t="s">
        <v>2300</v>
      </c>
      <c r="B483" t="s">
        <v>10384</v>
      </c>
    </row>
    <row r="484" spans="1:2" x14ac:dyDescent="0.25">
      <c r="A484" t="s">
        <v>479</v>
      </c>
      <c r="B484" t="s">
        <v>10385</v>
      </c>
    </row>
    <row r="485" spans="1:2" x14ac:dyDescent="0.25">
      <c r="A485" t="s">
        <v>483</v>
      </c>
      <c r="B485" t="s">
        <v>10386</v>
      </c>
    </row>
    <row r="486" spans="1:2" x14ac:dyDescent="0.25">
      <c r="A486" t="s">
        <v>487</v>
      </c>
      <c r="B486" t="s">
        <v>10387</v>
      </c>
    </row>
    <row r="487" spans="1:2" x14ac:dyDescent="0.25">
      <c r="A487" t="s">
        <v>491</v>
      </c>
      <c r="B487" t="s">
        <v>10388</v>
      </c>
    </row>
    <row r="488" spans="1:2" x14ac:dyDescent="0.25">
      <c r="A488" t="s">
        <v>494</v>
      </c>
      <c r="B488" t="s">
        <v>10389</v>
      </c>
    </row>
    <row r="489" spans="1:2" x14ac:dyDescent="0.25">
      <c r="A489" t="s">
        <v>496</v>
      </c>
      <c r="B489" t="s">
        <v>10390</v>
      </c>
    </row>
    <row r="490" spans="1:2" x14ac:dyDescent="0.25">
      <c r="A490" t="s">
        <v>1297</v>
      </c>
      <c r="B490" t="s">
        <v>10391</v>
      </c>
    </row>
    <row r="491" spans="1:2" x14ac:dyDescent="0.25">
      <c r="A491" t="s">
        <v>1300</v>
      </c>
      <c r="B491" t="s">
        <v>10392</v>
      </c>
    </row>
    <row r="492" spans="1:2" x14ac:dyDescent="0.25">
      <c r="A492" t="s">
        <v>1302</v>
      </c>
      <c r="B492" t="s">
        <v>10393</v>
      </c>
    </row>
    <row r="493" spans="1:2" x14ac:dyDescent="0.25">
      <c r="A493" t="s">
        <v>2263</v>
      </c>
      <c r="B493" t="s">
        <v>10394</v>
      </c>
    </row>
    <row r="494" spans="1:2" x14ac:dyDescent="0.25">
      <c r="A494" t="s">
        <v>3302</v>
      </c>
      <c r="B494" t="s">
        <v>10395</v>
      </c>
    </row>
    <row r="495" spans="1:2" x14ac:dyDescent="0.25">
      <c r="A495" t="s">
        <v>3306</v>
      </c>
      <c r="B495" t="s">
        <v>10396</v>
      </c>
    </row>
    <row r="496" spans="1:2" x14ac:dyDescent="0.25">
      <c r="A496" t="s">
        <v>6205</v>
      </c>
      <c r="B496" t="s">
        <v>10397</v>
      </c>
    </row>
    <row r="497" spans="1:2" x14ac:dyDescent="0.25">
      <c r="A497" t="s">
        <v>3308</v>
      </c>
      <c r="B497" t="s">
        <v>10398</v>
      </c>
    </row>
    <row r="498" spans="1:2" x14ac:dyDescent="0.25">
      <c r="A498" t="s">
        <v>3310</v>
      </c>
      <c r="B498" t="s">
        <v>10399</v>
      </c>
    </row>
    <row r="499" spans="1:2" x14ac:dyDescent="0.25">
      <c r="A499" t="s">
        <v>6209</v>
      </c>
      <c r="B499" t="s">
        <v>10400</v>
      </c>
    </row>
    <row r="500" spans="1:2" x14ac:dyDescent="0.25">
      <c r="A500" t="s">
        <v>6211</v>
      </c>
      <c r="B500" t="s">
        <v>10401</v>
      </c>
    </row>
    <row r="501" spans="1:2" x14ac:dyDescent="0.25">
      <c r="A501" t="s">
        <v>6213</v>
      </c>
      <c r="B501" t="s">
        <v>10402</v>
      </c>
    </row>
    <row r="502" spans="1:2" x14ac:dyDescent="0.25">
      <c r="A502" t="s">
        <v>6215</v>
      </c>
      <c r="B502" t="s">
        <v>10403</v>
      </c>
    </row>
    <row r="503" spans="1:2" x14ac:dyDescent="0.25">
      <c r="A503" t="s">
        <v>3312</v>
      </c>
      <c r="B503" t="s">
        <v>10404</v>
      </c>
    </row>
    <row r="504" spans="1:2" x14ac:dyDescent="0.25">
      <c r="A504" t="s">
        <v>6218</v>
      </c>
      <c r="B504" t="s">
        <v>10405</v>
      </c>
    </row>
    <row r="505" spans="1:2" x14ac:dyDescent="0.25">
      <c r="A505" t="s">
        <v>3314</v>
      </c>
      <c r="B505" t="s">
        <v>10406</v>
      </c>
    </row>
    <row r="506" spans="1:2" x14ac:dyDescent="0.25">
      <c r="A506" t="s">
        <v>6221</v>
      </c>
      <c r="B506" t="s">
        <v>10407</v>
      </c>
    </row>
    <row r="507" spans="1:2" x14ac:dyDescent="0.25">
      <c r="A507" t="s">
        <v>3316</v>
      </c>
      <c r="B507" t="s">
        <v>10408</v>
      </c>
    </row>
    <row r="508" spans="1:2" x14ac:dyDescent="0.25">
      <c r="A508" t="s">
        <v>6224</v>
      </c>
      <c r="B508" t="s">
        <v>10409</v>
      </c>
    </row>
    <row r="509" spans="1:2" x14ac:dyDescent="0.25">
      <c r="A509" t="s">
        <v>3318</v>
      </c>
      <c r="B509" t="s">
        <v>10410</v>
      </c>
    </row>
    <row r="510" spans="1:2" x14ac:dyDescent="0.25">
      <c r="A510" t="s">
        <v>6227</v>
      </c>
      <c r="B510" t="s">
        <v>10411</v>
      </c>
    </row>
    <row r="511" spans="1:2" x14ac:dyDescent="0.25">
      <c r="A511" t="s">
        <v>3320</v>
      </c>
      <c r="B511" t="s">
        <v>10412</v>
      </c>
    </row>
    <row r="512" spans="1:2" x14ac:dyDescent="0.25">
      <c r="A512" t="s">
        <v>6450</v>
      </c>
      <c r="B512" t="s">
        <v>10413</v>
      </c>
    </row>
    <row r="513" spans="1:2" x14ac:dyDescent="0.25">
      <c r="A513" t="s">
        <v>2233</v>
      </c>
      <c r="B513" t="s">
        <v>10414</v>
      </c>
    </row>
    <row r="514" spans="1:2" x14ac:dyDescent="0.25">
      <c r="A514" t="s">
        <v>2298</v>
      </c>
      <c r="B514" t="s">
        <v>10415</v>
      </c>
    </row>
    <row r="515" spans="1:2" x14ac:dyDescent="0.25">
      <c r="A515" t="s">
        <v>2300</v>
      </c>
      <c r="B515" t="s">
        <v>10416</v>
      </c>
    </row>
    <row r="516" spans="1:2" x14ac:dyDescent="0.25">
      <c r="A516" t="s">
        <v>479</v>
      </c>
      <c r="B516" t="s">
        <v>10417</v>
      </c>
    </row>
    <row r="517" spans="1:2" x14ac:dyDescent="0.25">
      <c r="A517" t="s">
        <v>483</v>
      </c>
      <c r="B517" t="s">
        <v>10418</v>
      </c>
    </row>
    <row r="518" spans="1:2" x14ac:dyDescent="0.25">
      <c r="A518" t="s">
        <v>494</v>
      </c>
      <c r="B518" t="s">
        <v>10419</v>
      </c>
    </row>
    <row r="519" spans="1:2" x14ac:dyDescent="0.25">
      <c r="A519" t="s">
        <v>496</v>
      </c>
      <c r="B519" t="s">
        <v>10420</v>
      </c>
    </row>
    <row r="520" spans="1:2" x14ac:dyDescent="0.25">
      <c r="A520" t="s">
        <v>1297</v>
      </c>
      <c r="B520" t="s">
        <v>10421</v>
      </c>
    </row>
    <row r="521" spans="1:2" x14ac:dyDescent="0.25">
      <c r="A521" t="s">
        <v>1300</v>
      </c>
      <c r="B521" t="s">
        <v>10422</v>
      </c>
    </row>
    <row r="522" spans="1:2" x14ac:dyDescent="0.25">
      <c r="A522" t="s">
        <v>1302</v>
      </c>
      <c r="B522" t="s">
        <v>10423</v>
      </c>
    </row>
    <row r="523" spans="1:2" x14ac:dyDescent="0.25">
      <c r="A523" t="s">
        <v>502</v>
      </c>
      <c r="B523" t="s">
        <v>10424</v>
      </c>
    </row>
    <row r="524" spans="1:2" x14ac:dyDescent="0.25">
      <c r="A524" t="s">
        <v>510</v>
      </c>
      <c r="B524" t="s">
        <v>10425</v>
      </c>
    </row>
    <row r="525" spans="1:2" x14ac:dyDescent="0.25">
      <c r="A525" t="s">
        <v>514</v>
      </c>
      <c r="B525" t="s">
        <v>10426</v>
      </c>
    </row>
    <row r="526" spans="1:2" x14ac:dyDescent="0.25">
      <c r="A526" t="s">
        <v>518</v>
      </c>
      <c r="B526" t="s">
        <v>10427</v>
      </c>
    </row>
    <row r="527" spans="1:2" x14ac:dyDescent="0.25">
      <c r="A527" t="s">
        <v>577</v>
      </c>
      <c r="B527" t="s">
        <v>10428</v>
      </c>
    </row>
    <row r="528" spans="1:2" x14ac:dyDescent="0.25">
      <c r="A528" t="s">
        <v>580</v>
      </c>
      <c r="B528" t="s">
        <v>10429</v>
      </c>
    </row>
    <row r="529" spans="1:2" x14ac:dyDescent="0.25">
      <c r="A529" t="s">
        <v>582</v>
      </c>
      <c r="B529" t="s">
        <v>10430</v>
      </c>
    </row>
    <row r="530" spans="1:2" x14ac:dyDescent="0.25">
      <c r="A530" t="s">
        <v>586</v>
      </c>
      <c r="B530" t="s">
        <v>10431</v>
      </c>
    </row>
    <row r="531" spans="1:2" x14ac:dyDescent="0.25">
      <c r="A531" t="s">
        <v>588</v>
      </c>
      <c r="B531" t="s">
        <v>10432</v>
      </c>
    </row>
    <row r="532" spans="1:2" x14ac:dyDescent="0.25">
      <c r="A532" t="s">
        <v>1353</v>
      </c>
      <c r="B532" t="s">
        <v>10433</v>
      </c>
    </row>
    <row r="533" spans="1:2" x14ac:dyDescent="0.25">
      <c r="A533" t="s">
        <v>676</v>
      </c>
      <c r="B533" t="s">
        <v>10434</v>
      </c>
    </row>
    <row r="534" spans="1:2" x14ac:dyDescent="0.25">
      <c r="A534" t="s">
        <v>2538</v>
      </c>
      <c r="B534" t="s">
        <v>10435</v>
      </c>
    </row>
    <row r="535" spans="1:2" x14ac:dyDescent="0.25">
      <c r="A535" t="s">
        <v>2263</v>
      </c>
      <c r="B535" t="s">
        <v>10436</v>
      </c>
    </row>
    <row r="536" spans="1:2" x14ac:dyDescent="0.25">
      <c r="A536" t="s">
        <v>3302</v>
      </c>
      <c r="B536" t="s">
        <v>10437</v>
      </c>
    </row>
    <row r="537" spans="1:2" x14ac:dyDescent="0.25">
      <c r="A537" t="s">
        <v>3306</v>
      </c>
      <c r="B537" t="s">
        <v>10438</v>
      </c>
    </row>
    <row r="538" spans="1:2" x14ac:dyDescent="0.25">
      <c r="A538" t="s">
        <v>6205</v>
      </c>
      <c r="B538" t="s">
        <v>10439</v>
      </c>
    </row>
    <row r="539" spans="1:2" x14ac:dyDescent="0.25">
      <c r="A539" t="s">
        <v>3308</v>
      </c>
      <c r="B539" t="s">
        <v>10440</v>
      </c>
    </row>
    <row r="540" spans="1:2" x14ac:dyDescent="0.25">
      <c r="A540" t="s">
        <v>3310</v>
      </c>
      <c r="B540" t="s">
        <v>10441</v>
      </c>
    </row>
    <row r="541" spans="1:2" x14ac:dyDescent="0.25">
      <c r="A541" t="s">
        <v>6209</v>
      </c>
      <c r="B541" t="s">
        <v>10442</v>
      </c>
    </row>
    <row r="542" spans="1:2" x14ac:dyDescent="0.25">
      <c r="A542" t="s">
        <v>6211</v>
      </c>
      <c r="B542" t="s">
        <v>10443</v>
      </c>
    </row>
    <row r="543" spans="1:2" x14ac:dyDescent="0.25">
      <c r="A543" t="s">
        <v>6213</v>
      </c>
      <c r="B543" t="s">
        <v>10444</v>
      </c>
    </row>
    <row r="544" spans="1:2" x14ac:dyDescent="0.25">
      <c r="A544" t="s">
        <v>6215</v>
      </c>
      <c r="B544" t="s">
        <v>10445</v>
      </c>
    </row>
    <row r="545" spans="1:2" x14ac:dyDescent="0.25">
      <c r="A545" t="s">
        <v>3312</v>
      </c>
      <c r="B545" t="s">
        <v>10446</v>
      </c>
    </row>
    <row r="546" spans="1:2" x14ac:dyDescent="0.25">
      <c r="A546" t="s">
        <v>6218</v>
      </c>
      <c r="B546" t="s">
        <v>10447</v>
      </c>
    </row>
    <row r="547" spans="1:2" x14ac:dyDescent="0.25">
      <c r="A547" t="s">
        <v>3314</v>
      </c>
      <c r="B547" t="s">
        <v>10448</v>
      </c>
    </row>
    <row r="548" spans="1:2" x14ac:dyDescent="0.25">
      <c r="A548" t="s">
        <v>6221</v>
      </c>
      <c r="B548" t="s">
        <v>10449</v>
      </c>
    </row>
    <row r="549" spans="1:2" x14ac:dyDescent="0.25">
      <c r="A549" t="s">
        <v>3316</v>
      </c>
      <c r="B549" t="s">
        <v>10450</v>
      </c>
    </row>
    <row r="550" spans="1:2" x14ac:dyDescent="0.25">
      <c r="A550" t="s">
        <v>6224</v>
      </c>
      <c r="B550" t="s">
        <v>10451</v>
      </c>
    </row>
    <row r="551" spans="1:2" x14ac:dyDescent="0.25">
      <c r="A551" t="s">
        <v>3318</v>
      </c>
      <c r="B551" t="s">
        <v>10452</v>
      </c>
    </row>
    <row r="552" spans="1:2" x14ac:dyDescent="0.25">
      <c r="A552" t="s">
        <v>6227</v>
      </c>
      <c r="B552" t="s">
        <v>10453</v>
      </c>
    </row>
    <row r="553" spans="1:2" x14ac:dyDescent="0.25">
      <c r="A553" t="s">
        <v>2298</v>
      </c>
      <c r="B553" t="s">
        <v>6091</v>
      </c>
    </row>
    <row r="554" spans="1:2" x14ac:dyDescent="0.25">
      <c r="A554" t="s">
        <v>2300</v>
      </c>
      <c r="B554" t="s">
        <v>6093</v>
      </c>
    </row>
    <row r="555" spans="1:2" x14ac:dyDescent="0.25">
      <c r="A555" t="s">
        <v>565</v>
      </c>
      <c r="B555" t="s">
        <v>6148</v>
      </c>
    </row>
    <row r="556" spans="1:2" x14ac:dyDescent="0.25">
      <c r="A556" t="s">
        <v>567</v>
      </c>
      <c r="B556" t="s">
        <v>6149</v>
      </c>
    </row>
    <row r="557" spans="1:2" x14ac:dyDescent="0.25">
      <c r="A557" t="s">
        <v>479</v>
      </c>
      <c r="B557" t="s">
        <v>6094</v>
      </c>
    </row>
    <row r="558" spans="1:2" x14ac:dyDescent="0.25">
      <c r="A558" t="s">
        <v>574</v>
      </c>
      <c r="B558" t="s">
        <v>6151</v>
      </c>
    </row>
    <row r="559" spans="1:2" x14ac:dyDescent="0.25">
      <c r="A559" t="s">
        <v>483</v>
      </c>
      <c r="B559" t="s">
        <v>6095</v>
      </c>
    </row>
    <row r="560" spans="1:2" x14ac:dyDescent="0.25">
      <c r="A560" t="s">
        <v>487</v>
      </c>
      <c r="B560" t="s">
        <v>6096</v>
      </c>
    </row>
    <row r="561" spans="1:2" x14ac:dyDescent="0.25">
      <c r="A561" t="s">
        <v>491</v>
      </c>
      <c r="B561" t="s">
        <v>6097</v>
      </c>
    </row>
    <row r="562" spans="1:2" x14ac:dyDescent="0.25">
      <c r="A562" t="s">
        <v>494</v>
      </c>
      <c r="B562" t="s">
        <v>6098</v>
      </c>
    </row>
    <row r="563" spans="1:2" x14ac:dyDescent="0.25">
      <c r="A563" t="s">
        <v>496</v>
      </c>
      <c r="B563" t="s">
        <v>6099</v>
      </c>
    </row>
    <row r="564" spans="1:2" x14ac:dyDescent="0.25">
      <c r="A564" t="s">
        <v>1297</v>
      </c>
      <c r="B564" t="s">
        <v>6100</v>
      </c>
    </row>
    <row r="565" spans="1:2" x14ac:dyDescent="0.25">
      <c r="A565" t="s">
        <v>1300</v>
      </c>
      <c r="B565" t="s">
        <v>6101</v>
      </c>
    </row>
    <row r="566" spans="1:2" x14ac:dyDescent="0.25">
      <c r="A566" t="s">
        <v>1302</v>
      </c>
      <c r="B566" t="s">
        <v>6102</v>
      </c>
    </row>
    <row r="567" spans="1:2" x14ac:dyDescent="0.25">
      <c r="A567" t="s">
        <v>1304</v>
      </c>
      <c r="B567" t="s">
        <v>6103</v>
      </c>
    </row>
    <row r="568" spans="1:2" x14ac:dyDescent="0.25">
      <c r="A568" t="s">
        <v>1307</v>
      </c>
      <c r="B568" t="s">
        <v>6104</v>
      </c>
    </row>
    <row r="569" spans="1:2" x14ac:dyDescent="0.25">
      <c r="A569" t="s">
        <v>1309</v>
      </c>
      <c r="B569" t="s">
        <v>6105</v>
      </c>
    </row>
    <row r="570" spans="1:2" x14ac:dyDescent="0.25">
      <c r="A570" t="s">
        <v>2311</v>
      </c>
      <c r="B570" t="s">
        <v>6106</v>
      </c>
    </row>
    <row r="571" spans="1:2" x14ac:dyDescent="0.25">
      <c r="A571" t="s">
        <v>498</v>
      </c>
      <c r="B571" t="s">
        <v>6107</v>
      </c>
    </row>
    <row r="572" spans="1:2" x14ac:dyDescent="0.25">
      <c r="A572" t="s">
        <v>500</v>
      </c>
      <c r="B572" t="s">
        <v>6108</v>
      </c>
    </row>
    <row r="573" spans="1:2" x14ac:dyDescent="0.25">
      <c r="A573" t="s">
        <v>2239</v>
      </c>
      <c r="B573" t="s">
        <v>6109</v>
      </c>
    </row>
    <row r="574" spans="1:2" x14ac:dyDescent="0.25">
      <c r="A574" t="s">
        <v>1316</v>
      </c>
      <c r="B574" t="s">
        <v>6110</v>
      </c>
    </row>
    <row r="575" spans="1:2" x14ac:dyDescent="0.25">
      <c r="A575" t="s">
        <v>502</v>
      </c>
      <c r="B575" t="s">
        <v>6111</v>
      </c>
    </row>
    <row r="576" spans="1:2" x14ac:dyDescent="0.25">
      <c r="A576" t="s">
        <v>506</v>
      </c>
      <c r="B576" t="s">
        <v>6112</v>
      </c>
    </row>
    <row r="577" spans="1:2" x14ac:dyDescent="0.25">
      <c r="A577" t="s">
        <v>510</v>
      </c>
      <c r="B577" t="s">
        <v>6113</v>
      </c>
    </row>
    <row r="578" spans="1:2" x14ac:dyDescent="0.25">
      <c r="A578" t="s">
        <v>514</v>
      </c>
      <c r="B578" t="s">
        <v>6114</v>
      </c>
    </row>
    <row r="579" spans="1:2" x14ac:dyDescent="0.25">
      <c r="A579" t="s">
        <v>518</v>
      </c>
      <c r="B579" t="s">
        <v>6115</v>
      </c>
    </row>
    <row r="580" spans="1:2" x14ac:dyDescent="0.25">
      <c r="A580" t="s">
        <v>521</v>
      </c>
      <c r="B580" t="s">
        <v>6116</v>
      </c>
    </row>
    <row r="581" spans="1:2" x14ac:dyDescent="0.25">
      <c r="A581" t="s">
        <v>523</v>
      </c>
      <c r="B581" t="s">
        <v>6117</v>
      </c>
    </row>
    <row r="582" spans="1:2" x14ac:dyDescent="0.25">
      <c r="A582" t="s">
        <v>525</v>
      </c>
      <c r="B582" t="s">
        <v>6118</v>
      </c>
    </row>
    <row r="583" spans="1:2" x14ac:dyDescent="0.25">
      <c r="A583" t="s">
        <v>527</v>
      </c>
      <c r="B583" t="s">
        <v>6119</v>
      </c>
    </row>
    <row r="584" spans="1:2" x14ac:dyDescent="0.25">
      <c r="A584" t="s">
        <v>529</v>
      </c>
      <c r="B584" t="s">
        <v>6120</v>
      </c>
    </row>
    <row r="585" spans="1:2" x14ac:dyDescent="0.25">
      <c r="A585" t="s">
        <v>531</v>
      </c>
      <c r="B585" t="s">
        <v>6121</v>
      </c>
    </row>
    <row r="586" spans="1:2" x14ac:dyDescent="0.25">
      <c r="A586" t="s">
        <v>533</v>
      </c>
      <c r="B586" t="s">
        <v>6122</v>
      </c>
    </row>
    <row r="587" spans="1:2" x14ac:dyDescent="0.25">
      <c r="A587" t="s">
        <v>535</v>
      </c>
      <c r="B587" t="s">
        <v>6123</v>
      </c>
    </row>
    <row r="588" spans="1:2" x14ac:dyDescent="0.25">
      <c r="A588" t="s">
        <v>537</v>
      </c>
      <c r="B588" t="s">
        <v>6124</v>
      </c>
    </row>
    <row r="589" spans="1:2" x14ac:dyDescent="0.25">
      <c r="A589" t="s">
        <v>540</v>
      </c>
      <c r="B589" t="s">
        <v>6125</v>
      </c>
    </row>
    <row r="590" spans="1:2" x14ac:dyDescent="0.25">
      <c r="A590" t="s">
        <v>542</v>
      </c>
      <c r="B590" t="s">
        <v>6126</v>
      </c>
    </row>
    <row r="591" spans="1:2" x14ac:dyDescent="0.25">
      <c r="A591" t="s">
        <v>544</v>
      </c>
      <c r="B591" t="s">
        <v>6127</v>
      </c>
    </row>
    <row r="592" spans="1:2" x14ac:dyDescent="0.25">
      <c r="A592" t="s">
        <v>1337</v>
      </c>
      <c r="B592" t="s">
        <v>6128</v>
      </c>
    </row>
    <row r="593" spans="1:2" x14ac:dyDescent="0.25">
      <c r="A593" t="s">
        <v>548</v>
      </c>
      <c r="B593" t="s">
        <v>6129</v>
      </c>
    </row>
    <row r="594" spans="1:2" x14ac:dyDescent="0.25">
      <c r="A594" t="s">
        <v>3177</v>
      </c>
      <c r="B594" t="s">
        <v>6130</v>
      </c>
    </row>
    <row r="595" spans="1:2" x14ac:dyDescent="0.25">
      <c r="A595" t="s">
        <v>1339</v>
      </c>
      <c r="B595" t="s">
        <v>6131</v>
      </c>
    </row>
    <row r="596" spans="1:2" x14ac:dyDescent="0.25">
      <c r="A596" t="s">
        <v>1341</v>
      </c>
      <c r="B596" t="s">
        <v>6132</v>
      </c>
    </row>
    <row r="597" spans="1:2" x14ac:dyDescent="0.25">
      <c r="A597" t="s">
        <v>1343</v>
      </c>
      <c r="B597" t="s">
        <v>6133</v>
      </c>
    </row>
    <row r="598" spans="1:2" x14ac:dyDescent="0.25">
      <c r="A598" t="s">
        <v>6134</v>
      </c>
      <c r="B598" t="s">
        <v>6135</v>
      </c>
    </row>
    <row r="599" spans="1:2" x14ac:dyDescent="0.25">
      <c r="A599" t="s">
        <v>550</v>
      </c>
      <c r="B599" t="s">
        <v>6136</v>
      </c>
    </row>
    <row r="600" spans="1:2" x14ac:dyDescent="0.25">
      <c r="A600" t="s">
        <v>553</v>
      </c>
      <c r="B600" t="s">
        <v>6137</v>
      </c>
    </row>
    <row r="601" spans="1:2" x14ac:dyDescent="0.25">
      <c r="A601" t="s">
        <v>555</v>
      </c>
      <c r="B601" t="s">
        <v>6138</v>
      </c>
    </row>
    <row r="602" spans="1:2" x14ac:dyDescent="0.25">
      <c r="A602" t="s">
        <v>558</v>
      </c>
      <c r="B602" t="s">
        <v>6139</v>
      </c>
    </row>
    <row r="603" spans="1:2" x14ac:dyDescent="0.25">
      <c r="A603" t="s">
        <v>561</v>
      </c>
      <c r="B603" t="s">
        <v>6140</v>
      </c>
    </row>
    <row r="604" spans="1:2" x14ac:dyDescent="0.25">
      <c r="A604" t="s">
        <v>2416</v>
      </c>
      <c r="B604" t="s">
        <v>6141</v>
      </c>
    </row>
    <row r="605" spans="1:2" x14ac:dyDescent="0.25">
      <c r="A605" t="s">
        <v>1345</v>
      </c>
      <c r="B605" t="s">
        <v>6142</v>
      </c>
    </row>
    <row r="606" spans="1:2" x14ac:dyDescent="0.25">
      <c r="A606" t="s">
        <v>1347</v>
      </c>
      <c r="B606" t="s">
        <v>6143</v>
      </c>
    </row>
    <row r="607" spans="1:2" x14ac:dyDescent="0.25">
      <c r="A607" t="s">
        <v>1349</v>
      </c>
      <c r="B607" t="s">
        <v>6144</v>
      </c>
    </row>
    <row r="608" spans="1:2" x14ac:dyDescent="0.25">
      <c r="A608" t="s">
        <v>2252</v>
      </c>
      <c r="B608" t="s">
        <v>6145</v>
      </c>
    </row>
    <row r="609" spans="1:2" x14ac:dyDescent="0.25">
      <c r="A609" t="s">
        <v>2254</v>
      </c>
      <c r="B609" t="s">
        <v>6146</v>
      </c>
    </row>
    <row r="610" spans="1:2" x14ac:dyDescent="0.25">
      <c r="A610" t="s">
        <v>2256</v>
      </c>
      <c r="B610" t="s">
        <v>6147</v>
      </c>
    </row>
    <row r="611" spans="1:2" x14ac:dyDescent="0.25">
      <c r="A611" t="s">
        <v>3118</v>
      </c>
      <c r="B611" t="s">
        <v>6152</v>
      </c>
    </row>
    <row r="612" spans="1:2" x14ac:dyDescent="0.25">
      <c r="A612" t="s">
        <v>577</v>
      </c>
      <c r="B612" t="s">
        <v>6153</v>
      </c>
    </row>
    <row r="613" spans="1:2" x14ac:dyDescent="0.25">
      <c r="A613" t="s">
        <v>580</v>
      </c>
      <c r="B613" t="s">
        <v>6154</v>
      </c>
    </row>
    <row r="614" spans="1:2" x14ac:dyDescent="0.25">
      <c r="A614" t="s">
        <v>582</v>
      </c>
      <c r="B614" t="s">
        <v>6155</v>
      </c>
    </row>
    <row r="615" spans="1:2" x14ac:dyDescent="0.25">
      <c r="A615" t="s">
        <v>586</v>
      </c>
      <c r="B615" t="s">
        <v>6156</v>
      </c>
    </row>
    <row r="616" spans="1:2" x14ac:dyDescent="0.25">
      <c r="A616" t="s">
        <v>593</v>
      </c>
      <c r="B616" t="s">
        <v>6157</v>
      </c>
    </row>
    <row r="617" spans="1:2" x14ac:dyDescent="0.25">
      <c r="A617" t="s">
        <v>595</v>
      </c>
      <c r="B617" t="s">
        <v>6158</v>
      </c>
    </row>
    <row r="618" spans="1:2" x14ac:dyDescent="0.25">
      <c r="A618" t="s">
        <v>598</v>
      </c>
      <c r="B618" t="s">
        <v>6159</v>
      </c>
    </row>
    <row r="619" spans="1:2" x14ac:dyDescent="0.25">
      <c r="A619" t="s">
        <v>2266</v>
      </c>
      <c r="B619" t="s">
        <v>6160</v>
      </c>
    </row>
    <row r="620" spans="1:2" x14ac:dyDescent="0.25">
      <c r="A620" t="s">
        <v>2268</v>
      </c>
      <c r="B620" t="s">
        <v>6161</v>
      </c>
    </row>
    <row r="621" spans="1:2" x14ac:dyDescent="0.25">
      <c r="A621" t="s">
        <v>2270</v>
      </c>
      <c r="B621" t="s">
        <v>6162</v>
      </c>
    </row>
    <row r="622" spans="1:2" x14ac:dyDescent="0.25">
      <c r="A622" t="s">
        <v>2274</v>
      </c>
      <c r="B622" t="s">
        <v>6163</v>
      </c>
    </row>
    <row r="623" spans="1:2" x14ac:dyDescent="0.25">
      <c r="A623" t="s">
        <v>2277</v>
      </c>
      <c r="B623" t="s">
        <v>6164</v>
      </c>
    </row>
    <row r="624" spans="1:2" x14ac:dyDescent="0.25">
      <c r="A624" t="s">
        <v>614</v>
      </c>
      <c r="B624" t="s">
        <v>6165</v>
      </c>
    </row>
    <row r="625" spans="1:2" x14ac:dyDescent="0.25">
      <c r="A625" t="s">
        <v>2440</v>
      </c>
      <c r="B625" t="s">
        <v>6166</v>
      </c>
    </row>
    <row r="626" spans="1:2" x14ac:dyDescent="0.25">
      <c r="A626" t="s">
        <v>1359</v>
      </c>
      <c r="B626" t="s">
        <v>6167</v>
      </c>
    </row>
    <row r="627" spans="1:2" x14ac:dyDescent="0.25">
      <c r="A627" t="s">
        <v>616</v>
      </c>
      <c r="B627" t="s">
        <v>6168</v>
      </c>
    </row>
    <row r="628" spans="1:2" x14ac:dyDescent="0.25">
      <c r="A628" t="s">
        <v>570</v>
      </c>
      <c r="B628" t="s">
        <v>6150</v>
      </c>
    </row>
    <row r="629" spans="1:2" x14ac:dyDescent="0.25">
      <c r="A629" t="s">
        <v>632</v>
      </c>
      <c r="B629" t="s">
        <v>6169</v>
      </c>
    </row>
    <row r="630" spans="1:2" x14ac:dyDescent="0.25">
      <c r="A630" t="s">
        <v>640</v>
      </c>
      <c r="B630" t="s">
        <v>6170</v>
      </c>
    </row>
    <row r="631" spans="1:2" x14ac:dyDescent="0.25">
      <c r="A631" t="s">
        <v>648</v>
      </c>
      <c r="B631" t="s">
        <v>6171</v>
      </c>
    </row>
    <row r="632" spans="1:2" x14ac:dyDescent="0.25">
      <c r="A632" t="s">
        <v>650</v>
      </c>
      <c r="B632" t="s">
        <v>6172</v>
      </c>
    </row>
    <row r="633" spans="1:2" x14ac:dyDescent="0.25">
      <c r="A633" t="s">
        <v>659</v>
      </c>
      <c r="B633" t="s">
        <v>6173</v>
      </c>
    </row>
    <row r="634" spans="1:2" x14ac:dyDescent="0.25">
      <c r="A634" t="s">
        <v>663</v>
      </c>
      <c r="B634" t="s">
        <v>6175</v>
      </c>
    </row>
    <row r="635" spans="1:2" x14ac:dyDescent="0.25">
      <c r="A635" t="s">
        <v>667</v>
      </c>
      <c r="B635" t="s">
        <v>6176</v>
      </c>
    </row>
    <row r="636" spans="1:2" x14ac:dyDescent="0.25">
      <c r="A636" t="s">
        <v>669</v>
      </c>
      <c r="B636" t="s">
        <v>6177</v>
      </c>
    </row>
    <row r="637" spans="1:2" x14ac:dyDescent="0.25">
      <c r="A637" t="s">
        <v>671</v>
      </c>
      <c r="B637" t="s">
        <v>6178</v>
      </c>
    </row>
    <row r="638" spans="1:2" x14ac:dyDescent="0.25">
      <c r="A638" t="s">
        <v>2460</v>
      </c>
      <c r="B638" t="s">
        <v>6179</v>
      </c>
    </row>
    <row r="639" spans="1:2" x14ac:dyDescent="0.25">
      <c r="A639" t="s">
        <v>2233</v>
      </c>
      <c r="B639" t="s">
        <v>10454</v>
      </c>
    </row>
    <row r="640" spans="1:2" x14ac:dyDescent="0.25">
      <c r="A640" t="s">
        <v>2298</v>
      </c>
      <c r="B640" t="s">
        <v>10455</v>
      </c>
    </row>
    <row r="641" spans="1:2" x14ac:dyDescent="0.25">
      <c r="A641" t="s">
        <v>483</v>
      </c>
      <c r="B641" t="s">
        <v>194</v>
      </c>
    </row>
    <row r="642" spans="1:2" x14ac:dyDescent="0.25">
      <c r="A642" t="s">
        <v>487</v>
      </c>
      <c r="B642" t="s">
        <v>196</v>
      </c>
    </row>
    <row r="643" spans="1:2" x14ac:dyDescent="0.25">
      <c r="A643" t="s">
        <v>491</v>
      </c>
      <c r="B643" t="s">
        <v>197</v>
      </c>
    </row>
    <row r="644" spans="1:2" x14ac:dyDescent="0.25">
      <c r="A644" t="s">
        <v>494</v>
      </c>
      <c r="B644" t="s">
        <v>10456</v>
      </c>
    </row>
    <row r="645" spans="1:2" x14ac:dyDescent="0.25">
      <c r="A645" t="s">
        <v>496</v>
      </c>
      <c r="B645" t="s">
        <v>10457</v>
      </c>
    </row>
    <row r="646" spans="1:2" x14ac:dyDescent="0.25">
      <c r="A646" t="s">
        <v>1297</v>
      </c>
      <c r="B646" t="s">
        <v>10458</v>
      </c>
    </row>
    <row r="647" spans="1:2" x14ac:dyDescent="0.25">
      <c r="A647" t="s">
        <v>1300</v>
      </c>
      <c r="B647" t="s">
        <v>10459</v>
      </c>
    </row>
    <row r="648" spans="1:2" x14ac:dyDescent="0.25">
      <c r="A648" t="s">
        <v>1304</v>
      </c>
      <c r="B648" t="s">
        <v>10460</v>
      </c>
    </row>
    <row r="649" spans="1:2" x14ac:dyDescent="0.25">
      <c r="A649" t="s">
        <v>1307</v>
      </c>
      <c r="B649" t="s">
        <v>10461</v>
      </c>
    </row>
    <row r="650" spans="1:2" x14ac:dyDescent="0.25">
      <c r="A650" t="s">
        <v>1309</v>
      </c>
      <c r="B650" t="s">
        <v>10462</v>
      </c>
    </row>
    <row r="651" spans="1:2" x14ac:dyDescent="0.25">
      <c r="A651" t="s">
        <v>498</v>
      </c>
      <c r="B651" t="s">
        <v>10463</v>
      </c>
    </row>
    <row r="652" spans="1:2" x14ac:dyDescent="0.25">
      <c r="A652" t="s">
        <v>500</v>
      </c>
      <c r="B652" t="s">
        <v>10464</v>
      </c>
    </row>
    <row r="653" spans="1:2" x14ac:dyDescent="0.25">
      <c r="A653" t="s">
        <v>2239</v>
      </c>
      <c r="B653" t="s">
        <v>10465</v>
      </c>
    </row>
    <row r="654" spans="1:2" x14ac:dyDescent="0.25">
      <c r="A654" t="s">
        <v>502</v>
      </c>
      <c r="B654" t="s">
        <v>10466</v>
      </c>
    </row>
    <row r="655" spans="1:2" x14ac:dyDescent="0.25">
      <c r="A655" t="s">
        <v>506</v>
      </c>
      <c r="B655" t="s">
        <v>10467</v>
      </c>
    </row>
    <row r="656" spans="1:2" x14ac:dyDescent="0.25">
      <c r="A656" t="s">
        <v>510</v>
      </c>
      <c r="B656" t="s">
        <v>10468</v>
      </c>
    </row>
    <row r="657" spans="1:2" x14ac:dyDescent="0.25">
      <c r="A657" t="s">
        <v>518</v>
      </c>
      <c r="B657" t="s">
        <v>10469</v>
      </c>
    </row>
    <row r="658" spans="1:2" x14ac:dyDescent="0.25">
      <c r="A658" t="s">
        <v>527</v>
      </c>
      <c r="B658" t="s">
        <v>10470</v>
      </c>
    </row>
    <row r="659" spans="1:2" x14ac:dyDescent="0.25">
      <c r="A659" t="s">
        <v>529</v>
      </c>
      <c r="B659" t="s">
        <v>10471</v>
      </c>
    </row>
    <row r="660" spans="1:2" x14ac:dyDescent="0.25">
      <c r="A660" t="s">
        <v>531</v>
      </c>
      <c r="B660" t="s">
        <v>10472</v>
      </c>
    </row>
    <row r="661" spans="1:2" x14ac:dyDescent="0.25">
      <c r="A661" t="s">
        <v>2263</v>
      </c>
      <c r="B661" t="s">
        <v>10473</v>
      </c>
    </row>
    <row r="662" spans="1:2" x14ac:dyDescent="0.25">
      <c r="A662" t="s">
        <v>3298</v>
      </c>
      <c r="B662" t="s">
        <v>10474</v>
      </c>
    </row>
    <row r="663" spans="1:2" x14ac:dyDescent="0.25">
      <c r="A663" t="s">
        <v>3300</v>
      </c>
      <c r="B663" t="s">
        <v>10475</v>
      </c>
    </row>
    <row r="664" spans="1:2" x14ac:dyDescent="0.25">
      <c r="A664" t="s">
        <v>6234</v>
      </c>
      <c r="B664" t="s">
        <v>10476</v>
      </c>
    </row>
    <row r="665" spans="1:2" x14ac:dyDescent="0.25">
      <c r="A665" t="s">
        <v>3302</v>
      </c>
      <c r="B665" t="s">
        <v>10477</v>
      </c>
    </row>
    <row r="666" spans="1:2" x14ac:dyDescent="0.25">
      <c r="A666" t="s">
        <v>6238</v>
      </c>
      <c r="B666" t="s">
        <v>10478</v>
      </c>
    </row>
    <row r="667" spans="1:2" x14ac:dyDescent="0.25">
      <c r="A667" t="s">
        <v>3304</v>
      </c>
      <c r="B667" t="s">
        <v>10479</v>
      </c>
    </row>
    <row r="668" spans="1:2" x14ac:dyDescent="0.25">
      <c r="A668" t="s">
        <v>6241</v>
      </c>
      <c r="B668" t="s">
        <v>10480</v>
      </c>
    </row>
    <row r="669" spans="1:2" x14ac:dyDescent="0.25">
      <c r="A669" t="s">
        <v>3306</v>
      </c>
      <c r="B669" t="s">
        <v>10481</v>
      </c>
    </row>
    <row r="670" spans="1:2" x14ac:dyDescent="0.25">
      <c r="A670" t="s">
        <v>6205</v>
      </c>
      <c r="B670" t="s">
        <v>10482</v>
      </c>
    </row>
    <row r="671" spans="1:2" x14ac:dyDescent="0.25">
      <c r="A671" t="s">
        <v>3308</v>
      </c>
      <c r="B671" t="s">
        <v>10483</v>
      </c>
    </row>
    <row r="672" spans="1:2" x14ac:dyDescent="0.25">
      <c r="A672" t="s">
        <v>3310</v>
      </c>
      <c r="B672" t="s">
        <v>10484</v>
      </c>
    </row>
    <row r="673" spans="1:2" x14ac:dyDescent="0.25">
      <c r="A673" t="s">
        <v>6209</v>
      </c>
      <c r="B673" t="s">
        <v>10485</v>
      </c>
    </row>
    <row r="674" spans="1:2" x14ac:dyDescent="0.25">
      <c r="A674" t="s">
        <v>6211</v>
      </c>
      <c r="B674" t="s">
        <v>10486</v>
      </c>
    </row>
    <row r="675" spans="1:2" x14ac:dyDescent="0.25">
      <c r="A675" t="s">
        <v>6213</v>
      </c>
      <c r="B675" t="s">
        <v>10487</v>
      </c>
    </row>
    <row r="676" spans="1:2" x14ac:dyDescent="0.25">
      <c r="A676" t="s">
        <v>6215</v>
      </c>
      <c r="B676" t="s">
        <v>10488</v>
      </c>
    </row>
    <row r="677" spans="1:2" x14ac:dyDescent="0.25">
      <c r="A677" t="s">
        <v>2233</v>
      </c>
      <c r="B677" t="s">
        <v>10489</v>
      </c>
    </row>
    <row r="678" spans="1:2" x14ac:dyDescent="0.25">
      <c r="A678" t="s">
        <v>2263</v>
      </c>
      <c r="B678" t="s">
        <v>10490</v>
      </c>
    </row>
    <row r="679" spans="1:2" x14ac:dyDescent="0.25">
      <c r="A679" t="s">
        <v>3734</v>
      </c>
      <c r="B679" t="s">
        <v>10491</v>
      </c>
    </row>
    <row r="680" spans="1:2" x14ac:dyDescent="0.25">
      <c r="A680" t="s">
        <v>3953</v>
      </c>
      <c r="B680" t="s">
        <v>10492</v>
      </c>
    </row>
    <row r="681" spans="1:2" x14ac:dyDescent="0.25">
      <c r="A681" t="s">
        <v>3149</v>
      </c>
      <c r="B681" t="s">
        <v>10493</v>
      </c>
    </row>
    <row r="682" spans="1:2" x14ac:dyDescent="0.25">
      <c r="A682" t="s">
        <v>5702</v>
      </c>
      <c r="B682" t="s">
        <v>10494</v>
      </c>
    </row>
    <row r="683" spans="1:2" x14ac:dyDescent="0.25">
      <c r="A683" t="s">
        <v>4595</v>
      </c>
      <c r="B683" t="s">
        <v>10495</v>
      </c>
    </row>
    <row r="684" spans="1:2" x14ac:dyDescent="0.25">
      <c r="A684" t="s">
        <v>4634</v>
      </c>
      <c r="B684" t="s">
        <v>10496</v>
      </c>
    </row>
    <row r="685" spans="1:2" x14ac:dyDescent="0.25">
      <c r="A685" t="s">
        <v>4674</v>
      </c>
      <c r="B685" t="s">
        <v>10497</v>
      </c>
    </row>
    <row r="686" spans="1:2" x14ac:dyDescent="0.25">
      <c r="A686" t="s">
        <v>4746</v>
      </c>
      <c r="B686" t="s">
        <v>10498</v>
      </c>
    </row>
    <row r="687" spans="1:2" x14ac:dyDescent="0.25">
      <c r="A687" t="s">
        <v>5714</v>
      </c>
      <c r="B687" t="s">
        <v>10499</v>
      </c>
    </row>
    <row r="688" spans="1:2" x14ac:dyDescent="0.25">
      <c r="A688" t="s">
        <v>5718</v>
      </c>
      <c r="B688" t="s">
        <v>10500</v>
      </c>
    </row>
    <row r="689" spans="1:2" x14ac:dyDescent="0.25">
      <c r="A689" t="s">
        <v>4816</v>
      </c>
      <c r="B689" t="s">
        <v>10501</v>
      </c>
    </row>
    <row r="690" spans="1:2" x14ac:dyDescent="0.25">
      <c r="A690" t="s">
        <v>4865</v>
      </c>
      <c r="B690" t="s">
        <v>10502</v>
      </c>
    </row>
    <row r="691" spans="1:2" x14ac:dyDescent="0.25">
      <c r="A691" t="s">
        <v>5726</v>
      </c>
      <c r="B691" t="s">
        <v>10503</v>
      </c>
    </row>
    <row r="692" spans="1:2" x14ac:dyDescent="0.25">
      <c r="A692" t="s">
        <v>5730</v>
      </c>
      <c r="B692" t="s">
        <v>10504</v>
      </c>
    </row>
    <row r="693" spans="1:2" x14ac:dyDescent="0.25">
      <c r="A693" t="s">
        <v>2737</v>
      </c>
      <c r="B693" t="s">
        <v>10505</v>
      </c>
    </row>
    <row r="694" spans="1:2" x14ac:dyDescent="0.25">
      <c r="A694" t="s">
        <v>5736</v>
      </c>
      <c r="B694" t="s">
        <v>10506</v>
      </c>
    </row>
    <row r="695" spans="1:2" x14ac:dyDescent="0.25">
      <c r="A695" t="s">
        <v>4921</v>
      </c>
      <c r="B695" t="s">
        <v>10507</v>
      </c>
    </row>
    <row r="696" spans="1:2" x14ac:dyDescent="0.25">
      <c r="A696" t="s">
        <v>4942</v>
      </c>
      <c r="B696" t="s">
        <v>10508</v>
      </c>
    </row>
    <row r="697" spans="1:2" x14ac:dyDescent="0.25">
      <c r="A697" t="s">
        <v>4960</v>
      </c>
      <c r="B697" t="s">
        <v>10509</v>
      </c>
    </row>
    <row r="698" spans="1:2" x14ac:dyDescent="0.25">
      <c r="A698" t="s">
        <v>4980</v>
      </c>
      <c r="B698" t="s">
        <v>10510</v>
      </c>
    </row>
    <row r="699" spans="1:2" x14ac:dyDescent="0.25">
      <c r="A699" t="s">
        <v>4998</v>
      </c>
      <c r="B699" t="s">
        <v>10511</v>
      </c>
    </row>
    <row r="700" spans="1:2" x14ac:dyDescent="0.25">
      <c r="A700" t="s">
        <v>5017</v>
      </c>
      <c r="B700" t="s">
        <v>10512</v>
      </c>
    </row>
    <row r="701" spans="1:2" x14ac:dyDescent="0.25">
      <c r="A701" t="s">
        <v>5035</v>
      </c>
      <c r="B701" t="s">
        <v>10513</v>
      </c>
    </row>
    <row r="702" spans="1:2" x14ac:dyDescent="0.25">
      <c r="A702" t="s">
        <v>5055</v>
      </c>
      <c r="B702" t="s">
        <v>10514</v>
      </c>
    </row>
    <row r="703" spans="1:2" x14ac:dyDescent="0.25">
      <c r="A703" t="s">
        <v>5074</v>
      </c>
      <c r="B703" t="s">
        <v>10515</v>
      </c>
    </row>
    <row r="704" spans="1:2" x14ac:dyDescent="0.25">
      <c r="A704" t="s">
        <v>5094</v>
      </c>
      <c r="B704" t="s">
        <v>10516</v>
      </c>
    </row>
    <row r="705" spans="1:2" x14ac:dyDescent="0.25">
      <c r="A705" t="s">
        <v>5112</v>
      </c>
      <c r="B705" t="s">
        <v>10517</v>
      </c>
    </row>
    <row r="706" spans="1:2" x14ac:dyDescent="0.25">
      <c r="A706" t="s">
        <v>5131</v>
      </c>
      <c r="B706" t="s">
        <v>10518</v>
      </c>
    </row>
    <row r="707" spans="1:2" x14ac:dyDescent="0.25">
      <c r="A707" t="s">
        <v>5156</v>
      </c>
      <c r="B707" t="s">
        <v>10519</v>
      </c>
    </row>
    <row r="708" spans="1:2" x14ac:dyDescent="0.25">
      <c r="A708" t="s">
        <v>5169</v>
      </c>
      <c r="B708" t="s">
        <v>10520</v>
      </c>
    </row>
    <row r="709" spans="1:2" x14ac:dyDescent="0.25">
      <c r="A709" t="s">
        <v>2298</v>
      </c>
      <c r="B709" t="s">
        <v>10521</v>
      </c>
    </row>
    <row r="710" spans="1:2" x14ac:dyDescent="0.25">
      <c r="A710" t="s">
        <v>3298</v>
      </c>
      <c r="B710" t="s">
        <v>10522</v>
      </c>
    </row>
    <row r="711" spans="1:2" x14ac:dyDescent="0.25">
      <c r="A711" t="s">
        <v>3737</v>
      </c>
      <c r="B711" t="s">
        <v>10523</v>
      </c>
    </row>
    <row r="712" spans="1:2" x14ac:dyDescent="0.25">
      <c r="A712" t="s">
        <v>3956</v>
      </c>
      <c r="B712" t="s">
        <v>10524</v>
      </c>
    </row>
    <row r="713" spans="1:2" x14ac:dyDescent="0.25">
      <c r="A713" t="s">
        <v>4209</v>
      </c>
      <c r="B713" t="s">
        <v>10525</v>
      </c>
    </row>
    <row r="714" spans="1:2" x14ac:dyDescent="0.25">
      <c r="A714" t="s">
        <v>5704</v>
      </c>
      <c r="B714" t="s">
        <v>10526</v>
      </c>
    </row>
    <row r="715" spans="1:2" x14ac:dyDescent="0.25">
      <c r="A715" t="s">
        <v>4598</v>
      </c>
      <c r="B715" t="s">
        <v>10527</v>
      </c>
    </row>
    <row r="716" spans="1:2" x14ac:dyDescent="0.25">
      <c r="A716" t="s">
        <v>4637</v>
      </c>
      <c r="B716" t="s">
        <v>10528</v>
      </c>
    </row>
    <row r="717" spans="1:2" x14ac:dyDescent="0.25">
      <c r="A717" t="s">
        <v>4677</v>
      </c>
      <c r="B717" t="s">
        <v>10529</v>
      </c>
    </row>
    <row r="718" spans="1:2" x14ac:dyDescent="0.25">
      <c r="A718" t="s">
        <v>4748</v>
      </c>
      <c r="B718" t="s">
        <v>10530</v>
      </c>
    </row>
    <row r="719" spans="1:2" x14ac:dyDescent="0.25">
      <c r="A719" t="s">
        <v>5716</v>
      </c>
      <c r="B719" t="s">
        <v>10531</v>
      </c>
    </row>
    <row r="720" spans="1:2" x14ac:dyDescent="0.25">
      <c r="A720" t="s">
        <v>5720</v>
      </c>
      <c r="B720" t="s">
        <v>10532</v>
      </c>
    </row>
    <row r="721" spans="1:2" x14ac:dyDescent="0.25">
      <c r="A721" t="s">
        <v>4819</v>
      </c>
      <c r="B721" t="s">
        <v>10533</v>
      </c>
    </row>
    <row r="722" spans="1:2" x14ac:dyDescent="0.25">
      <c r="A722" t="s">
        <v>4867</v>
      </c>
      <c r="B722" t="s">
        <v>10534</v>
      </c>
    </row>
    <row r="723" spans="1:2" x14ac:dyDescent="0.25">
      <c r="A723" t="s">
        <v>5728</v>
      </c>
      <c r="B723" t="s">
        <v>10535</v>
      </c>
    </row>
    <row r="724" spans="1:2" x14ac:dyDescent="0.25">
      <c r="A724" t="s">
        <v>5732</v>
      </c>
      <c r="B724" t="s">
        <v>10536</v>
      </c>
    </row>
    <row r="725" spans="1:2" x14ac:dyDescent="0.25">
      <c r="A725" t="s">
        <v>4903</v>
      </c>
      <c r="B725" t="s">
        <v>10537</v>
      </c>
    </row>
    <row r="726" spans="1:2" x14ac:dyDescent="0.25">
      <c r="A726" t="s">
        <v>5738</v>
      </c>
      <c r="B726" t="s">
        <v>10538</v>
      </c>
    </row>
    <row r="727" spans="1:2" x14ac:dyDescent="0.25">
      <c r="A727" t="s">
        <v>4924</v>
      </c>
      <c r="B727" t="s">
        <v>10539</v>
      </c>
    </row>
    <row r="728" spans="1:2" x14ac:dyDescent="0.25">
      <c r="A728" t="s">
        <v>3169</v>
      </c>
      <c r="B728" t="s">
        <v>10540</v>
      </c>
    </row>
    <row r="729" spans="1:2" x14ac:dyDescent="0.25">
      <c r="A729" t="s">
        <v>4963</v>
      </c>
      <c r="B729" t="s">
        <v>10541</v>
      </c>
    </row>
    <row r="730" spans="1:2" x14ac:dyDescent="0.25">
      <c r="A730" t="s">
        <v>4982</v>
      </c>
      <c r="B730" t="s">
        <v>10542</v>
      </c>
    </row>
    <row r="731" spans="1:2" x14ac:dyDescent="0.25">
      <c r="A731" t="s">
        <v>5001</v>
      </c>
      <c r="B731" t="s">
        <v>10543</v>
      </c>
    </row>
    <row r="732" spans="1:2" x14ac:dyDescent="0.25">
      <c r="A732" t="s">
        <v>5019</v>
      </c>
      <c r="B732" t="s">
        <v>10544</v>
      </c>
    </row>
    <row r="733" spans="1:2" x14ac:dyDescent="0.25">
      <c r="A733" t="s">
        <v>5038</v>
      </c>
      <c r="B733" t="s">
        <v>10545</v>
      </c>
    </row>
    <row r="734" spans="1:2" x14ac:dyDescent="0.25">
      <c r="A734" t="s">
        <v>5058</v>
      </c>
      <c r="B734" t="s">
        <v>10546</v>
      </c>
    </row>
    <row r="735" spans="1:2" x14ac:dyDescent="0.25">
      <c r="A735" t="s">
        <v>5077</v>
      </c>
      <c r="B735" t="s">
        <v>10547</v>
      </c>
    </row>
    <row r="736" spans="1:2" x14ac:dyDescent="0.25">
      <c r="A736" t="s">
        <v>5096</v>
      </c>
      <c r="B736" t="s">
        <v>10548</v>
      </c>
    </row>
    <row r="737" spans="1:2" x14ac:dyDescent="0.25">
      <c r="A737" t="s">
        <v>5115</v>
      </c>
      <c r="B737" t="s">
        <v>10549</v>
      </c>
    </row>
    <row r="738" spans="1:2" x14ac:dyDescent="0.25">
      <c r="A738" t="s">
        <v>5134</v>
      </c>
      <c r="B738" t="s">
        <v>10550</v>
      </c>
    </row>
    <row r="739" spans="1:2" x14ac:dyDescent="0.25">
      <c r="A739" t="s">
        <v>5159</v>
      </c>
      <c r="B739" t="s">
        <v>10551</v>
      </c>
    </row>
    <row r="740" spans="1:2" x14ac:dyDescent="0.25">
      <c r="A740" t="s">
        <v>5171</v>
      </c>
      <c r="B740" t="s">
        <v>10552</v>
      </c>
    </row>
    <row r="741" spans="1:2" x14ac:dyDescent="0.25">
      <c r="A741" t="s">
        <v>5441</v>
      </c>
      <c r="B741" t="s">
        <v>10553</v>
      </c>
    </row>
    <row r="742" spans="1:2" x14ac:dyDescent="0.25">
      <c r="A742" t="s">
        <v>5818</v>
      </c>
      <c r="B742" t="s">
        <v>10554</v>
      </c>
    </row>
    <row r="743" spans="1:2" x14ac:dyDescent="0.25">
      <c r="A743" t="s">
        <v>5822</v>
      </c>
      <c r="B743" t="s">
        <v>10555</v>
      </c>
    </row>
    <row r="744" spans="1:2" x14ac:dyDescent="0.25">
      <c r="A744" t="s">
        <v>5826</v>
      </c>
      <c r="B744" t="s">
        <v>10556</v>
      </c>
    </row>
    <row r="745" spans="1:2" x14ac:dyDescent="0.25">
      <c r="A745" t="s">
        <v>5830</v>
      </c>
      <c r="B745" t="s">
        <v>10557</v>
      </c>
    </row>
    <row r="746" spans="1:2" x14ac:dyDescent="0.25">
      <c r="A746" t="s">
        <v>5834</v>
      </c>
      <c r="B746" t="s">
        <v>10558</v>
      </c>
    </row>
    <row r="747" spans="1:2" x14ac:dyDescent="0.25">
      <c r="A747" t="s">
        <v>5838</v>
      </c>
      <c r="B747" t="s">
        <v>10559</v>
      </c>
    </row>
    <row r="748" spans="1:2" x14ac:dyDescent="0.25">
      <c r="A748" t="s">
        <v>5842</v>
      </c>
      <c r="B748" t="s">
        <v>10560</v>
      </c>
    </row>
    <row r="749" spans="1:2" x14ac:dyDescent="0.25">
      <c r="A749" t="s">
        <v>5846</v>
      </c>
      <c r="B749" t="s">
        <v>10561</v>
      </c>
    </row>
    <row r="750" spans="1:2" x14ac:dyDescent="0.25">
      <c r="A750" t="s">
        <v>5850</v>
      </c>
      <c r="B750" t="s">
        <v>10562</v>
      </c>
    </row>
    <row r="751" spans="1:2" x14ac:dyDescent="0.25">
      <c r="A751" t="s">
        <v>5854</v>
      </c>
      <c r="B751" t="s">
        <v>10563</v>
      </c>
    </row>
    <row r="752" spans="1:2" x14ac:dyDescent="0.25">
      <c r="A752" t="s">
        <v>5858</v>
      </c>
      <c r="B752" t="s">
        <v>10564</v>
      </c>
    </row>
    <row r="753" spans="1:2" x14ac:dyDescent="0.25">
      <c r="A753" t="s">
        <v>5862</v>
      </c>
      <c r="B753" t="s">
        <v>10565</v>
      </c>
    </row>
    <row r="754" spans="1:2" x14ac:dyDescent="0.25">
      <c r="A754" t="s">
        <v>5866</v>
      </c>
      <c r="B754" t="s">
        <v>10566</v>
      </c>
    </row>
    <row r="755" spans="1:2" x14ac:dyDescent="0.25">
      <c r="A755" t="s">
        <v>5870</v>
      </c>
      <c r="B755" t="s">
        <v>10567</v>
      </c>
    </row>
    <row r="756" spans="1:2" x14ac:dyDescent="0.25">
      <c r="A756" t="s">
        <v>5874</v>
      </c>
      <c r="B756" t="s">
        <v>10568</v>
      </c>
    </row>
    <row r="757" spans="1:2" x14ac:dyDescent="0.25">
      <c r="A757" t="s">
        <v>5446</v>
      </c>
      <c r="B757" t="s">
        <v>10569</v>
      </c>
    </row>
    <row r="758" spans="1:2" x14ac:dyDescent="0.25">
      <c r="A758" t="s">
        <v>5448</v>
      </c>
      <c r="B758" t="s">
        <v>10570</v>
      </c>
    </row>
    <row r="759" spans="1:2" x14ac:dyDescent="0.25">
      <c r="A759" t="s">
        <v>5450</v>
      </c>
      <c r="B759" t="s">
        <v>10571</v>
      </c>
    </row>
    <row r="760" spans="1:2" x14ac:dyDescent="0.25">
      <c r="A760" t="s">
        <v>5887</v>
      </c>
      <c r="B760" t="s">
        <v>10572</v>
      </c>
    </row>
    <row r="761" spans="1:2" x14ac:dyDescent="0.25">
      <c r="A761" t="s">
        <v>5891</v>
      </c>
      <c r="B761" t="s">
        <v>10573</v>
      </c>
    </row>
    <row r="762" spans="1:2" x14ac:dyDescent="0.25">
      <c r="A762" t="s">
        <v>5895</v>
      </c>
      <c r="B762" t="s">
        <v>10574</v>
      </c>
    </row>
    <row r="763" spans="1:2" x14ac:dyDescent="0.25">
      <c r="A763" t="s">
        <v>5899</v>
      </c>
      <c r="B763" t="s">
        <v>10575</v>
      </c>
    </row>
    <row r="764" spans="1:2" x14ac:dyDescent="0.25">
      <c r="A764" t="s">
        <v>5903</v>
      </c>
      <c r="B764" t="s">
        <v>10576</v>
      </c>
    </row>
    <row r="765" spans="1:2" x14ac:dyDescent="0.25">
      <c r="A765" t="s">
        <v>5907</v>
      </c>
      <c r="B765" t="s">
        <v>10577</v>
      </c>
    </row>
    <row r="766" spans="1:2" x14ac:dyDescent="0.25">
      <c r="A766" t="s">
        <v>5911</v>
      </c>
      <c r="B766" t="s">
        <v>10578</v>
      </c>
    </row>
    <row r="767" spans="1:2" x14ac:dyDescent="0.25">
      <c r="A767" t="s">
        <v>5915</v>
      </c>
      <c r="B767" t="s">
        <v>10579</v>
      </c>
    </row>
    <row r="768" spans="1:2" x14ac:dyDescent="0.25">
      <c r="A768" t="s">
        <v>5919</v>
      </c>
      <c r="B768" t="s">
        <v>10580</v>
      </c>
    </row>
    <row r="769" spans="1:2" x14ac:dyDescent="0.25">
      <c r="A769" t="s">
        <v>5923</v>
      </c>
      <c r="B769" t="s">
        <v>10581</v>
      </c>
    </row>
    <row r="770" spans="1:2" x14ac:dyDescent="0.25">
      <c r="A770" t="s">
        <v>5927</v>
      </c>
      <c r="B770" t="s">
        <v>10582</v>
      </c>
    </row>
    <row r="771" spans="1:2" x14ac:dyDescent="0.25">
      <c r="A771" t="s">
        <v>5931</v>
      </c>
      <c r="B771" t="s">
        <v>10583</v>
      </c>
    </row>
    <row r="772" spans="1:2" x14ac:dyDescent="0.25">
      <c r="A772" t="s">
        <v>5935</v>
      </c>
      <c r="B772" t="s">
        <v>10584</v>
      </c>
    </row>
    <row r="773" spans="1:2" x14ac:dyDescent="0.25">
      <c r="A773" t="s">
        <v>5444</v>
      </c>
      <c r="B773" t="s">
        <v>10585</v>
      </c>
    </row>
    <row r="774" spans="1:2" x14ac:dyDescent="0.25">
      <c r="A774" t="s">
        <v>5820</v>
      </c>
      <c r="B774" t="s">
        <v>10586</v>
      </c>
    </row>
    <row r="775" spans="1:2" x14ac:dyDescent="0.25">
      <c r="A775" t="s">
        <v>5824</v>
      </c>
      <c r="B775" t="s">
        <v>10587</v>
      </c>
    </row>
    <row r="776" spans="1:2" x14ac:dyDescent="0.25">
      <c r="A776" t="s">
        <v>5828</v>
      </c>
      <c r="B776" t="s">
        <v>10588</v>
      </c>
    </row>
    <row r="777" spans="1:2" x14ac:dyDescent="0.25">
      <c r="A777" t="s">
        <v>5832</v>
      </c>
      <c r="B777" t="s">
        <v>10589</v>
      </c>
    </row>
    <row r="778" spans="1:2" x14ac:dyDescent="0.25">
      <c r="A778" t="s">
        <v>5836</v>
      </c>
      <c r="B778" t="s">
        <v>10590</v>
      </c>
    </row>
    <row r="779" spans="1:2" x14ac:dyDescent="0.25">
      <c r="A779" t="s">
        <v>5840</v>
      </c>
      <c r="B779" t="s">
        <v>10591</v>
      </c>
    </row>
    <row r="780" spans="1:2" x14ac:dyDescent="0.25">
      <c r="A780" t="s">
        <v>5844</v>
      </c>
      <c r="B780" t="s">
        <v>10592</v>
      </c>
    </row>
    <row r="781" spans="1:2" x14ac:dyDescent="0.25">
      <c r="A781" t="s">
        <v>5848</v>
      </c>
      <c r="B781" t="s">
        <v>10593</v>
      </c>
    </row>
    <row r="782" spans="1:2" x14ac:dyDescent="0.25">
      <c r="A782" t="s">
        <v>5852</v>
      </c>
      <c r="B782" t="s">
        <v>10594</v>
      </c>
    </row>
    <row r="783" spans="1:2" x14ac:dyDescent="0.25">
      <c r="A783" t="s">
        <v>5856</v>
      </c>
      <c r="B783" t="s">
        <v>10595</v>
      </c>
    </row>
    <row r="784" spans="1:2" x14ac:dyDescent="0.25">
      <c r="A784" t="s">
        <v>5860</v>
      </c>
      <c r="B784" t="s">
        <v>10596</v>
      </c>
    </row>
    <row r="785" spans="1:2" x14ac:dyDescent="0.25">
      <c r="A785" t="s">
        <v>5864</v>
      </c>
      <c r="B785" t="s">
        <v>10597</v>
      </c>
    </row>
    <row r="786" spans="1:2" x14ac:dyDescent="0.25">
      <c r="A786" t="s">
        <v>5868</v>
      </c>
      <c r="B786" t="s">
        <v>10598</v>
      </c>
    </row>
    <row r="787" spans="1:2" x14ac:dyDescent="0.25">
      <c r="A787" t="s">
        <v>5872</v>
      </c>
      <c r="B787" t="s">
        <v>10599</v>
      </c>
    </row>
    <row r="788" spans="1:2" x14ac:dyDescent="0.25">
      <c r="A788" t="s">
        <v>5876</v>
      </c>
      <c r="B788" t="s">
        <v>10600</v>
      </c>
    </row>
    <row r="789" spans="1:2" x14ac:dyDescent="0.25">
      <c r="A789" t="s">
        <v>5879</v>
      </c>
      <c r="B789" t="s">
        <v>10601</v>
      </c>
    </row>
    <row r="790" spans="1:2" x14ac:dyDescent="0.25">
      <c r="A790" t="s">
        <v>5882</v>
      </c>
      <c r="B790" t="s">
        <v>10602</v>
      </c>
    </row>
    <row r="791" spans="1:2" x14ac:dyDescent="0.25">
      <c r="A791" t="s">
        <v>5885</v>
      </c>
      <c r="B791" t="s">
        <v>10603</v>
      </c>
    </row>
    <row r="792" spans="1:2" x14ac:dyDescent="0.25">
      <c r="A792" t="s">
        <v>5889</v>
      </c>
      <c r="B792" t="s">
        <v>10604</v>
      </c>
    </row>
    <row r="793" spans="1:2" x14ac:dyDescent="0.25">
      <c r="A793" t="s">
        <v>5893</v>
      </c>
      <c r="B793" t="s">
        <v>10605</v>
      </c>
    </row>
    <row r="794" spans="1:2" x14ac:dyDescent="0.25">
      <c r="A794" t="s">
        <v>5897</v>
      </c>
      <c r="B794" t="s">
        <v>10606</v>
      </c>
    </row>
    <row r="795" spans="1:2" x14ac:dyDescent="0.25">
      <c r="A795" t="s">
        <v>5901</v>
      </c>
      <c r="B795" t="s">
        <v>10607</v>
      </c>
    </row>
    <row r="796" spans="1:2" x14ac:dyDescent="0.25">
      <c r="A796" t="s">
        <v>5905</v>
      </c>
      <c r="B796" t="s">
        <v>10608</v>
      </c>
    </row>
    <row r="797" spans="1:2" x14ac:dyDescent="0.25">
      <c r="A797" t="s">
        <v>5909</v>
      </c>
      <c r="B797" t="s">
        <v>10609</v>
      </c>
    </row>
    <row r="798" spans="1:2" x14ac:dyDescent="0.25">
      <c r="A798" t="s">
        <v>5913</v>
      </c>
      <c r="B798" t="s">
        <v>10610</v>
      </c>
    </row>
    <row r="799" spans="1:2" x14ac:dyDescent="0.25">
      <c r="A799" t="s">
        <v>5917</v>
      </c>
      <c r="B799" t="s">
        <v>10611</v>
      </c>
    </row>
    <row r="800" spans="1:2" x14ac:dyDescent="0.25">
      <c r="A800" t="s">
        <v>5921</v>
      </c>
      <c r="B800" t="s">
        <v>10612</v>
      </c>
    </row>
    <row r="801" spans="1:2" x14ac:dyDescent="0.25">
      <c r="A801" t="s">
        <v>5925</v>
      </c>
      <c r="B801" t="s">
        <v>10613</v>
      </c>
    </row>
    <row r="802" spans="1:2" x14ac:dyDescent="0.25">
      <c r="A802" t="s">
        <v>5929</v>
      </c>
      <c r="B802" t="s">
        <v>10614</v>
      </c>
    </row>
    <row r="803" spans="1:2" x14ac:dyDescent="0.25">
      <c r="A803" t="s">
        <v>5933</v>
      </c>
      <c r="B803" t="s">
        <v>10615</v>
      </c>
    </row>
    <row r="804" spans="1:2" x14ac:dyDescent="0.25">
      <c r="A804" t="s">
        <v>5937</v>
      </c>
      <c r="B804" t="s">
        <v>10616</v>
      </c>
    </row>
    <row r="805" spans="1:2" x14ac:dyDescent="0.25">
      <c r="A805" t="s">
        <v>5996</v>
      </c>
      <c r="B805" t="s">
        <v>10617</v>
      </c>
    </row>
    <row r="806" spans="1:2" x14ac:dyDescent="0.25">
      <c r="A806" t="s">
        <v>5998</v>
      </c>
      <c r="B806" t="s">
        <v>10618</v>
      </c>
    </row>
    <row r="807" spans="1:2" x14ac:dyDescent="0.25">
      <c r="A807" t="s">
        <v>6001</v>
      </c>
      <c r="B807" t="s">
        <v>10619</v>
      </c>
    </row>
    <row r="808" spans="1:2" x14ac:dyDescent="0.25">
      <c r="A808" t="s">
        <v>6003</v>
      </c>
      <c r="B808" t="s">
        <v>10620</v>
      </c>
    </row>
    <row r="809" spans="1:2" x14ac:dyDescent="0.25">
      <c r="A809" t="s">
        <v>6005</v>
      </c>
      <c r="B809" t="s">
        <v>10621</v>
      </c>
    </row>
    <row r="810" spans="1:2" x14ac:dyDescent="0.25">
      <c r="A810" t="s">
        <v>6007</v>
      </c>
      <c r="B810" t="s">
        <v>10622</v>
      </c>
    </row>
    <row r="811" spans="1:2" x14ac:dyDescent="0.25">
      <c r="A811" t="s">
        <v>6009</v>
      </c>
      <c r="B811" t="s">
        <v>10623</v>
      </c>
    </row>
    <row r="812" spans="1:2" x14ac:dyDescent="0.25">
      <c r="A812" t="s">
        <v>6011</v>
      </c>
      <c r="B812" t="s">
        <v>10624</v>
      </c>
    </row>
    <row r="813" spans="1:2" x14ac:dyDescent="0.25">
      <c r="A813" t="s">
        <v>6013</v>
      </c>
      <c r="B813" t="s">
        <v>10625</v>
      </c>
    </row>
    <row r="814" spans="1:2" x14ac:dyDescent="0.25">
      <c r="A814" t="s">
        <v>6015</v>
      </c>
      <c r="B814" t="s">
        <v>10626</v>
      </c>
    </row>
    <row r="815" spans="1:2" x14ac:dyDescent="0.25">
      <c r="A815" t="s">
        <v>6020</v>
      </c>
      <c r="B815" t="s">
        <v>10627</v>
      </c>
    </row>
    <row r="816" spans="1:2" x14ac:dyDescent="0.25">
      <c r="A816" t="s">
        <v>6018</v>
      </c>
      <c r="B816" t="s">
        <v>10628</v>
      </c>
    </row>
    <row r="817" spans="1:2" x14ac:dyDescent="0.25">
      <c r="A817" t="s">
        <v>6022</v>
      </c>
      <c r="B817" t="s">
        <v>10629</v>
      </c>
    </row>
    <row r="818" spans="1:2" x14ac:dyDescent="0.25">
      <c r="A818" t="s">
        <v>6024</v>
      </c>
      <c r="B818" t="s">
        <v>10630</v>
      </c>
    </row>
    <row r="819" spans="1:2" x14ac:dyDescent="0.25">
      <c r="A819" t="s">
        <v>6026</v>
      </c>
      <c r="B819" t="s">
        <v>10631</v>
      </c>
    </row>
    <row r="820" spans="1:2" x14ac:dyDescent="0.25">
      <c r="A820" t="s">
        <v>6028</v>
      </c>
      <c r="B820" t="s">
        <v>10632</v>
      </c>
    </row>
    <row r="821" spans="1:2" x14ac:dyDescent="0.25">
      <c r="A821" t="s">
        <v>5939</v>
      </c>
      <c r="B821" t="s">
        <v>10633</v>
      </c>
    </row>
    <row r="822" spans="1:2" x14ac:dyDescent="0.25">
      <c r="A822" t="s">
        <v>5943</v>
      </c>
      <c r="B822" t="s">
        <v>10634</v>
      </c>
    </row>
    <row r="823" spans="1:2" x14ac:dyDescent="0.25">
      <c r="A823" t="s">
        <v>5945</v>
      </c>
      <c r="B823" t="s">
        <v>10635</v>
      </c>
    </row>
    <row r="824" spans="1:2" x14ac:dyDescent="0.25">
      <c r="A824" t="s">
        <v>5947</v>
      </c>
      <c r="B824" t="s">
        <v>10636</v>
      </c>
    </row>
    <row r="825" spans="1:2" x14ac:dyDescent="0.25">
      <c r="A825" t="s">
        <v>5949</v>
      </c>
      <c r="B825" t="s">
        <v>10637</v>
      </c>
    </row>
    <row r="826" spans="1:2" x14ac:dyDescent="0.25">
      <c r="A826" t="s">
        <v>5951</v>
      </c>
      <c r="B826" t="s">
        <v>10638</v>
      </c>
    </row>
    <row r="827" spans="1:2" x14ac:dyDescent="0.25">
      <c r="A827" t="s">
        <v>5953</v>
      </c>
      <c r="B827" t="s">
        <v>10639</v>
      </c>
    </row>
    <row r="828" spans="1:2" x14ac:dyDescent="0.25">
      <c r="A828" t="s">
        <v>5955</v>
      </c>
      <c r="B828" t="s">
        <v>10640</v>
      </c>
    </row>
    <row r="829" spans="1:2" x14ac:dyDescent="0.25">
      <c r="A829" t="s">
        <v>5969</v>
      </c>
      <c r="B829" t="s">
        <v>10641</v>
      </c>
    </row>
    <row r="830" spans="1:2" x14ac:dyDescent="0.25">
      <c r="A830" t="s">
        <v>5971</v>
      </c>
      <c r="B830" t="s">
        <v>10642</v>
      </c>
    </row>
    <row r="831" spans="1:2" x14ac:dyDescent="0.25">
      <c r="A831" t="s">
        <v>5973</v>
      </c>
      <c r="B831" t="s">
        <v>10643</v>
      </c>
    </row>
    <row r="832" spans="1:2" x14ac:dyDescent="0.25">
      <c r="A832" t="s">
        <v>5975</v>
      </c>
      <c r="B832" t="s">
        <v>10644</v>
      </c>
    </row>
    <row r="833" spans="1:2" x14ac:dyDescent="0.25">
      <c r="A833" t="s">
        <v>5977</v>
      </c>
      <c r="B833" t="s">
        <v>10645</v>
      </c>
    </row>
    <row r="834" spans="1:2" x14ac:dyDescent="0.25">
      <c r="A834" t="s">
        <v>5980</v>
      </c>
      <c r="B834" t="s">
        <v>10646</v>
      </c>
    </row>
    <row r="835" spans="1:2" x14ac:dyDescent="0.25">
      <c r="A835" t="s">
        <v>5982</v>
      </c>
      <c r="B835" t="s">
        <v>10647</v>
      </c>
    </row>
    <row r="836" spans="1:2" x14ac:dyDescent="0.25">
      <c r="A836" t="s">
        <v>5984</v>
      </c>
      <c r="B836" t="s">
        <v>10648</v>
      </c>
    </row>
    <row r="837" spans="1:2" x14ac:dyDescent="0.25">
      <c r="A837" t="s">
        <v>5986</v>
      </c>
      <c r="B837" t="s">
        <v>10649</v>
      </c>
    </row>
    <row r="838" spans="1:2" x14ac:dyDescent="0.25">
      <c r="A838" t="s">
        <v>5988</v>
      </c>
      <c r="B838" t="s">
        <v>10650</v>
      </c>
    </row>
    <row r="839" spans="1:2" x14ac:dyDescent="0.25">
      <c r="A839" t="s">
        <v>5990</v>
      </c>
      <c r="B839" t="s">
        <v>10651</v>
      </c>
    </row>
    <row r="840" spans="1:2" x14ac:dyDescent="0.25">
      <c r="A840" t="s">
        <v>5992</v>
      </c>
      <c r="B840" t="s">
        <v>10652</v>
      </c>
    </row>
    <row r="841" spans="1:2" x14ac:dyDescent="0.25">
      <c r="A841" t="s">
        <v>5994</v>
      </c>
      <c r="B841" t="s">
        <v>10653</v>
      </c>
    </row>
    <row r="842" spans="1:2" x14ac:dyDescent="0.25">
      <c r="A842" t="s">
        <v>5768</v>
      </c>
      <c r="B842" t="s">
        <v>10654</v>
      </c>
    </row>
    <row r="843" spans="1:2" x14ac:dyDescent="0.25">
      <c r="A843" t="s">
        <v>5770</v>
      </c>
      <c r="B843" t="s">
        <v>10655</v>
      </c>
    </row>
    <row r="844" spans="1:2" x14ac:dyDescent="0.25">
      <c r="A844" t="s">
        <v>5772</v>
      </c>
      <c r="B844" t="s">
        <v>10656</v>
      </c>
    </row>
    <row r="845" spans="1:2" x14ac:dyDescent="0.25">
      <c r="A845" t="s">
        <v>5774</v>
      </c>
      <c r="B845" t="s">
        <v>10657</v>
      </c>
    </row>
    <row r="846" spans="1:2" x14ac:dyDescent="0.25">
      <c r="A846" t="s">
        <v>5808</v>
      </c>
      <c r="B846" t="s">
        <v>10658</v>
      </c>
    </row>
    <row r="847" spans="1:2" x14ac:dyDescent="0.25">
      <c r="A847" t="s">
        <v>5776</v>
      </c>
      <c r="B847" t="s">
        <v>10659</v>
      </c>
    </row>
    <row r="848" spans="1:2" x14ac:dyDescent="0.25">
      <c r="A848" t="s">
        <v>5778</v>
      </c>
      <c r="B848" t="s">
        <v>10660</v>
      </c>
    </row>
    <row r="849" spans="1:2" x14ac:dyDescent="0.25">
      <c r="A849" t="s">
        <v>5780</v>
      </c>
      <c r="B849" t="s">
        <v>10661</v>
      </c>
    </row>
    <row r="850" spans="1:2" x14ac:dyDescent="0.25">
      <c r="A850" t="s">
        <v>5782</v>
      </c>
      <c r="B850" t="s">
        <v>10662</v>
      </c>
    </row>
    <row r="851" spans="1:2" x14ac:dyDescent="0.25">
      <c r="A851" t="s">
        <v>5784</v>
      </c>
      <c r="B851" t="s">
        <v>10663</v>
      </c>
    </row>
    <row r="852" spans="1:2" x14ac:dyDescent="0.25">
      <c r="A852" t="s">
        <v>5786</v>
      </c>
      <c r="B852" t="s">
        <v>10664</v>
      </c>
    </row>
    <row r="853" spans="1:2" x14ac:dyDescent="0.25">
      <c r="A853" t="s">
        <v>5788</v>
      </c>
      <c r="B853" t="s">
        <v>10665</v>
      </c>
    </row>
    <row r="854" spans="1:2" x14ac:dyDescent="0.25">
      <c r="A854" t="s">
        <v>5790</v>
      </c>
      <c r="B854" t="s">
        <v>10666</v>
      </c>
    </row>
    <row r="855" spans="1:2" x14ac:dyDescent="0.25">
      <c r="A855" t="s">
        <v>5792</v>
      </c>
      <c r="B855" t="s">
        <v>10667</v>
      </c>
    </row>
    <row r="856" spans="1:2" x14ac:dyDescent="0.25">
      <c r="A856" t="s">
        <v>5794</v>
      </c>
      <c r="B856" t="s">
        <v>10668</v>
      </c>
    </row>
    <row r="857" spans="1:2" x14ac:dyDescent="0.25">
      <c r="A857" t="s">
        <v>5796</v>
      </c>
      <c r="B857" t="s">
        <v>10669</v>
      </c>
    </row>
    <row r="858" spans="1:2" x14ac:dyDescent="0.25">
      <c r="A858" t="s">
        <v>5798</v>
      </c>
      <c r="B858" t="s">
        <v>10670</v>
      </c>
    </row>
    <row r="859" spans="1:2" x14ac:dyDescent="0.25">
      <c r="A859" t="s">
        <v>5800</v>
      </c>
      <c r="B859" t="s">
        <v>10671</v>
      </c>
    </row>
    <row r="860" spans="1:2" x14ac:dyDescent="0.25">
      <c r="A860" t="s">
        <v>5802</v>
      </c>
      <c r="B860" t="s">
        <v>10672</v>
      </c>
    </row>
    <row r="861" spans="1:2" x14ac:dyDescent="0.25">
      <c r="A861" t="s">
        <v>5804</v>
      </c>
      <c r="B861" t="s">
        <v>10673</v>
      </c>
    </row>
    <row r="862" spans="1:2" x14ac:dyDescent="0.25">
      <c r="A862" t="s">
        <v>5806</v>
      </c>
      <c r="B862" t="s">
        <v>10674</v>
      </c>
    </row>
    <row r="863" spans="1:2" x14ac:dyDescent="0.25">
      <c r="A863" t="s">
        <v>5810</v>
      </c>
      <c r="B863" t="s">
        <v>10675</v>
      </c>
    </row>
    <row r="864" spans="1:2" x14ac:dyDescent="0.25">
      <c r="A864" t="s">
        <v>5812</v>
      </c>
      <c r="B864" t="s">
        <v>10676</v>
      </c>
    </row>
    <row r="865" spans="1:2" x14ac:dyDescent="0.25">
      <c r="A865" t="s">
        <v>5814</v>
      </c>
      <c r="B865" t="s">
        <v>10677</v>
      </c>
    </row>
    <row r="866" spans="1:2" x14ac:dyDescent="0.25">
      <c r="A866" t="s">
        <v>6030</v>
      </c>
      <c r="B866" t="s">
        <v>10678</v>
      </c>
    </row>
    <row r="867" spans="1:2" x14ac:dyDescent="0.25">
      <c r="A867" t="s">
        <v>6032</v>
      </c>
      <c r="B867" t="s">
        <v>10679</v>
      </c>
    </row>
    <row r="868" spans="1:2" x14ac:dyDescent="0.25">
      <c r="A868" t="s">
        <v>6034</v>
      </c>
      <c r="B868" t="s">
        <v>10680</v>
      </c>
    </row>
    <row r="869" spans="1:2" x14ac:dyDescent="0.25">
      <c r="A869" t="s">
        <v>5957</v>
      </c>
      <c r="B869" t="s">
        <v>10681</v>
      </c>
    </row>
    <row r="870" spans="1:2" x14ac:dyDescent="0.25">
      <c r="A870" t="s">
        <v>5959</v>
      </c>
      <c r="B870" t="s">
        <v>10682</v>
      </c>
    </row>
    <row r="871" spans="1:2" x14ac:dyDescent="0.25">
      <c r="A871" t="s">
        <v>5961</v>
      </c>
      <c r="B871" t="s">
        <v>10683</v>
      </c>
    </row>
    <row r="872" spans="1:2" x14ac:dyDescent="0.25">
      <c r="A872" t="s">
        <v>5963</v>
      </c>
      <c r="B872" t="s">
        <v>10684</v>
      </c>
    </row>
    <row r="873" spans="1:2" x14ac:dyDescent="0.25">
      <c r="A873" t="s">
        <v>5965</v>
      </c>
      <c r="B873" t="s">
        <v>10685</v>
      </c>
    </row>
    <row r="874" spans="1:2" x14ac:dyDescent="0.25">
      <c r="A874" t="s">
        <v>5967</v>
      </c>
      <c r="B874" t="s">
        <v>10686</v>
      </c>
    </row>
    <row r="875" spans="1:2" x14ac:dyDescent="0.25">
      <c r="A875" t="s">
        <v>5465</v>
      </c>
      <c r="B875" t="s">
        <v>10687</v>
      </c>
    </row>
    <row r="876" spans="1:2" x14ac:dyDescent="0.25">
      <c r="A876" t="s">
        <v>5468</v>
      </c>
      <c r="B876" t="s">
        <v>10688</v>
      </c>
    </row>
    <row r="877" spans="1:2" x14ac:dyDescent="0.25">
      <c r="A877" t="s">
        <v>6038</v>
      </c>
      <c r="B877" t="s">
        <v>10689</v>
      </c>
    </row>
    <row r="878" spans="1:2" x14ac:dyDescent="0.25">
      <c r="A878" t="s">
        <v>6040</v>
      </c>
      <c r="B878" t="s">
        <v>10690</v>
      </c>
    </row>
    <row r="879" spans="1:2" x14ac:dyDescent="0.25">
      <c r="A879" t="s">
        <v>6042</v>
      </c>
      <c r="B879" t="s">
        <v>10691</v>
      </c>
    </row>
    <row r="880" spans="1:2" x14ac:dyDescent="0.25">
      <c r="A880" t="s">
        <v>6044</v>
      </c>
      <c r="B880" t="s">
        <v>10692</v>
      </c>
    </row>
    <row r="881" spans="1:2" x14ac:dyDescent="0.25">
      <c r="A881" t="s">
        <v>6046</v>
      </c>
      <c r="B881" t="s">
        <v>10693</v>
      </c>
    </row>
    <row r="882" spans="1:2" x14ac:dyDescent="0.25">
      <c r="A882" t="s">
        <v>6048</v>
      </c>
      <c r="B882" t="s">
        <v>10694</v>
      </c>
    </row>
    <row r="883" spans="1:2" x14ac:dyDescent="0.25">
      <c r="A883" t="s">
        <v>6050</v>
      </c>
      <c r="B883" t="s">
        <v>10695</v>
      </c>
    </row>
    <row r="884" spans="1:2" x14ac:dyDescent="0.25">
      <c r="A884" t="s">
        <v>6052</v>
      </c>
      <c r="B884" t="s">
        <v>10696</v>
      </c>
    </row>
    <row r="885" spans="1:2" x14ac:dyDescent="0.25">
      <c r="A885" t="s">
        <v>6054</v>
      </c>
      <c r="B885" t="s">
        <v>10697</v>
      </c>
    </row>
    <row r="886" spans="1:2" x14ac:dyDescent="0.25">
      <c r="A886" t="s">
        <v>6056</v>
      </c>
      <c r="B886" t="s">
        <v>10698</v>
      </c>
    </row>
    <row r="887" spans="1:2" x14ac:dyDescent="0.25">
      <c r="A887" t="s">
        <v>5472</v>
      </c>
      <c r="B887" t="s">
        <v>10699</v>
      </c>
    </row>
    <row r="888" spans="1:2" x14ac:dyDescent="0.25">
      <c r="A888" t="s">
        <v>5475</v>
      </c>
      <c r="B888" t="s">
        <v>10700</v>
      </c>
    </row>
    <row r="889" spans="1:2" x14ac:dyDescent="0.25">
      <c r="A889" t="s">
        <v>5477</v>
      </c>
      <c r="B889" t="s">
        <v>10701</v>
      </c>
    </row>
    <row r="890" spans="1:2" x14ac:dyDescent="0.25">
      <c r="A890" t="s">
        <v>5480</v>
      </c>
      <c r="B890" t="s">
        <v>10702</v>
      </c>
    </row>
    <row r="891" spans="1:2" x14ac:dyDescent="0.25">
      <c r="A891" t="s">
        <v>5482</v>
      </c>
      <c r="B891" t="s">
        <v>10703</v>
      </c>
    </row>
    <row r="892" spans="1:2" x14ac:dyDescent="0.25">
      <c r="A892" t="s">
        <v>5485</v>
      </c>
      <c r="B892" t="s">
        <v>10704</v>
      </c>
    </row>
    <row r="893" spans="1:2" x14ac:dyDescent="0.25">
      <c r="A893" t="s">
        <v>5487</v>
      </c>
      <c r="B893" t="s">
        <v>10705</v>
      </c>
    </row>
    <row r="894" spans="1:2" x14ac:dyDescent="0.25">
      <c r="A894" t="s">
        <v>5490</v>
      </c>
      <c r="B894" t="s">
        <v>10706</v>
      </c>
    </row>
    <row r="895" spans="1:2" x14ac:dyDescent="0.25">
      <c r="A895" t="s">
        <v>2233</v>
      </c>
      <c r="B895" t="s">
        <v>10707</v>
      </c>
    </row>
    <row r="896" spans="1:2" x14ac:dyDescent="0.25">
      <c r="A896" t="s">
        <v>2300</v>
      </c>
      <c r="B896" t="s">
        <v>10708</v>
      </c>
    </row>
    <row r="897" spans="1:2" x14ac:dyDescent="0.25">
      <c r="A897" t="s">
        <v>483</v>
      </c>
      <c r="B897" t="s">
        <v>10709</v>
      </c>
    </row>
    <row r="898" spans="1:2" x14ac:dyDescent="0.25">
      <c r="A898" t="s">
        <v>535</v>
      </c>
      <c r="B898" t="s">
        <v>10710</v>
      </c>
    </row>
    <row r="899" spans="1:2" x14ac:dyDescent="0.25">
      <c r="A899" t="s">
        <v>544</v>
      </c>
      <c r="B899" t="s">
        <v>10711</v>
      </c>
    </row>
    <row r="900" spans="1:2" x14ac:dyDescent="0.25">
      <c r="A900" t="s">
        <v>577</v>
      </c>
      <c r="B900" t="s">
        <v>10712</v>
      </c>
    </row>
    <row r="901" spans="1:2" x14ac:dyDescent="0.25">
      <c r="A901" t="s">
        <v>588</v>
      </c>
      <c r="B901" t="s">
        <v>10713</v>
      </c>
    </row>
    <row r="902" spans="1:2" x14ac:dyDescent="0.25">
      <c r="A902" t="s">
        <v>765</v>
      </c>
      <c r="B902" t="s">
        <v>10714</v>
      </c>
    </row>
    <row r="903" spans="1:2" x14ac:dyDescent="0.25">
      <c r="A903" t="s">
        <v>775</v>
      </c>
      <c r="B903" t="s">
        <v>10715</v>
      </c>
    </row>
    <row r="904" spans="1:2" x14ac:dyDescent="0.25">
      <c r="A904" t="s">
        <v>777</v>
      </c>
      <c r="B904" t="s">
        <v>10716</v>
      </c>
    </row>
    <row r="905" spans="1:2" x14ac:dyDescent="0.25">
      <c r="A905" t="s">
        <v>780</v>
      </c>
      <c r="B905" t="s">
        <v>10717</v>
      </c>
    </row>
    <row r="906" spans="1:2" x14ac:dyDescent="0.25">
      <c r="A906" t="s">
        <v>2561</v>
      </c>
      <c r="B906" t="s">
        <v>10718</v>
      </c>
    </row>
    <row r="907" spans="1:2" x14ac:dyDescent="0.25">
      <c r="A907" t="s">
        <v>848</v>
      </c>
      <c r="B907" t="s">
        <v>10719</v>
      </c>
    </row>
    <row r="908" spans="1:2" x14ac:dyDescent="0.25">
      <c r="A908" t="s">
        <v>850</v>
      </c>
      <c r="B908" t="s">
        <v>10720</v>
      </c>
    </row>
    <row r="909" spans="1:2" x14ac:dyDescent="0.25">
      <c r="A909" t="s">
        <v>852</v>
      </c>
      <c r="B909" t="s">
        <v>10721</v>
      </c>
    </row>
    <row r="910" spans="1:2" x14ac:dyDescent="0.25">
      <c r="A910" t="s">
        <v>854</v>
      </c>
      <c r="B910" t="s">
        <v>10722</v>
      </c>
    </row>
    <row r="911" spans="1:2" x14ac:dyDescent="0.25">
      <c r="A911" t="s">
        <v>856</v>
      </c>
      <c r="B911" t="s">
        <v>10723</v>
      </c>
    </row>
    <row r="912" spans="1:2" x14ac:dyDescent="0.25">
      <c r="A912" t="s">
        <v>1236</v>
      </c>
      <c r="B912" t="s">
        <v>10724</v>
      </c>
    </row>
    <row r="913" spans="1:2" x14ac:dyDescent="0.25">
      <c r="A913" t="s">
        <v>1241</v>
      </c>
      <c r="B913" t="s">
        <v>10725</v>
      </c>
    </row>
    <row r="914" spans="1:2" x14ac:dyDescent="0.25">
      <c r="A914" t="s">
        <v>1243</v>
      </c>
      <c r="B914" t="s">
        <v>10726</v>
      </c>
    </row>
    <row r="915" spans="1:2" x14ac:dyDescent="0.25">
      <c r="A915" t="s">
        <v>1246</v>
      </c>
      <c r="B915" t="s">
        <v>10727</v>
      </c>
    </row>
    <row r="916" spans="1:2" x14ac:dyDescent="0.25">
      <c r="A916" t="s">
        <v>1248</v>
      </c>
      <c r="B916" t="s">
        <v>10728</v>
      </c>
    </row>
    <row r="917" spans="1:2" x14ac:dyDescent="0.25">
      <c r="A917" t="s">
        <v>1251</v>
      </c>
      <c r="B917" t="s">
        <v>10729</v>
      </c>
    </row>
    <row r="918" spans="1:2" x14ac:dyDescent="0.25">
      <c r="A918" t="s">
        <v>1238</v>
      </c>
      <c r="B918" t="s">
        <v>10730</v>
      </c>
    </row>
    <row r="919" spans="1:2" x14ac:dyDescent="0.25">
      <c r="A919" t="s">
        <v>1253</v>
      </c>
      <c r="B919" t="s">
        <v>10731</v>
      </c>
    </row>
    <row r="920" spans="1:2" x14ac:dyDescent="0.25">
      <c r="A920" t="s">
        <v>1256</v>
      </c>
      <c r="B920" t="s">
        <v>10732</v>
      </c>
    </row>
    <row r="921" spans="1:2" x14ac:dyDescent="0.25">
      <c r="A921" t="s">
        <v>1594</v>
      </c>
      <c r="B921" t="s">
        <v>10733</v>
      </c>
    </row>
    <row r="922" spans="1:2" x14ac:dyDescent="0.25">
      <c r="A922" t="s">
        <v>1596</v>
      </c>
      <c r="B922" t="s">
        <v>10734</v>
      </c>
    </row>
    <row r="923" spans="1:2" x14ac:dyDescent="0.25">
      <c r="A923" t="s">
        <v>1598</v>
      </c>
      <c r="B923" t="s">
        <v>10735</v>
      </c>
    </row>
    <row r="924" spans="1:2" x14ac:dyDescent="0.25">
      <c r="A924" t="s">
        <v>1600</v>
      </c>
      <c r="B924" t="s">
        <v>10736</v>
      </c>
    </row>
    <row r="925" spans="1:2" x14ac:dyDescent="0.25">
      <c r="A925" t="s">
        <v>1635</v>
      </c>
      <c r="B925" t="s">
        <v>10737</v>
      </c>
    </row>
    <row r="926" spans="1:2" x14ac:dyDescent="0.25">
      <c r="A926" t="s">
        <v>1639</v>
      </c>
      <c r="B926" t="s">
        <v>10738</v>
      </c>
    </row>
    <row r="927" spans="1:2" x14ac:dyDescent="0.25">
      <c r="A927" t="s">
        <v>1641</v>
      </c>
      <c r="B927" t="s">
        <v>10739</v>
      </c>
    </row>
    <row r="928" spans="1:2" x14ac:dyDescent="0.25">
      <c r="A928" t="s">
        <v>1643</v>
      </c>
      <c r="B928" t="s">
        <v>10740</v>
      </c>
    </row>
    <row r="929" spans="1:2" x14ac:dyDescent="0.25">
      <c r="A929" t="s">
        <v>1645</v>
      </c>
      <c r="B929" t="s">
        <v>10741</v>
      </c>
    </row>
    <row r="930" spans="1:2" x14ac:dyDescent="0.25">
      <c r="A930" t="s">
        <v>1647</v>
      </c>
      <c r="B930" t="s">
        <v>10742</v>
      </c>
    </row>
    <row r="931" spans="1:2" x14ac:dyDescent="0.25">
      <c r="A931" t="s">
        <v>1637</v>
      </c>
      <c r="B931" t="s">
        <v>10743</v>
      </c>
    </row>
    <row r="932" spans="1:2" x14ac:dyDescent="0.25">
      <c r="A932" t="s">
        <v>1650</v>
      </c>
      <c r="B932" t="s">
        <v>10744</v>
      </c>
    </row>
    <row r="933" spans="1:2" x14ac:dyDescent="0.25">
      <c r="A933" t="s">
        <v>1652</v>
      </c>
      <c r="B933" t="s">
        <v>10745</v>
      </c>
    </row>
    <row r="934" spans="1:2" x14ac:dyDescent="0.25">
      <c r="A934" t="s">
        <v>7070</v>
      </c>
      <c r="B934" t="s">
        <v>10746</v>
      </c>
    </row>
    <row r="935" spans="1:2" x14ac:dyDescent="0.25">
      <c r="A935" t="s">
        <v>7072</v>
      </c>
      <c r="B935" t="s">
        <v>10747</v>
      </c>
    </row>
    <row r="936" spans="1:2" x14ac:dyDescent="0.25">
      <c r="A936" t="s">
        <v>7074</v>
      </c>
      <c r="B936" t="s">
        <v>10748</v>
      </c>
    </row>
    <row r="937" spans="1:2" x14ac:dyDescent="0.25">
      <c r="A937" t="s">
        <v>7076</v>
      </c>
      <c r="B937" t="s">
        <v>10749</v>
      </c>
    </row>
    <row r="938" spans="1:2" x14ac:dyDescent="0.25">
      <c r="A938" t="s">
        <v>1635</v>
      </c>
      <c r="B938" t="s">
        <v>10750</v>
      </c>
    </row>
    <row r="939" spans="1:2" x14ac:dyDescent="0.25">
      <c r="A939" t="s">
        <v>1639</v>
      </c>
      <c r="B939" t="s">
        <v>10751</v>
      </c>
    </row>
    <row r="940" spans="1:2" x14ac:dyDescent="0.25">
      <c r="A940" t="s">
        <v>1641</v>
      </c>
      <c r="B940" t="s">
        <v>10752</v>
      </c>
    </row>
    <row r="941" spans="1:2" x14ac:dyDescent="0.25">
      <c r="A941" t="s">
        <v>1643</v>
      </c>
      <c r="B941" t="s">
        <v>10753</v>
      </c>
    </row>
    <row r="942" spans="1:2" x14ac:dyDescent="0.25">
      <c r="A942" t="s">
        <v>1645</v>
      </c>
      <c r="B942" t="s">
        <v>10754</v>
      </c>
    </row>
    <row r="943" spans="1:2" x14ac:dyDescent="0.25">
      <c r="A943" t="s">
        <v>1647</v>
      </c>
      <c r="B943" t="s">
        <v>10755</v>
      </c>
    </row>
    <row r="944" spans="1:2" x14ac:dyDescent="0.25">
      <c r="A944" t="s">
        <v>1637</v>
      </c>
      <c r="B944" t="s">
        <v>10756</v>
      </c>
    </row>
    <row r="945" spans="1:2" x14ac:dyDescent="0.25">
      <c r="A945" t="s">
        <v>1650</v>
      </c>
      <c r="B945" t="s">
        <v>10757</v>
      </c>
    </row>
    <row r="946" spans="1:2" x14ac:dyDescent="0.25">
      <c r="A946" t="s">
        <v>1652</v>
      </c>
      <c r="B946" t="s">
        <v>10758</v>
      </c>
    </row>
    <row r="947" spans="1:2" x14ac:dyDescent="0.25">
      <c r="A947" t="s">
        <v>7070</v>
      </c>
      <c r="B947" t="s">
        <v>10759</v>
      </c>
    </row>
    <row r="948" spans="1:2" x14ac:dyDescent="0.25">
      <c r="A948" t="s">
        <v>7072</v>
      </c>
      <c r="B948" t="s">
        <v>10760</v>
      </c>
    </row>
    <row r="949" spans="1:2" x14ac:dyDescent="0.25">
      <c r="A949" t="s">
        <v>7074</v>
      </c>
      <c r="B949" t="s">
        <v>10761</v>
      </c>
    </row>
    <row r="950" spans="1:2" x14ac:dyDescent="0.25">
      <c r="A950" t="s">
        <v>7076</v>
      </c>
      <c r="B950" t="s">
        <v>10762</v>
      </c>
    </row>
    <row r="951" spans="1:2" x14ac:dyDescent="0.25">
      <c r="A951" t="s">
        <v>1635</v>
      </c>
      <c r="B951" t="s">
        <v>10763</v>
      </c>
    </row>
    <row r="952" spans="1:2" x14ac:dyDescent="0.25">
      <c r="A952" t="s">
        <v>1639</v>
      </c>
      <c r="B952" t="s">
        <v>10764</v>
      </c>
    </row>
    <row r="953" spans="1:2" x14ac:dyDescent="0.25">
      <c r="A953" t="s">
        <v>1641</v>
      </c>
      <c r="B953" t="s">
        <v>10765</v>
      </c>
    </row>
    <row r="954" spans="1:2" x14ac:dyDescent="0.25">
      <c r="A954" t="s">
        <v>1643</v>
      </c>
      <c r="B954" t="s">
        <v>10766</v>
      </c>
    </row>
    <row r="955" spans="1:2" x14ac:dyDescent="0.25">
      <c r="A955" t="s">
        <v>1645</v>
      </c>
      <c r="B955" t="s">
        <v>10767</v>
      </c>
    </row>
    <row r="956" spans="1:2" x14ac:dyDescent="0.25">
      <c r="A956" t="s">
        <v>1647</v>
      </c>
      <c r="B956" t="s">
        <v>10768</v>
      </c>
    </row>
    <row r="957" spans="1:2" x14ac:dyDescent="0.25">
      <c r="A957" t="s">
        <v>1637</v>
      </c>
      <c r="B957" t="s">
        <v>10769</v>
      </c>
    </row>
    <row r="958" spans="1:2" x14ac:dyDescent="0.25">
      <c r="A958" t="s">
        <v>1650</v>
      </c>
      <c r="B958" t="s">
        <v>10770</v>
      </c>
    </row>
    <row r="959" spans="1:2" x14ac:dyDescent="0.25">
      <c r="A959" t="s">
        <v>1652</v>
      </c>
      <c r="B959" t="s">
        <v>10771</v>
      </c>
    </row>
    <row r="960" spans="1:2" x14ac:dyDescent="0.25">
      <c r="A960" t="s">
        <v>7070</v>
      </c>
      <c r="B960" t="s">
        <v>10772</v>
      </c>
    </row>
    <row r="961" spans="1:2" x14ac:dyDescent="0.25">
      <c r="A961" t="s">
        <v>7072</v>
      </c>
      <c r="B961" t="s">
        <v>10773</v>
      </c>
    </row>
    <row r="962" spans="1:2" x14ac:dyDescent="0.25">
      <c r="A962" t="s">
        <v>7074</v>
      </c>
      <c r="B962" t="s">
        <v>10774</v>
      </c>
    </row>
    <row r="963" spans="1:2" x14ac:dyDescent="0.25">
      <c r="A963" t="s">
        <v>7076</v>
      </c>
      <c r="B963" t="s">
        <v>10775</v>
      </c>
    </row>
    <row r="964" spans="1:2" x14ac:dyDescent="0.25">
      <c r="A964" t="s">
        <v>2263</v>
      </c>
      <c r="B964" t="s">
        <v>10776</v>
      </c>
    </row>
    <row r="965" spans="1:2" x14ac:dyDescent="0.25">
      <c r="A965" t="s">
        <v>6847</v>
      </c>
      <c r="B965" t="s">
        <v>10777</v>
      </c>
    </row>
    <row r="966" spans="1:2" x14ac:dyDescent="0.25">
      <c r="A966" t="s">
        <v>10778</v>
      </c>
      <c r="B966" t="s">
        <v>10779</v>
      </c>
    </row>
    <row r="967" spans="1:2" x14ac:dyDescent="0.25">
      <c r="A967" t="s">
        <v>3348</v>
      </c>
      <c r="B967" t="s">
        <v>10780</v>
      </c>
    </row>
    <row r="968" spans="1:2" x14ac:dyDescent="0.25">
      <c r="A968" t="s">
        <v>3350</v>
      </c>
      <c r="B968" t="s">
        <v>10781</v>
      </c>
    </row>
    <row r="969" spans="1:2" x14ac:dyDescent="0.25">
      <c r="A969" t="s">
        <v>10782</v>
      </c>
      <c r="B969" t="s">
        <v>10783</v>
      </c>
    </row>
    <row r="970" spans="1:2" x14ac:dyDescent="0.25">
      <c r="A970" t="s">
        <v>10784</v>
      </c>
      <c r="B970" t="s">
        <v>10785</v>
      </c>
    </row>
    <row r="971" spans="1:2" x14ac:dyDescent="0.25">
      <c r="A971" t="s">
        <v>3403</v>
      </c>
      <c r="B971" t="s">
        <v>10786</v>
      </c>
    </row>
    <row r="972" spans="1:2" x14ac:dyDescent="0.25">
      <c r="A972" t="s">
        <v>3405</v>
      </c>
      <c r="B972" t="s">
        <v>10787</v>
      </c>
    </row>
    <row r="973" spans="1:2" x14ac:dyDescent="0.25">
      <c r="A973" t="s">
        <v>10788</v>
      </c>
      <c r="B973" t="s">
        <v>10789</v>
      </c>
    </row>
    <row r="974" spans="1:2" x14ac:dyDescent="0.25">
      <c r="A974" t="s">
        <v>10790</v>
      </c>
      <c r="B974" t="s">
        <v>10791</v>
      </c>
    </row>
    <row r="975" spans="1:2" x14ac:dyDescent="0.25">
      <c r="A975" t="s">
        <v>3458</v>
      </c>
      <c r="B975" t="s">
        <v>10792</v>
      </c>
    </row>
    <row r="976" spans="1:2" x14ac:dyDescent="0.25">
      <c r="A976" t="s">
        <v>3460</v>
      </c>
      <c r="B976" t="s">
        <v>10793</v>
      </c>
    </row>
    <row r="977" spans="1:2" x14ac:dyDescent="0.25">
      <c r="A977" t="s">
        <v>10794</v>
      </c>
      <c r="B977" t="s">
        <v>10795</v>
      </c>
    </row>
    <row r="978" spans="1:2" x14ac:dyDescent="0.25">
      <c r="A978" t="s">
        <v>10796</v>
      </c>
      <c r="B978" t="s">
        <v>10797</v>
      </c>
    </row>
    <row r="979" spans="1:2" x14ac:dyDescent="0.25">
      <c r="A979" t="s">
        <v>3513</v>
      </c>
      <c r="B979" t="s">
        <v>10798</v>
      </c>
    </row>
    <row r="980" spans="1:2" x14ac:dyDescent="0.25">
      <c r="A980" t="s">
        <v>3515</v>
      </c>
      <c r="B980" t="s">
        <v>10799</v>
      </c>
    </row>
    <row r="981" spans="1:2" x14ac:dyDescent="0.25">
      <c r="A981" t="s">
        <v>10800</v>
      </c>
      <c r="B981" t="s">
        <v>10801</v>
      </c>
    </row>
    <row r="982" spans="1:2" x14ac:dyDescent="0.25">
      <c r="A982" t="s">
        <v>10802</v>
      </c>
      <c r="B982" t="s">
        <v>10803</v>
      </c>
    </row>
    <row r="983" spans="1:2" x14ac:dyDescent="0.25">
      <c r="A983" t="s">
        <v>3568</v>
      </c>
      <c r="B983" t="s">
        <v>10804</v>
      </c>
    </row>
    <row r="984" spans="1:2" x14ac:dyDescent="0.25">
      <c r="A984" t="s">
        <v>3570</v>
      </c>
      <c r="B984" t="s">
        <v>10805</v>
      </c>
    </row>
    <row r="985" spans="1:2" x14ac:dyDescent="0.25">
      <c r="A985" t="s">
        <v>10806</v>
      </c>
      <c r="B985" t="s">
        <v>10807</v>
      </c>
    </row>
    <row r="986" spans="1:2" x14ac:dyDescent="0.25">
      <c r="A986" t="s">
        <v>10808</v>
      </c>
      <c r="B986" t="s">
        <v>10809</v>
      </c>
    </row>
    <row r="987" spans="1:2" x14ac:dyDescent="0.25">
      <c r="A987" t="s">
        <v>3622</v>
      </c>
      <c r="B987" t="s">
        <v>10810</v>
      </c>
    </row>
    <row r="988" spans="1:2" x14ac:dyDescent="0.25">
      <c r="A988" t="s">
        <v>3624</v>
      </c>
      <c r="B988" t="s">
        <v>10811</v>
      </c>
    </row>
    <row r="989" spans="1:2" x14ac:dyDescent="0.25">
      <c r="A989" t="s">
        <v>3298</v>
      </c>
      <c r="B989" t="s">
        <v>10812</v>
      </c>
    </row>
    <row r="990" spans="1:2" x14ac:dyDescent="0.25">
      <c r="A990" t="s">
        <v>6850</v>
      </c>
      <c r="B990" t="s">
        <v>10813</v>
      </c>
    </row>
    <row r="991" spans="1:2" x14ac:dyDescent="0.25">
      <c r="A991" t="s">
        <v>10814</v>
      </c>
      <c r="B991" t="s">
        <v>10815</v>
      </c>
    </row>
    <row r="992" spans="1:2" x14ac:dyDescent="0.25">
      <c r="A992" t="s">
        <v>10816</v>
      </c>
      <c r="B992" t="s">
        <v>10817</v>
      </c>
    </row>
    <row r="993" spans="1:2" x14ac:dyDescent="0.25">
      <c r="A993" t="s">
        <v>3353</v>
      </c>
      <c r="B993" t="s">
        <v>10818</v>
      </c>
    </row>
    <row r="994" spans="1:2" x14ac:dyDescent="0.25">
      <c r="A994" t="s">
        <v>10819</v>
      </c>
      <c r="B994" t="s">
        <v>10820</v>
      </c>
    </row>
    <row r="995" spans="1:2" x14ac:dyDescent="0.25">
      <c r="A995" t="s">
        <v>10821</v>
      </c>
      <c r="B995" t="s">
        <v>10822</v>
      </c>
    </row>
    <row r="996" spans="1:2" x14ac:dyDescent="0.25">
      <c r="A996" t="s">
        <v>10823</v>
      </c>
      <c r="B996" t="s">
        <v>10824</v>
      </c>
    </row>
    <row r="997" spans="1:2" x14ac:dyDescent="0.25">
      <c r="A997" t="s">
        <v>3408</v>
      </c>
      <c r="B997" t="s">
        <v>10825</v>
      </c>
    </row>
    <row r="998" spans="1:2" x14ac:dyDescent="0.25">
      <c r="A998" t="s">
        <v>10826</v>
      </c>
      <c r="B998" t="s">
        <v>10827</v>
      </c>
    </row>
    <row r="999" spans="1:2" x14ac:dyDescent="0.25">
      <c r="A999" t="s">
        <v>10828</v>
      </c>
      <c r="B999" t="s">
        <v>10829</v>
      </c>
    </row>
    <row r="1000" spans="1:2" x14ac:dyDescent="0.25">
      <c r="A1000" t="s">
        <v>10830</v>
      </c>
      <c r="B1000" t="s">
        <v>10831</v>
      </c>
    </row>
    <row r="1001" spans="1:2" x14ac:dyDescent="0.25">
      <c r="A1001" t="s">
        <v>3463</v>
      </c>
      <c r="B1001" t="s">
        <v>10832</v>
      </c>
    </row>
    <row r="1002" spans="1:2" x14ac:dyDescent="0.25">
      <c r="A1002" t="s">
        <v>10833</v>
      </c>
      <c r="B1002" t="s">
        <v>10834</v>
      </c>
    </row>
    <row r="1003" spans="1:2" x14ac:dyDescent="0.25">
      <c r="A1003" t="s">
        <v>10835</v>
      </c>
      <c r="B1003" t="s">
        <v>10836</v>
      </c>
    </row>
    <row r="1004" spans="1:2" x14ac:dyDescent="0.25">
      <c r="A1004" t="s">
        <v>10837</v>
      </c>
      <c r="B1004" t="s">
        <v>10838</v>
      </c>
    </row>
    <row r="1005" spans="1:2" x14ac:dyDescent="0.25">
      <c r="A1005" t="s">
        <v>3518</v>
      </c>
      <c r="B1005" t="s">
        <v>10839</v>
      </c>
    </row>
    <row r="1006" spans="1:2" x14ac:dyDescent="0.25">
      <c r="A1006" t="s">
        <v>10840</v>
      </c>
      <c r="B1006" t="s">
        <v>10841</v>
      </c>
    </row>
    <row r="1007" spans="1:2" x14ac:dyDescent="0.25">
      <c r="A1007" t="s">
        <v>10842</v>
      </c>
      <c r="B1007" t="s">
        <v>10843</v>
      </c>
    </row>
    <row r="1008" spans="1:2" x14ac:dyDescent="0.25">
      <c r="A1008" t="s">
        <v>10844</v>
      </c>
      <c r="B1008" t="s">
        <v>10845</v>
      </c>
    </row>
    <row r="1009" spans="1:2" x14ac:dyDescent="0.25">
      <c r="A1009" t="s">
        <v>3572</v>
      </c>
      <c r="B1009" t="s">
        <v>10846</v>
      </c>
    </row>
    <row r="1010" spans="1:2" x14ac:dyDescent="0.25">
      <c r="A1010" t="s">
        <v>10847</v>
      </c>
      <c r="B1010" t="s">
        <v>10848</v>
      </c>
    </row>
    <row r="1011" spans="1:2" x14ac:dyDescent="0.25">
      <c r="A1011" t="s">
        <v>10849</v>
      </c>
      <c r="B1011" t="s">
        <v>10850</v>
      </c>
    </row>
    <row r="1012" spans="1:2" x14ac:dyDescent="0.25">
      <c r="A1012" t="s">
        <v>10851</v>
      </c>
      <c r="B1012" t="s">
        <v>10852</v>
      </c>
    </row>
    <row r="1013" spans="1:2" x14ac:dyDescent="0.25">
      <c r="A1013" t="s">
        <v>3627</v>
      </c>
      <c r="B1013" t="s">
        <v>10853</v>
      </c>
    </row>
    <row r="1014" spans="1:2" x14ac:dyDescent="0.25">
      <c r="A1014" t="s">
        <v>3300</v>
      </c>
      <c r="B1014" t="s">
        <v>10854</v>
      </c>
    </row>
    <row r="1015" spans="1:2" x14ac:dyDescent="0.25">
      <c r="A1015" t="s">
        <v>10855</v>
      </c>
      <c r="B1015" t="s">
        <v>10856</v>
      </c>
    </row>
    <row r="1016" spans="1:2" x14ac:dyDescent="0.25">
      <c r="A1016" t="s">
        <v>10857</v>
      </c>
      <c r="B1016" t="s">
        <v>10858</v>
      </c>
    </row>
    <row r="1017" spans="1:2" x14ac:dyDescent="0.25">
      <c r="A1017" t="s">
        <v>10859</v>
      </c>
      <c r="B1017" t="s">
        <v>10860</v>
      </c>
    </row>
    <row r="1018" spans="1:2" x14ac:dyDescent="0.25">
      <c r="A1018" t="s">
        <v>3355</v>
      </c>
      <c r="B1018" t="s">
        <v>10861</v>
      </c>
    </row>
    <row r="1019" spans="1:2" x14ac:dyDescent="0.25">
      <c r="A1019" t="s">
        <v>10862</v>
      </c>
      <c r="B1019" t="s">
        <v>10863</v>
      </c>
    </row>
    <row r="1020" spans="1:2" x14ac:dyDescent="0.25">
      <c r="A1020" t="s">
        <v>10864</v>
      </c>
      <c r="B1020" t="s">
        <v>10865</v>
      </c>
    </row>
    <row r="1021" spans="1:2" x14ac:dyDescent="0.25">
      <c r="A1021" t="s">
        <v>3155</v>
      </c>
      <c r="B1021" t="s">
        <v>10866</v>
      </c>
    </row>
    <row r="1022" spans="1:2" x14ac:dyDescent="0.25">
      <c r="A1022" t="s">
        <v>3410</v>
      </c>
      <c r="B1022" t="s">
        <v>10867</v>
      </c>
    </row>
    <row r="1023" spans="1:2" x14ac:dyDescent="0.25">
      <c r="A1023" t="s">
        <v>10868</v>
      </c>
      <c r="B1023" t="s">
        <v>10869</v>
      </c>
    </row>
    <row r="1024" spans="1:2" x14ac:dyDescent="0.25">
      <c r="A1024" t="s">
        <v>10870</v>
      </c>
      <c r="B1024" t="s">
        <v>10871</v>
      </c>
    </row>
    <row r="1025" spans="1:2" x14ac:dyDescent="0.25">
      <c r="A1025" t="s">
        <v>10872</v>
      </c>
      <c r="B1025" t="s">
        <v>10873</v>
      </c>
    </row>
    <row r="1026" spans="1:2" x14ac:dyDescent="0.25">
      <c r="A1026" t="s">
        <v>3465</v>
      </c>
      <c r="B1026" t="s">
        <v>10874</v>
      </c>
    </row>
    <row r="1027" spans="1:2" x14ac:dyDescent="0.25">
      <c r="A1027" t="s">
        <v>10875</v>
      </c>
      <c r="B1027" t="s">
        <v>10876</v>
      </c>
    </row>
    <row r="1028" spans="1:2" x14ac:dyDescent="0.25">
      <c r="A1028" t="s">
        <v>10877</v>
      </c>
      <c r="B1028" t="s">
        <v>10878</v>
      </c>
    </row>
    <row r="1029" spans="1:2" x14ac:dyDescent="0.25">
      <c r="A1029" t="s">
        <v>10879</v>
      </c>
      <c r="B1029" t="s">
        <v>10880</v>
      </c>
    </row>
    <row r="1030" spans="1:2" x14ac:dyDescent="0.25">
      <c r="A1030" t="s">
        <v>3520</v>
      </c>
      <c r="B1030" t="s">
        <v>10881</v>
      </c>
    </row>
    <row r="1031" spans="1:2" x14ac:dyDescent="0.25">
      <c r="A1031" t="s">
        <v>10882</v>
      </c>
      <c r="B1031" t="s">
        <v>10883</v>
      </c>
    </row>
    <row r="1032" spans="1:2" x14ac:dyDescent="0.25">
      <c r="A1032" t="s">
        <v>10884</v>
      </c>
      <c r="B1032" t="s">
        <v>10885</v>
      </c>
    </row>
    <row r="1033" spans="1:2" x14ac:dyDescent="0.25">
      <c r="A1033" t="s">
        <v>10886</v>
      </c>
      <c r="B1033" t="s">
        <v>10887</v>
      </c>
    </row>
    <row r="1034" spans="1:2" x14ac:dyDescent="0.25">
      <c r="A1034" t="s">
        <v>3574</v>
      </c>
      <c r="B1034" t="s">
        <v>10888</v>
      </c>
    </row>
    <row r="1035" spans="1:2" x14ac:dyDescent="0.25">
      <c r="A1035" t="s">
        <v>10889</v>
      </c>
      <c r="B1035" t="s">
        <v>10890</v>
      </c>
    </row>
    <row r="1036" spans="1:2" x14ac:dyDescent="0.25">
      <c r="A1036" t="s">
        <v>10891</v>
      </c>
      <c r="B1036" t="s">
        <v>10892</v>
      </c>
    </row>
    <row r="1037" spans="1:2" x14ac:dyDescent="0.25">
      <c r="A1037" t="s">
        <v>10893</v>
      </c>
      <c r="B1037" t="s">
        <v>10894</v>
      </c>
    </row>
    <row r="1038" spans="1:2" x14ac:dyDescent="0.25">
      <c r="A1038" t="s">
        <v>3629</v>
      </c>
      <c r="B1038" t="s">
        <v>10895</v>
      </c>
    </row>
    <row r="1039" spans="1:2" x14ac:dyDescent="0.25">
      <c r="A1039" t="s">
        <v>3302</v>
      </c>
      <c r="B1039" t="s">
        <v>10896</v>
      </c>
    </row>
    <row r="1040" spans="1:2" x14ac:dyDescent="0.25">
      <c r="A1040" t="s">
        <v>10897</v>
      </c>
      <c r="B1040" t="s">
        <v>10898</v>
      </c>
    </row>
    <row r="1041" spans="1:2" x14ac:dyDescent="0.25">
      <c r="A1041" t="s">
        <v>10899</v>
      </c>
      <c r="B1041" t="s">
        <v>10900</v>
      </c>
    </row>
    <row r="1042" spans="1:2" x14ac:dyDescent="0.25">
      <c r="A1042" t="s">
        <v>10901</v>
      </c>
      <c r="B1042" t="s">
        <v>10902</v>
      </c>
    </row>
    <row r="1043" spans="1:2" x14ac:dyDescent="0.25">
      <c r="A1043" t="s">
        <v>3357</v>
      </c>
      <c r="B1043" t="s">
        <v>10903</v>
      </c>
    </row>
    <row r="1044" spans="1:2" x14ac:dyDescent="0.25">
      <c r="A1044" t="s">
        <v>10904</v>
      </c>
      <c r="B1044" t="s">
        <v>10905</v>
      </c>
    </row>
    <row r="1045" spans="1:2" x14ac:dyDescent="0.25">
      <c r="A1045" t="s">
        <v>10906</v>
      </c>
      <c r="B1045" t="s">
        <v>10907</v>
      </c>
    </row>
    <row r="1046" spans="1:2" x14ac:dyDescent="0.25">
      <c r="A1046" t="s">
        <v>10908</v>
      </c>
      <c r="B1046" t="s">
        <v>10909</v>
      </c>
    </row>
    <row r="1047" spans="1:2" x14ac:dyDescent="0.25">
      <c r="A1047" t="s">
        <v>3412</v>
      </c>
      <c r="B1047" t="s">
        <v>10910</v>
      </c>
    </row>
    <row r="1048" spans="1:2" x14ac:dyDescent="0.25">
      <c r="A1048" t="s">
        <v>10911</v>
      </c>
      <c r="B1048" t="s">
        <v>10912</v>
      </c>
    </row>
    <row r="1049" spans="1:2" x14ac:dyDescent="0.25">
      <c r="A1049" t="s">
        <v>10913</v>
      </c>
      <c r="B1049" t="s">
        <v>10914</v>
      </c>
    </row>
    <row r="1050" spans="1:2" x14ac:dyDescent="0.25">
      <c r="A1050" t="s">
        <v>10915</v>
      </c>
      <c r="B1050" t="s">
        <v>10916</v>
      </c>
    </row>
    <row r="1051" spans="1:2" x14ac:dyDescent="0.25">
      <c r="A1051" t="s">
        <v>3467</v>
      </c>
      <c r="B1051" t="s">
        <v>10917</v>
      </c>
    </row>
    <row r="1052" spans="1:2" x14ac:dyDescent="0.25">
      <c r="A1052" t="s">
        <v>10918</v>
      </c>
      <c r="B1052" t="s">
        <v>10919</v>
      </c>
    </row>
    <row r="1053" spans="1:2" x14ac:dyDescent="0.25">
      <c r="A1053" t="s">
        <v>10920</v>
      </c>
      <c r="B1053" t="s">
        <v>10921</v>
      </c>
    </row>
    <row r="1054" spans="1:2" x14ac:dyDescent="0.25">
      <c r="A1054" t="s">
        <v>10922</v>
      </c>
      <c r="B1054" t="s">
        <v>10923</v>
      </c>
    </row>
    <row r="1055" spans="1:2" x14ac:dyDescent="0.25">
      <c r="A1055" t="s">
        <v>3522</v>
      </c>
      <c r="B1055" t="s">
        <v>10924</v>
      </c>
    </row>
    <row r="1056" spans="1:2" x14ac:dyDescent="0.25">
      <c r="A1056" t="s">
        <v>10925</v>
      </c>
      <c r="B1056" t="s">
        <v>10926</v>
      </c>
    </row>
    <row r="1057" spans="1:2" x14ac:dyDescent="0.25">
      <c r="A1057" t="s">
        <v>10927</v>
      </c>
      <c r="B1057" t="s">
        <v>10928</v>
      </c>
    </row>
    <row r="1058" spans="1:2" x14ac:dyDescent="0.25">
      <c r="A1058" t="s">
        <v>10929</v>
      </c>
      <c r="B1058" t="s">
        <v>10930</v>
      </c>
    </row>
    <row r="1059" spans="1:2" x14ac:dyDescent="0.25">
      <c r="A1059" t="s">
        <v>3576</v>
      </c>
      <c r="B1059" t="s">
        <v>10931</v>
      </c>
    </row>
    <row r="1060" spans="1:2" x14ac:dyDescent="0.25">
      <c r="A1060" t="s">
        <v>10932</v>
      </c>
      <c r="B1060" t="s">
        <v>10933</v>
      </c>
    </row>
    <row r="1061" spans="1:2" x14ac:dyDescent="0.25">
      <c r="A1061" t="s">
        <v>10934</v>
      </c>
      <c r="B1061" t="s">
        <v>10935</v>
      </c>
    </row>
    <row r="1062" spans="1:2" x14ac:dyDescent="0.25">
      <c r="A1062" t="s">
        <v>10936</v>
      </c>
      <c r="B1062" t="s">
        <v>10937</v>
      </c>
    </row>
    <row r="1063" spans="1:2" x14ac:dyDescent="0.25">
      <c r="A1063" t="s">
        <v>3631</v>
      </c>
      <c r="B1063" t="s">
        <v>10938</v>
      </c>
    </row>
    <row r="1064" spans="1:2" x14ac:dyDescent="0.25">
      <c r="A1064" t="s">
        <v>6238</v>
      </c>
      <c r="B1064" t="s">
        <v>10939</v>
      </c>
    </row>
    <row r="1065" spans="1:2" x14ac:dyDescent="0.25">
      <c r="A1065" t="s">
        <v>10940</v>
      </c>
      <c r="B1065" t="s">
        <v>10941</v>
      </c>
    </row>
    <row r="1066" spans="1:2" x14ac:dyDescent="0.25">
      <c r="A1066" t="s">
        <v>10942</v>
      </c>
      <c r="B1066" t="s">
        <v>10943</v>
      </c>
    </row>
    <row r="1067" spans="1:2" x14ac:dyDescent="0.25">
      <c r="A1067" t="s">
        <v>10944</v>
      </c>
      <c r="B1067" t="s">
        <v>10945</v>
      </c>
    </row>
    <row r="1068" spans="1:2" x14ac:dyDescent="0.25">
      <c r="A1068" t="s">
        <v>10946</v>
      </c>
      <c r="B1068" t="s">
        <v>10947</v>
      </c>
    </row>
    <row r="1069" spans="1:2" x14ac:dyDescent="0.25">
      <c r="A1069" t="s">
        <v>10948</v>
      </c>
      <c r="B1069" t="s">
        <v>10949</v>
      </c>
    </row>
    <row r="1070" spans="1:2" x14ac:dyDescent="0.25">
      <c r="A1070" t="s">
        <v>10950</v>
      </c>
      <c r="B1070" t="s">
        <v>10951</v>
      </c>
    </row>
    <row r="1071" spans="1:2" x14ac:dyDescent="0.25">
      <c r="A1071" t="s">
        <v>10952</v>
      </c>
      <c r="B1071" t="s">
        <v>10953</v>
      </c>
    </row>
    <row r="1072" spans="1:2" x14ac:dyDescent="0.25">
      <c r="A1072" t="s">
        <v>10954</v>
      </c>
      <c r="B1072" t="s">
        <v>10955</v>
      </c>
    </row>
    <row r="1073" spans="1:2" x14ac:dyDescent="0.25">
      <c r="A1073" t="s">
        <v>10956</v>
      </c>
      <c r="B1073" t="s">
        <v>10957</v>
      </c>
    </row>
    <row r="1074" spans="1:2" x14ac:dyDescent="0.25">
      <c r="A1074" t="s">
        <v>10958</v>
      </c>
      <c r="B1074" t="s">
        <v>10959</v>
      </c>
    </row>
    <row r="1075" spans="1:2" x14ac:dyDescent="0.25">
      <c r="A1075" t="s">
        <v>10960</v>
      </c>
      <c r="B1075" t="s">
        <v>10961</v>
      </c>
    </row>
    <row r="1076" spans="1:2" x14ac:dyDescent="0.25">
      <c r="A1076" t="s">
        <v>10962</v>
      </c>
      <c r="B1076" t="s">
        <v>10963</v>
      </c>
    </row>
    <row r="1077" spans="1:2" x14ac:dyDescent="0.25">
      <c r="A1077" t="s">
        <v>10964</v>
      </c>
      <c r="B1077" t="s">
        <v>10965</v>
      </c>
    </row>
    <row r="1078" spans="1:2" x14ac:dyDescent="0.25">
      <c r="A1078" t="s">
        <v>10966</v>
      </c>
      <c r="B1078" t="s">
        <v>10967</v>
      </c>
    </row>
    <row r="1079" spans="1:2" x14ac:dyDescent="0.25">
      <c r="A1079" t="s">
        <v>10968</v>
      </c>
      <c r="B1079" t="s">
        <v>10969</v>
      </c>
    </row>
    <row r="1080" spans="1:2" x14ac:dyDescent="0.25">
      <c r="A1080" t="s">
        <v>10970</v>
      </c>
      <c r="B1080" t="s">
        <v>10971</v>
      </c>
    </row>
    <row r="1081" spans="1:2" x14ac:dyDescent="0.25">
      <c r="A1081" t="s">
        <v>10972</v>
      </c>
      <c r="B1081" t="s">
        <v>10973</v>
      </c>
    </row>
    <row r="1082" spans="1:2" x14ac:dyDescent="0.25">
      <c r="A1082" t="s">
        <v>10974</v>
      </c>
      <c r="B1082" t="s">
        <v>10975</v>
      </c>
    </row>
    <row r="1083" spans="1:2" x14ac:dyDescent="0.25">
      <c r="A1083" t="s">
        <v>10976</v>
      </c>
      <c r="B1083" t="s">
        <v>10977</v>
      </c>
    </row>
    <row r="1084" spans="1:2" x14ac:dyDescent="0.25">
      <c r="A1084" t="s">
        <v>10978</v>
      </c>
      <c r="B1084" t="s">
        <v>10979</v>
      </c>
    </row>
    <row r="1085" spans="1:2" x14ac:dyDescent="0.25">
      <c r="A1085" t="s">
        <v>10980</v>
      </c>
      <c r="B1085" t="s">
        <v>10981</v>
      </c>
    </row>
    <row r="1086" spans="1:2" x14ac:dyDescent="0.25">
      <c r="A1086" t="s">
        <v>10982</v>
      </c>
      <c r="B1086" t="s">
        <v>10983</v>
      </c>
    </row>
    <row r="1087" spans="1:2" x14ac:dyDescent="0.25">
      <c r="A1087" t="s">
        <v>10984</v>
      </c>
      <c r="B1087" t="s">
        <v>10985</v>
      </c>
    </row>
    <row r="1088" spans="1:2" x14ac:dyDescent="0.25">
      <c r="A1088" t="s">
        <v>10986</v>
      </c>
      <c r="B1088" t="s">
        <v>10987</v>
      </c>
    </row>
    <row r="1089" spans="1:2" x14ac:dyDescent="0.25">
      <c r="A1089" t="s">
        <v>3304</v>
      </c>
      <c r="B1089" t="s">
        <v>10988</v>
      </c>
    </row>
    <row r="1090" spans="1:2" x14ac:dyDescent="0.25">
      <c r="A1090" t="s">
        <v>10989</v>
      </c>
      <c r="B1090" t="s">
        <v>10990</v>
      </c>
    </row>
    <row r="1091" spans="1:2" x14ac:dyDescent="0.25">
      <c r="A1091" t="s">
        <v>10991</v>
      </c>
      <c r="B1091" t="s">
        <v>10992</v>
      </c>
    </row>
    <row r="1092" spans="1:2" x14ac:dyDescent="0.25">
      <c r="A1092" t="s">
        <v>10993</v>
      </c>
      <c r="B1092" t="s">
        <v>10994</v>
      </c>
    </row>
    <row r="1093" spans="1:2" x14ac:dyDescent="0.25">
      <c r="A1093" t="s">
        <v>3359</v>
      </c>
      <c r="B1093" t="s">
        <v>10995</v>
      </c>
    </row>
    <row r="1094" spans="1:2" x14ac:dyDescent="0.25">
      <c r="A1094" t="s">
        <v>10996</v>
      </c>
      <c r="B1094" t="s">
        <v>10997</v>
      </c>
    </row>
    <row r="1095" spans="1:2" x14ac:dyDescent="0.25">
      <c r="A1095" t="s">
        <v>10998</v>
      </c>
      <c r="B1095" t="s">
        <v>10999</v>
      </c>
    </row>
    <row r="1096" spans="1:2" x14ac:dyDescent="0.25">
      <c r="A1096" t="s">
        <v>11000</v>
      </c>
      <c r="B1096" t="s">
        <v>11001</v>
      </c>
    </row>
    <row r="1097" spans="1:2" x14ac:dyDescent="0.25">
      <c r="A1097" t="s">
        <v>3414</v>
      </c>
      <c r="B1097" t="s">
        <v>11002</v>
      </c>
    </row>
    <row r="1098" spans="1:2" x14ac:dyDescent="0.25">
      <c r="A1098" t="s">
        <v>11003</v>
      </c>
      <c r="B1098" t="s">
        <v>11004</v>
      </c>
    </row>
    <row r="1099" spans="1:2" x14ac:dyDescent="0.25">
      <c r="A1099" t="s">
        <v>11005</v>
      </c>
      <c r="B1099" t="s">
        <v>11006</v>
      </c>
    </row>
    <row r="1100" spans="1:2" x14ac:dyDescent="0.25">
      <c r="A1100" t="s">
        <v>11007</v>
      </c>
      <c r="B1100" t="s">
        <v>11008</v>
      </c>
    </row>
    <row r="1101" spans="1:2" x14ac:dyDescent="0.25">
      <c r="A1101" t="s">
        <v>3469</v>
      </c>
      <c r="B1101" t="s">
        <v>11009</v>
      </c>
    </row>
    <row r="1102" spans="1:2" x14ac:dyDescent="0.25">
      <c r="A1102" t="s">
        <v>11010</v>
      </c>
      <c r="B1102" t="s">
        <v>11011</v>
      </c>
    </row>
    <row r="1103" spans="1:2" x14ac:dyDescent="0.25">
      <c r="A1103" t="s">
        <v>11012</v>
      </c>
      <c r="B1103" t="s">
        <v>11013</v>
      </c>
    </row>
    <row r="1104" spans="1:2" x14ac:dyDescent="0.25">
      <c r="A1104" t="s">
        <v>11014</v>
      </c>
      <c r="B1104" t="s">
        <v>11015</v>
      </c>
    </row>
    <row r="1105" spans="1:2" x14ac:dyDescent="0.25">
      <c r="A1105" t="s">
        <v>3524</v>
      </c>
      <c r="B1105" t="s">
        <v>11016</v>
      </c>
    </row>
    <row r="1106" spans="1:2" x14ac:dyDescent="0.25">
      <c r="A1106" t="s">
        <v>11017</v>
      </c>
      <c r="B1106" t="s">
        <v>11018</v>
      </c>
    </row>
    <row r="1107" spans="1:2" x14ac:dyDescent="0.25">
      <c r="A1107" t="s">
        <v>11019</v>
      </c>
      <c r="B1107" t="s">
        <v>11020</v>
      </c>
    </row>
    <row r="1108" spans="1:2" x14ac:dyDescent="0.25">
      <c r="A1108" t="s">
        <v>11021</v>
      </c>
      <c r="B1108" t="s">
        <v>11022</v>
      </c>
    </row>
    <row r="1109" spans="1:2" x14ac:dyDescent="0.25">
      <c r="A1109" t="s">
        <v>3578</v>
      </c>
      <c r="B1109" t="s">
        <v>11023</v>
      </c>
    </row>
    <row r="1110" spans="1:2" x14ac:dyDescent="0.25">
      <c r="A1110" t="s">
        <v>11024</v>
      </c>
      <c r="B1110" t="s">
        <v>11025</v>
      </c>
    </row>
    <row r="1111" spans="1:2" x14ac:dyDescent="0.25">
      <c r="A1111" t="s">
        <v>11026</v>
      </c>
      <c r="B1111" t="s">
        <v>11027</v>
      </c>
    </row>
    <row r="1112" spans="1:2" x14ac:dyDescent="0.25">
      <c r="A1112" t="s">
        <v>11028</v>
      </c>
      <c r="B1112" t="s">
        <v>11029</v>
      </c>
    </row>
    <row r="1113" spans="1:2" x14ac:dyDescent="0.25">
      <c r="A1113" t="s">
        <v>3633</v>
      </c>
      <c r="B1113" t="s">
        <v>11030</v>
      </c>
    </row>
    <row r="1114" spans="1:2" x14ac:dyDescent="0.25">
      <c r="A1114" t="s">
        <v>6241</v>
      </c>
      <c r="B1114" t="s">
        <v>11031</v>
      </c>
    </row>
    <row r="1115" spans="1:2" x14ac:dyDescent="0.25">
      <c r="A1115" t="s">
        <v>11032</v>
      </c>
      <c r="B1115" t="s">
        <v>11033</v>
      </c>
    </row>
    <row r="1116" spans="1:2" x14ac:dyDescent="0.25">
      <c r="A1116" t="s">
        <v>11034</v>
      </c>
      <c r="B1116" t="s">
        <v>11035</v>
      </c>
    </row>
    <row r="1117" spans="1:2" x14ac:dyDescent="0.25">
      <c r="A1117" t="s">
        <v>11036</v>
      </c>
      <c r="B1117" t="s">
        <v>11037</v>
      </c>
    </row>
    <row r="1118" spans="1:2" x14ac:dyDescent="0.25">
      <c r="A1118" t="s">
        <v>11038</v>
      </c>
      <c r="B1118" t="s">
        <v>11039</v>
      </c>
    </row>
    <row r="1119" spans="1:2" x14ac:dyDescent="0.25">
      <c r="A1119" t="s">
        <v>11040</v>
      </c>
      <c r="B1119" t="s">
        <v>11041</v>
      </c>
    </row>
    <row r="1120" spans="1:2" x14ac:dyDescent="0.25">
      <c r="A1120" t="s">
        <v>11042</v>
      </c>
      <c r="B1120" t="s">
        <v>11043</v>
      </c>
    </row>
    <row r="1121" spans="1:2" x14ac:dyDescent="0.25">
      <c r="A1121" t="s">
        <v>11044</v>
      </c>
      <c r="B1121" t="s">
        <v>11045</v>
      </c>
    </row>
    <row r="1122" spans="1:2" x14ac:dyDescent="0.25">
      <c r="A1122" t="s">
        <v>11046</v>
      </c>
      <c r="B1122" t="s">
        <v>11047</v>
      </c>
    </row>
    <row r="1123" spans="1:2" x14ac:dyDescent="0.25">
      <c r="A1123" t="s">
        <v>11048</v>
      </c>
      <c r="B1123" t="s">
        <v>11049</v>
      </c>
    </row>
    <row r="1124" spans="1:2" x14ac:dyDescent="0.25">
      <c r="A1124" t="s">
        <v>11050</v>
      </c>
      <c r="B1124" t="s">
        <v>11051</v>
      </c>
    </row>
    <row r="1125" spans="1:2" x14ac:dyDescent="0.25">
      <c r="A1125" t="s">
        <v>11052</v>
      </c>
      <c r="B1125" t="s">
        <v>11053</v>
      </c>
    </row>
    <row r="1126" spans="1:2" x14ac:dyDescent="0.25">
      <c r="A1126" t="s">
        <v>11054</v>
      </c>
      <c r="B1126" t="s">
        <v>11055</v>
      </c>
    </row>
    <row r="1127" spans="1:2" x14ac:dyDescent="0.25">
      <c r="A1127" t="s">
        <v>11056</v>
      </c>
      <c r="B1127" t="s">
        <v>11057</v>
      </c>
    </row>
    <row r="1128" spans="1:2" x14ac:dyDescent="0.25">
      <c r="A1128" t="s">
        <v>11058</v>
      </c>
      <c r="B1128" t="s">
        <v>11059</v>
      </c>
    </row>
    <row r="1129" spans="1:2" x14ac:dyDescent="0.25">
      <c r="A1129" t="s">
        <v>11060</v>
      </c>
      <c r="B1129" t="s">
        <v>11061</v>
      </c>
    </row>
    <row r="1130" spans="1:2" x14ac:dyDescent="0.25">
      <c r="A1130" t="s">
        <v>11062</v>
      </c>
      <c r="B1130" t="s">
        <v>11063</v>
      </c>
    </row>
    <row r="1131" spans="1:2" x14ac:dyDescent="0.25">
      <c r="A1131" t="s">
        <v>11064</v>
      </c>
      <c r="B1131" t="s">
        <v>11065</v>
      </c>
    </row>
    <row r="1132" spans="1:2" x14ac:dyDescent="0.25">
      <c r="A1132" t="s">
        <v>11066</v>
      </c>
      <c r="B1132" t="s">
        <v>11067</v>
      </c>
    </row>
    <row r="1133" spans="1:2" x14ac:dyDescent="0.25">
      <c r="A1133" t="s">
        <v>11068</v>
      </c>
      <c r="B1133" t="s">
        <v>11069</v>
      </c>
    </row>
    <row r="1134" spans="1:2" x14ac:dyDescent="0.25">
      <c r="A1134" t="s">
        <v>11070</v>
      </c>
      <c r="B1134" t="s">
        <v>11071</v>
      </c>
    </row>
    <row r="1135" spans="1:2" x14ac:dyDescent="0.25">
      <c r="A1135" t="s">
        <v>11072</v>
      </c>
      <c r="B1135" t="s">
        <v>11073</v>
      </c>
    </row>
    <row r="1136" spans="1:2" x14ac:dyDescent="0.25">
      <c r="A1136" t="s">
        <v>11074</v>
      </c>
      <c r="B1136" t="s">
        <v>11075</v>
      </c>
    </row>
    <row r="1137" spans="1:2" x14ac:dyDescent="0.25">
      <c r="A1137" t="s">
        <v>11076</v>
      </c>
      <c r="B1137" t="s">
        <v>11077</v>
      </c>
    </row>
    <row r="1138" spans="1:2" x14ac:dyDescent="0.25">
      <c r="A1138" t="s">
        <v>11078</v>
      </c>
      <c r="B1138" t="s">
        <v>11079</v>
      </c>
    </row>
    <row r="1139" spans="1:2" x14ac:dyDescent="0.25">
      <c r="A1139" t="s">
        <v>6209</v>
      </c>
      <c r="B1139" t="s">
        <v>11080</v>
      </c>
    </row>
    <row r="1140" spans="1:2" x14ac:dyDescent="0.25">
      <c r="A1140" t="s">
        <v>11081</v>
      </c>
      <c r="B1140" t="s">
        <v>11082</v>
      </c>
    </row>
    <row r="1141" spans="1:2" x14ac:dyDescent="0.25">
      <c r="A1141" t="s">
        <v>11083</v>
      </c>
      <c r="B1141" t="s">
        <v>11084</v>
      </c>
    </row>
    <row r="1142" spans="1:2" x14ac:dyDescent="0.25">
      <c r="A1142" t="s">
        <v>11085</v>
      </c>
      <c r="B1142" t="s">
        <v>11086</v>
      </c>
    </row>
    <row r="1143" spans="1:2" x14ac:dyDescent="0.25">
      <c r="A1143" t="s">
        <v>11087</v>
      </c>
      <c r="B1143" t="s">
        <v>11088</v>
      </c>
    </row>
    <row r="1144" spans="1:2" x14ac:dyDescent="0.25">
      <c r="A1144" t="s">
        <v>11089</v>
      </c>
      <c r="B1144" t="s">
        <v>11090</v>
      </c>
    </row>
    <row r="1145" spans="1:2" x14ac:dyDescent="0.25">
      <c r="A1145" t="s">
        <v>11091</v>
      </c>
      <c r="B1145" t="s">
        <v>11092</v>
      </c>
    </row>
    <row r="1146" spans="1:2" x14ac:dyDescent="0.25">
      <c r="A1146" t="s">
        <v>11093</v>
      </c>
      <c r="B1146" t="s">
        <v>11094</v>
      </c>
    </row>
    <row r="1147" spans="1:2" x14ac:dyDescent="0.25">
      <c r="A1147" t="s">
        <v>11095</v>
      </c>
      <c r="B1147" t="s">
        <v>11096</v>
      </c>
    </row>
    <row r="1148" spans="1:2" x14ac:dyDescent="0.25">
      <c r="A1148" t="s">
        <v>11097</v>
      </c>
      <c r="B1148" t="s">
        <v>11098</v>
      </c>
    </row>
    <row r="1149" spans="1:2" x14ac:dyDescent="0.25">
      <c r="A1149" t="s">
        <v>11099</v>
      </c>
      <c r="B1149" t="s">
        <v>11100</v>
      </c>
    </row>
    <row r="1150" spans="1:2" x14ac:dyDescent="0.25">
      <c r="A1150" t="s">
        <v>11101</v>
      </c>
      <c r="B1150" t="s">
        <v>11102</v>
      </c>
    </row>
    <row r="1151" spans="1:2" x14ac:dyDescent="0.25">
      <c r="A1151" t="s">
        <v>11103</v>
      </c>
      <c r="B1151" t="s">
        <v>11104</v>
      </c>
    </row>
    <row r="1152" spans="1:2" x14ac:dyDescent="0.25">
      <c r="A1152" t="s">
        <v>11105</v>
      </c>
      <c r="B1152" t="s">
        <v>11106</v>
      </c>
    </row>
    <row r="1153" spans="1:2" x14ac:dyDescent="0.25">
      <c r="A1153" t="s">
        <v>11107</v>
      </c>
      <c r="B1153" t="s">
        <v>11108</v>
      </c>
    </row>
    <row r="1154" spans="1:2" x14ac:dyDescent="0.25">
      <c r="A1154" t="s">
        <v>11109</v>
      </c>
      <c r="B1154" t="s">
        <v>11110</v>
      </c>
    </row>
    <row r="1155" spans="1:2" x14ac:dyDescent="0.25">
      <c r="A1155" t="s">
        <v>11111</v>
      </c>
      <c r="B1155" t="s">
        <v>11112</v>
      </c>
    </row>
    <row r="1156" spans="1:2" x14ac:dyDescent="0.25">
      <c r="A1156" t="s">
        <v>11113</v>
      </c>
      <c r="B1156" t="s">
        <v>11114</v>
      </c>
    </row>
    <row r="1157" spans="1:2" x14ac:dyDescent="0.25">
      <c r="A1157" t="s">
        <v>11115</v>
      </c>
      <c r="B1157" t="s">
        <v>11116</v>
      </c>
    </row>
    <row r="1158" spans="1:2" x14ac:dyDescent="0.25">
      <c r="A1158" t="s">
        <v>11117</v>
      </c>
      <c r="B1158" t="s">
        <v>11118</v>
      </c>
    </row>
    <row r="1159" spans="1:2" x14ac:dyDescent="0.25">
      <c r="A1159" t="s">
        <v>11119</v>
      </c>
      <c r="B1159" t="s">
        <v>11120</v>
      </c>
    </row>
    <row r="1160" spans="1:2" x14ac:dyDescent="0.25">
      <c r="A1160" t="s">
        <v>11121</v>
      </c>
      <c r="B1160" t="s">
        <v>11122</v>
      </c>
    </row>
    <row r="1161" spans="1:2" x14ac:dyDescent="0.25">
      <c r="A1161" t="s">
        <v>11123</v>
      </c>
      <c r="B1161" t="s">
        <v>11124</v>
      </c>
    </row>
    <row r="1162" spans="1:2" x14ac:dyDescent="0.25">
      <c r="A1162" t="s">
        <v>11125</v>
      </c>
      <c r="B1162" t="s">
        <v>11126</v>
      </c>
    </row>
    <row r="1163" spans="1:2" x14ac:dyDescent="0.25">
      <c r="A1163" t="s">
        <v>11127</v>
      </c>
      <c r="B1163" t="s">
        <v>11128</v>
      </c>
    </row>
    <row r="1164" spans="1:2" x14ac:dyDescent="0.25">
      <c r="A1164" t="s">
        <v>6211</v>
      </c>
      <c r="B1164" t="s">
        <v>11129</v>
      </c>
    </row>
    <row r="1165" spans="1:2" x14ac:dyDescent="0.25">
      <c r="A1165" t="s">
        <v>11130</v>
      </c>
      <c r="B1165" t="s">
        <v>11131</v>
      </c>
    </row>
    <row r="1166" spans="1:2" x14ac:dyDescent="0.25">
      <c r="A1166" t="s">
        <v>11132</v>
      </c>
      <c r="B1166" t="s">
        <v>11133</v>
      </c>
    </row>
    <row r="1167" spans="1:2" x14ac:dyDescent="0.25">
      <c r="A1167" t="s">
        <v>11134</v>
      </c>
      <c r="B1167" t="s">
        <v>11135</v>
      </c>
    </row>
    <row r="1168" spans="1:2" x14ac:dyDescent="0.25">
      <c r="A1168" t="s">
        <v>11136</v>
      </c>
      <c r="B1168" t="s">
        <v>11137</v>
      </c>
    </row>
    <row r="1169" spans="1:2" x14ac:dyDescent="0.25">
      <c r="A1169" t="s">
        <v>11138</v>
      </c>
      <c r="B1169" t="s">
        <v>11139</v>
      </c>
    </row>
    <row r="1170" spans="1:2" x14ac:dyDescent="0.25">
      <c r="A1170" t="s">
        <v>11140</v>
      </c>
      <c r="B1170" t="s">
        <v>11141</v>
      </c>
    </row>
    <row r="1171" spans="1:2" x14ac:dyDescent="0.25">
      <c r="A1171" t="s">
        <v>11142</v>
      </c>
      <c r="B1171" t="s">
        <v>11143</v>
      </c>
    </row>
    <row r="1172" spans="1:2" x14ac:dyDescent="0.25">
      <c r="A1172" t="s">
        <v>11144</v>
      </c>
      <c r="B1172" t="s">
        <v>11145</v>
      </c>
    </row>
    <row r="1173" spans="1:2" x14ac:dyDescent="0.25">
      <c r="A1173" t="s">
        <v>11146</v>
      </c>
      <c r="B1173" t="s">
        <v>11147</v>
      </c>
    </row>
    <row r="1174" spans="1:2" x14ac:dyDescent="0.25">
      <c r="A1174" t="s">
        <v>11148</v>
      </c>
      <c r="B1174" t="s">
        <v>11149</v>
      </c>
    </row>
    <row r="1175" spans="1:2" x14ac:dyDescent="0.25">
      <c r="A1175" t="s">
        <v>11150</v>
      </c>
      <c r="B1175" t="s">
        <v>11151</v>
      </c>
    </row>
    <row r="1176" spans="1:2" x14ac:dyDescent="0.25">
      <c r="A1176" t="s">
        <v>11152</v>
      </c>
      <c r="B1176" t="s">
        <v>11153</v>
      </c>
    </row>
    <row r="1177" spans="1:2" x14ac:dyDescent="0.25">
      <c r="A1177" t="s">
        <v>11154</v>
      </c>
      <c r="B1177" t="s">
        <v>11155</v>
      </c>
    </row>
    <row r="1178" spans="1:2" x14ac:dyDescent="0.25">
      <c r="A1178" t="s">
        <v>11156</v>
      </c>
      <c r="B1178" t="s">
        <v>11157</v>
      </c>
    </row>
    <row r="1179" spans="1:2" x14ac:dyDescent="0.25">
      <c r="A1179" t="s">
        <v>11158</v>
      </c>
      <c r="B1179" t="s">
        <v>11159</v>
      </c>
    </row>
    <row r="1180" spans="1:2" x14ac:dyDescent="0.25">
      <c r="A1180" t="s">
        <v>11160</v>
      </c>
      <c r="B1180" t="s">
        <v>11161</v>
      </c>
    </row>
    <row r="1181" spans="1:2" x14ac:dyDescent="0.25">
      <c r="A1181" t="s">
        <v>11162</v>
      </c>
      <c r="B1181" t="s">
        <v>11163</v>
      </c>
    </row>
    <row r="1182" spans="1:2" x14ac:dyDescent="0.25">
      <c r="A1182" t="s">
        <v>11164</v>
      </c>
      <c r="B1182" t="s">
        <v>11165</v>
      </c>
    </row>
    <row r="1183" spans="1:2" x14ac:dyDescent="0.25">
      <c r="A1183" t="s">
        <v>11166</v>
      </c>
      <c r="B1183" t="s">
        <v>11167</v>
      </c>
    </row>
    <row r="1184" spans="1:2" x14ac:dyDescent="0.25">
      <c r="A1184" t="s">
        <v>11168</v>
      </c>
      <c r="B1184" t="s">
        <v>11169</v>
      </c>
    </row>
    <row r="1185" spans="1:2" x14ac:dyDescent="0.25">
      <c r="A1185" t="s">
        <v>11170</v>
      </c>
      <c r="B1185" t="s">
        <v>11171</v>
      </c>
    </row>
    <row r="1186" spans="1:2" x14ac:dyDescent="0.25">
      <c r="A1186" t="s">
        <v>11172</v>
      </c>
      <c r="B1186" t="s">
        <v>11173</v>
      </c>
    </row>
    <row r="1187" spans="1:2" x14ac:dyDescent="0.25">
      <c r="A1187" t="s">
        <v>11174</v>
      </c>
      <c r="B1187" t="s">
        <v>11175</v>
      </c>
    </row>
    <row r="1188" spans="1:2" x14ac:dyDescent="0.25">
      <c r="A1188" t="s">
        <v>11176</v>
      </c>
      <c r="B1188" t="s">
        <v>11177</v>
      </c>
    </row>
    <row r="1189" spans="1:2" x14ac:dyDescent="0.25">
      <c r="A1189" t="s">
        <v>6213</v>
      </c>
      <c r="B1189" t="s">
        <v>11178</v>
      </c>
    </row>
    <row r="1190" spans="1:2" x14ac:dyDescent="0.25">
      <c r="A1190" t="s">
        <v>11179</v>
      </c>
      <c r="B1190" t="s">
        <v>11180</v>
      </c>
    </row>
    <row r="1191" spans="1:2" x14ac:dyDescent="0.25">
      <c r="A1191" t="s">
        <v>3336</v>
      </c>
      <c r="B1191" t="s">
        <v>11181</v>
      </c>
    </row>
    <row r="1192" spans="1:2" x14ac:dyDescent="0.25">
      <c r="A1192" t="s">
        <v>11182</v>
      </c>
      <c r="B1192" t="s">
        <v>11183</v>
      </c>
    </row>
    <row r="1193" spans="1:2" x14ac:dyDescent="0.25">
      <c r="A1193" t="s">
        <v>11184</v>
      </c>
      <c r="B1193" t="s">
        <v>11185</v>
      </c>
    </row>
    <row r="1194" spans="1:2" x14ac:dyDescent="0.25">
      <c r="A1194" t="s">
        <v>11186</v>
      </c>
      <c r="B1194" t="s">
        <v>11187</v>
      </c>
    </row>
    <row r="1195" spans="1:2" x14ac:dyDescent="0.25">
      <c r="A1195" t="s">
        <v>3391</v>
      </c>
      <c r="B1195" t="s">
        <v>11188</v>
      </c>
    </row>
    <row r="1196" spans="1:2" x14ac:dyDescent="0.25">
      <c r="A1196" t="s">
        <v>11189</v>
      </c>
      <c r="B1196" t="s">
        <v>11190</v>
      </c>
    </row>
    <row r="1197" spans="1:2" x14ac:dyDescent="0.25">
      <c r="A1197" t="s">
        <v>11191</v>
      </c>
      <c r="B1197" t="s">
        <v>11192</v>
      </c>
    </row>
    <row r="1198" spans="1:2" x14ac:dyDescent="0.25">
      <c r="A1198" t="s">
        <v>11193</v>
      </c>
      <c r="B1198" t="s">
        <v>11194</v>
      </c>
    </row>
    <row r="1199" spans="1:2" x14ac:dyDescent="0.25">
      <c r="A1199" t="s">
        <v>3446</v>
      </c>
      <c r="B1199" t="s">
        <v>11195</v>
      </c>
    </row>
    <row r="1200" spans="1:2" x14ac:dyDescent="0.25">
      <c r="A1200" t="s">
        <v>11196</v>
      </c>
      <c r="B1200" t="s">
        <v>11197</v>
      </c>
    </row>
    <row r="1201" spans="1:2" x14ac:dyDescent="0.25">
      <c r="A1201" t="s">
        <v>11198</v>
      </c>
      <c r="B1201" t="s">
        <v>11199</v>
      </c>
    </row>
    <row r="1202" spans="1:2" x14ac:dyDescent="0.25">
      <c r="A1202" t="s">
        <v>11200</v>
      </c>
      <c r="B1202" t="s">
        <v>11201</v>
      </c>
    </row>
    <row r="1203" spans="1:2" x14ac:dyDescent="0.25">
      <c r="A1203" t="s">
        <v>3501</v>
      </c>
      <c r="B1203" t="s">
        <v>11202</v>
      </c>
    </row>
    <row r="1204" spans="1:2" x14ac:dyDescent="0.25">
      <c r="A1204" t="s">
        <v>11203</v>
      </c>
      <c r="B1204" t="s">
        <v>11204</v>
      </c>
    </row>
    <row r="1205" spans="1:2" x14ac:dyDescent="0.25">
      <c r="A1205" t="s">
        <v>11205</v>
      </c>
      <c r="B1205" t="s">
        <v>11206</v>
      </c>
    </row>
    <row r="1206" spans="1:2" x14ac:dyDescent="0.25">
      <c r="A1206" t="s">
        <v>11207</v>
      </c>
      <c r="B1206" t="s">
        <v>11208</v>
      </c>
    </row>
    <row r="1207" spans="1:2" x14ac:dyDescent="0.25">
      <c r="A1207" t="s">
        <v>3556</v>
      </c>
      <c r="B1207" t="s">
        <v>11209</v>
      </c>
    </row>
    <row r="1208" spans="1:2" x14ac:dyDescent="0.25">
      <c r="A1208" t="s">
        <v>11210</v>
      </c>
      <c r="B1208" t="s">
        <v>11211</v>
      </c>
    </row>
    <row r="1209" spans="1:2" x14ac:dyDescent="0.25">
      <c r="A1209" t="s">
        <v>11212</v>
      </c>
      <c r="B1209" t="s">
        <v>11213</v>
      </c>
    </row>
    <row r="1210" spans="1:2" x14ac:dyDescent="0.25">
      <c r="A1210" t="s">
        <v>11214</v>
      </c>
      <c r="B1210" t="s">
        <v>11215</v>
      </c>
    </row>
    <row r="1211" spans="1:2" x14ac:dyDescent="0.25">
      <c r="A1211" t="s">
        <v>3610</v>
      </c>
      <c r="B1211" t="s">
        <v>11216</v>
      </c>
    </row>
    <row r="1212" spans="1:2" x14ac:dyDescent="0.25">
      <c r="A1212" t="s">
        <v>11217</v>
      </c>
      <c r="B1212" t="s">
        <v>11218</v>
      </c>
    </row>
    <row r="1213" spans="1:2" x14ac:dyDescent="0.25">
      <c r="A1213" t="s">
        <v>11219</v>
      </c>
      <c r="B1213" t="s">
        <v>11220</v>
      </c>
    </row>
    <row r="1214" spans="1:2" x14ac:dyDescent="0.25">
      <c r="A1214" t="s">
        <v>6215</v>
      </c>
      <c r="B1214" t="s">
        <v>11221</v>
      </c>
    </row>
    <row r="1215" spans="1:2" x14ac:dyDescent="0.25">
      <c r="A1215" t="s">
        <v>11222</v>
      </c>
      <c r="B1215" t="s">
        <v>11223</v>
      </c>
    </row>
    <row r="1216" spans="1:2" x14ac:dyDescent="0.25">
      <c r="A1216" t="s">
        <v>11224</v>
      </c>
      <c r="B1216" t="s">
        <v>11225</v>
      </c>
    </row>
    <row r="1217" spans="1:2" x14ac:dyDescent="0.25">
      <c r="A1217" t="s">
        <v>11226</v>
      </c>
      <c r="B1217" t="s">
        <v>11227</v>
      </c>
    </row>
    <row r="1218" spans="1:2" x14ac:dyDescent="0.25">
      <c r="A1218" t="s">
        <v>11228</v>
      </c>
      <c r="B1218" t="s">
        <v>11229</v>
      </c>
    </row>
    <row r="1219" spans="1:2" x14ac:dyDescent="0.25">
      <c r="A1219" t="s">
        <v>11230</v>
      </c>
      <c r="B1219" t="s">
        <v>11231</v>
      </c>
    </row>
    <row r="1220" spans="1:2" x14ac:dyDescent="0.25">
      <c r="A1220" t="s">
        <v>11232</v>
      </c>
      <c r="B1220" t="s">
        <v>11233</v>
      </c>
    </row>
    <row r="1221" spans="1:2" x14ac:dyDescent="0.25">
      <c r="A1221" t="s">
        <v>11234</v>
      </c>
      <c r="B1221" t="s">
        <v>11235</v>
      </c>
    </row>
    <row r="1222" spans="1:2" x14ac:dyDescent="0.25">
      <c r="A1222" t="s">
        <v>11236</v>
      </c>
      <c r="B1222" t="s">
        <v>11237</v>
      </c>
    </row>
    <row r="1223" spans="1:2" x14ac:dyDescent="0.25">
      <c r="A1223" t="s">
        <v>11238</v>
      </c>
      <c r="B1223" t="s">
        <v>11239</v>
      </c>
    </row>
    <row r="1224" spans="1:2" x14ac:dyDescent="0.25">
      <c r="A1224" t="s">
        <v>11240</v>
      </c>
      <c r="B1224" t="s">
        <v>11241</v>
      </c>
    </row>
    <row r="1225" spans="1:2" x14ac:dyDescent="0.25">
      <c r="A1225" t="s">
        <v>11242</v>
      </c>
      <c r="B1225" t="s">
        <v>11243</v>
      </c>
    </row>
    <row r="1226" spans="1:2" x14ac:dyDescent="0.25">
      <c r="A1226" t="s">
        <v>11244</v>
      </c>
      <c r="B1226" t="s">
        <v>11245</v>
      </c>
    </row>
    <row r="1227" spans="1:2" x14ac:dyDescent="0.25">
      <c r="A1227" t="s">
        <v>11246</v>
      </c>
      <c r="B1227" t="s">
        <v>11247</v>
      </c>
    </row>
    <row r="1228" spans="1:2" x14ac:dyDescent="0.25">
      <c r="A1228" t="s">
        <v>11248</v>
      </c>
      <c r="B1228" t="s">
        <v>11249</v>
      </c>
    </row>
    <row r="1229" spans="1:2" x14ac:dyDescent="0.25">
      <c r="A1229" t="s">
        <v>11250</v>
      </c>
      <c r="B1229" t="s">
        <v>11251</v>
      </c>
    </row>
    <row r="1230" spans="1:2" x14ac:dyDescent="0.25">
      <c r="A1230" t="s">
        <v>11252</v>
      </c>
      <c r="B1230" t="s">
        <v>11253</v>
      </c>
    </row>
    <row r="1231" spans="1:2" x14ac:dyDescent="0.25">
      <c r="A1231" t="s">
        <v>11254</v>
      </c>
      <c r="B1231" t="s">
        <v>11255</v>
      </c>
    </row>
    <row r="1232" spans="1:2" x14ac:dyDescent="0.25">
      <c r="A1232" t="s">
        <v>11256</v>
      </c>
      <c r="B1232" t="s">
        <v>11257</v>
      </c>
    </row>
    <row r="1233" spans="1:2" x14ac:dyDescent="0.25">
      <c r="A1233" t="s">
        <v>11258</v>
      </c>
      <c r="B1233" t="s">
        <v>11259</v>
      </c>
    </row>
    <row r="1234" spans="1:2" x14ac:dyDescent="0.25">
      <c r="A1234" t="s">
        <v>11260</v>
      </c>
      <c r="B1234" t="s">
        <v>11261</v>
      </c>
    </row>
    <row r="1235" spans="1:2" x14ac:dyDescent="0.25">
      <c r="A1235" t="s">
        <v>11262</v>
      </c>
      <c r="B1235" t="s">
        <v>11263</v>
      </c>
    </row>
    <row r="1236" spans="1:2" x14ac:dyDescent="0.25">
      <c r="A1236" t="s">
        <v>11264</v>
      </c>
      <c r="B1236" t="s">
        <v>11265</v>
      </c>
    </row>
    <row r="1237" spans="1:2" x14ac:dyDescent="0.25">
      <c r="A1237" t="s">
        <v>11266</v>
      </c>
      <c r="B1237" t="s">
        <v>11267</v>
      </c>
    </row>
    <row r="1238" spans="1:2" x14ac:dyDescent="0.25">
      <c r="A1238" t="s">
        <v>11268</v>
      </c>
      <c r="B1238" t="s">
        <v>11269</v>
      </c>
    </row>
    <row r="1239" spans="1:2" x14ac:dyDescent="0.25">
      <c r="A1239" t="s">
        <v>2233</v>
      </c>
      <c r="B1239" t="s">
        <v>3143</v>
      </c>
    </row>
    <row r="1240" spans="1:2" x14ac:dyDescent="0.25">
      <c r="A1240" t="s">
        <v>2298</v>
      </c>
      <c r="B1240" t="s">
        <v>3144</v>
      </c>
    </row>
    <row r="1241" spans="1:2" x14ac:dyDescent="0.25">
      <c r="A1241" t="s">
        <v>483</v>
      </c>
      <c r="B1241" t="s">
        <v>3147</v>
      </c>
    </row>
    <row r="1242" spans="1:2" x14ac:dyDescent="0.25">
      <c r="A1242" t="s">
        <v>487</v>
      </c>
      <c r="B1242" t="s">
        <v>3148</v>
      </c>
    </row>
    <row r="1243" spans="1:2" x14ac:dyDescent="0.25">
      <c r="A1243" t="s">
        <v>491</v>
      </c>
      <c r="B1243" t="s">
        <v>3150</v>
      </c>
    </row>
    <row r="1244" spans="1:2" x14ac:dyDescent="0.25">
      <c r="A1244" t="s">
        <v>496</v>
      </c>
      <c r="B1244" t="s">
        <v>3151</v>
      </c>
    </row>
    <row r="1245" spans="1:2" x14ac:dyDescent="0.25">
      <c r="A1245" t="s">
        <v>1297</v>
      </c>
      <c r="B1245" t="s">
        <v>3153</v>
      </c>
    </row>
    <row r="1246" spans="1:2" x14ac:dyDescent="0.25">
      <c r="A1246" t="s">
        <v>502</v>
      </c>
      <c r="B1246" t="s">
        <v>3154</v>
      </c>
    </row>
    <row r="1247" spans="1:2" x14ac:dyDescent="0.25">
      <c r="A1247" t="s">
        <v>506</v>
      </c>
      <c r="B1247" t="s">
        <v>3156</v>
      </c>
    </row>
    <row r="1248" spans="1:2" x14ac:dyDescent="0.25">
      <c r="A1248" t="s">
        <v>510</v>
      </c>
      <c r="B1248" t="s">
        <v>3158</v>
      </c>
    </row>
    <row r="1249" spans="1:2" x14ac:dyDescent="0.25">
      <c r="A1249" t="s">
        <v>514</v>
      </c>
      <c r="B1249" t="s">
        <v>3159</v>
      </c>
    </row>
    <row r="1250" spans="1:2" x14ac:dyDescent="0.25">
      <c r="A1250" t="s">
        <v>518</v>
      </c>
      <c r="B1250" t="s">
        <v>3160</v>
      </c>
    </row>
    <row r="1251" spans="1:2" x14ac:dyDescent="0.25">
      <c r="A1251" t="s">
        <v>521</v>
      </c>
      <c r="B1251" t="s">
        <v>3161</v>
      </c>
    </row>
    <row r="1252" spans="1:2" x14ac:dyDescent="0.25">
      <c r="A1252" t="s">
        <v>527</v>
      </c>
      <c r="B1252" t="s">
        <v>3162</v>
      </c>
    </row>
    <row r="1253" spans="1:2" x14ac:dyDescent="0.25">
      <c r="A1253" t="s">
        <v>529</v>
      </c>
      <c r="B1253" t="s">
        <v>3163</v>
      </c>
    </row>
    <row r="1254" spans="1:2" x14ac:dyDescent="0.25">
      <c r="A1254" t="s">
        <v>531</v>
      </c>
      <c r="B1254" t="s">
        <v>3166</v>
      </c>
    </row>
    <row r="1255" spans="1:2" x14ac:dyDescent="0.25">
      <c r="A1255" t="s">
        <v>533</v>
      </c>
      <c r="B1255" t="s">
        <v>3168</v>
      </c>
    </row>
    <row r="1256" spans="1:2" x14ac:dyDescent="0.25">
      <c r="A1256" t="s">
        <v>535</v>
      </c>
      <c r="B1256" t="s">
        <v>3170</v>
      </c>
    </row>
    <row r="1257" spans="1:2" x14ac:dyDescent="0.25">
      <c r="A1257" t="s">
        <v>537</v>
      </c>
      <c r="B1257" t="s">
        <v>3171</v>
      </c>
    </row>
    <row r="1258" spans="1:2" x14ac:dyDescent="0.25">
      <c r="A1258" t="s">
        <v>540</v>
      </c>
      <c r="B1258" t="s">
        <v>3172</v>
      </c>
    </row>
    <row r="1259" spans="1:2" x14ac:dyDescent="0.25">
      <c r="A1259" t="s">
        <v>542</v>
      </c>
      <c r="B1259" t="s">
        <v>3173</v>
      </c>
    </row>
    <row r="1260" spans="1:2" x14ac:dyDescent="0.25">
      <c r="A1260" t="s">
        <v>544</v>
      </c>
      <c r="B1260" t="s">
        <v>3174</v>
      </c>
    </row>
    <row r="1261" spans="1:2" x14ac:dyDescent="0.25">
      <c r="A1261" t="s">
        <v>1337</v>
      </c>
      <c r="B1261" t="s">
        <v>3175</v>
      </c>
    </row>
    <row r="1262" spans="1:2" x14ac:dyDescent="0.25">
      <c r="A1262" t="s">
        <v>548</v>
      </c>
      <c r="B1262" t="s">
        <v>3176</v>
      </c>
    </row>
    <row r="1263" spans="1:2" x14ac:dyDescent="0.25">
      <c r="A1263" t="s">
        <v>3177</v>
      </c>
      <c r="B1263" t="s">
        <v>3178</v>
      </c>
    </row>
    <row r="1264" spans="1:2" x14ac:dyDescent="0.25">
      <c r="A1264" t="s">
        <v>550</v>
      </c>
      <c r="B1264" t="s">
        <v>3179</v>
      </c>
    </row>
    <row r="1265" spans="1:2" x14ac:dyDescent="0.25">
      <c r="A1265" t="s">
        <v>553</v>
      </c>
      <c r="B1265" t="s">
        <v>3182</v>
      </c>
    </row>
    <row r="1266" spans="1:2" x14ac:dyDescent="0.25">
      <c r="A1266" t="s">
        <v>555</v>
      </c>
      <c r="B1266" t="s">
        <v>3183</v>
      </c>
    </row>
    <row r="1267" spans="1:2" x14ac:dyDescent="0.25">
      <c r="A1267" t="s">
        <v>558</v>
      </c>
      <c r="B1267" t="s">
        <v>3184</v>
      </c>
    </row>
    <row r="1268" spans="1:2" x14ac:dyDescent="0.25">
      <c r="A1268" t="s">
        <v>1345</v>
      </c>
      <c r="B1268" t="s">
        <v>3185</v>
      </c>
    </row>
    <row r="1269" spans="1:2" x14ac:dyDescent="0.25">
      <c r="A1269" t="s">
        <v>1347</v>
      </c>
      <c r="B1269" t="s">
        <v>3186</v>
      </c>
    </row>
    <row r="1270" spans="1:2" x14ac:dyDescent="0.25">
      <c r="A1270" t="s">
        <v>577</v>
      </c>
      <c r="B1270" t="s">
        <v>3187</v>
      </c>
    </row>
    <row r="1271" spans="1:2" x14ac:dyDescent="0.25">
      <c r="A1271" t="s">
        <v>580</v>
      </c>
      <c r="B1271" t="s">
        <v>3190</v>
      </c>
    </row>
    <row r="1272" spans="1:2" x14ac:dyDescent="0.25">
      <c r="A1272" t="s">
        <v>582</v>
      </c>
      <c r="B1272" t="s">
        <v>3192</v>
      </c>
    </row>
    <row r="1273" spans="1:2" x14ac:dyDescent="0.25">
      <c r="A1273" t="s">
        <v>586</v>
      </c>
      <c r="B1273" t="s">
        <v>3194</v>
      </c>
    </row>
    <row r="1274" spans="1:2" x14ac:dyDescent="0.25">
      <c r="A1274" t="s">
        <v>588</v>
      </c>
      <c r="B1274" t="s">
        <v>3196</v>
      </c>
    </row>
    <row r="1275" spans="1:2" x14ac:dyDescent="0.25">
      <c r="A1275" t="s">
        <v>593</v>
      </c>
      <c r="B1275" t="s">
        <v>3198</v>
      </c>
    </row>
    <row r="1276" spans="1:2" x14ac:dyDescent="0.25">
      <c r="A1276" t="s">
        <v>595</v>
      </c>
      <c r="B1276" t="s">
        <v>3200</v>
      </c>
    </row>
    <row r="1277" spans="1:2" x14ac:dyDescent="0.25">
      <c r="A1277" t="s">
        <v>598</v>
      </c>
      <c r="B1277" t="s">
        <v>3201</v>
      </c>
    </row>
    <row r="1278" spans="1:2" x14ac:dyDescent="0.25">
      <c r="A1278" t="s">
        <v>601</v>
      </c>
      <c r="B1278" t="s">
        <v>3202</v>
      </c>
    </row>
    <row r="1279" spans="1:2" x14ac:dyDescent="0.25">
      <c r="A1279" t="s">
        <v>603</v>
      </c>
      <c r="B1279" t="s">
        <v>3203</v>
      </c>
    </row>
    <row r="1280" spans="1:2" x14ac:dyDescent="0.25">
      <c r="A1280" t="s">
        <v>2268</v>
      </c>
      <c r="B1280" t="s">
        <v>3204</v>
      </c>
    </row>
    <row r="1281" spans="1:2" x14ac:dyDescent="0.25">
      <c r="A1281" t="s">
        <v>2270</v>
      </c>
      <c r="B1281" t="s">
        <v>3205</v>
      </c>
    </row>
    <row r="1282" spans="1:2" x14ac:dyDescent="0.25">
      <c r="A1282" t="s">
        <v>2434</v>
      </c>
      <c r="B1282" t="s">
        <v>3206</v>
      </c>
    </row>
    <row r="1283" spans="1:2" x14ac:dyDescent="0.25">
      <c r="A1283" t="s">
        <v>2436</v>
      </c>
      <c r="B1283" t="s">
        <v>3209</v>
      </c>
    </row>
    <row r="1284" spans="1:2" x14ac:dyDescent="0.25">
      <c r="A1284" t="s">
        <v>632</v>
      </c>
      <c r="B1284" t="s">
        <v>3212</v>
      </c>
    </row>
    <row r="1285" spans="1:2" x14ac:dyDescent="0.25">
      <c r="A1285" t="s">
        <v>634</v>
      </c>
      <c r="B1285" t="s">
        <v>3213</v>
      </c>
    </row>
    <row r="1286" spans="1:2" x14ac:dyDescent="0.25">
      <c r="A1286" t="s">
        <v>636</v>
      </c>
      <c r="B1286" t="s">
        <v>3214</v>
      </c>
    </row>
    <row r="1287" spans="1:2" x14ac:dyDescent="0.25">
      <c r="A1287" t="s">
        <v>638</v>
      </c>
      <c r="B1287" t="s">
        <v>3215</v>
      </c>
    </row>
    <row r="1288" spans="1:2" x14ac:dyDescent="0.25">
      <c r="A1288" t="s">
        <v>676</v>
      </c>
      <c r="B1288" t="s">
        <v>3216</v>
      </c>
    </row>
    <row r="1289" spans="1:2" x14ac:dyDescent="0.25">
      <c r="A1289" t="s">
        <v>2538</v>
      </c>
      <c r="B1289" t="s">
        <v>3217</v>
      </c>
    </row>
    <row r="1290" spans="1:2" x14ac:dyDescent="0.25">
      <c r="A1290" t="s">
        <v>2540</v>
      </c>
      <c r="B1290" t="s">
        <v>3218</v>
      </c>
    </row>
    <row r="1291" spans="1:2" x14ac:dyDescent="0.25">
      <c r="A1291" t="s">
        <v>2543</v>
      </c>
      <c r="B1291" t="s">
        <v>3219</v>
      </c>
    </row>
    <row r="1292" spans="1:2" x14ac:dyDescent="0.25">
      <c r="A1292" t="s">
        <v>2470</v>
      </c>
      <c r="B1292" t="s">
        <v>3220</v>
      </c>
    </row>
    <row r="1293" spans="1:2" x14ac:dyDescent="0.25">
      <c r="A1293" t="s">
        <v>2475</v>
      </c>
      <c r="B1293" t="s">
        <v>3221</v>
      </c>
    </row>
    <row r="1294" spans="1:2" x14ac:dyDescent="0.25">
      <c r="A1294" t="s">
        <v>686</v>
      </c>
      <c r="B1294" t="s">
        <v>3222</v>
      </c>
    </row>
    <row r="1295" spans="1:2" x14ac:dyDescent="0.25">
      <c r="A1295" t="s">
        <v>689</v>
      </c>
      <c r="B1295" t="s">
        <v>3223</v>
      </c>
    </row>
    <row r="1296" spans="1:2" x14ac:dyDescent="0.25">
      <c r="A1296" t="s">
        <v>697</v>
      </c>
      <c r="B1296" t="s">
        <v>3224</v>
      </c>
    </row>
    <row r="1297" spans="1:2" x14ac:dyDescent="0.25">
      <c r="A1297" t="s">
        <v>2483</v>
      </c>
      <c r="B1297" t="s">
        <v>3225</v>
      </c>
    </row>
    <row r="1298" spans="1:2" x14ac:dyDescent="0.25">
      <c r="A1298" t="s">
        <v>2485</v>
      </c>
      <c r="B1298" t="s">
        <v>3226</v>
      </c>
    </row>
    <row r="1299" spans="1:2" x14ac:dyDescent="0.25">
      <c r="A1299" t="s">
        <v>2487</v>
      </c>
      <c r="B1299" t="s">
        <v>3227</v>
      </c>
    </row>
    <row r="1300" spans="1:2" x14ac:dyDescent="0.25">
      <c r="A1300" t="s">
        <v>715</v>
      </c>
      <c r="B1300" t="s">
        <v>3228</v>
      </c>
    </row>
    <row r="1301" spans="1:2" x14ac:dyDescent="0.25">
      <c r="A1301" t="s">
        <v>2794</v>
      </c>
      <c r="B1301" t="s">
        <v>3229</v>
      </c>
    </row>
    <row r="1302" spans="1:2" x14ac:dyDescent="0.25">
      <c r="A1302" t="s">
        <v>3230</v>
      </c>
      <c r="B1302" t="s">
        <v>3231</v>
      </c>
    </row>
    <row r="1303" spans="1:2" x14ac:dyDescent="0.25">
      <c r="A1303" t="s">
        <v>3233</v>
      </c>
      <c r="B1303" t="s">
        <v>3234</v>
      </c>
    </row>
    <row r="1304" spans="1:2" x14ac:dyDescent="0.25">
      <c r="A1304" t="s">
        <v>3235</v>
      </c>
      <c r="B1304" t="s">
        <v>3236</v>
      </c>
    </row>
    <row r="1305" spans="1:2" x14ac:dyDescent="0.25">
      <c r="A1305" t="s">
        <v>3237</v>
      </c>
      <c r="B1305" t="s">
        <v>3238</v>
      </c>
    </row>
    <row r="1306" spans="1:2" x14ac:dyDescent="0.25">
      <c r="A1306" t="s">
        <v>722</v>
      </c>
      <c r="B1306" t="s">
        <v>3239</v>
      </c>
    </row>
    <row r="1307" spans="1:2" x14ac:dyDescent="0.25">
      <c r="A1307" t="s">
        <v>724</v>
      </c>
      <c r="B1307" t="s">
        <v>3240</v>
      </c>
    </row>
    <row r="1308" spans="1:2" x14ac:dyDescent="0.25">
      <c r="A1308" t="s">
        <v>3241</v>
      </c>
      <c r="B1308" t="s">
        <v>3242</v>
      </c>
    </row>
    <row r="1309" spans="1:2" x14ac:dyDescent="0.25">
      <c r="A1309" t="s">
        <v>2298</v>
      </c>
      <c r="B1309" t="s">
        <v>3095</v>
      </c>
    </row>
    <row r="1310" spans="1:2" x14ac:dyDescent="0.25">
      <c r="A1310" t="s">
        <v>491</v>
      </c>
      <c r="B1310" t="s">
        <v>3097</v>
      </c>
    </row>
    <row r="1311" spans="1:2" x14ac:dyDescent="0.25">
      <c r="A1311" t="s">
        <v>1304</v>
      </c>
      <c r="B1311" t="s">
        <v>3098</v>
      </c>
    </row>
    <row r="1312" spans="1:2" x14ac:dyDescent="0.25">
      <c r="A1312" t="s">
        <v>1307</v>
      </c>
      <c r="B1312" t="s">
        <v>3099</v>
      </c>
    </row>
    <row r="1313" spans="1:2" x14ac:dyDescent="0.25">
      <c r="A1313" t="s">
        <v>1309</v>
      </c>
      <c r="B1313" t="s">
        <v>3100</v>
      </c>
    </row>
    <row r="1314" spans="1:2" x14ac:dyDescent="0.25">
      <c r="A1314" t="s">
        <v>498</v>
      </c>
      <c r="B1314" t="s">
        <v>3102</v>
      </c>
    </row>
    <row r="1315" spans="1:2" x14ac:dyDescent="0.25">
      <c r="A1315" t="s">
        <v>500</v>
      </c>
      <c r="B1315" t="s">
        <v>3103</v>
      </c>
    </row>
    <row r="1316" spans="1:2" x14ac:dyDescent="0.25">
      <c r="A1316" t="s">
        <v>2239</v>
      </c>
      <c r="B1316" t="s">
        <v>3104</v>
      </c>
    </row>
    <row r="1317" spans="1:2" x14ac:dyDescent="0.25">
      <c r="A1317" t="s">
        <v>527</v>
      </c>
      <c r="B1317" t="s">
        <v>3105</v>
      </c>
    </row>
    <row r="1318" spans="1:2" x14ac:dyDescent="0.25">
      <c r="A1318" t="s">
        <v>529</v>
      </c>
      <c r="B1318" t="s">
        <v>3106</v>
      </c>
    </row>
    <row r="1319" spans="1:2" x14ac:dyDescent="0.25">
      <c r="A1319" t="s">
        <v>531</v>
      </c>
      <c r="B1319" t="s">
        <v>3107</v>
      </c>
    </row>
    <row r="1320" spans="1:2" x14ac:dyDescent="0.25">
      <c r="A1320" t="s">
        <v>535</v>
      </c>
      <c r="B1320" t="s">
        <v>3108</v>
      </c>
    </row>
    <row r="1321" spans="1:2" x14ac:dyDescent="0.25">
      <c r="A1321" t="s">
        <v>540</v>
      </c>
      <c r="B1321" t="s">
        <v>3109</v>
      </c>
    </row>
    <row r="1322" spans="1:2" x14ac:dyDescent="0.25">
      <c r="A1322" t="s">
        <v>544</v>
      </c>
      <c r="B1322" t="s">
        <v>3110</v>
      </c>
    </row>
    <row r="1323" spans="1:2" x14ac:dyDescent="0.25">
      <c r="A1323" t="s">
        <v>1339</v>
      </c>
      <c r="B1323" t="s">
        <v>3111</v>
      </c>
    </row>
    <row r="1324" spans="1:2" x14ac:dyDescent="0.25">
      <c r="A1324" t="s">
        <v>550</v>
      </c>
      <c r="B1324" t="s">
        <v>3112</v>
      </c>
    </row>
    <row r="1325" spans="1:2" x14ac:dyDescent="0.25">
      <c r="A1325" t="s">
        <v>1345</v>
      </c>
      <c r="B1325" t="s">
        <v>3113</v>
      </c>
    </row>
    <row r="1326" spans="1:2" x14ac:dyDescent="0.25">
      <c r="A1326" t="s">
        <v>1347</v>
      </c>
      <c r="B1326" t="s">
        <v>3114</v>
      </c>
    </row>
    <row r="1327" spans="1:2" x14ac:dyDescent="0.25">
      <c r="A1327" t="s">
        <v>567</v>
      </c>
      <c r="B1327" t="s">
        <v>3115</v>
      </c>
    </row>
    <row r="1328" spans="1:2" x14ac:dyDescent="0.25">
      <c r="A1328" t="s">
        <v>570</v>
      </c>
      <c r="B1328" t="s">
        <v>3116</v>
      </c>
    </row>
    <row r="1329" spans="1:2" x14ac:dyDescent="0.25">
      <c r="A1329" t="s">
        <v>574</v>
      </c>
      <c r="B1329" t="s">
        <v>3117</v>
      </c>
    </row>
    <row r="1330" spans="1:2" x14ac:dyDescent="0.25">
      <c r="A1330" t="s">
        <v>3118</v>
      </c>
      <c r="B1330" t="s">
        <v>3119</v>
      </c>
    </row>
    <row r="1331" spans="1:2" x14ac:dyDescent="0.25">
      <c r="A1331" t="s">
        <v>3120</v>
      </c>
      <c r="B1331" t="s">
        <v>3121</v>
      </c>
    </row>
    <row r="1332" spans="1:2" x14ac:dyDescent="0.25">
      <c r="A1332" t="s">
        <v>577</v>
      </c>
      <c r="B1332" t="s">
        <v>3122</v>
      </c>
    </row>
    <row r="1333" spans="1:2" x14ac:dyDescent="0.25">
      <c r="A1333" t="s">
        <v>588</v>
      </c>
      <c r="B1333" t="s">
        <v>3123</v>
      </c>
    </row>
    <row r="1334" spans="1:2" x14ac:dyDescent="0.25">
      <c r="A1334" t="s">
        <v>1353</v>
      </c>
      <c r="B1334" t="s">
        <v>3124</v>
      </c>
    </row>
    <row r="1335" spans="1:2" x14ac:dyDescent="0.25">
      <c r="A1335" t="s">
        <v>2331</v>
      </c>
      <c r="B1335" t="s">
        <v>3125</v>
      </c>
    </row>
    <row r="1336" spans="1:2" x14ac:dyDescent="0.25">
      <c r="A1336" t="s">
        <v>590</v>
      </c>
      <c r="B1336" t="s">
        <v>3127</v>
      </c>
    </row>
    <row r="1337" spans="1:2" x14ac:dyDescent="0.25">
      <c r="A1337" t="s">
        <v>595</v>
      </c>
      <c r="B1337" t="s">
        <v>3128</v>
      </c>
    </row>
    <row r="1338" spans="1:2" x14ac:dyDescent="0.25">
      <c r="A1338" t="s">
        <v>598</v>
      </c>
      <c r="B1338" t="s">
        <v>3129</v>
      </c>
    </row>
    <row r="1339" spans="1:2" x14ac:dyDescent="0.25">
      <c r="A1339" t="s">
        <v>2266</v>
      </c>
      <c r="B1339" t="s">
        <v>3130</v>
      </c>
    </row>
    <row r="1340" spans="1:2" x14ac:dyDescent="0.25">
      <c r="A1340" t="s">
        <v>601</v>
      </c>
      <c r="B1340" t="s">
        <v>3131</v>
      </c>
    </row>
    <row r="1341" spans="1:2" x14ac:dyDescent="0.25">
      <c r="A1341" t="s">
        <v>2268</v>
      </c>
      <c r="B1341" t="s">
        <v>3132</v>
      </c>
    </row>
    <row r="1342" spans="1:2" x14ac:dyDescent="0.25">
      <c r="A1342" t="s">
        <v>2270</v>
      </c>
      <c r="B1342" t="s">
        <v>3133</v>
      </c>
    </row>
    <row r="1343" spans="1:2" x14ac:dyDescent="0.25">
      <c r="A1343" t="s">
        <v>2434</v>
      </c>
      <c r="B1343" t="s">
        <v>3134</v>
      </c>
    </row>
    <row r="1344" spans="1:2" x14ac:dyDescent="0.25">
      <c r="A1344" t="s">
        <v>2436</v>
      </c>
      <c r="B1344" t="s">
        <v>3135</v>
      </c>
    </row>
    <row r="1345" spans="1:2" x14ac:dyDescent="0.25">
      <c r="A1345" t="s">
        <v>610</v>
      </c>
      <c r="B1345" t="s">
        <v>3136</v>
      </c>
    </row>
    <row r="1346" spans="1:2" x14ac:dyDescent="0.25">
      <c r="A1346" t="s">
        <v>612</v>
      </c>
      <c r="B1346" t="s">
        <v>3137</v>
      </c>
    </row>
    <row r="1347" spans="1:2" x14ac:dyDescent="0.25">
      <c r="A1347" t="s">
        <v>620</v>
      </c>
      <c r="B1347" t="s">
        <v>3138</v>
      </c>
    </row>
    <row r="1348" spans="1:2" x14ac:dyDescent="0.25">
      <c r="A1348" t="s">
        <v>632</v>
      </c>
      <c r="B1348" t="s">
        <v>3139</v>
      </c>
    </row>
    <row r="1349" spans="1:2" x14ac:dyDescent="0.25">
      <c r="A1349" t="s">
        <v>634</v>
      </c>
      <c r="B1349" t="s">
        <v>3140</v>
      </c>
    </row>
    <row r="1350" spans="1:2" x14ac:dyDescent="0.25">
      <c r="A1350" t="s">
        <v>636</v>
      </c>
      <c r="B1350" t="s">
        <v>3141</v>
      </c>
    </row>
    <row r="1351" spans="1:2" x14ac:dyDescent="0.25">
      <c r="A1351" t="s">
        <v>638</v>
      </c>
      <c r="B1351" t="s">
        <v>3142</v>
      </c>
    </row>
    <row r="1352" spans="1:2" x14ac:dyDescent="0.25">
      <c r="A1352" t="s">
        <v>496</v>
      </c>
      <c r="B1352" t="s">
        <v>2392</v>
      </c>
    </row>
    <row r="1353" spans="1:2" x14ac:dyDescent="0.25">
      <c r="A1353" t="s">
        <v>1304</v>
      </c>
      <c r="B1353" t="s">
        <v>2393</v>
      </c>
    </row>
    <row r="1354" spans="1:2" x14ac:dyDescent="0.25">
      <c r="A1354" t="s">
        <v>498</v>
      </c>
      <c r="B1354" t="s">
        <v>2395</v>
      </c>
    </row>
    <row r="1355" spans="1:2" x14ac:dyDescent="0.25">
      <c r="A1355" t="s">
        <v>502</v>
      </c>
      <c r="B1355" t="s">
        <v>2402</v>
      </c>
    </row>
    <row r="1356" spans="1:2" x14ac:dyDescent="0.25">
      <c r="A1356" t="s">
        <v>518</v>
      </c>
      <c r="B1356" t="s">
        <v>2405</v>
      </c>
    </row>
    <row r="1357" spans="1:2" x14ac:dyDescent="0.25">
      <c r="A1357" t="s">
        <v>527</v>
      </c>
      <c r="B1357" t="s">
        <v>2408</v>
      </c>
    </row>
    <row r="1358" spans="1:2" x14ac:dyDescent="0.25">
      <c r="A1358" t="s">
        <v>500</v>
      </c>
      <c r="B1358" t="s">
        <v>2396</v>
      </c>
    </row>
    <row r="1359" spans="1:2" x14ac:dyDescent="0.25">
      <c r="A1359" t="s">
        <v>506</v>
      </c>
      <c r="B1359" t="s">
        <v>2403</v>
      </c>
    </row>
    <row r="1360" spans="1:2" x14ac:dyDescent="0.25">
      <c r="A1360" t="s">
        <v>521</v>
      </c>
      <c r="B1360" t="s">
        <v>2406</v>
      </c>
    </row>
    <row r="1361" spans="1:2" x14ac:dyDescent="0.25">
      <c r="A1361" t="s">
        <v>529</v>
      </c>
      <c r="B1361" t="s">
        <v>2409</v>
      </c>
    </row>
    <row r="1362" spans="1:2" x14ac:dyDescent="0.25">
      <c r="A1362" t="s">
        <v>2239</v>
      </c>
      <c r="B1362" t="s">
        <v>2399</v>
      </c>
    </row>
    <row r="1363" spans="1:2" x14ac:dyDescent="0.25">
      <c r="A1363" t="s">
        <v>510</v>
      </c>
      <c r="B1363" t="s">
        <v>2404</v>
      </c>
    </row>
    <row r="1364" spans="1:2" x14ac:dyDescent="0.25">
      <c r="A1364" t="s">
        <v>523</v>
      </c>
      <c r="B1364" t="s">
        <v>2407</v>
      </c>
    </row>
    <row r="1365" spans="1:2" x14ac:dyDescent="0.25">
      <c r="A1365" t="s">
        <v>531</v>
      </c>
      <c r="B1365" t="s">
        <v>2410</v>
      </c>
    </row>
    <row r="1366" spans="1:2" x14ac:dyDescent="0.25">
      <c r="A1366" t="s">
        <v>550</v>
      </c>
      <c r="B1366" t="s">
        <v>2411</v>
      </c>
    </row>
    <row r="1367" spans="1:2" x14ac:dyDescent="0.25">
      <c r="A1367" t="s">
        <v>561</v>
      </c>
      <c r="B1367" t="s">
        <v>2415</v>
      </c>
    </row>
    <row r="1368" spans="1:2" x14ac:dyDescent="0.25">
      <c r="A1368" t="s">
        <v>1349</v>
      </c>
      <c r="B1368" t="s">
        <v>2419</v>
      </c>
    </row>
    <row r="1369" spans="1:2" x14ac:dyDescent="0.25">
      <c r="A1369" t="s">
        <v>565</v>
      </c>
      <c r="B1369" t="s">
        <v>2422</v>
      </c>
    </row>
    <row r="1370" spans="1:2" x14ac:dyDescent="0.25">
      <c r="A1370" t="s">
        <v>553</v>
      </c>
      <c r="B1370" t="s">
        <v>2413</v>
      </c>
    </row>
    <row r="1371" spans="1:2" x14ac:dyDescent="0.25">
      <c r="A1371" t="s">
        <v>2416</v>
      </c>
      <c r="B1371" t="s">
        <v>2417</v>
      </c>
    </row>
    <row r="1372" spans="1:2" x14ac:dyDescent="0.25">
      <c r="A1372" t="s">
        <v>2252</v>
      </c>
      <c r="B1372" t="s">
        <v>2420</v>
      </c>
    </row>
    <row r="1373" spans="1:2" x14ac:dyDescent="0.25">
      <c r="A1373" t="s">
        <v>567</v>
      </c>
      <c r="B1373" t="s">
        <v>2423</v>
      </c>
    </row>
    <row r="1374" spans="1:2" x14ac:dyDescent="0.25">
      <c r="A1374" t="s">
        <v>555</v>
      </c>
      <c r="B1374" t="s">
        <v>2414</v>
      </c>
    </row>
    <row r="1375" spans="1:2" x14ac:dyDescent="0.25">
      <c r="A1375" t="s">
        <v>1345</v>
      </c>
      <c r="B1375" t="s">
        <v>2418</v>
      </c>
    </row>
    <row r="1376" spans="1:2" x14ac:dyDescent="0.25">
      <c r="A1376" t="s">
        <v>2254</v>
      </c>
      <c r="B1376" t="s">
        <v>2421</v>
      </c>
    </row>
    <row r="1377" spans="1:2" x14ac:dyDescent="0.25">
      <c r="A1377" t="s">
        <v>570</v>
      </c>
      <c r="B1377" t="s">
        <v>2424</v>
      </c>
    </row>
    <row r="1378" spans="1:2" x14ac:dyDescent="0.25">
      <c r="A1378" t="s">
        <v>601</v>
      </c>
      <c r="B1378" t="s">
        <v>2425</v>
      </c>
    </row>
    <row r="1379" spans="1:2" x14ac:dyDescent="0.25">
      <c r="A1379" t="s">
        <v>2268</v>
      </c>
      <c r="B1379" t="s">
        <v>2431</v>
      </c>
    </row>
    <row r="1380" spans="1:2" x14ac:dyDescent="0.25">
      <c r="A1380" t="s">
        <v>2434</v>
      </c>
      <c r="B1380" t="s">
        <v>2435</v>
      </c>
    </row>
    <row r="1381" spans="1:2" x14ac:dyDescent="0.25">
      <c r="A1381" t="s">
        <v>614</v>
      </c>
      <c r="B1381" t="s">
        <v>2439</v>
      </c>
    </row>
    <row r="1382" spans="1:2" x14ac:dyDescent="0.25">
      <c r="A1382" t="s">
        <v>603</v>
      </c>
      <c r="B1382" t="s">
        <v>2428</v>
      </c>
    </row>
    <row r="1383" spans="1:2" x14ac:dyDescent="0.25">
      <c r="A1383" t="s">
        <v>2270</v>
      </c>
      <c r="B1383" t="s">
        <v>2432</v>
      </c>
    </row>
    <row r="1384" spans="1:2" x14ac:dyDescent="0.25">
      <c r="A1384" t="s">
        <v>2436</v>
      </c>
      <c r="B1384" t="s">
        <v>2437</v>
      </c>
    </row>
    <row r="1385" spans="1:2" x14ac:dyDescent="0.25">
      <c r="A1385" t="s">
        <v>2440</v>
      </c>
      <c r="B1385" t="s">
        <v>2441</v>
      </c>
    </row>
    <row r="1386" spans="1:2" x14ac:dyDescent="0.25">
      <c r="A1386" t="s">
        <v>606</v>
      </c>
      <c r="B1386" t="s">
        <v>2429</v>
      </c>
    </row>
    <row r="1387" spans="1:2" x14ac:dyDescent="0.25">
      <c r="A1387" t="s">
        <v>2274</v>
      </c>
      <c r="B1387" t="s">
        <v>2433</v>
      </c>
    </row>
    <row r="1388" spans="1:2" x14ac:dyDescent="0.25">
      <c r="A1388" t="s">
        <v>610</v>
      </c>
      <c r="B1388" t="s">
        <v>2438</v>
      </c>
    </row>
    <row r="1389" spans="1:2" x14ac:dyDescent="0.25">
      <c r="A1389" t="s">
        <v>1359</v>
      </c>
      <c r="B1389" t="s">
        <v>2442</v>
      </c>
    </row>
    <row r="1390" spans="1:2" x14ac:dyDescent="0.25">
      <c r="A1390" t="s">
        <v>650</v>
      </c>
      <c r="B1390" t="s">
        <v>2443</v>
      </c>
    </row>
    <row r="1391" spans="1:2" x14ac:dyDescent="0.25">
      <c r="A1391" t="s">
        <v>659</v>
      </c>
      <c r="B1391" t="s">
        <v>2453</v>
      </c>
    </row>
    <row r="1392" spans="1:2" x14ac:dyDescent="0.25">
      <c r="A1392" t="s">
        <v>667</v>
      </c>
      <c r="B1392" t="s">
        <v>2457</v>
      </c>
    </row>
    <row r="1393" spans="1:2" x14ac:dyDescent="0.25">
      <c r="A1393" t="s">
        <v>2462</v>
      </c>
      <c r="B1393" t="s">
        <v>2463</v>
      </c>
    </row>
    <row r="1394" spans="1:2" x14ac:dyDescent="0.25">
      <c r="A1394" t="s">
        <v>653</v>
      </c>
      <c r="B1394" t="s">
        <v>2446</v>
      </c>
    </row>
    <row r="1395" spans="1:2" x14ac:dyDescent="0.25">
      <c r="A1395" t="s">
        <v>661</v>
      </c>
      <c r="B1395" t="s">
        <v>2454</v>
      </c>
    </row>
    <row r="1396" spans="1:2" x14ac:dyDescent="0.25">
      <c r="A1396" t="s">
        <v>669</v>
      </c>
      <c r="B1396" t="s">
        <v>2458</v>
      </c>
    </row>
    <row r="1397" spans="1:2" x14ac:dyDescent="0.25">
      <c r="A1397" t="s">
        <v>2464</v>
      </c>
      <c r="B1397" t="s">
        <v>2465</v>
      </c>
    </row>
    <row r="1398" spans="1:2" x14ac:dyDescent="0.25">
      <c r="A1398" t="s">
        <v>655</v>
      </c>
      <c r="B1398" t="s">
        <v>2449</v>
      </c>
    </row>
    <row r="1399" spans="1:2" x14ac:dyDescent="0.25">
      <c r="A1399" t="s">
        <v>663</v>
      </c>
      <c r="B1399" t="s">
        <v>2455</v>
      </c>
    </row>
    <row r="1400" spans="1:2" x14ac:dyDescent="0.25">
      <c r="A1400" t="s">
        <v>671</v>
      </c>
      <c r="B1400" t="s">
        <v>2459</v>
      </c>
    </row>
    <row r="1401" spans="1:2" x14ac:dyDescent="0.25">
      <c r="A1401" t="s">
        <v>2466</v>
      </c>
      <c r="B1401" t="s">
        <v>2467</v>
      </c>
    </row>
    <row r="1402" spans="1:2" x14ac:dyDescent="0.25">
      <c r="A1402" t="s">
        <v>657</v>
      </c>
      <c r="B1402" t="s">
        <v>2452</v>
      </c>
    </row>
    <row r="1403" spans="1:2" x14ac:dyDescent="0.25">
      <c r="A1403" t="s">
        <v>665</v>
      </c>
      <c r="B1403" t="s">
        <v>2456</v>
      </c>
    </row>
    <row r="1404" spans="1:2" x14ac:dyDescent="0.25">
      <c r="A1404" t="s">
        <v>2460</v>
      </c>
      <c r="B1404" t="s">
        <v>2461</v>
      </c>
    </row>
    <row r="1405" spans="1:2" x14ac:dyDescent="0.25">
      <c r="A1405" t="s">
        <v>2468</v>
      </c>
      <c r="B1405" t="s">
        <v>2469</v>
      </c>
    </row>
    <row r="1406" spans="1:2" x14ac:dyDescent="0.25">
      <c r="A1406" t="s">
        <v>2470</v>
      </c>
      <c r="B1406" t="s">
        <v>2471</v>
      </c>
    </row>
    <row r="1407" spans="1:2" x14ac:dyDescent="0.25">
      <c r="A1407" t="s">
        <v>2475</v>
      </c>
      <c r="B1407" t="s">
        <v>2476</v>
      </c>
    </row>
    <row r="1408" spans="1:2" x14ac:dyDescent="0.25">
      <c r="A1408" t="s">
        <v>2477</v>
      </c>
      <c r="B1408" t="s">
        <v>2478</v>
      </c>
    </row>
    <row r="1409" spans="1:2" x14ac:dyDescent="0.25">
      <c r="A1409" t="s">
        <v>2479</v>
      </c>
      <c r="B1409" t="s">
        <v>2480</v>
      </c>
    </row>
    <row r="1410" spans="1:2" x14ac:dyDescent="0.25">
      <c r="A1410" t="s">
        <v>697</v>
      </c>
      <c r="B1410" t="s">
        <v>2481</v>
      </c>
    </row>
    <row r="1411" spans="1:2" x14ac:dyDescent="0.25">
      <c r="A1411" t="s">
        <v>2483</v>
      </c>
      <c r="B1411" t="s">
        <v>2484</v>
      </c>
    </row>
    <row r="1412" spans="1:2" x14ac:dyDescent="0.25">
      <c r="A1412" t="s">
        <v>2485</v>
      </c>
      <c r="B1412" t="s">
        <v>2486</v>
      </c>
    </row>
    <row r="1413" spans="1:2" x14ac:dyDescent="0.25">
      <c r="A1413" t="s">
        <v>2487</v>
      </c>
      <c r="B1413" t="s">
        <v>2488</v>
      </c>
    </row>
    <row r="1414" spans="1:2" x14ac:dyDescent="0.25">
      <c r="A1414" t="s">
        <v>765</v>
      </c>
      <c r="B1414" t="s">
        <v>2489</v>
      </c>
    </row>
    <row r="1415" spans="1:2" x14ac:dyDescent="0.25">
      <c r="A1415" t="s">
        <v>858</v>
      </c>
      <c r="B1415" t="s">
        <v>2490</v>
      </c>
    </row>
    <row r="1416" spans="1:2" x14ac:dyDescent="0.25">
      <c r="A1416" t="s">
        <v>860</v>
      </c>
      <c r="B1416" t="s">
        <v>2491</v>
      </c>
    </row>
    <row r="1417" spans="1:2" x14ac:dyDescent="0.25">
      <c r="A1417" t="s">
        <v>867</v>
      </c>
      <c r="B1417" t="s">
        <v>2492</v>
      </c>
    </row>
    <row r="1418" spans="1:2" x14ac:dyDescent="0.25">
      <c r="A1418" t="s">
        <v>871</v>
      </c>
      <c r="B1418" t="s">
        <v>2493</v>
      </c>
    </row>
    <row r="1419" spans="1:2" x14ac:dyDescent="0.25">
      <c r="A1419" t="s">
        <v>2233</v>
      </c>
      <c r="B1419" t="s">
        <v>2494</v>
      </c>
    </row>
    <row r="1420" spans="1:2" x14ac:dyDescent="0.25">
      <c r="A1420" t="s">
        <v>2298</v>
      </c>
      <c r="B1420" t="s">
        <v>2495</v>
      </c>
    </row>
    <row r="1421" spans="1:2" x14ac:dyDescent="0.25">
      <c r="A1421" t="s">
        <v>2300</v>
      </c>
      <c r="B1421" t="s">
        <v>2496</v>
      </c>
    </row>
    <row r="1422" spans="1:2" x14ac:dyDescent="0.25">
      <c r="A1422" t="s">
        <v>1304</v>
      </c>
      <c r="B1422" t="s">
        <v>2498</v>
      </c>
    </row>
    <row r="1423" spans="1:2" x14ac:dyDescent="0.25">
      <c r="A1423" t="s">
        <v>577</v>
      </c>
      <c r="B1423" t="s">
        <v>2500</v>
      </c>
    </row>
    <row r="1424" spans="1:2" x14ac:dyDescent="0.25">
      <c r="A1424" t="s">
        <v>580</v>
      </c>
      <c r="B1424" t="s">
        <v>2502</v>
      </c>
    </row>
    <row r="1425" spans="1:2" x14ac:dyDescent="0.25">
      <c r="A1425" t="s">
        <v>582</v>
      </c>
      <c r="B1425" t="s">
        <v>2504</v>
      </c>
    </row>
    <row r="1426" spans="1:2" x14ac:dyDescent="0.25">
      <c r="A1426" t="s">
        <v>586</v>
      </c>
      <c r="B1426" t="s">
        <v>2506</v>
      </c>
    </row>
    <row r="1427" spans="1:2" x14ac:dyDescent="0.25">
      <c r="A1427" t="s">
        <v>588</v>
      </c>
      <c r="B1427" t="s">
        <v>2508</v>
      </c>
    </row>
    <row r="1428" spans="1:2" x14ac:dyDescent="0.25">
      <c r="A1428" t="s">
        <v>1353</v>
      </c>
      <c r="B1428" t="s">
        <v>2510</v>
      </c>
    </row>
    <row r="1429" spans="1:2" x14ac:dyDescent="0.25">
      <c r="A1429" t="s">
        <v>2331</v>
      </c>
      <c r="B1429" t="s">
        <v>2513</v>
      </c>
    </row>
    <row r="1430" spans="1:2" x14ac:dyDescent="0.25">
      <c r="A1430" t="s">
        <v>595</v>
      </c>
      <c r="B1430" t="s">
        <v>2514</v>
      </c>
    </row>
    <row r="1431" spans="1:2" x14ac:dyDescent="0.25">
      <c r="A1431" t="s">
        <v>598</v>
      </c>
      <c r="B1431" t="s">
        <v>2516</v>
      </c>
    </row>
    <row r="1432" spans="1:2" x14ac:dyDescent="0.25">
      <c r="A1432" t="s">
        <v>603</v>
      </c>
      <c r="B1432" t="s">
        <v>2517</v>
      </c>
    </row>
    <row r="1433" spans="1:2" x14ac:dyDescent="0.25">
      <c r="A1433" t="s">
        <v>606</v>
      </c>
      <c r="B1433" t="s">
        <v>2519</v>
      </c>
    </row>
    <row r="1434" spans="1:2" x14ac:dyDescent="0.25">
      <c r="A1434" t="s">
        <v>2521</v>
      </c>
      <c r="B1434" t="s">
        <v>2522</v>
      </c>
    </row>
    <row r="1435" spans="1:2" x14ac:dyDescent="0.25">
      <c r="A1435" t="s">
        <v>2268</v>
      </c>
      <c r="B1435" t="s">
        <v>2524</v>
      </c>
    </row>
    <row r="1436" spans="1:2" x14ac:dyDescent="0.25">
      <c r="A1436" t="s">
        <v>2270</v>
      </c>
      <c r="B1436" t="s">
        <v>2526</v>
      </c>
    </row>
    <row r="1437" spans="1:2" x14ac:dyDescent="0.25">
      <c r="A1437" t="s">
        <v>676</v>
      </c>
      <c r="B1437" t="s">
        <v>2528</v>
      </c>
    </row>
    <row r="1438" spans="1:2" x14ac:dyDescent="0.25">
      <c r="A1438" t="s">
        <v>678</v>
      </c>
      <c r="B1438" t="s">
        <v>2531</v>
      </c>
    </row>
    <row r="1439" spans="1:2" x14ac:dyDescent="0.25">
      <c r="A1439" t="s">
        <v>681</v>
      </c>
      <c r="B1439" t="s">
        <v>2534</v>
      </c>
    </row>
    <row r="1440" spans="1:2" x14ac:dyDescent="0.25">
      <c r="A1440" t="s">
        <v>684</v>
      </c>
      <c r="B1440" t="s">
        <v>2536</v>
      </c>
    </row>
    <row r="1441" spans="1:2" x14ac:dyDescent="0.25">
      <c r="A1441" t="s">
        <v>2538</v>
      </c>
      <c r="B1441" t="s">
        <v>2539</v>
      </c>
    </row>
    <row r="1442" spans="1:2" x14ac:dyDescent="0.25">
      <c r="A1442" t="s">
        <v>2540</v>
      </c>
      <c r="B1442" t="s">
        <v>2541</v>
      </c>
    </row>
    <row r="1443" spans="1:2" x14ac:dyDescent="0.25">
      <c r="A1443" t="s">
        <v>2543</v>
      </c>
      <c r="B1443" t="s">
        <v>2544</v>
      </c>
    </row>
    <row r="1444" spans="1:2" x14ac:dyDescent="0.25">
      <c r="A1444" t="s">
        <v>765</v>
      </c>
      <c r="B1444" t="s">
        <v>2546</v>
      </c>
    </row>
    <row r="1445" spans="1:2" x14ac:dyDescent="0.25">
      <c r="A1445" t="s">
        <v>768</v>
      </c>
      <c r="B1445" t="s">
        <v>2549</v>
      </c>
    </row>
    <row r="1446" spans="1:2" x14ac:dyDescent="0.25">
      <c r="A1446" t="s">
        <v>771</v>
      </c>
      <c r="B1446" t="s">
        <v>2551</v>
      </c>
    </row>
    <row r="1447" spans="1:2" x14ac:dyDescent="0.25">
      <c r="A1447" t="s">
        <v>773</v>
      </c>
      <c r="B1447" t="s">
        <v>2553</v>
      </c>
    </row>
    <row r="1448" spans="1:2" x14ac:dyDescent="0.25">
      <c r="A1448" t="s">
        <v>775</v>
      </c>
      <c r="B1448" t="s">
        <v>2555</v>
      </c>
    </row>
    <row r="1449" spans="1:2" x14ac:dyDescent="0.25">
      <c r="A1449" t="s">
        <v>777</v>
      </c>
      <c r="B1449" t="s">
        <v>2557</v>
      </c>
    </row>
    <row r="1450" spans="1:2" x14ac:dyDescent="0.25">
      <c r="A1450" t="s">
        <v>780</v>
      </c>
      <c r="B1450" t="s">
        <v>2559</v>
      </c>
    </row>
    <row r="1451" spans="1:2" x14ac:dyDescent="0.25">
      <c r="A1451" t="s">
        <v>2561</v>
      </c>
      <c r="B1451" t="s">
        <v>2562</v>
      </c>
    </row>
    <row r="1452" spans="1:2" x14ac:dyDescent="0.25">
      <c r="A1452" t="s">
        <v>2564</v>
      </c>
      <c r="B1452" t="s">
        <v>2565</v>
      </c>
    </row>
    <row r="1453" spans="1:2" x14ac:dyDescent="0.25">
      <c r="A1453" t="s">
        <v>2567</v>
      </c>
      <c r="B1453" t="s">
        <v>2568</v>
      </c>
    </row>
    <row r="1454" spans="1:2" x14ac:dyDescent="0.25">
      <c r="A1454" t="s">
        <v>2569</v>
      </c>
      <c r="B1454" t="s">
        <v>2570</v>
      </c>
    </row>
    <row r="1455" spans="1:2" x14ac:dyDescent="0.25">
      <c r="A1455" t="s">
        <v>2571</v>
      </c>
      <c r="B1455" t="s">
        <v>2572</v>
      </c>
    </row>
    <row r="1456" spans="1:2" x14ac:dyDescent="0.25">
      <c r="A1456" t="s">
        <v>2573</v>
      </c>
      <c r="B1456" t="s">
        <v>2574</v>
      </c>
    </row>
    <row r="1457" spans="1:2" x14ac:dyDescent="0.25">
      <c r="A1457" t="s">
        <v>2575</v>
      </c>
      <c r="B1457" t="s">
        <v>2576</v>
      </c>
    </row>
    <row r="1458" spans="1:2" x14ac:dyDescent="0.25">
      <c r="A1458" t="s">
        <v>2577</v>
      </c>
      <c r="B1458" t="s">
        <v>2578</v>
      </c>
    </row>
    <row r="1459" spans="1:2" x14ac:dyDescent="0.25">
      <c r="A1459" t="s">
        <v>2579</v>
      </c>
      <c r="B1459" t="s">
        <v>2580</v>
      </c>
    </row>
    <row r="1460" spans="1:2" x14ac:dyDescent="0.25">
      <c r="A1460" t="s">
        <v>2582</v>
      </c>
      <c r="B1460" t="s">
        <v>2583</v>
      </c>
    </row>
    <row r="1461" spans="1:2" x14ac:dyDescent="0.25">
      <c r="A1461" t="s">
        <v>2585</v>
      </c>
      <c r="B1461" t="s">
        <v>2586</v>
      </c>
    </row>
    <row r="1462" spans="1:2" x14ac:dyDescent="0.25">
      <c r="A1462" t="s">
        <v>2587</v>
      </c>
      <c r="B1462" t="s">
        <v>2588</v>
      </c>
    </row>
    <row r="1463" spans="1:2" x14ac:dyDescent="0.25">
      <c r="A1463" t="s">
        <v>2589</v>
      </c>
      <c r="B1463" t="s">
        <v>2590</v>
      </c>
    </row>
    <row r="1464" spans="1:2" x14ac:dyDescent="0.25">
      <c r="A1464" t="s">
        <v>783</v>
      </c>
      <c r="B1464" t="s">
        <v>2591</v>
      </c>
    </row>
    <row r="1465" spans="1:2" x14ac:dyDescent="0.25">
      <c r="A1465" t="s">
        <v>2592</v>
      </c>
      <c r="B1465" t="s">
        <v>2593</v>
      </c>
    </row>
    <row r="1466" spans="1:2" x14ac:dyDescent="0.25">
      <c r="A1466" t="s">
        <v>786</v>
      </c>
      <c r="B1466" t="s">
        <v>2594</v>
      </c>
    </row>
    <row r="1467" spans="1:2" x14ac:dyDescent="0.25">
      <c r="A1467" t="s">
        <v>2595</v>
      </c>
      <c r="B1467" t="s">
        <v>2596</v>
      </c>
    </row>
    <row r="1468" spans="1:2" x14ac:dyDescent="0.25">
      <c r="A1468" t="s">
        <v>789</v>
      </c>
      <c r="B1468" t="s">
        <v>2597</v>
      </c>
    </row>
    <row r="1469" spans="1:2" x14ac:dyDescent="0.25">
      <c r="A1469" t="s">
        <v>2598</v>
      </c>
      <c r="B1469" t="s">
        <v>2599</v>
      </c>
    </row>
    <row r="1470" spans="1:2" x14ac:dyDescent="0.25">
      <c r="A1470" t="s">
        <v>792</v>
      </c>
      <c r="B1470" t="s">
        <v>2601</v>
      </c>
    </row>
    <row r="1471" spans="1:2" x14ac:dyDescent="0.25">
      <c r="A1471" t="s">
        <v>858</v>
      </c>
      <c r="B1471" t="s">
        <v>2604</v>
      </c>
    </row>
    <row r="1472" spans="1:2" x14ac:dyDescent="0.25">
      <c r="A1472" t="s">
        <v>860</v>
      </c>
      <c r="B1472" t="s">
        <v>2607</v>
      </c>
    </row>
    <row r="1473" spans="1:2" x14ac:dyDescent="0.25">
      <c r="A1473" t="s">
        <v>862</v>
      </c>
      <c r="B1473" t="s">
        <v>2609</v>
      </c>
    </row>
    <row r="1474" spans="1:2" x14ac:dyDescent="0.25">
      <c r="A1474" t="s">
        <v>864</v>
      </c>
      <c r="B1474" t="s">
        <v>2611</v>
      </c>
    </row>
    <row r="1475" spans="1:2" x14ac:dyDescent="0.25">
      <c r="A1475" t="s">
        <v>867</v>
      </c>
      <c r="B1475" t="s">
        <v>2612</v>
      </c>
    </row>
    <row r="1476" spans="1:2" x14ac:dyDescent="0.25">
      <c r="A1476" t="s">
        <v>869</v>
      </c>
      <c r="B1476" t="s">
        <v>2613</v>
      </c>
    </row>
    <row r="1477" spans="1:2" x14ac:dyDescent="0.25">
      <c r="A1477" t="s">
        <v>871</v>
      </c>
      <c r="B1477" t="s">
        <v>2614</v>
      </c>
    </row>
    <row r="1478" spans="1:2" x14ac:dyDescent="0.25">
      <c r="A1478" t="s">
        <v>873</v>
      </c>
      <c r="B1478" t="s">
        <v>2615</v>
      </c>
    </row>
    <row r="1479" spans="1:2" x14ac:dyDescent="0.25">
      <c r="A1479" t="s">
        <v>965</v>
      </c>
      <c r="B1479" t="s">
        <v>2616</v>
      </c>
    </row>
    <row r="1480" spans="1:2" x14ac:dyDescent="0.25">
      <c r="A1480" t="s">
        <v>968</v>
      </c>
      <c r="B1480" t="s">
        <v>2618</v>
      </c>
    </row>
    <row r="1481" spans="1:2" x14ac:dyDescent="0.25">
      <c r="A1481" t="s">
        <v>970</v>
      </c>
      <c r="B1481" t="s">
        <v>2620</v>
      </c>
    </row>
    <row r="1482" spans="1:2" x14ac:dyDescent="0.25">
      <c r="A1482" t="s">
        <v>973</v>
      </c>
      <c r="B1482" t="s">
        <v>2622</v>
      </c>
    </row>
    <row r="1483" spans="1:2" x14ac:dyDescent="0.25">
      <c r="A1483" t="s">
        <v>1481</v>
      </c>
      <c r="B1483" t="s">
        <v>2624</v>
      </c>
    </row>
    <row r="1484" spans="1:2" x14ac:dyDescent="0.25">
      <c r="A1484" t="s">
        <v>1483</v>
      </c>
      <c r="B1484" t="s">
        <v>2625</v>
      </c>
    </row>
    <row r="1485" spans="1:2" x14ac:dyDescent="0.25">
      <c r="A1485" t="s">
        <v>2626</v>
      </c>
      <c r="B1485" t="s">
        <v>2627</v>
      </c>
    </row>
    <row r="1486" spans="1:2" x14ac:dyDescent="0.25">
      <c r="A1486" t="s">
        <v>2628</v>
      </c>
      <c r="B1486" t="s">
        <v>2629</v>
      </c>
    </row>
    <row r="1487" spans="1:2" x14ac:dyDescent="0.25">
      <c r="A1487" t="s">
        <v>1043</v>
      </c>
      <c r="B1487" t="s">
        <v>2630</v>
      </c>
    </row>
    <row r="1488" spans="1:2" x14ac:dyDescent="0.25">
      <c r="A1488" t="s">
        <v>2631</v>
      </c>
      <c r="B1488" t="s">
        <v>2632</v>
      </c>
    </row>
    <row r="1489" spans="1:2" x14ac:dyDescent="0.25">
      <c r="A1489" t="s">
        <v>1485</v>
      </c>
      <c r="B1489" t="s">
        <v>2633</v>
      </c>
    </row>
    <row r="1490" spans="1:2" x14ac:dyDescent="0.25">
      <c r="A1490" t="s">
        <v>2634</v>
      </c>
      <c r="B1490" t="s">
        <v>2635</v>
      </c>
    </row>
    <row r="1491" spans="1:2" x14ac:dyDescent="0.25">
      <c r="A1491" t="s">
        <v>2636</v>
      </c>
      <c r="B1491" t="s">
        <v>2637</v>
      </c>
    </row>
    <row r="1492" spans="1:2" x14ac:dyDescent="0.25">
      <c r="A1492" t="s">
        <v>2638</v>
      </c>
      <c r="B1492" t="s">
        <v>2639</v>
      </c>
    </row>
    <row r="1493" spans="1:2" x14ac:dyDescent="0.25">
      <c r="A1493" t="s">
        <v>2640</v>
      </c>
      <c r="B1493" t="s">
        <v>2641</v>
      </c>
    </row>
    <row r="1494" spans="1:2" x14ac:dyDescent="0.25">
      <c r="A1494" t="s">
        <v>1045</v>
      </c>
      <c r="B1494" t="s">
        <v>2642</v>
      </c>
    </row>
    <row r="1495" spans="1:2" x14ac:dyDescent="0.25">
      <c r="A1495" t="s">
        <v>1052</v>
      </c>
      <c r="B1495" t="s">
        <v>2643</v>
      </c>
    </row>
    <row r="1496" spans="1:2" x14ac:dyDescent="0.25">
      <c r="A1496" t="s">
        <v>1054</v>
      </c>
      <c r="B1496" t="s">
        <v>2644</v>
      </c>
    </row>
    <row r="1497" spans="1:2" x14ac:dyDescent="0.25">
      <c r="A1497" t="s">
        <v>1060</v>
      </c>
      <c r="B1497" t="s">
        <v>2645</v>
      </c>
    </row>
    <row r="1498" spans="1:2" x14ac:dyDescent="0.25">
      <c r="A1498" t="s">
        <v>1062</v>
      </c>
      <c r="B1498" t="s">
        <v>2646</v>
      </c>
    </row>
    <row r="1499" spans="1:2" x14ac:dyDescent="0.25">
      <c r="A1499" t="s">
        <v>1069</v>
      </c>
      <c r="B1499" t="s">
        <v>2647</v>
      </c>
    </row>
    <row r="1500" spans="1:2" x14ac:dyDescent="0.25">
      <c r="A1500" t="s">
        <v>1071</v>
      </c>
      <c r="B1500" t="s">
        <v>2648</v>
      </c>
    </row>
    <row r="1501" spans="1:2" x14ac:dyDescent="0.25">
      <c r="A1501" t="s">
        <v>1077</v>
      </c>
      <c r="B1501" t="s">
        <v>2649</v>
      </c>
    </row>
    <row r="1502" spans="1:2" x14ac:dyDescent="0.25">
      <c r="A1502" t="s">
        <v>1079</v>
      </c>
      <c r="B1502" t="s">
        <v>2650</v>
      </c>
    </row>
    <row r="1503" spans="1:2" x14ac:dyDescent="0.25">
      <c r="A1503" t="s">
        <v>1085</v>
      </c>
      <c r="B1503" t="s">
        <v>2651</v>
      </c>
    </row>
    <row r="1504" spans="1:2" x14ac:dyDescent="0.25">
      <c r="A1504" t="s">
        <v>1087</v>
      </c>
      <c r="B1504" t="s">
        <v>2652</v>
      </c>
    </row>
    <row r="1505" spans="1:2" x14ac:dyDescent="0.25">
      <c r="A1505" t="s">
        <v>1093</v>
      </c>
      <c r="B1505" t="s">
        <v>2653</v>
      </c>
    </row>
    <row r="1506" spans="1:2" x14ac:dyDescent="0.25">
      <c r="A1506" t="s">
        <v>1095</v>
      </c>
      <c r="B1506" t="s">
        <v>2654</v>
      </c>
    </row>
    <row r="1507" spans="1:2" x14ac:dyDescent="0.25">
      <c r="A1507" t="s">
        <v>1101</v>
      </c>
      <c r="B1507" t="s">
        <v>2655</v>
      </c>
    </row>
    <row r="1508" spans="1:2" x14ac:dyDescent="0.25">
      <c r="A1508" t="s">
        <v>1103</v>
      </c>
      <c r="B1508" t="s">
        <v>2656</v>
      </c>
    </row>
    <row r="1509" spans="1:2" x14ac:dyDescent="0.25">
      <c r="A1509" t="s">
        <v>1109</v>
      </c>
      <c r="B1509" t="s">
        <v>2657</v>
      </c>
    </row>
    <row r="1510" spans="1:2" x14ac:dyDescent="0.25">
      <c r="A1510" t="s">
        <v>2658</v>
      </c>
      <c r="B1510" t="s">
        <v>2659</v>
      </c>
    </row>
    <row r="1511" spans="1:2" x14ac:dyDescent="0.25">
      <c r="A1511" t="s">
        <v>2660</v>
      </c>
      <c r="B1511" t="s">
        <v>2661</v>
      </c>
    </row>
    <row r="1512" spans="1:2" x14ac:dyDescent="0.25">
      <c r="A1512" t="s">
        <v>1497</v>
      </c>
      <c r="B1512" t="s">
        <v>2663</v>
      </c>
    </row>
    <row r="1513" spans="1:2" x14ac:dyDescent="0.25">
      <c r="A1513" t="s">
        <v>1499</v>
      </c>
      <c r="B1513" t="s">
        <v>2664</v>
      </c>
    </row>
    <row r="1514" spans="1:2" x14ac:dyDescent="0.25">
      <c r="A1514" t="s">
        <v>1504</v>
      </c>
      <c r="B1514" t="s">
        <v>2665</v>
      </c>
    </row>
    <row r="1515" spans="1:2" x14ac:dyDescent="0.25">
      <c r="A1515" t="s">
        <v>1133</v>
      </c>
      <c r="B1515" t="s">
        <v>2666</v>
      </c>
    </row>
    <row r="1516" spans="1:2" x14ac:dyDescent="0.25">
      <c r="A1516" t="s">
        <v>1139</v>
      </c>
      <c r="B1516" t="s">
        <v>78</v>
      </c>
    </row>
    <row r="1517" spans="1:2" x14ac:dyDescent="0.25">
      <c r="A1517" t="s">
        <v>1516</v>
      </c>
      <c r="B1517" t="s">
        <v>86</v>
      </c>
    </row>
    <row r="1518" spans="1:2" x14ac:dyDescent="0.25">
      <c r="A1518" t="s">
        <v>1526</v>
      </c>
      <c r="B1518" t="s">
        <v>2667</v>
      </c>
    </row>
    <row r="1519" spans="1:2" x14ac:dyDescent="0.25">
      <c r="A1519" t="s">
        <v>1146</v>
      </c>
      <c r="B1519" t="s">
        <v>2668</v>
      </c>
    </row>
    <row r="1520" spans="1:2" x14ac:dyDescent="0.25">
      <c r="A1520" t="s">
        <v>1155</v>
      </c>
      <c r="B1520" t="s">
        <v>2669</v>
      </c>
    </row>
    <row r="1521" spans="1:2" x14ac:dyDescent="0.25">
      <c r="A1521" t="s">
        <v>1160</v>
      </c>
      <c r="B1521" t="s">
        <v>2670</v>
      </c>
    </row>
    <row r="1522" spans="1:2" x14ac:dyDescent="0.25">
      <c r="A1522" t="s">
        <v>1169</v>
      </c>
      <c r="B1522" t="s">
        <v>2671</v>
      </c>
    </row>
    <row r="1523" spans="1:2" x14ac:dyDescent="0.25">
      <c r="A1523" t="s">
        <v>1175</v>
      </c>
      <c r="B1523" t="s">
        <v>2673</v>
      </c>
    </row>
    <row r="1524" spans="1:2" x14ac:dyDescent="0.25">
      <c r="A1524" t="s">
        <v>1236</v>
      </c>
      <c r="B1524" t="s">
        <v>2675</v>
      </c>
    </row>
    <row r="1525" spans="1:2" x14ac:dyDescent="0.25">
      <c r="A1525" t="s">
        <v>1238</v>
      </c>
      <c r="B1525" t="s">
        <v>2676</v>
      </c>
    </row>
    <row r="1526" spans="1:2" x14ac:dyDescent="0.25">
      <c r="A1526" t="s">
        <v>1241</v>
      </c>
      <c r="B1526" t="s">
        <v>2677</v>
      </c>
    </row>
    <row r="1527" spans="1:2" x14ac:dyDescent="0.25">
      <c r="A1527" t="s">
        <v>1243</v>
      </c>
      <c r="B1527" t="s">
        <v>2678</v>
      </c>
    </row>
    <row r="1528" spans="1:2" x14ac:dyDescent="0.25">
      <c r="A1528" t="s">
        <v>1246</v>
      </c>
      <c r="B1528" t="s">
        <v>2679</v>
      </c>
    </row>
    <row r="1529" spans="1:2" x14ac:dyDescent="0.25">
      <c r="A1529" t="s">
        <v>1248</v>
      </c>
      <c r="B1529" t="s">
        <v>2680</v>
      </c>
    </row>
    <row r="1530" spans="1:2" x14ac:dyDescent="0.25">
      <c r="A1530" t="s">
        <v>1256</v>
      </c>
      <c r="B1530" t="s">
        <v>2681</v>
      </c>
    </row>
    <row r="1531" spans="1:2" x14ac:dyDescent="0.25">
      <c r="A1531" t="s">
        <v>1259</v>
      </c>
      <c r="B1531" t="s">
        <v>2682</v>
      </c>
    </row>
    <row r="1532" spans="1:2" x14ac:dyDescent="0.25">
      <c r="A1532" t="s">
        <v>1594</v>
      </c>
      <c r="B1532" t="s">
        <v>2683</v>
      </c>
    </row>
    <row r="1533" spans="1:2" x14ac:dyDescent="0.25">
      <c r="A1533" t="s">
        <v>1596</v>
      </c>
      <c r="B1533" t="s">
        <v>2684</v>
      </c>
    </row>
    <row r="1534" spans="1:2" x14ac:dyDescent="0.25">
      <c r="A1534" t="s">
        <v>1598</v>
      </c>
      <c r="B1534" t="s">
        <v>2685</v>
      </c>
    </row>
    <row r="1535" spans="1:2" x14ac:dyDescent="0.25">
      <c r="A1535" t="s">
        <v>1600</v>
      </c>
      <c r="B1535" t="s">
        <v>2686</v>
      </c>
    </row>
    <row r="1536" spans="1:2" x14ac:dyDescent="0.25">
      <c r="A1536" t="s">
        <v>1602</v>
      </c>
      <c r="B1536" t="s">
        <v>2687</v>
      </c>
    </row>
    <row r="1537" spans="1:2" x14ac:dyDescent="0.25">
      <c r="A1537" t="s">
        <v>1676</v>
      </c>
      <c r="B1537" t="s">
        <v>2688</v>
      </c>
    </row>
    <row r="1538" spans="1:2" x14ac:dyDescent="0.25">
      <c r="A1538" t="s">
        <v>1678</v>
      </c>
      <c r="B1538" t="s">
        <v>2689</v>
      </c>
    </row>
    <row r="1539" spans="1:2" x14ac:dyDescent="0.25">
      <c r="A1539" t="s">
        <v>1680</v>
      </c>
      <c r="B1539" t="s">
        <v>2690</v>
      </c>
    </row>
    <row r="1540" spans="1:2" x14ac:dyDescent="0.25">
      <c r="A1540" t="s">
        <v>1682</v>
      </c>
      <c r="B1540" t="s">
        <v>2691</v>
      </c>
    </row>
    <row r="1541" spans="1:2" x14ac:dyDescent="0.25">
      <c r="A1541" t="s">
        <v>1684</v>
      </c>
      <c r="B1541" t="s">
        <v>2692</v>
      </c>
    </row>
    <row r="1542" spans="1:2" x14ac:dyDescent="0.25">
      <c r="A1542" t="s">
        <v>1804</v>
      </c>
      <c r="B1542" t="s">
        <v>2693</v>
      </c>
    </row>
    <row r="1543" spans="1:2" x14ac:dyDescent="0.25">
      <c r="A1543" t="s">
        <v>1806</v>
      </c>
      <c r="B1543" t="s">
        <v>2694</v>
      </c>
    </row>
    <row r="1544" spans="1:2" x14ac:dyDescent="0.25">
      <c r="A1544" t="s">
        <v>1808</v>
      </c>
      <c r="B1544" t="s">
        <v>2695</v>
      </c>
    </row>
    <row r="1545" spans="1:2" x14ac:dyDescent="0.25">
      <c r="A1545" t="s">
        <v>1810</v>
      </c>
      <c r="B1545" t="s">
        <v>2696</v>
      </c>
    </row>
    <row r="1546" spans="1:2" x14ac:dyDescent="0.25">
      <c r="A1546" t="s">
        <v>1812</v>
      </c>
      <c r="B1546" t="s">
        <v>2697</v>
      </c>
    </row>
    <row r="1547" spans="1:2" x14ac:dyDescent="0.25">
      <c r="A1547" t="s">
        <v>1814</v>
      </c>
      <c r="B1547" t="s">
        <v>2698</v>
      </c>
    </row>
    <row r="1548" spans="1:2" x14ac:dyDescent="0.25">
      <c r="A1548" t="s">
        <v>1816</v>
      </c>
      <c r="B1548" t="s">
        <v>2699</v>
      </c>
    </row>
    <row r="1549" spans="1:2" x14ac:dyDescent="0.25">
      <c r="A1549" t="s">
        <v>1818</v>
      </c>
      <c r="B1549" t="s">
        <v>2700</v>
      </c>
    </row>
    <row r="1550" spans="1:2" x14ac:dyDescent="0.25">
      <c r="A1550" t="s">
        <v>1820</v>
      </c>
      <c r="B1550" t="s">
        <v>2701</v>
      </c>
    </row>
    <row r="1551" spans="1:2" x14ac:dyDescent="0.25">
      <c r="A1551" t="s">
        <v>1822</v>
      </c>
      <c r="B1551" t="s">
        <v>2702</v>
      </c>
    </row>
    <row r="1552" spans="1:2" x14ac:dyDescent="0.25">
      <c r="A1552" t="s">
        <v>1824</v>
      </c>
      <c r="B1552" t="s">
        <v>2703</v>
      </c>
    </row>
    <row r="1553" spans="1:2" x14ac:dyDescent="0.25">
      <c r="A1553" t="s">
        <v>1826</v>
      </c>
      <c r="B1553" t="s">
        <v>2704</v>
      </c>
    </row>
    <row r="1554" spans="1:2" x14ac:dyDescent="0.25">
      <c r="A1554" t="s">
        <v>1828</v>
      </c>
      <c r="B1554" t="s">
        <v>2705</v>
      </c>
    </row>
    <row r="1555" spans="1:2" x14ac:dyDescent="0.25">
      <c r="A1555" t="s">
        <v>2706</v>
      </c>
      <c r="B1555" t="s">
        <v>2707</v>
      </c>
    </row>
    <row r="1556" spans="1:2" x14ac:dyDescent="0.25">
      <c r="A1556" t="s">
        <v>2708</v>
      </c>
      <c r="B1556" t="s">
        <v>2709</v>
      </c>
    </row>
    <row r="1557" spans="1:2" x14ac:dyDescent="0.25">
      <c r="A1557" t="s">
        <v>2710</v>
      </c>
      <c r="B1557" t="s">
        <v>2711</v>
      </c>
    </row>
    <row r="1558" spans="1:2" x14ac:dyDescent="0.25">
      <c r="A1558" t="s">
        <v>1902</v>
      </c>
      <c r="B1558" t="s">
        <v>2712</v>
      </c>
    </row>
    <row r="1559" spans="1:2" x14ac:dyDescent="0.25">
      <c r="A1559" t="s">
        <v>1905</v>
      </c>
      <c r="B1559" t="s">
        <v>2713</v>
      </c>
    </row>
    <row r="1560" spans="1:2" x14ac:dyDescent="0.25">
      <c r="A1560" t="s">
        <v>1908</v>
      </c>
      <c r="B1560" t="s">
        <v>2714</v>
      </c>
    </row>
    <row r="1561" spans="1:2" x14ac:dyDescent="0.25">
      <c r="A1561" t="s">
        <v>2715</v>
      </c>
      <c r="B1561" t="s">
        <v>2716</v>
      </c>
    </row>
    <row r="1562" spans="1:2" x14ac:dyDescent="0.25">
      <c r="A1562" t="s">
        <v>2717</v>
      </c>
      <c r="B1562" t="s">
        <v>2718</v>
      </c>
    </row>
    <row r="1563" spans="1:2" x14ac:dyDescent="0.25">
      <c r="A1563" t="s">
        <v>1982</v>
      </c>
      <c r="B1563" t="s">
        <v>2719</v>
      </c>
    </row>
    <row r="1564" spans="1:2" x14ac:dyDescent="0.25">
      <c r="A1564" t="s">
        <v>1984</v>
      </c>
      <c r="B1564" t="s">
        <v>2720</v>
      </c>
    </row>
    <row r="1565" spans="1:2" x14ac:dyDescent="0.25">
      <c r="A1565" t="s">
        <v>2233</v>
      </c>
      <c r="B1565" t="s">
        <v>11270</v>
      </c>
    </row>
    <row r="1566" spans="1:2" x14ac:dyDescent="0.25">
      <c r="A1566" t="s">
        <v>2298</v>
      </c>
      <c r="B1566" t="s">
        <v>11271</v>
      </c>
    </row>
    <row r="1567" spans="1:2" x14ac:dyDescent="0.25">
      <c r="A1567" t="s">
        <v>483</v>
      </c>
      <c r="B1567" t="s">
        <v>11272</v>
      </c>
    </row>
    <row r="1568" spans="1:2" x14ac:dyDescent="0.25">
      <c r="A1568" t="s">
        <v>487</v>
      </c>
      <c r="B1568" t="s">
        <v>11273</v>
      </c>
    </row>
    <row r="1569" spans="1:2" x14ac:dyDescent="0.25">
      <c r="A1569" t="s">
        <v>491</v>
      </c>
      <c r="B1569" t="s">
        <v>11274</v>
      </c>
    </row>
    <row r="1570" spans="1:2" x14ac:dyDescent="0.25">
      <c r="A1570" t="s">
        <v>494</v>
      </c>
      <c r="B1570" t="s">
        <v>11275</v>
      </c>
    </row>
    <row r="1571" spans="1:2" x14ac:dyDescent="0.25">
      <c r="A1571" t="s">
        <v>496</v>
      </c>
      <c r="B1571" t="s">
        <v>11276</v>
      </c>
    </row>
    <row r="1572" spans="1:2" x14ac:dyDescent="0.25">
      <c r="A1572" t="s">
        <v>1297</v>
      </c>
      <c r="B1572" t="s">
        <v>11277</v>
      </c>
    </row>
    <row r="1573" spans="1:2" x14ac:dyDescent="0.25">
      <c r="A1573" t="s">
        <v>1300</v>
      </c>
      <c r="B1573" t="s">
        <v>11278</v>
      </c>
    </row>
    <row r="1574" spans="1:2" x14ac:dyDescent="0.25">
      <c r="A1574" t="s">
        <v>1302</v>
      </c>
      <c r="B1574" t="s">
        <v>11279</v>
      </c>
    </row>
    <row r="1575" spans="1:2" x14ac:dyDescent="0.25">
      <c r="A1575" t="s">
        <v>1304</v>
      </c>
      <c r="B1575" t="s">
        <v>11280</v>
      </c>
    </row>
    <row r="1576" spans="1:2" x14ac:dyDescent="0.25">
      <c r="A1576" t="s">
        <v>1307</v>
      </c>
      <c r="B1576" t="s">
        <v>11281</v>
      </c>
    </row>
    <row r="1577" spans="1:2" x14ac:dyDescent="0.25">
      <c r="A1577" t="s">
        <v>1309</v>
      </c>
      <c r="B1577" t="s">
        <v>11282</v>
      </c>
    </row>
    <row r="1578" spans="1:2" x14ac:dyDescent="0.25">
      <c r="A1578" t="s">
        <v>2311</v>
      </c>
      <c r="B1578" t="s">
        <v>11283</v>
      </c>
    </row>
    <row r="1579" spans="1:2" x14ac:dyDescent="0.25">
      <c r="A1579" t="s">
        <v>498</v>
      </c>
      <c r="B1579" t="s">
        <v>11284</v>
      </c>
    </row>
    <row r="1580" spans="1:2" x14ac:dyDescent="0.25">
      <c r="A1580" t="s">
        <v>500</v>
      </c>
      <c r="B1580" t="s">
        <v>11285</v>
      </c>
    </row>
    <row r="1581" spans="1:2" x14ac:dyDescent="0.25">
      <c r="A1581" t="s">
        <v>2239</v>
      </c>
      <c r="B1581" t="s">
        <v>11286</v>
      </c>
    </row>
    <row r="1582" spans="1:2" x14ac:dyDescent="0.25">
      <c r="A1582" t="s">
        <v>502</v>
      </c>
      <c r="B1582" t="s">
        <v>11287</v>
      </c>
    </row>
    <row r="1583" spans="1:2" x14ac:dyDescent="0.25">
      <c r="A1583" t="s">
        <v>506</v>
      </c>
      <c r="B1583" t="s">
        <v>11288</v>
      </c>
    </row>
    <row r="1584" spans="1:2" x14ac:dyDescent="0.25">
      <c r="A1584" t="s">
        <v>510</v>
      </c>
      <c r="B1584" t="s">
        <v>11289</v>
      </c>
    </row>
    <row r="1585" spans="1:2" x14ac:dyDescent="0.25">
      <c r="A1585" t="s">
        <v>514</v>
      </c>
      <c r="B1585" t="s">
        <v>11290</v>
      </c>
    </row>
    <row r="1586" spans="1:2" x14ac:dyDescent="0.25">
      <c r="A1586" t="s">
        <v>518</v>
      </c>
      <c r="B1586" t="s">
        <v>11291</v>
      </c>
    </row>
    <row r="1587" spans="1:2" x14ac:dyDescent="0.25">
      <c r="A1587" t="s">
        <v>521</v>
      </c>
      <c r="B1587" t="s">
        <v>11292</v>
      </c>
    </row>
    <row r="1588" spans="1:2" x14ac:dyDescent="0.25">
      <c r="A1588" t="s">
        <v>523</v>
      </c>
      <c r="B1588" t="s">
        <v>11293</v>
      </c>
    </row>
    <row r="1589" spans="1:2" x14ac:dyDescent="0.25">
      <c r="A1589" t="s">
        <v>525</v>
      </c>
      <c r="B1589" t="s">
        <v>11294</v>
      </c>
    </row>
    <row r="1590" spans="1:2" x14ac:dyDescent="0.25">
      <c r="A1590" t="s">
        <v>527</v>
      </c>
      <c r="B1590" t="s">
        <v>11295</v>
      </c>
    </row>
    <row r="1591" spans="1:2" x14ac:dyDescent="0.25">
      <c r="A1591" t="s">
        <v>529</v>
      </c>
      <c r="B1591" t="s">
        <v>11296</v>
      </c>
    </row>
    <row r="1592" spans="1:2" x14ac:dyDescent="0.25">
      <c r="A1592" t="s">
        <v>533</v>
      </c>
      <c r="B1592" t="s">
        <v>11297</v>
      </c>
    </row>
    <row r="1593" spans="1:2" x14ac:dyDescent="0.25">
      <c r="A1593" t="s">
        <v>535</v>
      </c>
      <c r="B1593" t="s">
        <v>11298</v>
      </c>
    </row>
    <row r="1594" spans="1:2" x14ac:dyDescent="0.25">
      <c r="A1594" t="s">
        <v>537</v>
      </c>
      <c r="B1594" t="s">
        <v>11299</v>
      </c>
    </row>
    <row r="1595" spans="1:2" x14ac:dyDescent="0.25">
      <c r="A1595" t="s">
        <v>540</v>
      </c>
      <c r="B1595" t="s">
        <v>11300</v>
      </c>
    </row>
    <row r="1596" spans="1:2" x14ac:dyDescent="0.25">
      <c r="A1596" t="s">
        <v>542</v>
      </c>
      <c r="B1596" t="s">
        <v>11301</v>
      </c>
    </row>
    <row r="1597" spans="1:2" x14ac:dyDescent="0.25">
      <c r="A1597" t="s">
        <v>544</v>
      </c>
      <c r="B1597" t="s">
        <v>11302</v>
      </c>
    </row>
    <row r="1598" spans="1:2" x14ac:dyDescent="0.25">
      <c r="A1598" t="s">
        <v>1337</v>
      </c>
      <c r="B1598" t="s">
        <v>11303</v>
      </c>
    </row>
    <row r="1599" spans="1:2" x14ac:dyDescent="0.25">
      <c r="A1599" t="s">
        <v>577</v>
      </c>
      <c r="B1599" t="s">
        <v>11304</v>
      </c>
    </row>
    <row r="1600" spans="1:2" x14ac:dyDescent="0.25">
      <c r="A1600" t="s">
        <v>580</v>
      </c>
      <c r="B1600" t="s">
        <v>11305</v>
      </c>
    </row>
    <row r="1601" spans="1:2" x14ac:dyDescent="0.25">
      <c r="A1601" t="s">
        <v>588</v>
      </c>
      <c r="B1601" t="s">
        <v>11306</v>
      </c>
    </row>
    <row r="1602" spans="1:2" x14ac:dyDescent="0.25">
      <c r="A1602" t="s">
        <v>1353</v>
      </c>
      <c r="B1602" t="s">
        <v>11307</v>
      </c>
    </row>
    <row r="1603" spans="1:2" x14ac:dyDescent="0.25">
      <c r="A1603" t="s">
        <v>2233</v>
      </c>
      <c r="B1603" t="s">
        <v>11308</v>
      </c>
    </row>
    <row r="1604" spans="1:2" x14ac:dyDescent="0.25">
      <c r="A1604" t="s">
        <v>2298</v>
      </c>
      <c r="B1604" t="s">
        <v>11309</v>
      </c>
    </row>
    <row r="1605" spans="1:2" x14ac:dyDescent="0.25">
      <c r="A1605" t="s">
        <v>2300</v>
      </c>
      <c r="B1605" t="s">
        <v>11310</v>
      </c>
    </row>
    <row r="1606" spans="1:2" x14ac:dyDescent="0.25">
      <c r="A1606" t="s">
        <v>479</v>
      </c>
      <c r="B1606" t="s">
        <v>11311</v>
      </c>
    </row>
    <row r="1607" spans="1:2" x14ac:dyDescent="0.25">
      <c r="A1607" t="s">
        <v>483</v>
      </c>
      <c r="B1607" t="s">
        <v>11312</v>
      </c>
    </row>
    <row r="1608" spans="1:2" x14ac:dyDescent="0.25">
      <c r="A1608" t="s">
        <v>487</v>
      </c>
      <c r="B1608" t="s">
        <v>11313</v>
      </c>
    </row>
    <row r="1609" spans="1:2" x14ac:dyDescent="0.25">
      <c r="A1609" t="s">
        <v>491</v>
      </c>
      <c r="B1609" t="s">
        <v>11314</v>
      </c>
    </row>
    <row r="1610" spans="1:2" x14ac:dyDescent="0.25">
      <c r="A1610" t="s">
        <v>494</v>
      </c>
      <c r="B1610" t="s">
        <v>11315</v>
      </c>
    </row>
    <row r="1611" spans="1:2" x14ac:dyDescent="0.25">
      <c r="A1611" t="s">
        <v>496</v>
      </c>
      <c r="B1611" t="s">
        <v>11316</v>
      </c>
    </row>
    <row r="1612" spans="1:2" x14ac:dyDescent="0.25">
      <c r="A1612" t="s">
        <v>1297</v>
      </c>
      <c r="B1612" t="s">
        <v>11317</v>
      </c>
    </row>
    <row r="1613" spans="1:2" x14ac:dyDescent="0.25">
      <c r="A1613" t="s">
        <v>1300</v>
      </c>
      <c r="B1613" t="s">
        <v>11318</v>
      </c>
    </row>
    <row r="1614" spans="1:2" x14ac:dyDescent="0.25">
      <c r="A1614" t="s">
        <v>1302</v>
      </c>
      <c r="B1614" t="s">
        <v>11319</v>
      </c>
    </row>
    <row r="1615" spans="1:2" x14ac:dyDescent="0.25">
      <c r="A1615" t="s">
        <v>1304</v>
      </c>
      <c r="B1615" t="s">
        <v>11320</v>
      </c>
    </row>
    <row r="1616" spans="1:2" x14ac:dyDescent="0.25">
      <c r="A1616" t="s">
        <v>1307</v>
      </c>
      <c r="B1616" t="s">
        <v>11321</v>
      </c>
    </row>
    <row r="1617" spans="1:2" x14ac:dyDescent="0.25">
      <c r="A1617" t="s">
        <v>1309</v>
      </c>
      <c r="B1617" t="s">
        <v>11322</v>
      </c>
    </row>
    <row r="1618" spans="1:2" x14ac:dyDescent="0.25">
      <c r="A1618" t="s">
        <v>2311</v>
      </c>
      <c r="B1618" t="s">
        <v>11323</v>
      </c>
    </row>
    <row r="1619" spans="1:2" x14ac:dyDescent="0.25">
      <c r="A1619" t="s">
        <v>498</v>
      </c>
      <c r="B1619" t="s">
        <v>11324</v>
      </c>
    </row>
    <row r="1620" spans="1:2" x14ac:dyDescent="0.25">
      <c r="A1620" t="s">
        <v>500</v>
      </c>
      <c r="B1620" t="s">
        <v>11325</v>
      </c>
    </row>
    <row r="1621" spans="1:2" x14ac:dyDescent="0.25">
      <c r="A1621" t="s">
        <v>2239</v>
      </c>
      <c r="B1621" t="s">
        <v>11326</v>
      </c>
    </row>
    <row r="1622" spans="1:2" x14ac:dyDescent="0.25">
      <c r="A1622" t="s">
        <v>1316</v>
      </c>
      <c r="B1622" t="s">
        <v>11327</v>
      </c>
    </row>
    <row r="1623" spans="1:2" x14ac:dyDescent="0.25">
      <c r="A1623" t="s">
        <v>502</v>
      </c>
      <c r="B1623" t="s">
        <v>11328</v>
      </c>
    </row>
    <row r="1624" spans="1:2" x14ac:dyDescent="0.25">
      <c r="A1624" t="s">
        <v>506</v>
      </c>
      <c r="B1624" t="s">
        <v>11329</v>
      </c>
    </row>
    <row r="1625" spans="1:2" x14ac:dyDescent="0.25">
      <c r="A1625" t="s">
        <v>510</v>
      </c>
      <c r="B1625" t="s">
        <v>11330</v>
      </c>
    </row>
    <row r="1626" spans="1:2" x14ac:dyDescent="0.25">
      <c r="A1626" t="s">
        <v>514</v>
      </c>
      <c r="B1626" t="s">
        <v>11331</v>
      </c>
    </row>
    <row r="1627" spans="1:2" x14ac:dyDescent="0.25">
      <c r="A1627" t="s">
        <v>518</v>
      </c>
      <c r="B1627" t="s">
        <v>11332</v>
      </c>
    </row>
    <row r="1628" spans="1:2" x14ac:dyDescent="0.25">
      <c r="A1628" t="s">
        <v>521</v>
      </c>
      <c r="B1628" t="s">
        <v>11333</v>
      </c>
    </row>
    <row r="1629" spans="1:2" x14ac:dyDescent="0.25">
      <c r="A1629" t="s">
        <v>523</v>
      </c>
      <c r="B1629" t="s">
        <v>11334</v>
      </c>
    </row>
    <row r="1630" spans="1:2" x14ac:dyDescent="0.25">
      <c r="A1630" t="s">
        <v>525</v>
      </c>
      <c r="B1630" t="s">
        <v>11335</v>
      </c>
    </row>
    <row r="1631" spans="1:2" x14ac:dyDescent="0.25">
      <c r="A1631" t="s">
        <v>527</v>
      </c>
      <c r="B1631" t="s">
        <v>11336</v>
      </c>
    </row>
    <row r="1632" spans="1:2" x14ac:dyDescent="0.25">
      <c r="A1632" t="s">
        <v>529</v>
      </c>
      <c r="B1632" t="s">
        <v>11337</v>
      </c>
    </row>
    <row r="1633" spans="1:2" x14ac:dyDescent="0.25">
      <c r="A1633" t="s">
        <v>531</v>
      </c>
      <c r="B1633" t="s">
        <v>11338</v>
      </c>
    </row>
    <row r="1634" spans="1:2" x14ac:dyDescent="0.25">
      <c r="A1634" t="s">
        <v>533</v>
      </c>
      <c r="B1634" t="s">
        <v>11339</v>
      </c>
    </row>
    <row r="1635" spans="1:2" x14ac:dyDescent="0.25">
      <c r="A1635" t="s">
        <v>535</v>
      </c>
      <c r="B1635" t="s">
        <v>11340</v>
      </c>
    </row>
    <row r="1636" spans="1:2" x14ac:dyDescent="0.25">
      <c r="A1636" t="s">
        <v>537</v>
      </c>
      <c r="B1636" t="s">
        <v>11341</v>
      </c>
    </row>
    <row r="1637" spans="1:2" x14ac:dyDescent="0.25">
      <c r="A1637" t="s">
        <v>540</v>
      </c>
      <c r="B1637" t="s">
        <v>11342</v>
      </c>
    </row>
    <row r="1638" spans="1:2" x14ac:dyDescent="0.25">
      <c r="A1638" t="s">
        <v>542</v>
      </c>
      <c r="B1638" t="s">
        <v>11343</v>
      </c>
    </row>
    <row r="1639" spans="1:2" x14ac:dyDescent="0.25">
      <c r="A1639" t="s">
        <v>544</v>
      </c>
      <c r="B1639" t="s">
        <v>11344</v>
      </c>
    </row>
    <row r="1640" spans="1:2" x14ac:dyDescent="0.25">
      <c r="A1640" t="s">
        <v>1337</v>
      </c>
      <c r="B1640" t="s">
        <v>11345</v>
      </c>
    </row>
    <row r="1641" spans="1:2" x14ac:dyDescent="0.25">
      <c r="A1641" t="s">
        <v>548</v>
      </c>
      <c r="B1641" t="s">
        <v>11346</v>
      </c>
    </row>
    <row r="1642" spans="1:2" x14ac:dyDescent="0.25">
      <c r="A1642" t="s">
        <v>3177</v>
      </c>
      <c r="B1642" t="s">
        <v>11347</v>
      </c>
    </row>
    <row r="1643" spans="1:2" x14ac:dyDescent="0.25">
      <c r="A1643" t="s">
        <v>1339</v>
      </c>
      <c r="B1643" t="s">
        <v>11348</v>
      </c>
    </row>
    <row r="1644" spans="1:2" x14ac:dyDescent="0.25">
      <c r="A1644" t="s">
        <v>1341</v>
      </c>
      <c r="B1644" t="s">
        <v>11349</v>
      </c>
    </row>
    <row r="1645" spans="1:2" x14ac:dyDescent="0.25">
      <c r="A1645" t="s">
        <v>1343</v>
      </c>
      <c r="B1645" t="s">
        <v>11350</v>
      </c>
    </row>
    <row r="1646" spans="1:2" x14ac:dyDescent="0.25">
      <c r="A1646" t="s">
        <v>6134</v>
      </c>
      <c r="B1646" t="s">
        <v>11351</v>
      </c>
    </row>
    <row r="1647" spans="1:2" x14ac:dyDescent="0.25">
      <c r="A1647" t="s">
        <v>550</v>
      </c>
      <c r="B1647" t="s">
        <v>11352</v>
      </c>
    </row>
    <row r="1648" spans="1:2" x14ac:dyDescent="0.25">
      <c r="A1648" t="s">
        <v>553</v>
      </c>
      <c r="B1648" t="s">
        <v>11353</v>
      </c>
    </row>
    <row r="1649" spans="1:2" x14ac:dyDescent="0.25">
      <c r="A1649" t="s">
        <v>555</v>
      </c>
      <c r="B1649" t="s">
        <v>11354</v>
      </c>
    </row>
    <row r="1650" spans="1:2" x14ac:dyDescent="0.25">
      <c r="A1650" t="s">
        <v>558</v>
      </c>
      <c r="B1650" t="s">
        <v>11355</v>
      </c>
    </row>
    <row r="1651" spans="1:2" x14ac:dyDescent="0.25">
      <c r="A1651" t="s">
        <v>561</v>
      </c>
      <c r="B1651" t="s">
        <v>11356</v>
      </c>
    </row>
    <row r="1652" spans="1:2" x14ac:dyDescent="0.25">
      <c r="A1652" t="s">
        <v>2416</v>
      </c>
      <c r="B1652" t="s">
        <v>11357</v>
      </c>
    </row>
    <row r="1653" spans="1:2" x14ac:dyDescent="0.25">
      <c r="A1653" t="s">
        <v>1345</v>
      </c>
      <c r="B1653" t="s">
        <v>11358</v>
      </c>
    </row>
    <row r="1654" spans="1:2" x14ac:dyDescent="0.25">
      <c r="A1654" t="s">
        <v>1347</v>
      </c>
      <c r="B1654" t="s">
        <v>11359</v>
      </c>
    </row>
    <row r="1655" spans="1:2" x14ac:dyDescent="0.25">
      <c r="A1655" t="s">
        <v>1349</v>
      </c>
      <c r="B1655" t="s">
        <v>11360</v>
      </c>
    </row>
    <row r="1656" spans="1:2" x14ac:dyDescent="0.25">
      <c r="A1656" t="s">
        <v>2252</v>
      </c>
      <c r="B1656" t="s">
        <v>11361</v>
      </c>
    </row>
    <row r="1657" spans="1:2" x14ac:dyDescent="0.25">
      <c r="A1657" t="s">
        <v>2254</v>
      </c>
      <c r="B1657" t="s">
        <v>11362</v>
      </c>
    </row>
    <row r="1658" spans="1:2" x14ac:dyDescent="0.25">
      <c r="A1658" t="s">
        <v>2256</v>
      </c>
      <c r="B1658" t="s">
        <v>11363</v>
      </c>
    </row>
    <row r="1659" spans="1:2" x14ac:dyDescent="0.25">
      <c r="A1659" t="s">
        <v>565</v>
      </c>
      <c r="B1659" t="s">
        <v>11364</v>
      </c>
    </row>
    <row r="1660" spans="1:2" x14ac:dyDescent="0.25">
      <c r="A1660" t="s">
        <v>567</v>
      </c>
      <c r="B1660" t="s">
        <v>11365</v>
      </c>
    </row>
    <row r="1661" spans="1:2" x14ac:dyDescent="0.25">
      <c r="A1661" t="s">
        <v>570</v>
      </c>
      <c r="B1661" t="s">
        <v>11366</v>
      </c>
    </row>
    <row r="1662" spans="1:2" x14ac:dyDescent="0.25">
      <c r="A1662" t="s">
        <v>574</v>
      </c>
      <c r="B1662" t="s">
        <v>11367</v>
      </c>
    </row>
    <row r="1663" spans="1:2" x14ac:dyDescent="0.25">
      <c r="A1663" t="s">
        <v>3118</v>
      </c>
      <c r="B1663" t="s">
        <v>11368</v>
      </c>
    </row>
    <row r="1664" spans="1:2" x14ac:dyDescent="0.25">
      <c r="A1664" t="s">
        <v>3120</v>
      </c>
      <c r="B1664" t="s">
        <v>11369</v>
      </c>
    </row>
    <row r="1665" spans="1:2" x14ac:dyDescent="0.25">
      <c r="A1665" t="s">
        <v>7255</v>
      </c>
      <c r="B1665" t="s">
        <v>11370</v>
      </c>
    </row>
    <row r="1666" spans="1:2" x14ac:dyDescent="0.25">
      <c r="A1666" t="s">
        <v>1351</v>
      </c>
      <c r="B1666" t="s">
        <v>11371</v>
      </c>
    </row>
    <row r="1667" spans="1:2" x14ac:dyDescent="0.25">
      <c r="A1667" t="s">
        <v>577</v>
      </c>
      <c r="B1667" t="s">
        <v>11372</v>
      </c>
    </row>
    <row r="1668" spans="1:2" x14ac:dyDescent="0.25">
      <c r="A1668" t="s">
        <v>580</v>
      </c>
      <c r="B1668" t="s">
        <v>11373</v>
      </c>
    </row>
    <row r="1669" spans="1:2" x14ac:dyDescent="0.25">
      <c r="A1669" t="s">
        <v>582</v>
      </c>
      <c r="B1669" t="s">
        <v>11374</v>
      </c>
    </row>
    <row r="1670" spans="1:2" x14ac:dyDescent="0.25">
      <c r="A1670" t="s">
        <v>586</v>
      </c>
      <c r="B1670" t="s">
        <v>11375</v>
      </c>
    </row>
    <row r="1671" spans="1:2" x14ac:dyDescent="0.25">
      <c r="A1671" t="s">
        <v>632</v>
      </c>
      <c r="B1671" t="s">
        <v>11376</v>
      </c>
    </row>
    <row r="1672" spans="1:2" x14ac:dyDescent="0.25">
      <c r="A1672" t="s">
        <v>634</v>
      </c>
      <c r="B1672" t="s">
        <v>11377</v>
      </c>
    </row>
    <row r="1673" spans="1:2" x14ac:dyDescent="0.25">
      <c r="A1673" t="s">
        <v>636</v>
      </c>
      <c r="B1673" t="s">
        <v>11378</v>
      </c>
    </row>
    <row r="1674" spans="1:2" x14ac:dyDescent="0.25">
      <c r="A1674" t="s">
        <v>638</v>
      </c>
      <c r="B1674" t="s">
        <v>11379</v>
      </c>
    </row>
    <row r="1675" spans="1:2" x14ac:dyDescent="0.25">
      <c r="A1675" t="s">
        <v>640</v>
      </c>
      <c r="B1675" t="s">
        <v>11380</v>
      </c>
    </row>
    <row r="1676" spans="1:2" x14ac:dyDescent="0.25">
      <c r="A1676" t="s">
        <v>642</v>
      </c>
      <c r="B1676" t="s">
        <v>11381</v>
      </c>
    </row>
    <row r="1677" spans="1:2" x14ac:dyDescent="0.25">
      <c r="A1677" t="s">
        <v>644</v>
      </c>
      <c r="B1677" t="s">
        <v>11382</v>
      </c>
    </row>
    <row r="1678" spans="1:2" x14ac:dyDescent="0.25">
      <c r="A1678" t="s">
        <v>646</v>
      </c>
      <c r="B1678" t="s">
        <v>11383</v>
      </c>
    </row>
    <row r="1679" spans="1:2" x14ac:dyDescent="0.25">
      <c r="A1679" t="s">
        <v>648</v>
      </c>
      <c r="B1679" t="s">
        <v>11384</v>
      </c>
    </row>
    <row r="1680" spans="1:2" x14ac:dyDescent="0.25">
      <c r="A1680" t="s">
        <v>11385</v>
      </c>
      <c r="B1680" t="s">
        <v>11386</v>
      </c>
    </row>
    <row r="1681" spans="1:2" x14ac:dyDescent="0.25">
      <c r="A1681" t="s">
        <v>11387</v>
      </c>
      <c r="B1681" t="s">
        <v>11388</v>
      </c>
    </row>
    <row r="1682" spans="1:2" x14ac:dyDescent="0.25">
      <c r="A1682" t="s">
        <v>11389</v>
      </c>
      <c r="B1682" t="s">
        <v>11390</v>
      </c>
    </row>
    <row r="1683" spans="1:2" x14ac:dyDescent="0.25">
      <c r="A1683" t="s">
        <v>650</v>
      </c>
      <c r="B1683" t="s">
        <v>11391</v>
      </c>
    </row>
    <row r="1684" spans="1:2" x14ac:dyDescent="0.25">
      <c r="A1684" t="s">
        <v>653</v>
      </c>
      <c r="B1684" t="s">
        <v>11392</v>
      </c>
    </row>
    <row r="1685" spans="1:2" x14ac:dyDescent="0.25">
      <c r="A1685" t="s">
        <v>655</v>
      </c>
      <c r="B1685" t="s">
        <v>11393</v>
      </c>
    </row>
    <row r="1686" spans="1:2" x14ac:dyDescent="0.25">
      <c r="A1686" t="s">
        <v>657</v>
      </c>
      <c r="B1686" t="s">
        <v>11394</v>
      </c>
    </row>
    <row r="1687" spans="1:2" x14ac:dyDescent="0.25">
      <c r="A1687" t="s">
        <v>659</v>
      </c>
      <c r="B1687" t="s">
        <v>11395</v>
      </c>
    </row>
    <row r="1688" spans="1:2" x14ac:dyDescent="0.25">
      <c r="A1688" t="s">
        <v>661</v>
      </c>
      <c r="B1688" t="s">
        <v>11396</v>
      </c>
    </row>
    <row r="1689" spans="1:2" x14ac:dyDescent="0.25">
      <c r="A1689" t="s">
        <v>663</v>
      </c>
      <c r="B1689" t="s">
        <v>11397</v>
      </c>
    </row>
    <row r="1690" spans="1:2" x14ac:dyDescent="0.25">
      <c r="A1690" t="s">
        <v>665</v>
      </c>
      <c r="B1690" t="s">
        <v>11398</v>
      </c>
    </row>
    <row r="1691" spans="1:2" x14ac:dyDescent="0.25">
      <c r="A1691" t="s">
        <v>667</v>
      </c>
      <c r="B1691" t="s">
        <v>11399</v>
      </c>
    </row>
    <row r="1692" spans="1:2" x14ac:dyDescent="0.25">
      <c r="A1692" t="s">
        <v>669</v>
      </c>
      <c r="B1692" t="s">
        <v>11400</v>
      </c>
    </row>
    <row r="1693" spans="1:2" x14ac:dyDescent="0.25">
      <c r="A1693" t="s">
        <v>671</v>
      </c>
      <c r="B1693" t="s">
        <v>11401</v>
      </c>
    </row>
    <row r="1694" spans="1:2" x14ac:dyDescent="0.25">
      <c r="A1694" t="s">
        <v>2460</v>
      </c>
      <c r="B1694" t="s">
        <v>11402</v>
      </c>
    </row>
    <row r="1695" spans="1:2" x14ac:dyDescent="0.25">
      <c r="A1695" t="s">
        <v>2462</v>
      </c>
      <c r="B1695" t="s">
        <v>11403</v>
      </c>
    </row>
    <row r="1696" spans="1:2" x14ac:dyDescent="0.25">
      <c r="A1696" t="s">
        <v>2464</v>
      </c>
      <c r="B1696" t="s">
        <v>11404</v>
      </c>
    </row>
    <row r="1697" spans="1:2" x14ac:dyDescent="0.25">
      <c r="A1697" t="s">
        <v>2466</v>
      </c>
      <c r="B1697" t="s">
        <v>11405</v>
      </c>
    </row>
    <row r="1698" spans="1:2" x14ac:dyDescent="0.25">
      <c r="A1698" t="s">
        <v>2468</v>
      </c>
      <c r="B1698" t="s">
        <v>11406</v>
      </c>
    </row>
    <row r="1699" spans="1:2" x14ac:dyDescent="0.25">
      <c r="A1699" t="s">
        <v>673</v>
      </c>
      <c r="B1699" t="s">
        <v>11407</v>
      </c>
    </row>
    <row r="1700" spans="1:2" x14ac:dyDescent="0.25">
      <c r="A1700" t="s">
        <v>11408</v>
      </c>
      <c r="B1700" t="s">
        <v>11409</v>
      </c>
    </row>
    <row r="1701" spans="1:2" x14ac:dyDescent="0.25">
      <c r="A1701" t="s">
        <v>11410</v>
      </c>
      <c r="B1701" t="s">
        <v>11411</v>
      </c>
    </row>
    <row r="1702" spans="1:2" x14ac:dyDescent="0.25">
      <c r="A1702" t="s">
        <v>11412</v>
      </c>
      <c r="B1702" t="s">
        <v>11413</v>
      </c>
    </row>
    <row r="1703" spans="1:2" x14ac:dyDescent="0.25">
      <c r="A1703" t="s">
        <v>676</v>
      </c>
      <c r="B1703" t="s">
        <v>11414</v>
      </c>
    </row>
    <row r="1704" spans="1:2" x14ac:dyDescent="0.25">
      <c r="A1704" t="s">
        <v>678</v>
      </c>
      <c r="B1704" t="s">
        <v>11415</v>
      </c>
    </row>
    <row r="1705" spans="1:2" x14ac:dyDescent="0.25">
      <c r="A1705" t="s">
        <v>681</v>
      </c>
      <c r="B1705" t="s">
        <v>11416</v>
      </c>
    </row>
    <row r="1706" spans="1:2" x14ac:dyDescent="0.25">
      <c r="A1706" t="s">
        <v>684</v>
      </c>
      <c r="B1706" t="s">
        <v>11417</v>
      </c>
    </row>
    <row r="1707" spans="1:2" x14ac:dyDescent="0.25">
      <c r="A1707" t="s">
        <v>2538</v>
      </c>
      <c r="B1707" t="s">
        <v>11418</v>
      </c>
    </row>
    <row r="1708" spans="1:2" x14ac:dyDescent="0.25">
      <c r="A1708" t="s">
        <v>2540</v>
      </c>
      <c r="B1708" t="s">
        <v>11419</v>
      </c>
    </row>
    <row r="1709" spans="1:2" x14ac:dyDescent="0.25">
      <c r="A1709" t="s">
        <v>2543</v>
      </c>
      <c r="B1709" t="s">
        <v>11420</v>
      </c>
    </row>
    <row r="1710" spans="1:2" x14ac:dyDescent="0.25">
      <c r="A1710" t="s">
        <v>3049</v>
      </c>
      <c r="B1710" t="s">
        <v>11421</v>
      </c>
    </row>
    <row r="1711" spans="1:2" x14ac:dyDescent="0.25">
      <c r="A1711" t="s">
        <v>2765</v>
      </c>
      <c r="B1711" t="s">
        <v>11422</v>
      </c>
    </row>
    <row r="1712" spans="1:2" x14ac:dyDescent="0.25">
      <c r="A1712" t="s">
        <v>3053</v>
      </c>
      <c r="B1712" t="s">
        <v>11423</v>
      </c>
    </row>
    <row r="1713" spans="1:2" x14ac:dyDescent="0.25">
      <c r="A1713" t="s">
        <v>2768</v>
      </c>
      <c r="B1713" t="s">
        <v>11424</v>
      </c>
    </row>
    <row r="1714" spans="1:2" x14ac:dyDescent="0.25">
      <c r="A1714" t="s">
        <v>2771</v>
      </c>
      <c r="B1714" t="s">
        <v>11425</v>
      </c>
    </row>
    <row r="1715" spans="1:2" x14ac:dyDescent="0.25">
      <c r="A1715" t="s">
        <v>2470</v>
      </c>
      <c r="B1715" t="s">
        <v>11426</v>
      </c>
    </row>
    <row r="1716" spans="1:2" x14ac:dyDescent="0.25">
      <c r="A1716" t="s">
        <v>2475</v>
      </c>
      <c r="B1716" t="s">
        <v>11427</v>
      </c>
    </row>
    <row r="1717" spans="1:2" x14ac:dyDescent="0.25">
      <c r="A1717" t="s">
        <v>2477</v>
      </c>
      <c r="B1717" t="s">
        <v>11428</v>
      </c>
    </row>
    <row r="1718" spans="1:2" x14ac:dyDescent="0.25">
      <c r="A1718" t="s">
        <v>2479</v>
      </c>
      <c r="B1718" t="s">
        <v>11429</v>
      </c>
    </row>
    <row r="1719" spans="1:2" x14ac:dyDescent="0.25">
      <c r="A1719" t="s">
        <v>686</v>
      </c>
      <c r="B1719" t="s">
        <v>11430</v>
      </c>
    </row>
    <row r="1720" spans="1:2" x14ac:dyDescent="0.25">
      <c r="A1720" t="s">
        <v>689</v>
      </c>
      <c r="B1720" t="s">
        <v>11431</v>
      </c>
    </row>
    <row r="1721" spans="1:2" x14ac:dyDescent="0.25">
      <c r="A1721" t="s">
        <v>692</v>
      </c>
      <c r="B1721" t="s">
        <v>11432</v>
      </c>
    </row>
    <row r="1722" spans="1:2" x14ac:dyDescent="0.25">
      <c r="A1722" t="s">
        <v>695</v>
      </c>
      <c r="B1722" t="s">
        <v>11433</v>
      </c>
    </row>
    <row r="1723" spans="1:2" x14ac:dyDescent="0.25">
      <c r="A1723" t="s">
        <v>697</v>
      </c>
      <c r="B1723" t="s">
        <v>11434</v>
      </c>
    </row>
    <row r="1724" spans="1:2" x14ac:dyDescent="0.25">
      <c r="A1724" t="s">
        <v>2483</v>
      </c>
      <c r="B1724" t="s">
        <v>11435</v>
      </c>
    </row>
    <row r="1725" spans="1:2" x14ac:dyDescent="0.25">
      <c r="A1725" t="s">
        <v>2485</v>
      </c>
      <c r="B1725" t="s">
        <v>11436</v>
      </c>
    </row>
    <row r="1726" spans="1:2" x14ac:dyDescent="0.25">
      <c r="A1726" t="s">
        <v>2487</v>
      </c>
      <c r="B1726" t="s">
        <v>11437</v>
      </c>
    </row>
    <row r="1727" spans="1:2" x14ac:dyDescent="0.25">
      <c r="A1727" t="s">
        <v>700</v>
      </c>
      <c r="B1727" t="s">
        <v>11438</v>
      </c>
    </row>
    <row r="1728" spans="1:2" x14ac:dyDescent="0.25">
      <c r="A1728" t="s">
        <v>704</v>
      </c>
      <c r="B1728" t="s">
        <v>11439</v>
      </c>
    </row>
    <row r="1729" spans="1:2" x14ac:dyDescent="0.25">
      <c r="A1729" t="s">
        <v>708</v>
      </c>
      <c r="B1729" t="s">
        <v>11440</v>
      </c>
    </row>
    <row r="1730" spans="1:2" x14ac:dyDescent="0.25">
      <c r="A1730" t="s">
        <v>711</v>
      </c>
      <c r="B1730" t="s">
        <v>11441</v>
      </c>
    </row>
    <row r="1731" spans="1:2" x14ac:dyDescent="0.25">
      <c r="A1731" t="s">
        <v>715</v>
      </c>
      <c r="B1731" t="s">
        <v>11442</v>
      </c>
    </row>
    <row r="1732" spans="1:2" x14ac:dyDescent="0.25">
      <c r="A1732" t="s">
        <v>718</v>
      </c>
      <c r="B1732" t="s">
        <v>11443</v>
      </c>
    </row>
    <row r="1733" spans="1:2" x14ac:dyDescent="0.25">
      <c r="A1733" t="s">
        <v>720</v>
      </c>
      <c r="B1733" t="s">
        <v>11444</v>
      </c>
    </row>
    <row r="1734" spans="1:2" x14ac:dyDescent="0.25">
      <c r="A1734" t="s">
        <v>11445</v>
      </c>
      <c r="B1734" t="s">
        <v>11446</v>
      </c>
    </row>
    <row r="1735" spans="1:2" x14ac:dyDescent="0.25">
      <c r="A1735" t="s">
        <v>2794</v>
      </c>
      <c r="B1735" t="s">
        <v>11447</v>
      </c>
    </row>
    <row r="1736" spans="1:2" x14ac:dyDescent="0.25">
      <c r="A1736" t="s">
        <v>2796</v>
      </c>
      <c r="B1736" t="s">
        <v>11448</v>
      </c>
    </row>
    <row r="1737" spans="1:2" x14ac:dyDescent="0.25">
      <c r="A1737" t="s">
        <v>3230</v>
      </c>
      <c r="B1737" t="s">
        <v>11449</v>
      </c>
    </row>
    <row r="1738" spans="1:2" x14ac:dyDescent="0.25">
      <c r="A1738" t="s">
        <v>3233</v>
      </c>
      <c r="B1738" t="s">
        <v>11450</v>
      </c>
    </row>
    <row r="1739" spans="1:2" x14ac:dyDescent="0.25">
      <c r="A1739" t="s">
        <v>3235</v>
      </c>
      <c r="B1739" t="s">
        <v>11451</v>
      </c>
    </row>
    <row r="1740" spans="1:2" x14ac:dyDescent="0.25">
      <c r="A1740" t="s">
        <v>3237</v>
      </c>
      <c r="B1740" t="s">
        <v>11452</v>
      </c>
    </row>
    <row r="1741" spans="1:2" x14ac:dyDescent="0.25">
      <c r="A1741" t="s">
        <v>722</v>
      </c>
      <c r="B1741" t="s">
        <v>11453</v>
      </c>
    </row>
    <row r="1742" spans="1:2" x14ac:dyDescent="0.25">
      <c r="A1742" t="s">
        <v>724</v>
      </c>
      <c r="B1742" t="s">
        <v>11454</v>
      </c>
    </row>
    <row r="1743" spans="1:2" x14ac:dyDescent="0.25">
      <c r="A1743" t="s">
        <v>3241</v>
      </c>
      <c r="B1743" t="s">
        <v>11455</v>
      </c>
    </row>
    <row r="1744" spans="1:2" x14ac:dyDescent="0.25">
      <c r="A1744" t="s">
        <v>11456</v>
      </c>
      <c r="B1744" t="s">
        <v>11457</v>
      </c>
    </row>
    <row r="1745" spans="1:2" x14ac:dyDescent="0.25">
      <c r="A1745" t="s">
        <v>11458</v>
      </c>
      <c r="B1745" t="s">
        <v>11459</v>
      </c>
    </row>
    <row r="1746" spans="1:2" x14ac:dyDescent="0.25">
      <c r="A1746" t="s">
        <v>11460</v>
      </c>
      <c r="B1746" t="s">
        <v>11461</v>
      </c>
    </row>
    <row r="1747" spans="1:2" x14ac:dyDescent="0.25">
      <c r="A1747" t="s">
        <v>726</v>
      </c>
      <c r="B1747" t="s">
        <v>11462</v>
      </c>
    </row>
    <row r="1748" spans="1:2" x14ac:dyDescent="0.25">
      <c r="A1748" t="s">
        <v>729</v>
      </c>
      <c r="B1748" t="s">
        <v>11463</v>
      </c>
    </row>
    <row r="1749" spans="1:2" x14ac:dyDescent="0.25">
      <c r="A1749" t="s">
        <v>733</v>
      </c>
      <c r="B1749" t="s">
        <v>11464</v>
      </c>
    </row>
    <row r="1750" spans="1:2" x14ac:dyDescent="0.25">
      <c r="A1750" t="s">
        <v>11465</v>
      </c>
      <c r="B1750" t="s">
        <v>11466</v>
      </c>
    </row>
    <row r="1751" spans="1:2" x14ac:dyDescent="0.25">
      <c r="A1751" t="s">
        <v>11467</v>
      </c>
      <c r="B1751" t="s">
        <v>11468</v>
      </c>
    </row>
    <row r="1752" spans="1:2" x14ac:dyDescent="0.25">
      <c r="A1752" t="s">
        <v>11469</v>
      </c>
      <c r="B1752" t="s">
        <v>11470</v>
      </c>
    </row>
    <row r="1753" spans="1:2" x14ac:dyDescent="0.25">
      <c r="A1753" t="s">
        <v>11471</v>
      </c>
      <c r="B1753" t="s">
        <v>11472</v>
      </c>
    </row>
    <row r="1754" spans="1:2" x14ac:dyDescent="0.25">
      <c r="A1754" t="s">
        <v>11473</v>
      </c>
      <c r="B1754" t="s">
        <v>11474</v>
      </c>
    </row>
    <row r="1755" spans="1:2" x14ac:dyDescent="0.25">
      <c r="A1755" t="s">
        <v>736</v>
      </c>
      <c r="B1755" t="s">
        <v>11475</v>
      </c>
    </row>
    <row r="1756" spans="1:2" x14ac:dyDescent="0.25">
      <c r="A1756" t="s">
        <v>739</v>
      </c>
      <c r="B1756" t="s">
        <v>11476</v>
      </c>
    </row>
    <row r="1757" spans="1:2" x14ac:dyDescent="0.25">
      <c r="A1757" t="s">
        <v>741</v>
      </c>
      <c r="B1757" t="s">
        <v>11477</v>
      </c>
    </row>
    <row r="1758" spans="1:2" x14ac:dyDescent="0.25">
      <c r="A1758" t="s">
        <v>744</v>
      </c>
      <c r="B1758" t="s">
        <v>11478</v>
      </c>
    </row>
    <row r="1759" spans="1:2" x14ac:dyDescent="0.25">
      <c r="A1759" t="s">
        <v>746</v>
      </c>
      <c r="B1759" t="s">
        <v>11479</v>
      </c>
    </row>
    <row r="1760" spans="1:2" x14ac:dyDescent="0.25">
      <c r="A1760" t="s">
        <v>748</v>
      </c>
      <c r="B1760" t="s">
        <v>11480</v>
      </c>
    </row>
    <row r="1761" spans="1:2" x14ac:dyDescent="0.25">
      <c r="A1761" t="s">
        <v>750</v>
      </c>
      <c r="B1761" t="s">
        <v>11481</v>
      </c>
    </row>
    <row r="1762" spans="1:2" x14ac:dyDescent="0.25">
      <c r="A1762" t="s">
        <v>752</v>
      </c>
      <c r="B1762" t="s">
        <v>11482</v>
      </c>
    </row>
    <row r="1763" spans="1:2" x14ac:dyDescent="0.25">
      <c r="A1763" t="s">
        <v>755</v>
      </c>
      <c r="B1763" t="s">
        <v>11483</v>
      </c>
    </row>
    <row r="1764" spans="1:2" x14ac:dyDescent="0.25">
      <c r="A1764" t="s">
        <v>758</v>
      </c>
      <c r="B1764" t="s">
        <v>11484</v>
      </c>
    </row>
    <row r="1765" spans="1:2" x14ac:dyDescent="0.25">
      <c r="A1765" t="s">
        <v>760</v>
      </c>
      <c r="B1765" t="s">
        <v>11485</v>
      </c>
    </row>
    <row r="1766" spans="1:2" x14ac:dyDescent="0.25">
      <c r="A1766" t="s">
        <v>763</v>
      </c>
      <c r="B1766" t="s">
        <v>11486</v>
      </c>
    </row>
    <row r="1767" spans="1:2" x14ac:dyDescent="0.25">
      <c r="A1767" t="s">
        <v>765</v>
      </c>
      <c r="B1767" t="s">
        <v>11487</v>
      </c>
    </row>
    <row r="1768" spans="1:2" x14ac:dyDescent="0.25">
      <c r="A1768" t="s">
        <v>768</v>
      </c>
      <c r="B1768" t="s">
        <v>11488</v>
      </c>
    </row>
    <row r="1769" spans="1:2" x14ac:dyDescent="0.25">
      <c r="A1769" t="s">
        <v>771</v>
      </c>
      <c r="B1769" t="s">
        <v>11489</v>
      </c>
    </row>
    <row r="1770" spans="1:2" x14ac:dyDescent="0.25">
      <c r="A1770" t="s">
        <v>773</v>
      </c>
      <c r="B1770" t="s">
        <v>11490</v>
      </c>
    </row>
    <row r="1771" spans="1:2" x14ac:dyDescent="0.25">
      <c r="A1771" t="s">
        <v>775</v>
      </c>
      <c r="B1771" t="s">
        <v>11491</v>
      </c>
    </row>
    <row r="1772" spans="1:2" x14ac:dyDescent="0.25">
      <c r="A1772" t="s">
        <v>777</v>
      </c>
      <c r="B1772" t="s">
        <v>11492</v>
      </c>
    </row>
    <row r="1773" spans="1:2" x14ac:dyDescent="0.25">
      <c r="A1773" t="s">
        <v>780</v>
      </c>
      <c r="B1773" t="s">
        <v>11493</v>
      </c>
    </row>
    <row r="1774" spans="1:2" x14ac:dyDescent="0.25">
      <c r="A1774" t="s">
        <v>2561</v>
      </c>
      <c r="B1774" t="s">
        <v>11494</v>
      </c>
    </row>
    <row r="1775" spans="1:2" x14ac:dyDescent="0.25">
      <c r="A1775" t="s">
        <v>799</v>
      </c>
      <c r="B1775" t="s">
        <v>11495</v>
      </c>
    </row>
    <row r="1776" spans="1:2" x14ac:dyDescent="0.25">
      <c r="A1776" t="s">
        <v>11496</v>
      </c>
      <c r="B1776" t="s">
        <v>11497</v>
      </c>
    </row>
    <row r="1777" spans="1:2" x14ac:dyDescent="0.25">
      <c r="A1777" t="s">
        <v>802</v>
      </c>
      <c r="B1777" t="s">
        <v>11498</v>
      </c>
    </row>
    <row r="1778" spans="1:2" x14ac:dyDescent="0.25">
      <c r="A1778" t="s">
        <v>11499</v>
      </c>
      <c r="B1778" t="s">
        <v>11500</v>
      </c>
    </row>
    <row r="1779" spans="1:2" x14ac:dyDescent="0.25">
      <c r="A1779" t="s">
        <v>804</v>
      </c>
      <c r="B1779" t="s">
        <v>11501</v>
      </c>
    </row>
    <row r="1780" spans="1:2" x14ac:dyDescent="0.25">
      <c r="A1780" t="s">
        <v>807</v>
      </c>
      <c r="B1780" t="s">
        <v>11502</v>
      </c>
    </row>
    <row r="1781" spans="1:2" x14ac:dyDescent="0.25">
      <c r="A1781" t="s">
        <v>810</v>
      </c>
      <c r="B1781" t="s">
        <v>11503</v>
      </c>
    </row>
    <row r="1782" spans="1:2" x14ac:dyDescent="0.25">
      <c r="A1782" t="s">
        <v>813</v>
      </c>
      <c r="B1782" t="s">
        <v>11504</v>
      </c>
    </row>
    <row r="1783" spans="1:2" x14ac:dyDescent="0.25">
      <c r="A1783" t="s">
        <v>816</v>
      </c>
      <c r="B1783" t="s">
        <v>11505</v>
      </c>
    </row>
    <row r="1784" spans="1:2" x14ac:dyDescent="0.25">
      <c r="A1784" t="s">
        <v>820</v>
      </c>
      <c r="B1784" t="s">
        <v>11506</v>
      </c>
    </row>
    <row r="1785" spans="1:2" x14ac:dyDescent="0.25">
      <c r="A1785" t="s">
        <v>822</v>
      </c>
      <c r="B1785" t="s">
        <v>11507</v>
      </c>
    </row>
    <row r="1786" spans="1:2" x14ac:dyDescent="0.25">
      <c r="A1786" t="s">
        <v>824</v>
      </c>
      <c r="B1786" t="s">
        <v>11508</v>
      </c>
    </row>
    <row r="1787" spans="1:2" x14ac:dyDescent="0.25">
      <c r="A1787" t="s">
        <v>2279</v>
      </c>
      <c r="B1787" t="s">
        <v>11509</v>
      </c>
    </row>
    <row r="1788" spans="1:2" x14ac:dyDescent="0.25">
      <c r="A1788" t="s">
        <v>2820</v>
      </c>
      <c r="B1788" t="s">
        <v>11510</v>
      </c>
    </row>
    <row r="1789" spans="1:2" x14ac:dyDescent="0.25">
      <c r="A1789" t="s">
        <v>11511</v>
      </c>
      <c r="B1789" t="s">
        <v>11512</v>
      </c>
    </row>
    <row r="1790" spans="1:2" x14ac:dyDescent="0.25">
      <c r="A1790" t="s">
        <v>11513</v>
      </c>
      <c r="B1790" t="s">
        <v>11514</v>
      </c>
    </row>
    <row r="1791" spans="1:2" x14ac:dyDescent="0.25">
      <c r="A1791" t="s">
        <v>826</v>
      </c>
      <c r="B1791" t="s">
        <v>11515</v>
      </c>
    </row>
    <row r="1792" spans="1:2" x14ac:dyDescent="0.25">
      <c r="A1792" t="s">
        <v>828</v>
      </c>
      <c r="B1792" t="s">
        <v>11516</v>
      </c>
    </row>
    <row r="1793" spans="1:2" x14ac:dyDescent="0.25">
      <c r="A1793" t="s">
        <v>830</v>
      </c>
      <c r="B1793" t="s">
        <v>11517</v>
      </c>
    </row>
    <row r="1794" spans="1:2" x14ac:dyDescent="0.25">
      <c r="A1794" t="s">
        <v>832</v>
      </c>
      <c r="B1794" t="s">
        <v>11518</v>
      </c>
    </row>
    <row r="1795" spans="1:2" x14ac:dyDescent="0.25">
      <c r="A1795" t="s">
        <v>834</v>
      </c>
      <c r="B1795" t="s">
        <v>11519</v>
      </c>
    </row>
    <row r="1796" spans="1:2" x14ac:dyDescent="0.25">
      <c r="A1796" t="s">
        <v>836</v>
      </c>
      <c r="B1796" t="s">
        <v>11520</v>
      </c>
    </row>
    <row r="1797" spans="1:2" x14ac:dyDescent="0.25">
      <c r="A1797" t="s">
        <v>838</v>
      </c>
      <c r="B1797" t="s">
        <v>11521</v>
      </c>
    </row>
    <row r="1798" spans="1:2" x14ac:dyDescent="0.25">
      <c r="A1798" t="s">
        <v>840</v>
      </c>
      <c r="B1798" t="s">
        <v>11522</v>
      </c>
    </row>
    <row r="1799" spans="1:2" x14ac:dyDescent="0.25">
      <c r="A1799" t="s">
        <v>842</v>
      </c>
      <c r="B1799" t="s">
        <v>11523</v>
      </c>
    </row>
    <row r="1800" spans="1:2" x14ac:dyDescent="0.25">
      <c r="A1800" t="s">
        <v>844</v>
      </c>
      <c r="B1800" t="s">
        <v>11524</v>
      </c>
    </row>
    <row r="1801" spans="1:2" x14ac:dyDescent="0.25">
      <c r="A1801" t="s">
        <v>846</v>
      </c>
      <c r="B1801" t="s">
        <v>11525</v>
      </c>
    </row>
    <row r="1802" spans="1:2" x14ac:dyDescent="0.25">
      <c r="A1802" t="s">
        <v>848</v>
      </c>
      <c r="B1802" t="s">
        <v>11526</v>
      </c>
    </row>
    <row r="1803" spans="1:2" x14ac:dyDescent="0.25">
      <c r="A1803" t="s">
        <v>850</v>
      </c>
      <c r="B1803" t="s">
        <v>11527</v>
      </c>
    </row>
    <row r="1804" spans="1:2" x14ac:dyDescent="0.25">
      <c r="A1804" t="s">
        <v>852</v>
      </c>
      <c r="B1804" t="s">
        <v>11528</v>
      </c>
    </row>
    <row r="1805" spans="1:2" x14ac:dyDescent="0.25">
      <c r="A1805" t="s">
        <v>854</v>
      </c>
      <c r="B1805" t="s">
        <v>11529</v>
      </c>
    </row>
    <row r="1806" spans="1:2" x14ac:dyDescent="0.25">
      <c r="A1806" t="s">
        <v>856</v>
      </c>
      <c r="B1806" t="s">
        <v>11530</v>
      </c>
    </row>
    <row r="1807" spans="1:2" x14ac:dyDescent="0.25">
      <c r="A1807" t="s">
        <v>858</v>
      </c>
      <c r="B1807" t="s">
        <v>11531</v>
      </c>
    </row>
    <row r="1808" spans="1:2" x14ac:dyDescent="0.25">
      <c r="A1808" t="s">
        <v>860</v>
      </c>
      <c r="B1808" t="s">
        <v>11532</v>
      </c>
    </row>
    <row r="1809" spans="1:2" x14ac:dyDescent="0.25">
      <c r="A1809" t="s">
        <v>862</v>
      </c>
      <c r="B1809" t="s">
        <v>11533</v>
      </c>
    </row>
    <row r="1810" spans="1:2" x14ac:dyDescent="0.25">
      <c r="A1810" t="s">
        <v>864</v>
      </c>
      <c r="B1810" t="s">
        <v>11534</v>
      </c>
    </row>
    <row r="1811" spans="1:2" x14ac:dyDescent="0.25">
      <c r="A1811" t="s">
        <v>867</v>
      </c>
      <c r="B1811" t="s">
        <v>11535</v>
      </c>
    </row>
    <row r="1812" spans="1:2" x14ac:dyDescent="0.25">
      <c r="A1812" t="s">
        <v>869</v>
      </c>
      <c r="B1812" t="s">
        <v>11536</v>
      </c>
    </row>
    <row r="1813" spans="1:2" x14ac:dyDescent="0.25">
      <c r="A1813" t="s">
        <v>871</v>
      </c>
      <c r="B1813" t="s">
        <v>11537</v>
      </c>
    </row>
    <row r="1814" spans="1:2" x14ac:dyDescent="0.25">
      <c r="A1814" t="s">
        <v>873</v>
      </c>
      <c r="B1814" t="s">
        <v>11538</v>
      </c>
    </row>
    <row r="1815" spans="1:2" x14ac:dyDescent="0.25">
      <c r="A1815" t="s">
        <v>875</v>
      </c>
      <c r="B1815" t="s">
        <v>11539</v>
      </c>
    </row>
    <row r="1816" spans="1:2" x14ac:dyDescent="0.25">
      <c r="A1816" t="s">
        <v>2346</v>
      </c>
      <c r="B1816" t="s">
        <v>11540</v>
      </c>
    </row>
    <row r="1817" spans="1:2" x14ac:dyDescent="0.25">
      <c r="A1817" t="s">
        <v>6948</v>
      </c>
      <c r="B1817" t="s">
        <v>11541</v>
      </c>
    </row>
    <row r="1818" spans="1:2" x14ac:dyDescent="0.25">
      <c r="A1818" t="s">
        <v>6950</v>
      </c>
      <c r="B1818" t="s">
        <v>11542</v>
      </c>
    </row>
    <row r="1819" spans="1:2" x14ac:dyDescent="0.25">
      <c r="A1819" t="s">
        <v>2348</v>
      </c>
      <c r="B1819" t="s">
        <v>11543</v>
      </c>
    </row>
    <row r="1820" spans="1:2" x14ac:dyDescent="0.25">
      <c r="A1820" t="s">
        <v>877</v>
      </c>
      <c r="B1820" t="s">
        <v>11544</v>
      </c>
    </row>
    <row r="1821" spans="1:2" x14ac:dyDescent="0.25">
      <c r="A1821" t="s">
        <v>879</v>
      </c>
      <c r="B1821" t="s">
        <v>11545</v>
      </c>
    </row>
    <row r="1822" spans="1:2" x14ac:dyDescent="0.25">
      <c r="A1822" t="s">
        <v>11546</v>
      </c>
      <c r="B1822" t="s">
        <v>11547</v>
      </c>
    </row>
    <row r="1823" spans="1:2" x14ac:dyDescent="0.25">
      <c r="A1823" t="s">
        <v>2350</v>
      </c>
      <c r="B1823" t="s">
        <v>11548</v>
      </c>
    </row>
    <row r="1824" spans="1:2" x14ac:dyDescent="0.25">
      <c r="A1824" t="s">
        <v>6954</v>
      </c>
      <c r="B1824" t="s">
        <v>11549</v>
      </c>
    </row>
    <row r="1825" spans="1:2" x14ac:dyDescent="0.25">
      <c r="A1825" t="s">
        <v>2352</v>
      </c>
      <c r="B1825" t="s">
        <v>11550</v>
      </c>
    </row>
    <row r="1826" spans="1:2" x14ac:dyDescent="0.25">
      <c r="A1826" t="s">
        <v>6957</v>
      </c>
      <c r="B1826" t="s">
        <v>11551</v>
      </c>
    </row>
    <row r="1827" spans="1:2" x14ac:dyDescent="0.25">
      <c r="A1827" t="s">
        <v>11552</v>
      </c>
      <c r="B1827" t="s">
        <v>11553</v>
      </c>
    </row>
    <row r="1828" spans="1:2" x14ac:dyDescent="0.25">
      <c r="A1828" t="s">
        <v>11554</v>
      </c>
      <c r="B1828" t="s">
        <v>11555</v>
      </c>
    </row>
    <row r="1829" spans="1:2" x14ac:dyDescent="0.25">
      <c r="A1829" t="s">
        <v>11556</v>
      </c>
      <c r="B1829" t="s">
        <v>11557</v>
      </c>
    </row>
    <row r="1830" spans="1:2" x14ac:dyDescent="0.25">
      <c r="A1830" t="s">
        <v>11558</v>
      </c>
      <c r="B1830" t="s">
        <v>11559</v>
      </c>
    </row>
    <row r="1831" spans="1:2" x14ac:dyDescent="0.25">
      <c r="A1831" t="s">
        <v>881</v>
      </c>
      <c r="B1831" t="s">
        <v>11560</v>
      </c>
    </row>
    <row r="1832" spans="1:2" x14ac:dyDescent="0.25">
      <c r="A1832" t="s">
        <v>884</v>
      </c>
      <c r="B1832" t="s">
        <v>11561</v>
      </c>
    </row>
    <row r="1833" spans="1:2" x14ac:dyDescent="0.25">
      <c r="A1833" t="s">
        <v>886</v>
      </c>
      <c r="B1833" t="s">
        <v>11562</v>
      </c>
    </row>
    <row r="1834" spans="1:2" x14ac:dyDescent="0.25">
      <c r="A1834" t="s">
        <v>888</v>
      </c>
      <c r="B1834" t="s">
        <v>11563</v>
      </c>
    </row>
    <row r="1835" spans="1:2" x14ac:dyDescent="0.25">
      <c r="A1835" t="s">
        <v>890</v>
      </c>
      <c r="B1835" t="s">
        <v>11564</v>
      </c>
    </row>
    <row r="1836" spans="1:2" x14ac:dyDescent="0.25">
      <c r="A1836" t="s">
        <v>892</v>
      </c>
      <c r="B1836" t="s">
        <v>11565</v>
      </c>
    </row>
    <row r="1837" spans="1:2" x14ac:dyDescent="0.25">
      <c r="A1837" t="s">
        <v>894</v>
      </c>
      <c r="B1837" t="s">
        <v>11566</v>
      </c>
    </row>
    <row r="1838" spans="1:2" x14ac:dyDescent="0.25">
      <c r="A1838" t="s">
        <v>897</v>
      </c>
      <c r="B1838" t="s">
        <v>11567</v>
      </c>
    </row>
    <row r="1839" spans="1:2" x14ac:dyDescent="0.25">
      <c r="A1839" t="s">
        <v>900</v>
      </c>
      <c r="B1839" t="s">
        <v>11568</v>
      </c>
    </row>
    <row r="1840" spans="1:2" x14ac:dyDescent="0.25">
      <c r="A1840" t="s">
        <v>903</v>
      </c>
      <c r="B1840" t="s">
        <v>11569</v>
      </c>
    </row>
    <row r="1841" spans="1:2" x14ac:dyDescent="0.25">
      <c r="A1841" t="s">
        <v>905</v>
      </c>
      <c r="B1841" t="s">
        <v>11570</v>
      </c>
    </row>
    <row r="1842" spans="1:2" x14ac:dyDescent="0.25">
      <c r="A1842" t="s">
        <v>907</v>
      </c>
      <c r="B1842" t="s">
        <v>11571</v>
      </c>
    </row>
    <row r="1843" spans="1:2" x14ac:dyDescent="0.25">
      <c r="A1843" t="s">
        <v>909</v>
      </c>
      <c r="B1843" t="s">
        <v>11572</v>
      </c>
    </row>
    <row r="1844" spans="1:2" x14ac:dyDescent="0.25">
      <c r="A1844" t="s">
        <v>912</v>
      </c>
      <c r="B1844" t="s">
        <v>11573</v>
      </c>
    </row>
    <row r="1845" spans="1:2" x14ac:dyDescent="0.25">
      <c r="A1845" t="s">
        <v>915</v>
      </c>
      <c r="B1845" t="s">
        <v>11574</v>
      </c>
    </row>
    <row r="1846" spans="1:2" x14ac:dyDescent="0.25">
      <c r="A1846" t="s">
        <v>918</v>
      </c>
      <c r="B1846" t="s">
        <v>11575</v>
      </c>
    </row>
    <row r="1847" spans="1:2" x14ac:dyDescent="0.25">
      <c r="A1847" t="s">
        <v>1387</v>
      </c>
      <c r="B1847" t="s">
        <v>11576</v>
      </c>
    </row>
    <row r="1848" spans="1:2" x14ac:dyDescent="0.25">
      <c r="A1848" t="s">
        <v>921</v>
      </c>
      <c r="B1848" t="s">
        <v>11577</v>
      </c>
    </row>
    <row r="1849" spans="1:2" x14ac:dyDescent="0.25">
      <c r="A1849" t="s">
        <v>924</v>
      </c>
      <c r="B1849" t="s">
        <v>11578</v>
      </c>
    </row>
    <row r="1850" spans="1:2" x14ac:dyDescent="0.25">
      <c r="A1850" t="s">
        <v>927</v>
      </c>
      <c r="B1850" t="s">
        <v>11579</v>
      </c>
    </row>
    <row r="1851" spans="1:2" x14ac:dyDescent="0.25">
      <c r="A1851" t="s">
        <v>930</v>
      </c>
      <c r="B1851" t="s">
        <v>11580</v>
      </c>
    </row>
    <row r="1852" spans="1:2" x14ac:dyDescent="0.25">
      <c r="A1852" t="s">
        <v>933</v>
      </c>
      <c r="B1852" t="s">
        <v>11581</v>
      </c>
    </row>
    <row r="1853" spans="1:2" x14ac:dyDescent="0.25">
      <c r="A1853" t="s">
        <v>936</v>
      </c>
      <c r="B1853" t="s">
        <v>11582</v>
      </c>
    </row>
    <row r="1854" spans="1:2" x14ac:dyDescent="0.25">
      <c r="A1854" t="s">
        <v>939</v>
      </c>
      <c r="B1854" t="s">
        <v>11583</v>
      </c>
    </row>
    <row r="1855" spans="1:2" x14ac:dyDescent="0.25">
      <c r="A1855" t="s">
        <v>942</v>
      </c>
      <c r="B1855" t="s">
        <v>11584</v>
      </c>
    </row>
    <row r="1856" spans="1:2" x14ac:dyDescent="0.25">
      <c r="A1856" t="s">
        <v>1397</v>
      </c>
      <c r="B1856" t="s">
        <v>11585</v>
      </c>
    </row>
    <row r="1857" spans="1:2" x14ac:dyDescent="0.25">
      <c r="A1857" t="s">
        <v>1399</v>
      </c>
      <c r="B1857" t="s">
        <v>11586</v>
      </c>
    </row>
    <row r="1858" spans="1:2" x14ac:dyDescent="0.25">
      <c r="A1858" t="s">
        <v>1401</v>
      </c>
      <c r="B1858" t="s">
        <v>11587</v>
      </c>
    </row>
    <row r="1859" spans="1:2" x14ac:dyDescent="0.25">
      <c r="A1859" t="s">
        <v>1403</v>
      </c>
      <c r="B1859" t="s">
        <v>11588</v>
      </c>
    </row>
    <row r="1860" spans="1:2" x14ac:dyDescent="0.25">
      <c r="A1860" t="s">
        <v>1405</v>
      </c>
      <c r="B1860" t="s">
        <v>11589</v>
      </c>
    </row>
    <row r="1861" spans="1:2" x14ac:dyDescent="0.25">
      <c r="A1861" t="s">
        <v>1407</v>
      </c>
      <c r="B1861" t="s">
        <v>11590</v>
      </c>
    </row>
    <row r="1862" spans="1:2" x14ac:dyDescent="0.25">
      <c r="A1862" t="s">
        <v>1409</v>
      </c>
      <c r="B1862" t="s">
        <v>11591</v>
      </c>
    </row>
    <row r="1863" spans="1:2" x14ac:dyDescent="0.25">
      <c r="A1863" t="s">
        <v>1411</v>
      </c>
      <c r="B1863" t="s">
        <v>11592</v>
      </c>
    </row>
    <row r="1864" spans="1:2" x14ac:dyDescent="0.25">
      <c r="A1864" t="s">
        <v>945</v>
      </c>
      <c r="B1864" t="s">
        <v>11593</v>
      </c>
    </row>
    <row r="1865" spans="1:2" x14ac:dyDescent="0.25">
      <c r="A1865" t="s">
        <v>948</v>
      </c>
      <c r="B1865" t="s">
        <v>11594</v>
      </c>
    </row>
    <row r="1866" spans="1:2" x14ac:dyDescent="0.25">
      <c r="A1866" t="s">
        <v>951</v>
      </c>
      <c r="B1866" t="s">
        <v>11595</v>
      </c>
    </row>
    <row r="1867" spans="1:2" x14ac:dyDescent="0.25">
      <c r="A1867" t="s">
        <v>954</v>
      </c>
      <c r="B1867" t="s">
        <v>11596</v>
      </c>
    </row>
    <row r="1868" spans="1:2" x14ac:dyDescent="0.25">
      <c r="A1868" t="s">
        <v>957</v>
      </c>
      <c r="B1868" t="s">
        <v>11597</v>
      </c>
    </row>
    <row r="1869" spans="1:2" x14ac:dyDescent="0.25">
      <c r="A1869" t="s">
        <v>960</v>
      </c>
      <c r="B1869" t="s">
        <v>11598</v>
      </c>
    </row>
    <row r="1870" spans="1:2" x14ac:dyDescent="0.25">
      <c r="A1870" t="s">
        <v>962</v>
      </c>
      <c r="B1870" t="s">
        <v>11599</v>
      </c>
    </row>
    <row r="1871" spans="1:2" x14ac:dyDescent="0.25">
      <c r="A1871" t="s">
        <v>965</v>
      </c>
      <c r="B1871" t="s">
        <v>11600</v>
      </c>
    </row>
    <row r="1872" spans="1:2" x14ac:dyDescent="0.25">
      <c r="A1872" t="s">
        <v>968</v>
      </c>
      <c r="B1872" t="s">
        <v>11601</v>
      </c>
    </row>
    <row r="1873" spans="1:2" x14ac:dyDescent="0.25">
      <c r="A1873" t="s">
        <v>970</v>
      </c>
      <c r="B1873" t="s">
        <v>11602</v>
      </c>
    </row>
    <row r="1874" spans="1:2" x14ac:dyDescent="0.25">
      <c r="A1874" t="s">
        <v>973</v>
      </c>
      <c r="B1874" t="s">
        <v>11603</v>
      </c>
    </row>
    <row r="1875" spans="1:2" x14ac:dyDescent="0.25">
      <c r="A1875" t="s">
        <v>1035</v>
      </c>
      <c r="B1875" t="s">
        <v>11604</v>
      </c>
    </row>
    <row r="1876" spans="1:2" x14ac:dyDescent="0.25">
      <c r="A1876" t="s">
        <v>1037</v>
      </c>
      <c r="B1876" t="s">
        <v>11605</v>
      </c>
    </row>
    <row r="1877" spans="1:2" x14ac:dyDescent="0.25">
      <c r="A1877" t="s">
        <v>1039</v>
      </c>
      <c r="B1877" t="s">
        <v>11606</v>
      </c>
    </row>
    <row r="1878" spans="1:2" x14ac:dyDescent="0.25">
      <c r="A1878" t="s">
        <v>1041</v>
      </c>
      <c r="B1878" t="s">
        <v>11607</v>
      </c>
    </row>
    <row r="1879" spans="1:2" x14ac:dyDescent="0.25">
      <c r="A1879" t="s">
        <v>1472</v>
      </c>
      <c r="B1879" t="s">
        <v>11608</v>
      </c>
    </row>
    <row r="1880" spans="1:2" x14ac:dyDescent="0.25">
      <c r="A1880" t="s">
        <v>1474</v>
      </c>
      <c r="B1880" t="s">
        <v>11609</v>
      </c>
    </row>
    <row r="1881" spans="1:2" x14ac:dyDescent="0.25">
      <c r="A1881" t="s">
        <v>1476</v>
      </c>
      <c r="B1881" t="s">
        <v>11610</v>
      </c>
    </row>
    <row r="1882" spans="1:2" x14ac:dyDescent="0.25">
      <c r="A1882" t="s">
        <v>1479</v>
      </c>
      <c r="B1882" t="s">
        <v>11611</v>
      </c>
    </row>
    <row r="1883" spans="1:2" x14ac:dyDescent="0.25">
      <c r="A1883" t="s">
        <v>7001</v>
      </c>
      <c r="B1883" t="s">
        <v>11612</v>
      </c>
    </row>
    <row r="1884" spans="1:2" x14ac:dyDescent="0.25">
      <c r="A1884" t="s">
        <v>7003</v>
      </c>
      <c r="B1884" t="s">
        <v>11613</v>
      </c>
    </row>
    <row r="1885" spans="1:2" x14ac:dyDescent="0.25">
      <c r="A1885" t="s">
        <v>7005</v>
      </c>
      <c r="B1885" t="s">
        <v>11614</v>
      </c>
    </row>
    <row r="1886" spans="1:2" x14ac:dyDescent="0.25">
      <c r="A1886" t="s">
        <v>7007</v>
      </c>
      <c r="B1886" t="s">
        <v>11615</v>
      </c>
    </row>
    <row r="1887" spans="1:2" x14ac:dyDescent="0.25">
      <c r="A1887" t="s">
        <v>11616</v>
      </c>
      <c r="B1887" t="s">
        <v>11617</v>
      </c>
    </row>
    <row r="1888" spans="1:2" x14ac:dyDescent="0.25">
      <c r="A1888" t="s">
        <v>11618</v>
      </c>
      <c r="B1888" t="s">
        <v>11619</v>
      </c>
    </row>
    <row r="1889" spans="1:2" x14ac:dyDescent="0.25">
      <c r="A1889" t="s">
        <v>11620</v>
      </c>
      <c r="B1889" t="s">
        <v>11621</v>
      </c>
    </row>
    <row r="1890" spans="1:2" x14ac:dyDescent="0.25">
      <c r="A1890" t="s">
        <v>11622</v>
      </c>
      <c r="B1890" t="s">
        <v>11623</v>
      </c>
    </row>
    <row r="1891" spans="1:2" x14ac:dyDescent="0.25">
      <c r="A1891" t="s">
        <v>7009</v>
      </c>
      <c r="B1891" t="s">
        <v>11624</v>
      </c>
    </row>
    <row r="1892" spans="1:2" x14ac:dyDescent="0.25">
      <c r="A1892" t="s">
        <v>7011</v>
      </c>
      <c r="B1892" t="s">
        <v>11625</v>
      </c>
    </row>
    <row r="1893" spans="1:2" x14ac:dyDescent="0.25">
      <c r="A1893" t="s">
        <v>7013</v>
      </c>
      <c r="B1893" t="s">
        <v>11626</v>
      </c>
    </row>
    <row r="1894" spans="1:2" x14ac:dyDescent="0.25">
      <c r="A1894" t="s">
        <v>7015</v>
      </c>
      <c r="B1894" t="s">
        <v>11627</v>
      </c>
    </row>
    <row r="1895" spans="1:2" x14ac:dyDescent="0.25">
      <c r="A1895" t="s">
        <v>11628</v>
      </c>
      <c r="B1895" t="s">
        <v>11629</v>
      </c>
    </row>
    <row r="1896" spans="1:2" x14ac:dyDescent="0.25">
      <c r="A1896" t="s">
        <v>11630</v>
      </c>
      <c r="B1896" t="s">
        <v>11631</v>
      </c>
    </row>
    <row r="1897" spans="1:2" x14ac:dyDescent="0.25">
      <c r="A1897" t="s">
        <v>11632</v>
      </c>
      <c r="B1897" t="s">
        <v>11633</v>
      </c>
    </row>
    <row r="1898" spans="1:2" x14ac:dyDescent="0.25">
      <c r="A1898" t="s">
        <v>11634</v>
      </c>
      <c r="B1898" t="s">
        <v>11635</v>
      </c>
    </row>
    <row r="1899" spans="1:2" x14ac:dyDescent="0.25">
      <c r="A1899" t="s">
        <v>7017</v>
      </c>
      <c r="B1899" t="s">
        <v>11636</v>
      </c>
    </row>
    <row r="1900" spans="1:2" x14ac:dyDescent="0.25">
      <c r="A1900" t="s">
        <v>7019</v>
      </c>
      <c r="B1900" t="s">
        <v>11637</v>
      </c>
    </row>
    <row r="1901" spans="1:2" x14ac:dyDescent="0.25">
      <c r="A1901" t="s">
        <v>7021</v>
      </c>
      <c r="B1901" t="s">
        <v>11638</v>
      </c>
    </row>
    <row r="1902" spans="1:2" x14ac:dyDescent="0.25">
      <c r="A1902" t="s">
        <v>7023</v>
      </c>
      <c r="B1902" t="s">
        <v>11639</v>
      </c>
    </row>
    <row r="1903" spans="1:2" x14ac:dyDescent="0.25">
      <c r="A1903" t="s">
        <v>11640</v>
      </c>
      <c r="B1903" t="s">
        <v>11641</v>
      </c>
    </row>
    <row r="1904" spans="1:2" x14ac:dyDescent="0.25">
      <c r="A1904" t="s">
        <v>11642</v>
      </c>
      <c r="B1904" t="s">
        <v>11643</v>
      </c>
    </row>
    <row r="1905" spans="1:2" x14ac:dyDescent="0.25">
      <c r="A1905" t="s">
        <v>11644</v>
      </c>
      <c r="B1905" t="s">
        <v>11645</v>
      </c>
    </row>
    <row r="1906" spans="1:2" x14ac:dyDescent="0.25">
      <c r="A1906" t="s">
        <v>11646</v>
      </c>
      <c r="B1906" t="s">
        <v>11647</v>
      </c>
    </row>
    <row r="1907" spans="1:2" x14ac:dyDescent="0.25">
      <c r="A1907" t="s">
        <v>1481</v>
      </c>
      <c r="B1907" t="s">
        <v>11648</v>
      </c>
    </row>
    <row r="1908" spans="1:2" x14ac:dyDescent="0.25">
      <c r="A1908" t="s">
        <v>1483</v>
      </c>
      <c r="B1908" t="s">
        <v>11649</v>
      </c>
    </row>
    <row r="1909" spans="1:2" x14ac:dyDescent="0.25">
      <c r="A1909" t="s">
        <v>2856</v>
      </c>
      <c r="B1909" t="s">
        <v>11650</v>
      </c>
    </row>
    <row r="1910" spans="1:2" x14ac:dyDescent="0.25">
      <c r="A1910" t="s">
        <v>2859</v>
      </c>
      <c r="B1910" t="s">
        <v>11651</v>
      </c>
    </row>
    <row r="1911" spans="1:2" x14ac:dyDescent="0.25">
      <c r="A1911" t="s">
        <v>2626</v>
      </c>
      <c r="B1911" t="s">
        <v>11652</v>
      </c>
    </row>
    <row r="1912" spans="1:2" x14ac:dyDescent="0.25">
      <c r="A1912" t="s">
        <v>2628</v>
      </c>
      <c r="B1912" t="s">
        <v>11653</v>
      </c>
    </row>
    <row r="1913" spans="1:2" x14ac:dyDescent="0.25">
      <c r="A1913" t="s">
        <v>2863</v>
      </c>
      <c r="B1913" t="s">
        <v>11654</v>
      </c>
    </row>
    <row r="1914" spans="1:2" x14ac:dyDescent="0.25">
      <c r="A1914" t="s">
        <v>2865</v>
      </c>
      <c r="B1914" t="s">
        <v>11655</v>
      </c>
    </row>
    <row r="1915" spans="1:2" x14ac:dyDescent="0.25">
      <c r="A1915" t="s">
        <v>1043</v>
      </c>
      <c r="B1915" t="s">
        <v>11656</v>
      </c>
    </row>
    <row r="1916" spans="1:2" x14ac:dyDescent="0.25">
      <c r="A1916" t="s">
        <v>2631</v>
      </c>
      <c r="B1916" t="s">
        <v>11657</v>
      </c>
    </row>
    <row r="1917" spans="1:2" x14ac:dyDescent="0.25">
      <c r="A1917" t="s">
        <v>2870</v>
      </c>
      <c r="B1917" t="s">
        <v>11658</v>
      </c>
    </row>
    <row r="1918" spans="1:2" x14ac:dyDescent="0.25">
      <c r="A1918" t="s">
        <v>2872</v>
      </c>
      <c r="B1918" t="s">
        <v>11659</v>
      </c>
    </row>
    <row r="1919" spans="1:2" x14ac:dyDescent="0.25">
      <c r="A1919" t="s">
        <v>1485</v>
      </c>
      <c r="B1919" t="s">
        <v>11660</v>
      </c>
    </row>
    <row r="1920" spans="1:2" x14ac:dyDescent="0.25">
      <c r="A1920" t="s">
        <v>2634</v>
      </c>
      <c r="B1920" t="s">
        <v>11661</v>
      </c>
    </row>
    <row r="1921" spans="1:2" x14ac:dyDescent="0.25">
      <c r="A1921" t="s">
        <v>2876</v>
      </c>
      <c r="B1921" t="s">
        <v>11662</v>
      </c>
    </row>
    <row r="1922" spans="1:2" x14ac:dyDescent="0.25">
      <c r="A1922" t="s">
        <v>2878</v>
      </c>
      <c r="B1922" t="s">
        <v>11663</v>
      </c>
    </row>
    <row r="1923" spans="1:2" x14ac:dyDescent="0.25">
      <c r="A1923" t="s">
        <v>2636</v>
      </c>
      <c r="B1923" t="s">
        <v>11664</v>
      </c>
    </row>
    <row r="1924" spans="1:2" x14ac:dyDescent="0.25">
      <c r="A1924" t="s">
        <v>2638</v>
      </c>
      <c r="B1924" t="s">
        <v>11665</v>
      </c>
    </row>
    <row r="1925" spans="1:2" x14ac:dyDescent="0.25">
      <c r="A1925" t="s">
        <v>2884</v>
      </c>
      <c r="B1925" t="s">
        <v>11666</v>
      </c>
    </row>
    <row r="1926" spans="1:2" x14ac:dyDescent="0.25">
      <c r="A1926" t="s">
        <v>2887</v>
      </c>
      <c r="B1926" t="s">
        <v>11667</v>
      </c>
    </row>
    <row r="1927" spans="1:2" x14ac:dyDescent="0.25">
      <c r="A1927" t="s">
        <v>2640</v>
      </c>
      <c r="B1927" t="s">
        <v>11668</v>
      </c>
    </row>
    <row r="1928" spans="1:2" x14ac:dyDescent="0.25">
      <c r="A1928" t="s">
        <v>1045</v>
      </c>
      <c r="B1928" t="s">
        <v>11669</v>
      </c>
    </row>
    <row r="1929" spans="1:2" x14ac:dyDescent="0.25">
      <c r="A1929" t="s">
        <v>1048</v>
      </c>
      <c r="B1929" t="s">
        <v>11670</v>
      </c>
    </row>
    <row r="1930" spans="1:2" x14ac:dyDescent="0.25">
      <c r="A1930" t="s">
        <v>1050</v>
      </c>
      <c r="B1930" t="s">
        <v>11671</v>
      </c>
    </row>
    <row r="1931" spans="1:2" x14ac:dyDescent="0.25">
      <c r="A1931" t="s">
        <v>1052</v>
      </c>
      <c r="B1931" t="s">
        <v>11672</v>
      </c>
    </row>
    <row r="1932" spans="1:2" x14ac:dyDescent="0.25">
      <c r="A1932" t="s">
        <v>1054</v>
      </c>
      <c r="B1932" t="s">
        <v>11673</v>
      </c>
    </row>
    <row r="1933" spans="1:2" x14ac:dyDescent="0.25">
      <c r="A1933" t="s">
        <v>1056</v>
      </c>
      <c r="B1933" t="s">
        <v>11674</v>
      </c>
    </row>
    <row r="1934" spans="1:2" x14ac:dyDescent="0.25">
      <c r="A1934" t="s">
        <v>1058</v>
      </c>
      <c r="B1934" t="s">
        <v>11675</v>
      </c>
    </row>
    <row r="1935" spans="1:2" x14ac:dyDescent="0.25">
      <c r="A1935" t="s">
        <v>1060</v>
      </c>
      <c r="B1935" t="s">
        <v>11676</v>
      </c>
    </row>
    <row r="1936" spans="1:2" x14ac:dyDescent="0.25">
      <c r="A1936" t="s">
        <v>1062</v>
      </c>
      <c r="B1936" t="s">
        <v>11677</v>
      </c>
    </row>
    <row r="1937" spans="1:2" x14ac:dyDescent="0.25">
      <c r="A1937" t="s">
        <v>1065</v>
      </c>
      <c r="B1937" t="s">
        <v>11678</v>
      </c>
    </row>
    <row r="1938" spans="1:2" x14ac:dyDescent="0.25">
      <c r="A1938" t="s">
        <v>1067</v>
      </c>
      <c r="B1938" t="s">
        <v>11679</v>
      </c>
    </row>
    <row r="1939" spans="1:2" x14ac:dyDescent="0.25">
      <c r="A1939" t="s">
        <v>1069</v>
      </c>
      <c r="B1939" t="s">
        <v>11680</v>
      </c>
    </row>
    <row r="1940" spans="1:2" x14ac:dyDescent="0.25">
      <c r="A1940" t="s">
        <v>1071</v>
      </c>
      <c r="B1940" t="s">
        <v>11681</v>
      </c>
    </row>
    <row r="1941" spans="1:2" x14ac:dyDescent="0.25">
      <c r="A1941" t="s">
        <v>1073</v>
      </c>
      <c r="B1941" t="s">
        <v>11682</v>
      </c>
    </row>
    <row r="1942" spans="1:2" x14ac:dyDescent="0.25">
      <c r="A1942" t="s">
        <v>1075</v>
      </c>
      <c r="B1942" t="s">
        <v>11683</v>
      </c>
    </row>
    <row r="1943" spans="1:2" x14ac:dyDescent="0.25">
      <c r="A1943" t="s">
        <v>1077</v>
      </c>
      <c r="B1943" t="s">
        <v>11684</v>
      </c>
    </row>
    <row r="1944" spans="1:2" x14ac:dyDescent="0.25">
      <c r="A1944" t="s">
        <v>1079</v>
      </c>
      <c r="B1944" t="s">
        <v>11685</v>
      </c>
    </row>
    <row r="1945" spans="1:2" x14ac:dyDescent="0.25">
      <c r="A1945" t="s">
        <v>1081</v>
      </c>
      <c r="B1945" t="s">
        <v>11686</v>
      </c>
    </row>
    <row r="1946" spans="1:2" x14ac:dyDescent="0.25">
      <c r="A1946" t="s">
        <v>1083</v>
      </c>
      <c r="B1946" t="s">
        <v>11687</v>
      </c>
    </row>
    <row r="1947" spans="1:2" x14ac:dyDescent="0.25">
      <c r="A1947" t="s">
        <v>1085</v>
      </c>
      <c r="B1947" t="s">
        <v>11688</v>
      </c>
    </row>
    <row r="1948" spans="1:2" x14ac:dyDescent="0.25">
      <c r="A1948" t="s">
        <v>1087</v>
      </c>
      <c r="B1948" t="s">
        <v>11689</v>
      </c>
    </row>
    <row r="1949" spans="1:2" x14ac:dyDescent="0.25">
      <c r="A1949" t="s">
        <v>1089</v>
      </c>
      <c r="B1949" t="s">
        <v>11690</v>
      </c>
    </row>
    <row r="1950" spans="1:2" x14ac:dyDescent="0.25">
      <c r="A1950" t="s">
        <v>1091</v>
      </c>
      <c r="B1950" t="s">
        <v>11691</v>
      </c>
    </row>
    <row r="1951" spans="1:2" x14ac:dyDescent="0.25">
      <c r="A1951" t="s">
        <v>1093</v>
      </c>
      <c r="B1951" t="s">
        <v>11692</v>
      </c>
    </row>
    <row r="1952" spans="1:2" x14ac:dyDescent="0.25">
      <c r="A1952" t="s">
        <v>1095</v>
      </c>
      <c r="B1952" t="s">
        <v>11693</v>
      </c>
    </row>
    <row r="1953" spans="1:2" x14ac:dyDescent="0.25">
      <c r="A1953" t="s">
        <v>1097</v>
      </c>
      <c r="B1953" t="s">
        <v>11694</v>
      </c>
    </row>
    <row r="1954" spans="1:2" x14ac:dyDescent="0.25">
      <c r="A1954" t="s">
        <v>1099</v>
      </c>
      <c r="B1954" t="s">
        <v>11695</v>
      </c>
    </row>
    <row r="1955" spans="1:2" x14ac:dyDescent="0.25">
      <c r="A1955" t="s">
        <v>1101</v>
      </c>
      <c r="B1955" t="s">
        <v>11696</v>
      </c>
    </row>
    <row r="1956" spans="1:2" x14ac:dyDescent="0.25">
      <c r="A1956" t="s">
        <v>1103</v>
      </c>
      <c r="B1956" t="s">
        <v>11697</v>
      </c>
    </row>
    <row r="1957" spans="1:2" x14ac:dyDescent="0.25">
      <c r="A1957" t="s">
        <v>1105</v>
      </c>
      <c r="B1957" t="s">
        <v>11698</v>
      </c>
    </row>
    <row r="1958" spans="1:2" x14ac:dyDescent="0.25">
      <c r="A1958" t="s">
        <v>1107</v>
      </c>
      <c r="B1958" t="s">
        <v>11699</v>
      </c>
    </row>
    <row r="1959" spans="1:2" x14ac:dyDescent="0.25">
      <c r="A1959" t="s">
        <v>1109</v>
      </c>
      <c r="B1959" t="s">
        <v>11700</v>
      </c>
    </row>
    <row r="1960" spans="1:2" x14ac:dyDescent="0.25">
      <c r="A1960" t="s">
        <v>2658</v>
      </c>
      <c r="B1960" t="s">
        <v>11701</v>
      </c>
    </row>
    <row r="1961" spans="1:2" x14ac:dyDescent="0.25">
      <c r="A1961" t="s">
        <v>11702</v>
      </c>
      <c r="B1961" t="s">
        <v>11703</v>
      </c>
    </row>
    <row r="1962" spans="1:2" x14ac:dyDescent="0.25">
      <c r="A1962" t="s">
        <v>11704</v>
      </c>
      <c r="B1962" t="s">
        <v>11705</v>
      </c>
    </row>
    <row r="1963" spans="1:2" x14ac:dyDescent="0.25">
      <c r="A1963" t="s">
        <v>1111</v>
      </c>
      <c r="B1963" t="s">
        <v>11706</v>
      </c>
    </row>
    <row r="1964" spans="1:2" x14ac:dyDescent="0.25">
      <c r="A1964" t="s">
        <v>1113</v>
      </c>
      <c r="B1964" t="s">
        <v>11707</v>
      </c>
    </row>
    <row r="1965" spans="1:2" x14ac:dyDescent="0.25">
      <c r="A1965" t="s">
        <v>1115</v>
      </c>
      <c r="B1965" t="s">
        <v>11708</v>
      </c>
    </row>
    <row r="1966" spans="1:2" x14ac:dyDescent="0.25">
      <c r="A1966" t="s">
        <v>1117</v>
      </c>
      <c r="B1966" t="s">
        <v>11709</v>
      </c>
    </row>
    <row r="1967" spans="1:2" x14ac:dyDescent="0.25">
      <c r="A1967" t="s">
        <v>1119</v>
      </c>
      <c r="B1967" t="s">
        <v>11710</v>
      </c>
    </row>
    <row r="1968" spans="1:2" x14ac:dyDescent="0.25">
      <c r="A1968" t="s">
        <v>1121</v>
      </c>
      <c r="B1968" t="s">
        <v>11711</v>
      </c>
    </row>
    <row r="1969" spans="1:2" x14ac:dyDescent="0.25">
      <c r="A1969" t="s">
        <v>1123</v>
      </c>
      <c r="B1969" t="s">
        <v>11712</v>
      </c>
    </row>
    <row r="1970" spans="1:2" x14ac:dyDescent="0.25">
      <c r="A1970" t="s">
        <v>1125</v>
      </c>
      <c r="B1970" t="s">
        <v>11713</v>
      </c>
    </row>
    <row r="1971" spans="1:2" x14ac:dyDescent="0.25">
      <c r="A1971" t="s">
        <v>2660</v>
      </c>
      <c r="B1971" t="s">
        <v>11714</v>
      </c>
    </row>
    <row r="1972" spans="1:2" x14ac:dyDescent="0.25">
      <c r="A1972" t="s">
        <v>2912</v>
      </c>
      <c r="B1972" t="s">
        <v>11715</v>
      </c>
    </row>
    <row r="1973" spans="1:2" x14ac:dyDescent="0.25">
      <c r="A1973" t="s">
        <v>2914</v>
      </c>
      <c r="B1973" t="s">
        <v>11716</v>
      </c>
    </row>
    <row r="1974" spans="1:2" x14ac:dyDescent="0.25">
      <c r="A1974" t="s">
        <v>2916</v>
      </c>
      <c r="B1974" t="s">
        <v>11717</v>
      </c>
    </row>
    <row r="1975" spans="1:2" x14ac:dyDescent="0.25">
      <c r="A1975" t="s">
        <v>1164</v>
      </c>
      <c r="B1975" t="s">
        <v>11718</v>
      </c>
    </row>
    <row r="1976" spans="1:2" x14ac:dyDescent="0.25">
      <c r="A1976" t="s">
        <v>1167</v>
      </c>
      <c r="B1976" t="s">
        <v>11719</v>
      </c>
    </row>
    <row r="1977" spans="1:2" x14ac:dyDescent="0.25">
      <c r="A1977" t="s">
        <v>1169</v>
      </c>
      <c r="B1977" t="s">
        <v>11720</v>
      </c>
    </row>
    <row r="1978" spans="1:2" x14ac:dyDescent="0.25">
      <c r="A1978" t="s">
        <v>1171</v>
      </c>
      <c r="B1978" t="s">
        <v>11721</v>
      </c>
    </row>
    <row r="1979" spans="1:2" x14ac:dyDescent="0.25">
      <c r="A1979" t="s">
        <v>1173</v>
      </c>
      <c r="B1979" t="s">
        <v>11722</v>
      </c>
    </row>
    <row r="1980" spans="1:2" x14ac:dyDescent="0.25">
      <c r="A1980" t="s">
        <v>1175</v>
      </c>
      <c r="B1980" t="s">
        <v>11723</v>
      </c>
    </row>
    <row r="1981" spans="1:2" x14ac:dyDescent="0.25">
      <c r="A1981" t="s">
        <v>1177</v>
      </c>
      <c r="B1981" t="s">
        <v>11724</v>
      </c>
    </row>
    <row r="1982" spans="1:2" x14ac:dyDescent="0.25">
      <c r="A1982" t="s">
        <v>1179</v>
      </c>
      <c r="B1982" t="s">
        <v>11725</v>
      </c>
    </row>
    <row r="1983" spans="1:2" x14ac:dyDescent="0.25">
      <c r="A1983" t="s">
        <v>1181</v>
      </c>
      <c r="B1983" t="s">
        <v>11726</v>
      </c>
    </row>
    <row r="1984" spans="1:2" x14ac:dyDescent="0.25">
      <c r="A1984" t="s">
        <v>1184</v>
      </c>
      <c r="B1984" t="s">
        <v>11727</v>
      </c>
    </row>
    <row r="1985" spans="1:2" x14ac:dyDescent="0.25">
      <c r="A1985" t="s">
        <v>1186</v>
      </c>
      <c r="B1985" t="s">
        <v>11728</v>
      </c>
    </row>
    <row r="1986" spans="1:2" x14ac:dyDescent="0.25">
      <c r="A1986" t="s">
        <v>1189</v>
      </c>
      <c r="B1986" t="s">
        <v>11729</v>
      </c>
    </row>
    <row r="1987" spans="1:2" x14ac:dyDescent="0.25">
      <c r="A1987" t="s">
        <v>1191</v>
      </c>
      <c r="B1987" t="s">
        <v>11730</v>
      </c>
    </row>
    <row r="1988" spans="1:2" x14ac:dyDescent="0.25">
      <c r="A1988" t="s">
        <v>1193</v>
      </c>
      <c r="B1988" t="s">
        <v>11731</v>
      </c>
    </row>
    <row r="1989" spans="1:2" x14ac:dyDescent="0.25">
      <c r="A1989" t="s">
        <v>1195</v>
      </c>
      <c r="B1989" t="s">
        <v>11732</v>
      </c>
    </row>
    <row r="1990" spans="1:2" x14ac:dyDescent="0.25">
      <c r="A1990" t="s">
        <v>1197</v>
      </c>
      <c r="B1990" t="s">
        <v>11733</v>
      </c>
    </row>
    <row r="1991" spans="1:2" x14ac:dyDescent="0.25">
      <c r="A1991" t="s">
        <v>1199</v>
      </c>
      <c r="B1991" t="s">
        <v>11734</v>
      </c>
    </row>
    <row r="1992" spans="1:2" x14ac:dyDescent="0.25">
      <c r="A1992" t="s">
        <v>1201</v>
      </c>
      <c r="B1992" t="s">
        <v>11735</v>
      </c>
    </row>
    <row r="1993" spans="1:2" x14ac:dyDescent="0.25">
      <c r="A1993" t="s">
        <v>1203</v>
      </c>
      <c r="B1993" t="s">
        <v>11736</v>
      </c>
    </row>
    <row r="1994" spans="1:2" x14ac:dyDescent="0.25">
      <c r="A1994" t="s">
        <v>1205</v>
      </c>
      <c r="B1994" t="s">
        <v>11737</v>
      </c>
    </row>
    <row r="1995" spans="1:2" x14ac:dyDescent="0.25">
      <c r="A1995" t="s">
        <v>1207</v>
      </c>
      <c r="B1995" t="s">
        <v>11738</v>
      </c>
    </row>
    <row r="1996" spans="1:2" x14ac:dyDescent="0.25">
      <c r="A1996" t="s">
        <v>1210</v>
      </c>
      <c r="B1996" t="s">
        <v>11739</v>
      </c>
    </row>
    <row r="1997" spans="1:2" x14ac:dyDescent="0.25">
      <c r="A1997" t="s">
        <v>1212</v>
      </c>
      <c r="B1997" t="s">
        <v>11740</v>
      </c>
    </row>
    <row r="1998" spans="1:2" x14ac:dyDescent="0.25">
      <c r="A1998" t="s">
        <v>1214</v>
      </c>
      <c r="B1998" t="s">
        <v>11741</v>
      </c>
    </row>
    <row r="1999" spans="1:2" x14ac:dyDescent="0.25">
      <c r="A1999" t="s">
        <v>1217</v>
      </c>
      <c r="B1999" t="s">
        <v>11742</v>
      </c>
    </row>
    <row r="2000" spans="1:2" x14ac:dyDescent="0.25">
      <c r="A2000" t="s">
        <v>1219</v>
      </c>
      <c r="B2000" t="s">
        <v>11743</v>
      </c>
    </row>
    <row r="2001" spans="1:2" x14ac:dyDescent="0.25">
      <c r="A2001" t="s">
        <v>1221</v>
      </c>
      <c r="B2001" t="s">
        <v>11744</v>
      </c>
    </row>
    <row r="2002" spans="1:2" x14ac:dyDescent="0.25">
      <c r="A2002" t="s">
        <v>1224</v>
      </c>
      <c r="B2002" t="s">
        <v>11745</v>
      </c>
    </row>
    <row r="2003" spans="1:2" x14ac:dyDescent="0.25">
      <c r="A2003" t="s">
        <v>1227</v>
      </c>
      <c r="B2003" t="s">
        <v>11746</v>
      </c>
    </row>
    <row r="2004" spans="1:2" x14ac:dyDescent="0.25">
      <c r="A2004" t="s">
        <v>1229</v>
      </c>
      <c r="B2004" t="s">
        <v>11747</v>
      </c>
    </row>
    <row r="2005" spans="1:2" x14ac:dyDescent="0.25">
      <c r="A2005" t="s">
        <v>1231</v>
      </c>
      <c r="B2005" t="s">
        <v>11748</v>
      </c>
    </row>
    <row r="2006" spans="1:2" x14ac:dyDescent="0.25">
      <c r="A2006" t="s">
        <v>1233</v>
      </c>
      <c r="B2006" t="s">
        <v>11749</v>
      </c>
    </row>
    <row r="2007" spans="1:2" x14ac:dyDescent="0.25">
      <c r="A2007" t="s">
        <v>11750</v>
      </c>
      <c r="B2007" t="s">
        <v>11751</v>
      </c>
    </row>
    <row r="2008" spans="1:2" x14ac:dyDescent="0.25">
      <c r="A2008" t="s">
        <v>11752</v>
      </c>
      <c r="B2008" t="s">
        <v>11753</v>
      </c>
    </row>
    <row r="2009" spans="1:2" x14ac:dyDescent="0.25">
      <c r="A2009" t="s">
        <v>11754</v>
      </c>
      <c r="B2009" t="s">
        <v>11755</v>
      </c>
    </row>
    <row r="2010" spans="1:2" x14ac:dyDescent="0.25">
      <c r="A2010" t="s">
        <v>11756</v>
      </c>
      <c r="B2010" t="s">
        <v>11757</v>
      </c>
    </row>
    <row r="2011" spans="1:2" x14ac:dyDescent="0.25">
      <c r="A2011" t="s">
        <v>11758</v>
      </c>
      <c r="B2011" t="s">
        <v>11759</v>
      </c>
    </row>
    <row r="2012" spans="1:2" x14ac:dyDescent="0.25">
      <c r="A2012" t="s">
        <v>11760</v>
      </c>
      <c r="B2012" t="s">
        <v>11761</v>
      </c>
    </row>
    <row r="2013" spans="1:2" x14ac:dyDescent="0.25">
      <c r="A2013" t="s">
        <v>11762</v>
      </c>
      <c r="B2013" t="s">
        <v>11763</v>
      </c>
    </row>
    <row r="2014" spans="1:2" x14ac:dyDescent="0.25">
      <c r="A2014" t="s">
        <v>11764</v>
      </c>
      <c r="B2014" t="s">
        <v>11765</v>
      </c>
    </row>
    <row r="2015" spans="1:2" x14ac:dyDescent="0.25">
      <c r="A2015" t="s">
        <v>11766</v>
      </c>
      <c r="B2015" t="s">
        <v>11767</v>
      </c>
    </row>
    <row r="2016" spans="1:2" x14ac:dyDescent="0.25">
      <c r="A2016" t="s">
        <v>11768</v>
      </c>
      <c r="B2016" t="s">
        <v>11769</v>
      </c>
    </row>
    <row r="2017" spans="1:2" x14ac:dyDescent="0.25">
      <c r="A2017" t="s">
        <v>11770</v>
      </c>
      <c r="B2017" t="s">
        <v>11771</v>
      </c>
    </row>
    <row r="2018" spans="1:2" x14ac:dyDescent="0.25">
      <c r="A2018" t="s">
        <v>11772</v>
      </c>
      <c r="B2018" t="s">
        <v>11773</v>
      </c>
    </row>
    <row r="2019" spans="1:2" x14ac:dyDescent="0.25">
      <c r="A2019" t="s">
        <v>11774</v>
      </c>
      <c r="B2019" t="s">
        <v>11775</v>
      </c>
    </row>
    <row r="2020" spans="1:2" x14ac:dyDescent="0.25">
      <c r="A2020" t="s">
        <v>11776</v>
      </c>
      <c r="B2020" t="s">
        <v>11777</v>
      </c>
    </row>
    <row r="2021" spans="1:2" x14ac:dyDescent="0.25">
      <c r="A2021" t="s">
        <v>11778</v>
      </c>
      <c r="B2021" t="s">
        <v>11779</v>
      </c>
    </row>
    <row r="2022" spans="1:2" x14ac:dyDescent="0.25">
      <c r="A2022" t="s">
        <v>11780</v>
      </c>
      <c r="B2022" t="s">
        <v>11781</v>
      </c>
    </row>
    <row r="2023" spans="1:2" x14ac:dyDescent="0.25">
      <c r="A2023" t="s">
        <v>11782</v>
      </c>
      <c r="B2023" t="s">
        <v>11783</v>
      </c>
    </row>
    <row r="2024" spans="1:2" x14ac:dyDescent="0.25">
      <c r="A2024" t="s">
        <v>11784</v>
      </c>
      <c r="B2024" t="s">
        <v>11785</v>
      </c>
    </row>
    <row r="2025" spans="1:2" x14ac:dyDescent="0.25">
      <c r="A2025" t="s">
        <v>11786</v>
      </c>
      <c r="B2025" t="s">
        <v>11787</v>
      </c>
    </row>
    <row r="2026" spans="1:2" x14ac:dyDescent="0.25">
      <c r="A2026" t="s">
        <v>11788</v>
      </c>
      <c r="B2026" t="s">
        <v>11789</v>
      </c>
    </row>
    <row r="2027" spans="1:2" x14ac:dyDescent="0.25">
      <c r="A2027" t="s">
        <v>11790</v>
      </c>
      <c r="B2027" t="s">
        <v>11791</v>
      </c>
    </row>
    <row r="2028" spans="1:2" x14ac:dyDescent="0.25">
      <c r="A2028" t="s">
        <v>11792</v>
      </c>
      <c r="B2028" t="s">
        <v>11793</v>
      </c>
    </row>
    <row r="2029" spans="1:2" x14ac:dyDescent="0.25">
      <c r="A2029" t="s">
        <v>11794</v>
      </c>
      <c r="B2029" t="s">
        <v>11795</v>
      </c>
    </row>
    <row r="2030" spans="1:2" x14ac:dyDescent="0.25">
      <c r="A2030" t="s">
        <v>11796</v>
      </c>
      <c r="B2030" t="s">
        <v>11797</v>
      </c>
    </row>
    <row r="2031" spans="1:2" x14ac:dyDescent="0.25">
      <c r="A2031" t="s">
        <v>11798</v>
      </c>
      <c r="B2031" t="s">
        <v>11799</v>
      </c>
    </row>
    <row r="2032" spans="1:2" x14ac:dyDescent="0.25">
      <c r="A2032" t="s">
        <v>11800</v>
      </c>
      <c r="B2032" t="s">
        <v>11801</v>
      </c>
    </row>
    <row r="2033" spans="1:2" x14ac:dyDescent="0.25">
      <c r="A2033" t="s">
        <v>11802</v>
      </c>
      <c r="B2033" t="s">
        <v>11803</v>
      </c>
    </row>
    <row r="2034" spans="1:2" x14ac:dyDescent="0.25">
      <c r="A2034" t="s">
        <v>11804</v>
      </c>
      <c r="B2034" t="s">
        <v>11805</v>
      </c>
    </row>
    <row r="2035" spans="1:2" x14ac:dyDescent="0.25">
      <c r="A2035" t="s">
        <v>11806</v>
      </c>
      <c r="B2035" t="s">
        <v>11807</v>
      </c>
    </row>
    <row r="2036" spans="1:2" x14ac:dyDescent="0.25">
      <c r="A2036" t="s">
        <v>11808</v>
      </c>
      <c r="B2036" t="s">
        <v>11809</v>
      </c>
    </row>
    <row r="2037" spans="1:2" x14ac:dyDescent="0.25">
      <c r="A2037" t="s">
        <v>11810</v>
      </c>
      <c r="B2037" t="s">
        <v>11811</v>
      </c>
    </row>
    <row r="2038" spans="1:2" x14ac:dyDescent="0.25">
      <c r="A2038" t="s">
        <v>11812</v>
      </c>
      <c r="B2038" t="s">
        <v>11813</v>
      </c>
    </row>
    <row r="2039" spans="1:2" x14ac:dyDescent="0.25">
      <c r="A2039" t="s">
        <v>1740</v>
      </c>
      <c r="B2039" t="s">
        <v>11814</v>
      </c>
    </row>
    <row r="2040" spans="1:2" x14ac:dyDescent="0.25">
      <c r="A2040" t="s">
        <v>1742</v>
      </c>
      <c r="B2040" t="s">
        <v>11815</v>
      </c>
    </row>
    <row r="2041" spans="1:2" x14ac:dyDescent="0.25">
      <c r="A2041" t="s">
        <v>1744</v>
      </c>
      <c r="B2041" t="s">
        <v>11816</v>
      </c>
    </row>
    <row r="2042" spans="1:2" x14ac:dyDescent="0.25">
      <c r="A2042" t="s">
        <v>1746</v>
      </c>
      <c r="B2042" t="s">
        <v>11817</v>
      </c>
    </row>
    <row r="2043" spans="1:2" x14ac:dyDescent="0.25">
      <c r="A2043" t="s">
        <v>1748</v>
      </c>
      <c r="B2043" t="s">
        <v>11818</v>
      </c>
    </row>
    <row r="2044" spans="1:2" x14ac:dyDescent="0.25">
      <c r="A2044" t="s">
        <v>1750</v>
      </c>
      <c r="B2044" t="s">
        <v>11819</v>
      </c>
    </row>
    <row r="2045" spans="1:2" x14ac:dyDescent="0.25">
      <c r="A2045" t="s">
        <v>1752</v>
      </c>
      <c r="B2045" t="s">
        <v>11820</v>
      </c>
    </row>
    <row r="2046" spans="1:2" x14ac:dyDescent="0.25">
      <c r="A2046" t="s">
        <v>1754</v>
      </c>
      <c r="B2046" t="s">
        <v>11821</v>
      </c>
    </row>
    <row r="2047" spans="1:2" x14ac:dyDescent="0.25">
      <c r="A2047" t="s">
        <v>1756</v>
      </c>
      <c r="B2047" t="s">
        <v>11822</v>
      </c>
    </row>
    <row r="2048" spans="1:2" x14ac:dyDescent="0.25">
      <c r="A2048" t="s">
        <v>1758</v>
      </c>
      <c r="B2048" t="s">
        <v>11823</v>
      </c>
    </row>
    <row r="2049" spans="1:2" x14ac:dyDescent="0.25">
      <c r="A2049" t="s">
        <v>1760</v>
      </c>
      <c r="B2049" t="s">
        <v>11824</v>
      </c>
    </row>
    <row r="2050" spans="1:2" x14ac:dyDescent="0.25">
      <c r="A2050" t="s">
        <v>1762</v>
      </c>
      <c r="B2050" t="s">
        <v>11825</v>
      </c>
    </row>
    <row r="2051" spans="1:2" x14ac:dyDescent="0.25">
      <c r="A2051" t="s">
        <v>1764</v>
      </c>
      <c r="B2051" t="s">
        <v>11826</v>
      </c>
    </row>
    <row r="2052" spans="1:2" x14ac:dyDescent="0.25">
      <c r="A2052" t="s">
        <v>1766</v>
      </c>
      <c r="B2052" t="s">
        <v>11827</v>
      </c>
    </row>
    <row r="2053" spans="1:2" x14ac:dyDescent="0.25">
      <c r="A2053" t="s">
        <v>1768</v>
      </c>
      <c r="B2053" t="s">
        <v>11828</v>
      </c>
    </row>
    <row r="2054" spans="1:2" x14ac:dyDescent="0.25">
      <c r="A2054" t="s">
        <v>1770</v>
      </c>
      <c r="B2054" t="s">
        <v>11829</v>
      </c>
    </row>
    <row r="2055" spans="1:2" x14ac:dyDescent="0.25">
      <c r="A2055" t="s">
        <v>1772</v>
      </c>
      <c r="B2055" t="s">
        <v>11830</v>
      </c>
    </row>
    <row r="2056" spans="1:2" x14ac:dyDescent="0.25">
      <c r="A2056" t="s">
        <v>1774</v>
      </c>
      <c r="B2056" t="s">
        <v>11831</v>
      </c>
    </row>
    <row r="2057" spans="1:2" x14ac:dyDescent="0.25">
      <c r="A2057" t="s">
        <v>1776</v>
      </c>
      <c r="B2057" t="s">
        <v>11832</v>
      </c>
    </row>
    <row r="2058" spans="1:2" x14ac:dyDescent="0.25">
      <c r="A2058" t="s">
        <v>1778</v>
      </c>
      <c r="B2058" t="s">
        <v>11833</v>
      </c>
    </row>
    <row r="2059" spans="1:2" x14ac:dyDescent="0.25">
      <c r="A2059" t="s">
        <v>1780</v>
      </c>
      <c r="B2059" t="s">
        <v>11834</v>
      </c>
    </row>
    <row r="2060" spans="1:2" x14ac:dyDescent="0.25">
      <c r="A2060" t="s">
        <v>1782</v>
      </c>
      <c r="B2060" t="s">
        <v>11835</v>
      </c>
    </row>
    <row r="2061" spans="1:2" x14ac:dyDescent="0.25">
      <c r="A2061" t="s">
        <v>1784</v>
      </c>
      <c r="B2061" t="s">
        <v>11836</v>
      </c>
    </row>
    <row r="2062" spans="1:2" x14ac:dyDescent="0.25">
      <c r="A2062" t="s">
        <v>1786</v>
      </c>
      <c r="B2062" t="s">
        <v>11837</v>
      </c>
    </row>
    <row r="2063" spans="1:2" x14ac:dyDescent="0.25">
      <c r="A2063" t="s">
        <v>1788</v>
      </c>
      <c r="B2063" t="s">
        <v>11838</v>
      </c>
    </row>
    <row r="2064" spans="1:2" x14ac:dyDescent="0.25">
      <c r="A2064" t="s">
        <v>1790</v>
      </c>
      <c r="B2064" t="s">
        <v>11839</v>
      </c>
    </row>
    <row r="2065" spans="1:2" x14ac:dyDescent="0.25">
      <c r="A2065" t="s">
        <v>1792</v>
      </c>
      <c r="B2065" t="s">
        <v>11840</v>
      </c>
    </row>
    <row r="2066" spans="1:2" x14ac:dyDescent="0.25">
      <c r="A2066" t="s">
        <v>1794</v>
      </c>
      <c r="B2066" t="s">
        <v>11841</v>
      </c>
    </row>
    <row r="2067" spans="1:2" x14ac:dyDescent="0.25">
      <c r="A2067" t="s">
        <v>1796</v>
      </c>
      <c r="B2067" t="s">
        <v>11842</v>
      </c>
    </row>
    <row r="2068" spans="1:2" x14ac:dyDescent="0.25">
      <c r="A2068" t="s">
        <v>1798</v>
      </c>
      <c r="B2068" t="s">
        <v>11843</v>
      </c>
    </row>
    <row r="2069" spans="1:2" x14ac:dyDescent="0.25">
      <c r="A2069" t="s">
        <v>1800</v>
      </c>
      <c r="B2069" t="s">
        <v>11844</v>
      </c>
    </row>
    <row r="2070" spans="1:2" x14ac:dyDescent="0.25">
      <c r="A2070" t="s">
        <v>1802</v>
      </c>
      <c r="B2070" t="s">
        <v>11845</v>
      </c>
    </row>
    <row r="2071" spans="1:2" x14ac:dyDescent="0.25">
      <c r="A2071" t="s">
        <v>1676</v>
      </c>
      <c r="B2071" t="s">
        <v>11846</v>
      </c>
    </row>
    <row r="2072" spans="1:2" x14ac:dyDescent="0.25">
      <c r="A2072" t="s">
        <v>1678</v>
      </c>
      <c r="B2072" t="s">
        <v>11847</v>
      </c>
    </row>
    <row r="2073" spans="1:2" x14ac:dyDescent="0.25">
      <c r="A2073" t="s">
        <v>1680</v>
      </c>
      <c r="B2073" t="s">
        <v>11848</v>
      </c>
    </row>
    <row r="2074" spans="1:2" x14ac:dyDescent="0.25">
      <c r="A2074" t="s">
        <v>1682</v>
      </c>
      <c r="B2074" t="s">
        <v>11849</v>
      </c>
    </row>
    <row r="2075" spans="1:2" x14ac:dyDescent="0.25">
      <c r="A2075" t="s">
        <v>1804</v>
      </c>
      <c r="B2075" t="s">
        <v>11850</v>
      </c>
    </row>
    <row r="2076" spans="1:2" x14ac:dyDescent="0.25">
      <c r="A2076" t="s">
        <v>1806</v>
      </c>
      <c r="B2076" t="s">
        <v>11851</v>
      </c>
    </row>
    <row r="2077" spans="1:2" x14ac:dyDescent="0.25">
      <c r="A2077" t="s">
        <v>1808</v>
      </c>
      <c r="B2077" t="s">
        <v>11852</v>
      </c>
    </row>
    <row r="2078" spans="1:2" x14ac:dyDescent="0.25">
      <c r="A2078" t="s">
        <v>1810</v>
      </c>
      <c r="B2078" t="s">
        <v>11853</v>
      </c>
    </row>
    <row r="2079" spans="1:2" x14ac:dyDescent="0.25">
      <c r="A2079" t="s">
        <v>1812</v>
      </c>
      <c r="B2079" t="s">
        <v>11854</v>
      </c>
    </row>
    <row r="2080" spans="1:2" x14ac:dyDescent="0.25">
      <c r="A2080" t="s">
        <v>1814</v>
      </c>
      <c r="B2080" t="s">
        <v>11855</v>
      </c>
    </row>
    <row r="2081" spans="1:2" x14ac:dyDescent="0.25">
      <c r="A2081" t="s">
        <v>1816</v>
      </c>
      <c r="B2081" t="s">
        <v>11856</v>
      </c>
    </row>
    <row r="2082" spans="1:2" x14ac:dyDescent="0.25">
      <c r="A2082" t="s">
        <v>1818</v>
      </c>
      <c r="B2082" t="s">
        <v>11857</v>
      </c>
    </row>
    <row r="2083" spans="1:2" x14ac:dyDescent="0.25">
      <c r="A2083" t="s">
        <v>1820</v>
      </c>
      <c r="B2083" t="s">
        <v>11858</v>
      </c>
    </row>
    <row r="2084" spans="1:2" x14ac:dyDescent="0.25">
      <c r="A2084" t="s">
        <v>1822</v>
      </c>
      <c r="B2084" t="s">
        <v>11859</v>
      </c>
    </row>
    <row r="2085" spans="1:2" x14ac:dyDescent="0.25">
      <c r="A2085" t="s">
        <v>1824</v>
      </c>
      <c r="B2085" t="s">
        <v>11860</v>
      </c>
    </row>
    <row r="2086" spans="1:2" x14ac:dyDescent="0.25">
      <c r="A2086" t="s">
        <v>1826</v>
      </c>
      <c r="B2086" t="s">
        <v>11861</v>
      </c>
    </row>
    <row r="2087" spans="1:2" x14ac:dyDescent="0.25">
      <c r="A2087" t="s">
        <v>1828</v>
      </c>
      <c r="B2087" t="s">
        <v>11862</v>
      </c>
    </row>
    <row r="2088" spans="1:2" x14ac:dyDescent="0.25">
      <c r="A2088" t="s">
        <v>1830</v>
      </c>
      <c r="B2088" t="s">
        <v>11863</v>
      </c>
    </row>
    <row r="2089" spans="1:2" x14ac:dyDescent="0.25">
      <c r="A2089" t="s">
        <v>1832</v>
      </c>
      <c r="B2089" t="s">
        <v>11864</v>
      </c>
    </row>
    <row r="2090" spans="1:2" x14ac:dyDescent="0.25">
      <c r="A2090" t="s">
        <v>1834</v>
      </c>
      <c r="B2090" t="s">
        <v>11865</v>
      </c>
    </row>
    <row r="2091" spans="1:2" x14ac:dyDescent="0.25">
      <c r="A2091" t="s">
        <v>1836</v>
      </c>
      <c r="B2091" t="s">
        <v>11866</v>
      </c>
    </row>
    <row r="2092" spans="1:2" x14ac:dyDescent="0.25">
      <c r="A2092" t="s">
        <v>1838</v>
      </c>
      <c r="B2092" t="s">
        <v>11867</v>
      </c>
    </row>
    <row r="2093" spans="1:2" x14ac:dyDescent="0.25">
      <c r="A2093" t="s">
        <v>1840</v>
      </c>
      <c r="B2093" t="s">
        <v>11868</v>
      </c>
    </row>
    <row r="2094" spans="1:2" x14ac:dyDescent="0.25">
      <c r="A2094" t="s">
        <v>1842</v>
      </c>
      <c r="B2094" t="s">
        <v>11869</v>
      </c>
    </row>
    <row r="2095" spans="1:2" x14ac:dyDescent="0.25">
      <c r="A2095" t="s">
        <v>1844</v>
      </c>
      <c r="B2095" t="s">
        <v>11870</v>
      </c>
    </row>
    <row r="2096" spans="1:2" x14ac:dyDescent="0.25">
      <c r="A2096" t="s">
        <v>1846</v>
      </c>
      <c r="B2096" t="s">
        <v>11871</v>
      </c>
    </row>
    <row r="2097" spans="1:2" x14ac:dyDescent="0.25">
      <c r="A2097" t="s">
        <v>1848</v>
      </c>
      <c r="B2097" t="s">
        <v>11872</v>
      </c>
    </row>
    <row r="2098" spans="1:2" x14ac:dyDescent="0.25">
      <c r="A2098" t="s">
        <v>1850</v>
      </c>
      <c r="B2098" t="s">
        <v>11873</v>
      </c>
    </row>
    <row r="2099" spans="1:2" x14ac:dyDescent="0.25">
      <c r="A2099" t="s">
        <v>1852</v>
      </c>
      <c r="B2099" t="s">
        <v>11874</v>
      </c>
    </row>
    <row r="2100" spans="1:2" x14ac:dyDescent="0.25">
      <c r="A2100" t="s">
        <v>1854</v>
      </c>
      <c r="B2100" t="s">
        <v>11875</v>
      </c>
    </row>
    <row r="2101" spans="1:2" x14ac:dyDescent="0.25">
      <c r="A2101" t="s">
        <v>1856</v>
      </c>
      <c r="B2101" t="s">
        <v>11876</v>
      </c>
    </row>
    <row r="2102" spans="1:2" x14ac:dyDescent="0.25">
      <c r="A2102" t="s">
        <v>1858</v>
      </c>
      <c r="B2102" t="s">
        <v>11877</v>
      </c>
    </row>
    <row r="2103" spans="1:2" x14ac:dyDescent="0.25">
      <c r="A2103" t="s">
        <v>1860</v>
      </c>
      <c r="B2103" t="s">
        <v>11878</v>
      </c>
    </row>
    <row r="2104" spans="1:2" x14ac:dyDescent="0.25">
      <c r="A2104" t="s">
        <v>1862</v>
      </c>
      <c r="B2104" t="s">
        <v>11879</v>
      </c>
    </row>
    <row r="2105" spans="1:2" x14ac:dyDescent="0.25">
      <c r="A2105" t="s">
        <v>1864</v>
      </c>
      <c r="B2105" t="s">
        <v>11880</v>
      </c>
    </row>
    <row r="2106" spans="1:2" x14ac:dyDescent="0.25">
      <c r="A2106" t="s">
        <v>1866</v>
      </c>
      <c r="B2106" t="s">
        <v>11881</v>
      </c>
    </row>
    <row r="2107" spans="1:2" x14ac:dyDescent="0.25">
      <c r="A2107" t="s">
        <v>11882</v>
      </c>
      <c r="B2107" t="s">
        <v>11883</v>
      </c>
    </row>
    <row r="2108" spans="1:2" x14ac:dyDescent="0.25">
      <c r="A2108" t="s">
        <v>11884</v>
      </c>
      <c r="B2108" t="s">
        <v>11885</v>
      </c>
    </row>
    <row r="2109" spans="1:2" x14ac:dyDescent="0.25">
      <c r="A2109" t="s">
        <v>11886</v>
      </c>
      <c r="B2109" t="s">
        <v>11887</v>
      </c>
    </row>
    <row r="2110" spans="1:2" x14ac:dyDescent="0.25">
      <c r="A2110" t="s">
        <v>11888</v>
      </c>
      <c r="B2110" t="s">
        <v>11889</v>
      </c>
    </row>
    <row r="2111" spans="1:2" x14ac:dyDescent="0.25">
      <c r="A2111" t="s">
        <v>11890</v>
      </c>
      <c r="B2111" t="s">
        <v>11891</v>
      </c>
    </row>
    <row r="2112" spans="1:2" x14ac:dyDescent="0.25">
      <c r="A2112" t="s">
        <v>11892</v>
      </c>
      <c r="B2112" t="s">
        <v>11893</v>
      </c>
    </row>
    <row r="2113" spans="1:2" x14ac:dyDescent="0.25">
      <c r="A2113" t="s">
        <v>11894</v>
      </c>
      <c r="B2113" t="s">
        <v>11895</v>
      </c>
    </row>
    <row r="2114" spans="1:2" x14ac:dyDescent="0.25">
      <c r="A2114" t="s">
        <v>11896</v>
      </c>
      <c r="B2114" t="s">
        <v>11897</v>
      </c>
    </row>
    <row r="2115" spans="1:2" x14ac:dyDescent="0.25">
      <c r="A2115" t="s">
        <v>1868</v>
      </c>
      <c r="B2115" t="s">
        <v>11898</v>
      </c>
    </row>
    <row r="2116" spans="1:2" x14ac:dyDescent="0.25">
      <c r="A2116" t="s">
        <v>1870</v>
      </c>
      <c r="B2116" t="s">
        <v>11899</v>
      </c>
    </row>
    <row r="2117" spans="1:2" x14ac:dyDescent="0.25">
      <c r="A2117" t="s">
        <v>1872</v>
      </c>
      <c r="B2117" t="s">
        <v>11900</v>
      </c>
    </row>
    <row r="2118" spans="1:2" x14ac:dyDescent="0.25">
      <c r="A2118" t="s">
        <v>1874</v>
      </c>
      <c r="B2118" t="s">
        <v>11901</v>
      </c>
    </row>
    <row r="2119" spans="1:2" x14ac:dyDescent="0.25">
      <c r="A2119" t="s">
        <v>1877</v>
      </c>
      <c r="B2119" t="s">
        <v>11902</v>
      </c>
    </row>
    <row r="2120" spans="1:2" x14ac:dyDescent="0.25">
      <c r="A2120" t="s">
        <v>1879</v>
      </c>
      <c r="B2120" t="s">
        <v>11903</v>
      </c>
    </row>
    <row r="2121" spans="1:2" x14ac:dyDescent="0.25">
      <c r="A2121" t="s">
        <v>1881</v>
      </c>
      <c r="B2121" t="s">
        <v>11904</v>
      </c>
    </row>
    <row r="2122" spans="1:2" x14ac:dyDescent="0.25">
      <c r="A2122" t="s">
        <v>1883</v>
      </c>
      <c r="B2122" t="s">
        <v>11905</v>
      </c>
    </row>
    <row r="2123" spans="1:2" x14ac:dyDescent="0.25">
      <c r="A2123" t="s">
        <v>1885</v>
      </c>
      <c r="B2123" t="s">
        <v>11906</v>
      </c>
    </row>
    <row r="2124" spans="1:2" x14ac:dyDescent="0.25">
      <c r="A2124" t="s">
        <v>1887</v>
      </c>
      <c r="B2124" t="s">
        <v>11907</v>
      </c>
    </row>
    <row r="2125" spans="1:2" x14ac:dyDescent="0.25">
      <c r="A2125" t="s">
        <v>1889</v>
      </c>
      <c r="B2125" t="s">
        <v>11908</v>
      </c>
    </row>
    <row r="2126" spans="1:2" x14ac:dyDescent="0.25">
      <c r="A2126" t="s">
        <v>1891</v>
      </c>
      <c r="B2126" t="s">
        <v>11909</v>
      </c>
    </row>
    <row r="2127" spans="1:2" x14ac:dyDescent="0.25">
      <c r="A2127" t="s">
        <v>1893</v>
      </c>
      <c r="B2127" t="s">
        <v>11910</v>
      </c>
    </row>
    <row r="2128" spans="1:2" x14ac:dyDescent="0.25">
      <c r="A2128" t="s">
        <v>1895</v>
      </c>
      <c r="B2128" t="s">
        <v>11911</v>
      </c>
    </row>
    <row r="2129" spans="1:2" x14ac:dyDescent="0.25">
      <c r="A2129" t="s">
        <v>1897</v>
      </c>
      <c r="B2129" t="s">
        <v>11912</v>
      </c>
    </row>
    <row r="2130" spans="1:2" x14ac:dyDescent="0.25">
      <c r="A2130" t="s">
        <v>1899</v>
      </c>
      <c r="B2130" t="s">
        <v>11913</v>
      </c>
    </row>
    <row r="2131" spans="1:2" x14ac:dyDescent="0.25">
      <c r="A2131" t="s">
        <v>11914</v>
      </c>
      <c r="B2131" t="s">
        <v>11915</v>
      </c>
    </row>
    <row r="2132" spans="1:2" x14ac:dyDescent="0.25">
      <c r="A2132" t="s">
        <v>11916</v>
      </c>
      <c r="B2132" t="s">
        <v>11917</v>
      </c>
    </row>
    <row r="2133" spans="1:2" x14ac:dyDescent="0.25">
      <c r="A2133" t="s">
        <v>11918</v>
      </c>
      <c r="B2133" t="s">
        <v>11919</v>
      </c>
    </row>
    <row r="2134" spans="1:2" x14ac:dyDescent="0.25">
      <c r="A2134" t="s">
        <v>11920</v>
      </c>
      <c r="B2134" t="s">
        <v>11921</v>
      </c>
    </row>
    <row r="2135" spans="1:2" x14ac:dyDescent="0.25">
      <c r="A2135" t="s">
        <v>11922</v>
      </c>
      <c r="B2135" t="s">
        <v>11923</v>
      </c>
    </row>
    <row r="2136" spans="1:2" x14ac:dyDescent="0.25">
      <c r="A2136" t="s">
        <v>11924</v>
      </c>
      <c r="B2136" t="s">
        <v>11925</v>
      </c>
    </row>
    <row r="2137" spans="1:2" x14ac:dyDescent="0.25">
      <c r="A2137" t="s">
        <v>11926</v>
      </c>
      <c r="B2137" t="s">
        <v>11927</v>
      </c>
    </row>
    <row r="2138" spans="1:2" x14ac:dyDescent="0.25">
      <c r="A2138" t="s">
        <v>11928</v>
      </c>
      <c r="B2138" t="s">
        <v>11929</v>
      </c>
    </row>
    <row r="2139" spans="1:2" x14ac:dyDescent="0.25">
      <c r="A2139" t="s">
        <v>2706</v>
      </c>
      <c r="B2139" t="s">
        <v>11930</v>
      </c>
    </row>
    <row r="2140" spans="1:2" x14ac:dyDescent="0.25">
      <c r="A2140" t="s">
        <v>2708</v>
      </c>
      <c r="B2140" t="s">
        <v>11931</v>
      </c>
    </row>
    <row r="2141" spans="1:2" x14ac:dyDescent="0.25">
      <c r="A2141" t="s">
        <v>2710</v>
      </c>
      <c r="B2141" t="s">
        <v>11932</v>
      </c>
    </row>
    <row r="2142" spans="1:2" x14ac:dyDescent="0.25">
      <c r="A2142" t="s">
        <v>1902</v>
      </c>
      <c r="B2142" t="s">
        <v>11933</v>
      </c>
    </row>
    <row r="2143" spans="1:2" x14ac:dyDescent="0.25">
      <c r="A2143" t="s">
        <v>1905</v>
      </c>
      <c r="B2143" t="s">
        <v>11934</v>
      </c>
    </row>
    <row r="2144" spans="1:2" x14ac:dyDescent="0.25">
      <c r="A2144" t="s">
        <v>1908</v>
      </c>
      <c r="B2144" t="s">
        <v>11935</v>
      </c>
    </row>
    <row r="2145" spans="1:2" x14ac:dyDescent="0.25">
      <c r="A2145" t="s">
        <v>3002</v>
      </c>
      <c r="B2145" t="s">
        <v>11936</v>
      </c>
    </row>
    <row r="2146" spans="1:2" x14ac:dyDescent="0.25">
      <c r="A2146" t="s">
        <v>3004</v>
      </c>
      <c r="B2146" t="s">
        <v>11937</v>
      </c>
    </row>
    <row r="2147" spans="1:2" x14ac:dyDescent="0.25">
      <c r="A2147" t="s">
        <v>3006</v>
      </c>
      <c r="B2147" t="s">
        <v>11938</v>
      </c>
    </row>
    <row r="2148" spans="1:2" x14ac:dyDescent="0.25">
      <c r="A2148" t="s">
        <v>1910</v>
      </c>
      <c r="B2148" t="s">
        <v>11939</v>
      </c>
    </row>
    <row r="2149" spans="1:2" x14ac:dyDescent="0.25">
      <c r="A2149" t="s">
        <v>1913</v>
      </c>
      <c r="B2149" t="s">
        <v>11940</v>
      </c>
    </row>
    <row r="2150" spans="1:2" x14ac:dyDescent="0.25">
      <c r="A2150" t="s">
        <v>3010</v>
      </c>
      <c r="B2150" t="s">
        <v>11941</v>
      </c>
    </row>
    <row r="2151" spans="1:2" x14ac:dyDescent="0.25">
      <c r="A2151" t="s">
        <v>3012</v>
      </c>
      <c r="B2151" t="s">
        <v>11942</v>
      </c>
    </row>
    <row r="2152" spans="1:2" x14ac:dyDescent="0.25">
      <c r="A2152" t="s">
        <v>1916</v>
      </c>
      <c r="B2152" t="s">
        <v>11943</v>
      </c>
    </row>
    <row r="2153" spans="1:2" x14ac:dyDescent="0.25">
      <c r="A2153" t="s">
        <v>3015</v>
      </c>
      <c r="B2153" t="s">
        <v>11944</v>
      </c>
    </row>
    <row r="2154" spans="1:2" x14ac:dyDescent="0.25">
      <c r="A2154" t="s">
        <v>1919</v>
      </c>
      <c r="B2154" t="s">
        <v>11945</v>
      </c>
    </row>
    <row r="2155" spans="1:2" x14ac:dyDescent="0.25">
      <c r="A2155" t="s">
        <v>1922</v>
      </c>
      <c r="B2155" t="s">
        <v>11946</v>
      </c>
    </row>
    <row r="2156" spans="1:2" x14ac:dyDescent="0.25">
      <c r="A2156" t="s">
        <v>11947</v>
      </c>
      <c r="B2156" t="s">
        <v>11948</v>
      </c>
    </row>
    <row r="2157" spans="1:2" x14ac:dyDescent="0.25">
      <c r="A2157" t="s">
        <v>11949</v>
      </c>
      <c r="B2157" t="s">
        <v>11950</v>
      </c>
    </row>
    <row r="2158" spans="1:2" x14ac:dyDescent="0.25">
      <c r="A2158" t="s">
        <v>1943</v>
      </c>
      <c r="B2158" t="s">
        <v>11951</v>
      </c>
    </row>
    <row r="2159" spans="1:2" x14ac:dyDescent="0.25">
      <c r="A2159" t="s">
        <v>1945</v>
      </c>
      <c r="B2159" t="s">
        <v>11952</v>
      </c>
    </row>
    <row r="2160" spans="1:2" x14ac:dyDescent="0.25">
      <c r="A2160" t="s">
        <v>11953</v>
      </c>
      <c r="B2160" t="s">
        <v>11954</v>
      </c>
    </row>
    <row r="2161" spans="1:2" x14ac:dyDescent="0.25">
      <c r="A2161" t="s">
        <v>11955</v>
      </c>
      <c r="B2161" t="s">
        <v>11956</v>
      </c>
    </row>
    <row r="2162" spans="1:2" x14ac:dyDescent="0.25">
      <c r="A2162" t="s">
        <v>1947</v>
      </c>
      <c r="B2162" t="s">
        <v>11957</v>
      </c>
    </row>
    <row r="2163" spans="1:2" x14ac:dyDescent="0.25">
      <c r="A2163" t="s">
        <v>11958</v>
      </c>
      <c r="B2163" t="s">
        <v>11959</v>
      </c>
    </row>
    <row r="2164" spans="1:2" x14ac:dyDescent="0.25">
      <c r="A2164" t="s">
        <v>11960</v>
      </c>
      <c r="B2164" t="s">
        <v>11961</v>
      </c>
    </row>
    <row r="2165" spans="1:2" x14ac:dyDescent="0.25">
      <c r="A2165" t="s">
        <v>11962</v>
      </c>
      <c r="B2165" t="s">
        <v>11963</v>
      </c>
    </row>
    <row r="2166" spans="1:2" x14ac:dyDescent="0.25">
      <c r="A2166" t="s">
        <v>1950</v>
      </c>
      <c r="B2166" t="s">
        <v>11964</v>
      </c>
    </row>
    <row r="2167" spans="1:2" x14ac:dyDescent="0.25">
      <c r="A2167" t="s">
        <v>1952</v>
      </c>
      <c r="B2167" t="s">
        <v>11965</v>
      </c>
    </row>
    <row r="2168" spans="1:2" x14ac:dyDescent="0.25">
      <c r="A2168" t="s">
        <v>11966</v>
      </c>
      <c r="B2168" t="s">
        <v>11967</v>
      </c>
    </row>
    <row r="2169" spans="1:2" x14ac:dyDescent="0.25">
      <c r="A2169" t="s">
        <v>11968</v>
      </c>
      <c r="B2169" t="s">
        <v>11969</v>
      </c>
    </row>
    <row r="2170" spans="1:2" x14ac:dyDescent="0.25">
      <c r="A2170" t="s">
        <v>1954</v>
      </c>
      <c r="B2170" t="s">
        <v>11970</v>
      </c>
    </row>
    <row r="2171" spans="1:2" x14ac:dyDescent="0.25">
      <c r="A2171" t="s">
        <v>11971</v>
      </c>
      <c r="B2171" t="s">
        <v>11972</v>
      </c>
    </row>
    <row r="2172" spans="1:2" x14ac:dyDescent="0.25">
      <c r="A2172" t="s">
        <v>1956</v>
      </c>
      <c r="B2172" t="s">
        <v>11973</v>
      </c>
    </row>
    <row r="2173" spans="1:2" x14ac:dyDescent="0.25">
      <c r="A2173" t="s">
        <v>1958</v>
      </c>
      <c r="B2173" t="s">
        <v>11974</v>
      </c>
    </row>
    <row r="2174" spans="1:2" x14ac:dyDescent="0.25">
      <c r="A2174" t="s">
        <v>11975</v>
      </c>
      <c r="B2174" t="s">
        <v>11976</v>
      </c>
    </row>
    <row r="2175" spans="1:2" x14ac:dyDescent="0.25">
      <c r="A2175" t="s">
        <v>11977</v>
      </c>
      <c r="B2175" t="s">
        <v>11978</v>
      </c>
    </row>
    <row r="2176" spans="1:2" x14ac:dyDescent="0.25">
      <c r="A2176" t="s">
        <v>1960</v>
      </c>
      <c r="B2176" t="s">
        <v>11979</v>
      </c>
    </row>
    <row r="2177" spans="1:2" x14ac:dyDescent="0.25">
      <c r="A2177" t="s">
        <v>11980</v>
      </c>
      <c r="B2177" t="s">
        <v>11981</v>
      </c>
    </row>
    <row r="2178" spans="1:2" x14ac:dyDescent="0.25">
      <c r="A2178" t="s">
        <v>1962</v>
      </c>
      <c r="B2178" t="s">
        <v>11982</v>
      </c>
    </row>
    <row r="2179" spans="1:2" x14ac:dyDescent="0.25">
      <c r="A2179" t="s">
        <v>1966</v>
      </c>
      <c r="B2179" t="s">
        <v>11983</v>
      </c>
    </row>
    <row r="2180" spans="1:2" x14ac:dyDescent="0.25">
      <c r="A2180" t="s">
        <v>1970</v>
      </c>
      <c r="B2180" t="s">
        <v>11984</v>
      </c>
    </row>
    <row r="2181" spans="1:2" x14ac:dyDescent="0.25">
      <c r="A2181" t="s">
        <v>1973</v>
      </c>
      <c r="B2181" t="s">
        <v>11985</v>
      </c>
    </row>
    <row r="2182" spans="1:2" x14ac:dyDescent="0.25">
      <c r="A2182" t="s">
        <v>1975</v>
      </c>
      <c r="B2182" t="s">
        <v>11986</v>
      </c>
    </row>
    <row r="2183" spans="1:2" x14ac:dyDescent="0.25">
      <c r="A2183" t="s">
        <v>1978</v>
      </c>
      <c r="B2183" t="s">
        <v>11987</v>
      </c>
    </row>
    <row r="2184" spans="1:2" x14ac:dyDescent="0.25">
      <c r="A2184" t="s">
        <v>1980</v>
      </c>
      <c r="B2184" t="s">
        <v>11988</v>
      </c>
    </row>
    <row r="2185" spans="1:2" x14ac:dyDescent="0.25">
      <c r="A2185" t="s">
        <v>11989</v>
      </c>
      <c r="B2185" t="s">
        <v>11990</v>
      </c>
    </row>
    <row r="2186" spans="1:2" x14ac:dyDescent="0.25">
      <c r="A2186" t="s">
        <v>11991</v>
      </c>
      <c r="B2186" t="s">
        <v>11992</v>
      </c>
    </row>
    <row r="2187" spans="1:2" x14ac:dyDescent="0.25">
      <c r="A2187" t="s">
        <v>11993</v>
      </c>
      <c r="B2187" t="s">
        <v>11994</v>
      </c>
    </row>
    <row r="2188" spans="1:2" x14ac:dyDescent="0.25">
      <c r="A2188" t="s">
        <v>11995</v>
      </c>
      <c r="B2188" t="s">
        <v>11996</v>
      </c>
    </row>
    <row r="2189" spans="1:2" x14ac:dyDescent="0.25">
      <c r="A2189" t="s">
        <v>2179</v>
      </c>
      <c r="B2189" t="s">
        <v>11997</v>
      </c>
    </row>
    <row r="2190" spans="1:2" x14ac:dyDescent="0.25">
      <c r="A2190" t="s">
        <v>2181</v>
      </c>
      <c r="B2190" t="s">
        <v>11998</v>
      </c>
    </row>
    <row r="2191" spans="1:2" x14ac:dyDescent="0.25">
      <c r="A2191" t="s">
        <v>2183</v>
      </c>
      <c r="B2191" t="s">
        <v>11999</v>
      </c>
    </row>
    <row r="2192" spans="1:2" x14ac:dyDescent="0.25">
      <c r="A2192" t="s">
        <v>2185</v>
      </c>
      <c r="B2192" t="s">
        <v>12000</v>
      </c>
    </row>
    <row r="2193" spans="1:2" x14ac:dyDescent="0.25">
      <c r="A2193" t="s">
        <v>2187</v>
      </c>
      <c r="B2193" t="s">
        <v>12001</v>
      </c>
    </row>
    <row r="2194" spans="1:2" x14ac:dyDescent="0.25">
      <c r="A2194" t="s">
        <v>2189</v>
      </c>
      <c r="B2194" t="s">
        <v>12002</v>
      </c>
    </row>
    <row r="2195" spans="1:2" x14ac:dyDescent="0.25">
      <c r="A2195" t="s">
        <v>2191</v>
      </c>
      <c r="B2195" t="s">
        <v>12003</v>
      </c>
    </row>
    <row r="2196" spans="1:2" x14ac:dyDescent="0.25">
      <c r="A2196" t="s">
        <v>2193</v>
      </c>
      <c r="B2196" t="s">
        <v>12004</v>
      </c>
    </row>
    <row r="2197" spans="1:2" x14ac:dyDescent="0.25">
      <c r="A2197" t="s">
        <v>2195</v>
      </c>
      <c r="B2197" t="s">
        <v>12005</v>
      </c>
    </row>
    <row r="2198" spans="1:2" x14ac:dyDescent="0.25">
      <c r="A2198" t="s">
        <v>2197</v>
      </c>
      <c r="B2198" t="s">
        <v>12006</v>
      </c>
    </row>
    <row r="2199" spans="1:2" x14ac:dyDescent="0.25">
      <c r="A2199" t="s">
        <v>2199</v>
      </c>
      <c r="B2199" t="s">
        <v>12007</v>
      </c>
    </row>
    <row r="2200" spans="1:2" x14ac:dyDescent="0.25">
      <c r="A2200" t="s">
        <v>2201</v>
      </c>
      <c r="B2200" t="s">
        <v>12008</v>
      </c>
    </row>
    <row r="2201" spans="1:2" x14ac:dyDescent="0.25">
      <c r="A2201" t="s">
        <v>2203</v>
      </c>
      <c r="B2201" t="s">
        <v>12009</v>
      </c>
    </row>
    <row r="2202" spans="1:2" x14ac:dyDescent="0.25">
      <c r="A2202" t="s">
        <v>2205</v>
      </c>
      <c r="B2202" t="s">
        <v>12010</v>
      </c>
    </row>
    <row r="2203" spans="1:2" x14ac:dyDescent="0.25">
      <c r="A2203" t="s">
        <v>2207</v>
      </c>
      <c r="B2203" t="s">
        <v>12011</v>
      </c>
    </row>
    <row r="2204" spans="1:2" x14ac:dyDescent="0.25">
      <c r="A2204" t="s">
        <v>2210</v>
      </c>
      <c r="B2204" t="s">
        <v>12012</v>
      </c>
    </row>
    <row r="2205" spans="1:2" x14ac:dyDescent="0.25">
      <c r="A2205" t="s">
        <v>2212</v>
      </c>
      <c r="B2205" t="s">
        <v>12013</v>
      </c>
    </row>
    <row r="2206" spans="1:2" x14ac:dyDescent="0.25">
      <c r="A2206" t="s">
        <v>2214</v>
      </c>
      <c r="B2206" t="s">
        <v>12014</v>
      </c>
    </row>
    <row r="2207" spans="1:2" x14ac:dyDescent="0.25">
      <c r="A2207" t="s">
        <v>2216</v>
      </c>
      <c r="B2207" t="s">
        <v>12015</v>
      </c>
    </row>
    <row r="2208" spans="1:2" x14ac:dyDescent="0.25">
      <c r="A2208" t="s">
        <v>2218</v>
      </c>
      <c r="B2208" t="s">
        <v>12016</v>
      </c>
    </row>
    <row r="2209" spans="1:2" x14ac:dyDescent="0.25">
      <c r="A2209" t="s">
        <v>2220</v>
      </c>
      <c r="B2209" t="s">
        <v>12017</v>
      </c>
    </row>
    <row r="2210" spans="1:2" x14ac:dyDescent="0.25">
      <c r="A2210" t="s">
        <v>2222</v>
      </c>
      <c r="B2210" t="s">
        <v>12018</v>
      </c>
    </row>
    <row r="2211" spans="1:2" x14ac:dyDescent="0.25">
      <c r="A2211" t="s">
        <v>2224</v>
      </c>
      <c r="B2211" t="s">
        <v>12019</v>
      </c>
    </row>
    <row r="2212" spans="1:2" x14ac:dyDescent="0.25">
      <c r="A2212" t="s">
        <v>2226</v>
      </c>
      <c r="B2212" t="s">
        <v>12020</v>
      </c>
    </row>
    <row r="2213" spans="1:2" x14ac:dyDescent="0.25">
      <c r="A2213" t="s">
        <v>2228</v>
      </c>
      <c r="B2213" t="s">
        <v>12021</v>
      </c>
    </row>
    <row r="2214" spans="1:2" x14ac:dyDescent="0.25">
      <c r="A2214" t="s">
        <v>2230</v>
      </c>
      <c r="B2214" t="s">
        <v>12022</v>
      </c>
    </row>
    <row r="2215" spans="1:2" x14ac:dyDescent="0.25">
      <c r="A2215" t="s">
        <v>12023</v>
      </c>
      <c r="B2215" t="s">
        <v>12024</v>
      </c>
    </row>
    <row r="2216" spans="1:2" x14ac:dyDescent="0.25">
      <c r="A2216" t="s">
        <v>12025</v>
      </c>
      <c r="B2216" t="s">
        <v>12026</v>
      </c>
    </row>
    <row r="2217" spans="1:2" x14ac:dyDescent="0.25">
      <c r="A2217" t="s">
        <v>12027</v>
      </c>
      <c r="B2217" t="s">
        <v>12028</v>
      </c>
    </row>
    <row r="2218" spans="1:2" x14ac:dyDescent="0.25">
      <c r="A2218" t="s">
        <v>12029</v>
      </c>
      <c r="B2218" t="s">
        <v>12030</v>
      </c>
    </row>
    <row r="2219" spans="1:2" x14ac:dyDescent="0.25">
      <c r="A2219" t="s">
        <v>12031</v>
      </c>
      <c r="B2219" t="s">
        <v>12032</v>
      </c>
    </row>
    <row r="2220" spans="1:2" x14ac:dyDescent="0.25">
      <c r="A2220" t="s">
        <v>12033</v>
      </c>
      <c r="B2220" t="s">
        <v>12034</v>
      </c>
    </row>
    <row r="2221" spans="1:2" x14ac:dyDescent="0.25">
      <c r="A2221" t="s">
        <v>2046</v>
      </c>
      <c r="B2221" t="s">
        <v>12035</v>
      </c>
    </row>
    <row r="2222" spans="1:2" x14ac:dyDescent="0.25">
      <c r="A2222" t="s">
        <v>2048</v>
      </c>
      <c r="B2222" t="s">
        <v>12036</v>
      </c>
    </row>
    <row r="2223" spans="1:2" x14ac:dyDescent="0.25">
      <c r="A2223" t="s">
        <v>2046</v>
      </c>
      <c r="B2223" t="s">
        <v>12037</v>
      </c>
    </row>
    <row r="2224" spans="1:2" x14ac:dyDescent="0.25">
      <c r="A2224" t="s">
        <v>2048</v>
      </c>
      <c r="B2224" t="s">
        <v>12038</v>
      </c>
    </row>
    <row r="2225" spans="1:2" x14ac:dyDescent="0.25">
      <c r="A2225" t="s">
        <v>2050</v>
      </c>
      <c r="B2225" t="s">
        <v>12039</v>
      </c>
    </row>
    <row r="2226" spans="1:2" x14ac:dyDescent="0.25">
      <c r="A2226" t="s">
        <v>2052</v>
      </c>
      <c r="B2226" t="s">
        <v>12040</v>
      </c>
    </row>
    <row r="2227" spans="1:2" x14ac:dyDescent="0.25">
      <c r="A2227" t="s">
        <v>2056</v>
      </c>
      <c r="B2227" t="s">
        <v>12041</v>
      </c>
    </row>
    <row r="2228" spans="1:2" x14ac:dyDescent="0.25">
      <c r="A2228" t="s">
        <v>2058</v>
      </c>
      <c r="B2228" t="s">
        <v>12042</v>
      </c>
    </row>
    <row r="2229" spans="1:2" x14ac:dyDescent="0.25">
      <c r="A2229" t="s">
        <v>2060</v>
      </c>
      <c r="B2229" t="s">
        <v>12043</v>
      </c>
    </row>
    <row r="2230" spans="1:2" x14ac:dyDescent="0.25">
      <c r="A2230" t="s">
        <v>2062</v>
      </c>
      <c r="B2230" t="s">
        <v>12044</v>
      </c>
    </row>
    <row r="2231" spans="1:2" x14ac:dyDescent="0.25">
      <c r="A2231" t="s">
        <v>2064</v>
      </c>
      <c r="B2231" t="s">
        <v>12045</v>
      </c>
    </row>
    <row r="2232" spans="1:2" x14ac:dyDescent="0.25">
      <c r="A2232" t="s">
        <v>2066</v>
      </c>
      <c r="B2232" t="s">
        <v>12046</v>
      </c>
    </row>
    <row r="2233" spans="1:2" x14ac:dyDescent="0.25">
      <c r="A2233" t="s">
        <v>2068</v>
      </c>
      <c r="B2233" t="s">
        <v>12047</v>
      </c>
    </row>
    <row r="2234" spans="1:2" x14ac:dyDescent="0.25">
      <c r="A2234" t="s">
        <v>2070</v>
      </c>
      <c r="B2234" t="s">
        <v>12048</v>
      </c>
    </row>
    <row r="2235" spans="1:2" x14ac:dyDescent="0.25">
      <c r="A2235" t="s">
        <v>2072</v>
      </c>
      <c r="B2235" t="s">
        <v>12049</v>
      </c>
    </row>
    <row r="2236" spans="1:2" x14ac:dyDescent="0.25">
      <c r="A2236" t="s">
        <v>2074</v>
      </c>
      <c r="B2236" t="s">
        <v>12050</v>
      </c>
    </row>
    <row r="2237" spans="1:2" x14ac:dyDescent="0.25">
      <c r="A2237" t="s">
        <v>2076</v>
      </c>
      <c r="B2237" t="s">
        <v>12051</v>
      </c>
    </row>
    <row r="2238" spans="1:2" x14ac:dyDescent="0.25">
      <c r="A2238" t="s">
        <v>2078</v>
      </c>
      <c r="B2238" t="s">
        <v>12052</v>
      </c>
    </row>
    <row r="2239" spans="1:2" x14ac:dyDescent="0.25">
      <c r="A2239" t="s">
        <v>2080</v>
      </c>
      <c r="B2239" t="s">
        <v>12053</v>
      </c>
    </row>
    <row r="2240" spans="1:2" x14ac:dyDescent="0.25">
      <c r="A2240" t="s">
        <v>2082</v>
      </c>
      <c r="B2240" t="s">
        <v>12054</v>
      </c>
    </row>
    <row r="2241" spans="1:2" x14ac:dyDescent="0.25">
      <c r="A2241" t="s">
        <v>2233</v>
      </c>
      <c r="B2241" t="s">
        <v>2296</v>
      </c>
    </row>
    <row r="2242" spans="1:2" x14ac:dyDescent="0.25">
      <c r="A2242" t="s">
        <v>2298</v>
      </c>
      <c r="B2242" t="s">
        <v>2299</v>
      </c>
    </row>
    <row r="2243" spans="1:2" x14ac:dyDescent="0.25">
      <c r="A2243" t="s">
        <v>2300</v>
      </c>
      <c r="B2243" t="s">
        <v>2301</v>
      </c>
    </row>
    <row r="2244" spans="1:2" x14ac:dyDescent="0.25">
      <c r="A2244" t="s">
        <v>496</v>
      </c>
      <c r="B2244" t="s">
        <v>2304</v>
      </c>
    </row>
    <row r="2245" spans="1:2" x14ac:dyDescent="0.25">
      <c r="A2245" t="s">
        <v>1304</v>
      </c>
      <c r="B2245" t="s">
        <v>2305</v>
      </c>
    </row>
    <row r="2246" spans="1:2" x14ac:dyDescent="0.25">
      <c r="A2246" t="s">
        <v>1307</v>
      </c>
      <c r="B2246" t="s">
        <v>2307</v>
      </c>
    </row>
    <row r="2247" spans="1:2" x14ac:dyDescent="0.25">
      <c r="A2247" t="s">
        <v>1309</v>
      </c>
      <c r="B2247" t="s">
        <v>2309</v>
      </c>
    </row>
    <row r="2248" spans="1:2" x14ac:dyDescent="0.25">
      <c r="A2248" t="s">
        <v>2311</v>
      </c>
      <c r="B2248" t="s">
        <v>2312</v>
      </c>
    </row>
    <row r="2249" spans="1:2" x14ac:dyDescent="0.25">
      <c r="A2249" t="s">
        <v>498</v>
      </c>
      <c r="B2249" t="s">
        <v>2315</v>
      </c>
    </row>
    <row r="2250" spans="1:2" x14ac:dyDescent="0.25">
      <c r="A2250" t="s">
        <v>500</v>
      </c>
      <c r="B2250" t="s">
        <v>2317</v>
      </c>
    </row>
    <row r="2251" spans="1:2" x14ac:dyDescent="0.25">
      <c r="A2251" t="s">
        <v>527</v>
      </c>
      <c r="B2251" t="s">
        <v>2319</v>
      </c>
    </row>
    <row r="2252" spans="1:2" x14ac:dyDescent="0.25">
      <c r="A2252" t="s">
        <v>535</v>
      </c>
      <c r="B2252" t="s">
        <v>2321</v>
      </c>
    </row>
    <row r="2253" spans="1:2" x14ac:dyDescent="0.25">
      <c r="A2253" t="s">
        <v>544</v>
      </c>
      <c r="B2253" t="s">
        <v>2323</v>
      </c>
    </row>
    <row r="2254" spans="1:2" x14ac:dyDescent="0.25">
      <c r="A2254" t="s">
        <v>1339</v>
      </c>
      <c r="B2254" t="s">
        <v>2324</v>
      </c>
    </row>
    <row r="2255" spans="1:2" x14ac:dyDescent="0.25">
      <c r="A2255" t="s">
        <v>577</v>
      </c>
      <c r="B2255" t="s">
        <v>2325</v>
      </c>
    </row>
    <row r="2256" spans="1:2" x14ac:dyDescent="0.25">
      <c r="A2256" t="s">
        <v>582</v>
      </c>
      <c r="B2256" t="s">
        <v>2326</v>
      </c>
    </row>
    <row r="2257" spans="1:2" x14ac:dyDescent="0.25">
      <c r="A2257" t="s">
        <v>588</v>
      </c>
      <c r="B2257" t="s">
        <v>2328</v>
      </c>
    </row>
    <row r="2258" spans="1:2" x14ac:dyDescent="0.25">
      <c r="A2258" t="s">
        <v>1353</v>
      </c>
      <c r="B2258" t="s">
        <v>2330</v>
      </c>
    </row>
    <row r="2259" spans="1:2" x14ac:dyDescent="0.25">
      <c r="A2259" t="s">
        <v>2331</v>
      </c>
      <c r="B2259" t="s">
        <v>2332</v>
      </c>
    </row>
    <row r="2260" spans="1:2" x14ac:dyDescent="0.25">
      <c r="A2260" t="s">
        <v>590</v>
      </c>
      <c r="B2260" t="s">
        <v>2333</v>
      </c>
    </row>
    <row r="2261" spans="1:2" x14ac:dyDescent="0.25">
      <c r="A2261" t="s">
        <v>765</v>
      </c>
      <c r="B2261" t="s">
        <v>2334</v>
      </c>
    </row>
    <row r="2262" spans="1:2" x14ac:dyDescent="0.25">
      <c r="A2262" t="s">
        <v>2279</v>
      </c>
      <c r="B2262" t="s">
        <v>2335</v>
      </c>
    </row>
    <row r="2263" spans="1:2" x14ac:dyDescent="0.25">
      <c r="A2263" t="s">
        <v>858</v>
      </c>
      <c r="B2263" t="s">
        <v>2336</v>
      </c>
    </row>
    <row r="2264" spans="1:2" x14ac:dyDescent="0.25">
      <c r="A2264" t="s">
        <v>860</v>
      </c>
      <c r="B2264" t="s">
        <v>2338</v>
      </c>
    </row>
    <row r="2265" spans="1:2" x14ac:dyDescent="0.25">
      <c r="A2265" t="s">
        <v>867</v>
      </c>
      <c r="B2265" t="s">
        <v>2340</v>
      </c>
    </row>
    <row r="2266" spans="1:2" x14ac:dyDescent="0.25">
      <c r="A2266" t="s">
        <v>869</v>
      </c>
      <c r="B2266" t="s">
        <v>2342</v>
      </c>
    </row>
    <row r="2267" spans="1:2" x14ac:dyDescent="0.25">
      <c r="A2267" t="s">
        <v>871</v>
      </c>
      <c r="B2267" t="s">
        <v>2344</v>
      </c>
    </row>
    <row r="2268" spans="1:2" x14ac:dyDescent="0.25">
      <c r="A2268" t="s">
        <v>875</v>
      </c>
      <c r="B2268" t="s">
        <v>2345</v>
      </c>
    </row>
    <row r="2269" spans="1:2" x14ac:dyDescent="0.25">
      <c r="A2269" t="s">
        <v>2346</v>
      </c>
      <c r="B2269" t="s">
        <v>2347</v>
      </c>
    </row>
    <row r="2270" spans="1:2" x14ac:dyDescent="0.25">
      <c r="A2270" t="s">
        <v>2348</v>
      </c>
      <c r="B2270" t="s">
        <v>2349</v>
      </c>
    </row>
    <row r="2271" spans="1:2" x14ac:dyDescent="0.25">
      <c r="A2271" t="s">
        <v>2350</v>
      </c>
      <c r="B2271" t="s">
        <v>2351</v>
      </c>
    </row>
    <row r="2272" spans="1:2" x14ac:dyDescent="0.25">
      <c r="A2272" t="s">
        <v>2352</v>
      </c>
      <c r="B2272" t="s">
        <v>2353</v>
      </c>
    </row>
    <row r="2273" spans="1:2" x14ac:dyDescent="0.25">
      <c r="A2273" t="s">
        <v>1387</v>
      </c>
      <c r="B2273" t="s">
        <v>2354</v>
      </c>
    </row>
    <row r="2274" spans="1:2" x14ac:dyDescent="0.25">
      <c r="A2274" t="s">
        <v>930</v>
      </c>
      <c r="B2274" t="s">
        <v>2355</v>
      </c>
    </row>
    <row r="2275" spans="1:2" x14ac:dyDescent="0.25">
      <c r="A2275" t="s">
        <v>933</v>
      </c>
      <c r="B2275" t="s">
        <v>2357</v>
      </c>
    </row>
    <row r="2276" spans="1:2" x14ac:dyDescent="0.25">
      <c r="A2276" t="s">
        <v>936</v>
      </c>
      <c r="B2276" t="s">
        <v>2358</v>
      </c>
    </row>
    <row r="2277" spans="1:2" x14ac:dyDescent="0.25">
      <c r="A2277" t="s">
        <v>939</v>
      </c>
      <c r="B2277" t="s">
        <v>2359</v>
      </c>
    </row>
    <row r="2278" spans="1:2" x14ac:dyDescent="0.25">
      <c r="A2278" t="s">
        <v>1403</v>
      </c>
      <c r="B2278" t="s">
        <v>2360</v>
      </c>
    </row>
    <row r="2279" spans="1:2" x14ac:dyDescent="0.25">
      <c r="A2279" t="s">
        <v>1405</v>
      </c>
      <c r="B2279" t="s">
        <v>2361</v>
      </c>
    </row>
    <row r="2280" spans="1:2" x14ac:dyDescent="0.25">
      <c r="A2280" t="s">
        <v>1411</v>
      </c>
      <c r="B2280" t="s">
        <v>2363</v>
      </c>
    </row>
    <row r="2281" spans="1:2" x14ac:dyDescent="0.25">
      <c r="A2281" t="s">
        <v>498</v>
      </c>
      <c r="B2281" t="s">
        <v>2290</v>
      </c>
    </row>
    <row r="2282" spans="1:2" x14ac:dyDescent="0.25">
      <c r="A2282" t="s">
        <v>500</v>
      </c>
      <c r="B2282" t="s">
        <v>2291</v>
      </c>
    </row>
    <row r="2283" spans="1:2" x14ac:dyDescent="0.25">
      <c r="A2283" t="s">
        <v>502</v>
      </c>
      <c r="B2283" t="s">
        <v>2292</v>
      </c>
    </row>
    <row r="2284" spans="1:2" x14ac:dyDescent="0.25">
      <c r="A2284" t="s">
        <v>506</v>
      </c>
      <c r="B2284" t="s">
        <v>2293</v>
      </c>
    </row>
    <row r="2285" spans="1:2" x14ac:dyDescent="0.25">
      <c r="A2285" t="s">
        <v>518</v>
      </c>
      <c r="B2285" t="s">
        <v>2294</v>
      </c>
    </row>
    <row r="2286" spans="1:2" x14ac:dyDescent="0.25">
      <c r="A2286" t="s">
        <v>521</v>
      </c>
      <c r="B2286" t="s">
        <v>2295</v>
      </c>
    </row>
    <row r="2287" spans="1:2" x14ac:dyDescent="0.25">
      <c r="A2287" t="s">
        <v>577</v>
      </c>
      <c r="B2287" t="s">
        <v>3080</v>
      </c>
    </row>
    <row r="2288" spans="1:2" x14ac:dyDescent="0.25">
      <c r="A2288" t="s">
        <v>588</v>
      </c>
      <c r="B2288" t="s">
        <v>3083</v>
      </c>
    </row>
    <row r="2289" spans="1:2" x14ac:dyDescent="0.25">
      <c r="A2289" t="s">
        <v>593</v>
      </c>
      <c r="B2289" t="s">
        <v>3086</v>
      </c>
    </row>
    <row r="2290" spans="1:2" x14ac:dyDescent="0.25">
      <c r="A2290" t="s">
        <v>580</v>
      </c>
      <c r="B2290" t="s">
        <v>3081</v>
      </c>
    </row>
    <row r="2291" spans="1:2" x14ac:dyDescent="0.25">
      <c r="A2291" t="s">
        <v>1353</v>
      </c>
      <c r="B2291" t="s">
        <v>3084</v>
      </c>
    </row>
    <row r="2292" spans="1:2" x14ac:dyDescent="0.25">
      <c r="A2292" t="s">
        <v>595</v>
      </c>
      <c r="B2292" t="s">
        <v>3087</v>
      </c>
    </row>
    <row r="2293" spans="1:2" x14ac:dyDescent="0.25">
      <c r="A2293" t="s">
        <v>582</v>
      </c>
      <c r="B2293" t="s">
        <v>3082</v>
      </c>
    </row>
    <row r="2294" spans="1:2" x14ac:dyDescent="0.25">
      <c r="A2294" t="s">
        <v>2331</v>
      </c>
      <c r="B2294" t="s">
        <v>3085</v>
      </c>
    </row>
    <row r="2295" spans="1:2" x14ac:dyDescent="0.25">
      <c r="A2295" t="s">
        <v>598</v>
      </c>
      <c r="B2295" t="s">
        <v>3088</v>
      </c>
    </row>
    <row r="2296" spans="1:2" x14ac:dyDescent="0.25">
      <c r="A2296" t="s">
        <v>632</v>
      </c>
      <c r="B2296" t="s">
        <v>3089</v>
      </c>
    </row>
    <row r="2297" spans="1:2" x14ac:dyDescent="0.25">
      <c r="A2297" t="s">
        <v>634</v>
      </c>
      <c r="B2297" t="s">
        <v>3090</v>
      </c>
    </row>
    <row r="2298" spans="1:2" x14ac:dyDescent="0.25">
      <c r="A2298" t="s">
        <v>648</v>
      </c>
      <c r="B2298" t="s">
        <v>3091</v>
      </c>
    </row>
    <row r="2299" spans="1:2" x14ac:dyDescent="0.25">
      <c r="A2299" t="s">
        <v>659</v>
      </c>
      <c r="B2299" t="s">
        <v>3092</v>
      </c>
    </row>
    <row r="2300" spans="1:2" x14ac:dyDescent="0.25">
      <c r="A2300" t="s">
        <v>2462</v>
      </c>
      <c r="B2300" t="s">
        <v>3093</v>
      </c>
    </row>
    <row r="2301" spans="1:2" x14ac:dyDescent="0.25">
      <c r="A2301" t="s">
        <v>2279</v>
      </c>
      <c r="B2301" t="s">
        <v>3094</v>
      </c>
    </row>
    <row r="2302" spans="1:2" x14ac:dyDescent="0.25">
      <c r="A2302" t="s">
        <v>496</v>
      </c>
      <c r="B2302" t="s">
        <v>2364</v>
      </c>
    </row>
    <row r="2303" spans="1:2" x14ac:dyDescent="0.25">
      <c r="A2303" t="s">
        <v>1304</v>
      </c>
      <c r="B2303" t="s">
        <v>2365</v>
      </c>
    </row>
    <row r="2304" spans="1:2" x14ac:dyDescent="0.25">
      <c r="A2304" t="s">
        <v>506</v>
      </c>
      <c r="B2304" t="s">
        <v>2367</v>
      </c>
    </row>
    <row r="2305" spans="1:2" x14ac:dyDescent="0.25">
      <c r="A2305" t="s">
        <v>518</v>
      </c>
      <c r="B2305" t="s">
        <v>2368</v>
      </c>
    </row>
    <row r="2306" spans="1:2" x14ac:dyDescent="0.25">
      <c r="A2306" t="s">
        <v>527</v>
      </c>
      <c r="B2306" t="s">
        <v>2372</v>
      </c>
    </row>
    <row r="2307" spans="1:2" x14ac:dyDescent="0.25">
      <c r="A2307" t="s">
        <v>535</v>
      </c>
      <c r="B2307" t="s">
        <v>2375</v>
      </c>
    </row>
    <row r="2308" spans="1:2" x14ac:dyDescent="0.25">
      <c r="A2308" t="s">
        <v>544</v>
      </c>
      <c r="B2308" t="s">
        <v>2378</v>
      </c>
    </row>
    <row r="2309" spans="1:2" x14ac:dyDescent="0.25">
      <c r="A2309" t="s">
        <v>521</v>
      </c>
      <c r="B2309" t="s">
        <v>2369</v>
      </c>
    </row>
    <row r="2310" spans="1:2" x14ac:dyDescent="0.25">
      <c r="A2310" t="s">
        <v>529</v>
      </c>
      <c r="B2310" t="s">
        <v>2373</v>
      </c>
    </row>
    <row r="2311" spans="1:2" x14ac:dyDescent="0.25">
      <c r="A2311" t="s">
        <v>537</v>
      </c>
      <c r="B2311" t="s">
        <v>2376</v>
      </c>
    </row>
    <row r="2312" spans="1:2" x14ac:dyDescent="0.25">
      <c r="A2312" t="s">
        <v>1337</v>
      </c>
      <c r="B2312" t="s">
        <v>2379</v>
      </c>
    </row>
    <row r="2313" spans="1:2" x14ac:dyDescent="0.25">
      <c r="A2313" t="s">
        <v>523</v>
      </c>
      <c r="B2313" t="s">
        <v>2370</v>
      </c>
    </row>
    <row r="2314" spans="1:2" x14ac:dyDescent="0.25">
      <c r="A2314" t="s">
        <v>531</v>
      </c>
      <c r="B2314" t="s">
        <v>2374</v>
      </c>
    </row>
    <row r="2315" spans="1:2" x14ac:dyDescent="0.25">
      <c r="A2315" t="s">
        <v>540</v>
      </c>
      <c r="B2315" t="s">
        <v>2377</v>
      </c>
    </row>
    <row r="2316" spans="1:2" x14ac:dyDescent="0.25">
      <c r="A2316" t="s">
        <v>548</v>
      </c>
      <c r="B2316" t="s">
        <v>2380</v>
      </c>
    </row>
    <row r="2317" spans="1:2" x14ac:dyDescent="0.25">
      <c r="A2317" t="s">
        <v>577</v>
      </c>
      <c r="B2317" t="s">
        <v>2381</v>
      </c>
    </row>
    <row r="2318" spans="1:2" x14ac:dyDescent="0.25">
      <c r="A2318" t="s">
        <v>2279</v>
      </c>
      <c r="B2318" t="s">
        <v>2382</v>
      </c>
    </row>
    <row r="2319" spans="1:2" x14ac:dyDescent="0.25">
      <c r="A2319" t="s">
        <v>858</v>
      </c>
      <c r="B2319" t="s">
        <v>2383</v>
      </c>
    </row>
    <row r="2320" spans="1:2" x14ac:dyDescent="0.25">
      <c r="A2320" t="s">
        <v>860</v>
      </c>
      <c r="B2320" t="s">
        <v>2384</v>
      </c>
    </row>
    <row r="2321" spans="1:2" x14ac:dyDescent="0.25">
      <c r="A2321" t="s">
        <v>867</v>
      </c>
      <c r="B2321" t="s">
        <v>2385</v>
      </c>
    </row>
    <row r="2322" spans="1:2" x14ac:dyDescent="0.25">
      <c r="A2322" t="s">
        <v>869</v>
      </c>
      <c r="B2322" t="s">
        <v>2386</v>
      </c>
    </row>
    <row r="2323" spans="1:2" x14ac:dyDescent="0.25">
      <c r="A2323" t="s">
        <v>871</v>
      </c>
      <c r="B2323" t="s">
        <v>2387</v>
      </c>
    </row>
    <row r="2324" spans="1:2" x14ac:dyDescent="0.25">
      <c r="A2324" t="s">
        <v>875</v>
      </c>
      <c r="B2324" t="s">
        <v>2388</v>
      </c>
    </row>
    <row r="2325" spans="1:2" x14ac:dyDescent="0.25">
      <c r="A2325" t="s">
        <v>2346</v>
      </c>
      <c r="B2325" t="s">
        <v>2389</v>
      </c>
    </row>
    <row r="2326" spans="1:2" x14ac:dyDescent="0.25">
      <c r="A2326" t="s">
        <v>2348</v>
      </c>
      <c r="B2326" t="s">
        <v>2390</v>
      </c>
    </row>
    <row r="2327" spans="1:2" x14ac:dyDescent="0.25">
      <c r="A2327" t="s">
        <v>2350</v>
      </c>
      <c r="B2327" t="s">
        <v>2391</v>
      </c>
    </row>
    <row r="2328" spans="1:2" x14ac:dyDescent="0.25">
      <c r="A2328" t="s">
        <v>496</v>
      </c>
      <c r="B2328" t="s">
        <v>2232</v>
      </c>
    </row>
    <row r="2329" spans="1:2" x14ac:dyDescent="0.25">
      <c r="A2329" t="s">
        <v>1304</v>
      </c>
      <c r="B2329" t="s">
        <v>2235</v>
      </c>
    </row>
    <row r="2330" spans="1:2" x14ac:dyDescent="0.25">
      <c r="A2330" t="s">
        <v>498</v>
      </c>
      <c r="B2330" t="s">
        <v>2237</v>
      </c>
    </row>
    <row r="2331" spans="1:2" x14ac:dyDescent="0.25">
      <c r="A2331" t="s">
        <v>2239</v>
      </c>
      <c r="B2331" t="s">
        <v>2240</v>
      </c>
    </row>
    <row r="2332" spans="1:2" x14ac:dyDescent="0.25">
      <c r="A2332" t="s">
        <v>502</v>
      </c>
      <c r="B2332" t="s">
        <v>2241</v>
      </c>
    </row>
    <row r="2333" spans="1:2" x14ac:dyDescent="0.25">
      <c r="A2333" t="s">
        <v>510</v>
      </c>
      <c r="B2333" t="s">
        <v>2242</v>
      </c>
    </row>
    <row r="2334" spans="1:2" x14ac:dyDescent="0.25">
      <c r="A2334" t="s">
        <v>535</v>
      </c>
      <c r="B2334" t="s">
        <v>2243</v>
      </c>
    </row>
    <row r="2335" spans="1:2" x14ac:dyDescent="0.25">
      <c r="A2335" t="s">
        <v>537</v>
      </c>
      <c r="B2335" t="s">
        <v>2244</v>
      </c>
    </row>
    <row r="2336" spans="1:2" x14ac:dyDescent="0.25">
      <c r="A2336" t="s">
        <v>540</v>
      </c>
      <c r="B2336" t="s">
        <v>2245</v>
      </c>
    </row>
    <row r="2337" spans="1:2" x14ac:dyDescent="0.25">
      <c r="A2337" t="s">
        <v>542</v>
      </c>
      <c r="B2337" t="s">
        <v>2246</v>
      </c>
    </row>
    <row r="2338" spans="1:2" x14ac:dyDescent="0.25">
      <c r="A2338" t="s">
        <v>550</v>
      </c>
      <c r="B2338" t="s">
        <v>2247</v>
      </c>
    </row>
    <row r="2339" spans="1:2" x14ac:dyDescent="0.25">
      <c r="A2339" t="s">
        <v>561</v>
      </c>
      <c r="B2339" t="s">
        <v>2249</v>
      </c>
    </row>
    <row r="2340" spans="1:2" x14ac:dyDescent="0.25">
      <c r="A2340" t="s">
        <v>1349</v>
      </c>
      <c r="B2340" t="s">
        <v>2250</v>
      </c>
    </row>
    <row r="2341" spans="1:2" x14ac:dyDescent="0.25">
      <c r="A2341" t="s">
        <v>2252</v>
      </c>
      <c r="B2341" t="s">
        <v>2253</v>
      </c>
    </row>
    <row r="2342" spans="1:2" x14ac:dyDescent="0.25">
      <c r="A2342" t="s">
        <v>2254</v>
      </c>
      <c r="B2342" t="s">
        <v>2255</v>
      </c>
    </row>
    <row r="2343" spans="1:2" x14ac:dyDescent="0.25">
      <c r="A2343" t="s">
        <v>2256</v>
      </c>
      <c r="B2343" t="s">
        <v>2257</v>
      </c>
    </row>
    <row r="2344" spans="1:2" x14ac:dyDescent="0.25">
      <c r="A2344" t="s">
        <v>565</v>
      </c>
      <c r="B2344" t="s">
        <v>2258</v>
      </c>
    </row>
    <row r="2345" spans="1:2" x14ac:dyDescent="0.25">
      <c r="A2345" t="s">
        <v>567</v>
      </c>
      <c r="B2345" t="s">
        <v>2259</v>
      </c>
    </row>
    <row r="2346" spans="1:2" x14ac:dyDescent="0.25">
      <c r="A2346" t="s">
        <v>570</v>
      </c>
      <c r="B2346" t="s">
        <v>2260</v>
      </c>
    </row>
    <row r="2347" spans="1:2" x14ac:dyDescent="0.25">
      <c r="A2347" t="s">
        <v>574</v>
      </c>
      <c r="B2347" t="s">
        <v>2261</v>
      </c>
    </row>
    <row r="2348" spans="1:2" x14ac:dyDescent="0.25">
      <c r="A2348" t="s">
        <v>593</v>
      </c>
      <c r="B2348" t="s">
        <v>2262</v>
      </c>
    </row>
    <row r="2349" spans="1:2" x14ac:dyDescent="0.25">
      <c r="A2349" t="s">
        <v>595</v>
      </c>
      <c r="B2349" t="s">
        <v>2264</v>
      </c>
    </row>
    <row r="2350" spans="1:2" x14ac:dyDescent="0.25">
      <c r="A2350" t="s">
        <v>598</v>
      </c>
      <c r="B2350" t="s">
        <v>2265</v>
      </c>
    </row>
    <row r="2351" spans="1:2" x14ac:dyDescent="0.25">
      <c r="A2351" t="s">
        <v>2266</v>
      </c>
      <c r="B2351" t="s">
        <v>2267</v>
      </c>
    </row>
    <row r="2352" spans="1:2" x14ac:dyDescent="0.25">
      <c r="A2352" t="s">
        <v>2268</v>
      </c>
      <c r="B2352" t="s">
        <v>2269</v>
      </c>
    </row>
    <row r="2353" spans="1:2" x14ac:dyDescent="0.25">
      <c r="A2353" t="s">
        <v>2270</v>
      </c>
      <c r="B2353" t="s">
        <v>2271</v>
      </c>
    </row>
    <row r="2354" spans="1:2" x14ac:dyDescent="0.25">
      <c r="A2354" t="s">
        <v>2274</v>
      </c>
      <c r="B2354" t="s">
        <v>2275</v>
      </c>
    </row>
    <row r="2355" spans="1:2" x14ac:dyDescent="0.25">
      <c r="A2355" t="s">
        <v>2277</v>
      </c>
      <c r="B2355" t="s">
        <v>2278</v>
      </c>
    </row>
    <row r="2356" spans="1:2" x14ac:dyDescent="0.25">
      <c r="A2356" t="s">
        <v>2279</v>
      </c>
      <c r="B2356" t="s">
        <v>2280</v>
      </c>
    </row>
    <row r="2357" spans="1:2" x14ac:dyDescent="0.25">
      <c r="A2357" t="s">
        <v>858</v>
      </c>
      <c r="B2357" t="s">
        <v>2282</v>
      </c>
    </row>
    <row r="2358" spans="1:2" x14ac:dyDescent="0.25">
      <c r="A2358" t="s">
        <v>860</v>
      </c>
      <c r="B2358" t="s">
        <v>2284</v>
      </c>
    </row>
    <row r="2359" spans="1:2" x14ac:dyDescent="0.25">
      <c r="A2359" t="s">
        <v>862</v>
      </c>
      <c r="B2359" t="s">
        <v>2285</v>
      </c>
    </row>
    <row r="2360" spans="1:2" x14ac:dyDescent="0.25">
      <c r="A2360" t="s">
        <v>864</v>
      </c>
      <c r="B2360" t="s">
        <v>2286</v>
      </c>
    </row>
    <row r="2361" spans="1:2" x14ac:dyDescent="0.25">
      <c r="A2361" t="s">
        <v>867</v>
      </c>
      <c r="B2361" t="s">
        <v>2288</v>
      </c>
    </row>
    <row r="2362" spans="1:2" x14ac:dyDescent="0.25">
      <c r="A2362" t="s">
        <v>496</v>
      </c>
      <c r="B2362" t="s">
        <v>3017</v>
      </c>
    </row>
    <row r="2363" spans="1:2" x14ac:dyDescent="0.25">
      <c r="A2363" t="s">
        <v>1304</v>
      </c>
      <c r="B2363" t="s">
        <v>3018</v>
      </c>
    </row>
    <row r="2364" spans="1:2" x14ac:dyDescent="0.25">
      <c r="A2364" t="s">
        <v>1307</v>
      </c>
      <c r="B2364" t="s">
        <v>3020</v>
      </c>
    </row>
    <row r="2365" spans="1:2" x14ac:dyDescent="0.25">
      <c r="A2365" t="s">
        <v>1309</v>
      </c>
      <c r="B2365" t="s">
        <v>157</v>
      </c>
    </row>
    <row r="2366" spans="1:2" x14ac:dyDescent="0.25">
      <c r="A2366" t="s">
        <v>502</v>
      </c>
      <c r="B2366" t="s">
        <v>3023</v>
      </c>
    </row>
    <row r="2367" spans="1:2" x14ac:dyDescent="0.25">
      <c r="A2367" t="s">
        <v>535</v>
      </c>
      <c r="B2367" t="s">
        <v>3024</v>
      </c>
    </row>
    <row r="2368" spans="1:2" x14ac:dyDescent="0.25">
      <c r="A2368" t="s">
        <v>577</v>
      </c>
      <c r="B2368" t="s">
        <v>3025</v>
      </c>
    </row>
    <row r="2369" spans="1:2" x14ac:dyDescent="0.25">
      <c r="A2369" t="s">
        <v>580</v>
      </c>
      <c r="B2369" t="s">
        <v>163</v>
      </c>
    </row>
    <row r="2370" spans="1:2" x14ac:dyDescent="0.25">
      <c r="A2370" t="s">
        <v>588</v>
      </c>
      <c r="B2370" t="s">
        <v>3028</v>
      </c>
    </row>
    <row r="2371" spans="1:2" x14ac:dyDescent="0.25">
      <c r="A2371" t="s">
        <v>1353</v>
      </c>
      <c r="B2371" t="s">
        <v>3029</v>
      </c>
    </row>
    <row r="2372" spans="1:2" x14ac:dyDescent="0.25">
      <c r="A2372" t="s">
        <v>2331</v>
      </c>
      <c r="B2372" t="s">
        <v>3030</v>
      </c>
    </row>
    <row r="2373" spans="1:2" x14ac:dyDescent="0.25">
      <c r="A2373" t="s">
        <v>590</v>
      </c>
      <c r="B2373" t="s">
        <v>3031</v>
      </c>
    </row>
    <row r="2374" spans="1:2" x14ac:dyDescent="0.25">
      <c r="A2374" t="s">
        <v>601</v>
      </c>
      <c r="B2374" t="s">
        <v>3032</v>
      </c>
    </row>
    <row r="2375" spans="1:2" x14ac:dyDescent="0.25">
      <c r="A2375" t="s">
        <v>603</v>
      </c>
      <c r="B2375" t="s">
        <v>3033</v>
      </c>
    </row>
    <row r="2376" spans="1:2" x14ac:dyDescent="0.25">
      <c r="A2376" t="s">
        <v>606</v>
      </c>
      <c r="B2376" t="s">
        <v>3034</v>
      </c>
    </row>
    <row r="2377" spans="1:2" x14ac:dyDescent="0.25">
      <c r="A2377" t="s">
        <v>2521</v>
      </c>
      <c r="B2377" t="s">
        <v>3035</v>
      </c>
    </row>
    <row r="2378" spans="1:2" x14ac:dyDescent="0.25">
      <c r="A2378" t="s">
        <v>2434</v>
      </c>
      <c r="B2378" t="s">
        <v>3036</v>
      </c>
    </row>
    <row r="2379" spans="1:2" x14ac:dyDescent="0.25">
      <c r="A2379" t="s">
        <v>2436</v>
      </c>
      <c r="B2379" t="s">
        <v>3037</v>
      </c>
    </row>
    <row r="2380" spans="1:2" x14ac:dyDescent="0.25">
      <c r="A2380" t="s">
        <v>610</v>
      </c>
      <c r="B2380" t="s">
        <v>3038</v>
      </c>
    </row>
    <row r="2381" spans="1:2" x14ac:dyDescent="0.25">
      <c r="A2381" t="s">
        <v>612</v>
      </c>
      <c r="B2381" t="s">
        <v>3039</v>
      </c>
    </row>
    <row r="2382" spans="1:2" x14ac:dyDescent="0.25">
      <c r="A2382" t="s">
        <v>620</v>
      </c>
      <c r="B2382" t="s">
        <v>3040</v>
      </c>
    </row>
    <row r="2383" spans="1:2" x14ac:dyDescent="0.25">
      <c r="A2383" t="s">
        <v>623</v>
      </c>
      <c r="B2383" t="s">
        <v>3041</v>
      </c>
    </row>
    <row r="2384" spans="1:2" x14ac:dyDescent="0.25">
      <c r="A2384" t="s">
        <v>625</v>
      </c>
      <c r="B2384" t="s">
        <v>3042</v>
      </c>
    </row>
    <row r="2385" spans="1:2" x14ac:dyDescent="0.25">
      <c r="A2385" t="s">
        <v>630</v>
      </c>
      <c r="B2385" t="s">
        <v>3043</v>
      </c>
    </row>
    <row r="2386" spans="1:2" x14ac:dyDescent="0.25">
      <c r="A2386" t="s">
        <v>2538</v>
      </c>
      <c r="B2386" t="s">
        <v>3044</v>
      </c>
    </row>
    <row r="2387" spans="1:2" x14ac:dyDescent="0.25">
      <c r="A2387" t="s">
        <v>2540</v>
      </c>
      <c r="B2387" t="s">
        <v>3045</v>
      </c>
    </row>
    <row r="2388" spans="1:2" x14ac:dyDescent="0.25">
      <c r="A2388" t="s">
        <v>2543</v>
      </c>
      <c r="B2388" t="s">
        <v>3047</v>
      </c>
    </row>
    <row r="2389" spans="1:2" x14ac:dyDescent="0.25">
      <c r="A2389" t="s">
        <v>3049</v>
      </c>
      <c r="B2389" t="s">
        <v>3050</v>
      </c>
    </row>
    <row r="2390" spans="1:2" x14ac:dyDescent="0.25">
      <c r="A2390" t="s">
        <v>2765</v>
      </c>
      <c r="B2390" t="s">
        <v>3051</v>
      </c>
    </row>
    <row r="2391" spans="1:2" x14ac:dyDescent="0.25">
      <c r="A2391" t="s">
        <v>3053</v>
      </c>
      <c r="B2391" t="s">
        <v>3054</v>
      </c>
    </row>
    <row r="2392" spans="1:2" x14ac:dyDescent="0.25">
      <c r="A2392" t="s">
        <v>2768</v>
      </c>
      <c r="B2392" t="s">
        <v>3055</v>
      </c>
    </row>
    <row r="2393" spans="1:2" x14ac:dyDescent="0.25">
      <c r="A2393" t="s">
        <v>2771</v>
      </c>
      <c r="B2393" t="s">
        <v>3056</v>
      </c>
    </row>
    <row r="2394" spans="1:2" x14ac:dyDescent="0.25">
      <c r="A2394" t="s">
        <v>2470</v>
      </c>
      <c r="B2394" t="s">
        <v>3057</v>
      </c>
    </row>
    <row r="2395" spans="1:2" x14ac:dyDescent="0.25">
      <c r="A2395" t="s">
        <v>2475</v>
      </c>
      <c r="B2395" t="s">
        <v>3058</v>
      </c>
    </row>
    <row r="2396" spans="1:2" x14ac:dyDescent="0.25">
      <c r="A2396" t="s">
        <v>2477</v>
      </c>
      <c r="B2396" t="s">
        <v>3059</v>
      </c>
    </row>
    <row r="2397" spans="1:2" x14ac:dyDescent="0.25">
      <c r="A2397" t="s">
        <v>2479</v>
      </c>
      <c r="B2397" t="s">
        <v>3060</v>
      </c>
    </row>
    <row r="2398" spans="1:2" x14ac:dyDescent="0.25">
      <c r="A2398" t="s">
        <v>686</v>
      </c>
      <c r="B2398" t="s">
        <v>3061</v>
      </c>
    </row>
    <row r="2399" spans="1:2" x14ac:dyDescent="0.25">
      <c r="A2399" t="s">
        <v>689</v>
      </c>
      <c r="B2399" t="s">
        <v>3062</v>
      </c>
    </row>
    <row r="2400" spans="1:2" x14ac:dyDescent="0.25">
      <c r="A2400" t="s">
        <v>692</v>
      </c>
      <c r="B2400" t="s">
        <v>3063</v>
      </c>
    </row>
    <row r="2401" spans="1:2" x14ac:dyDescent="0.25">
      <c r="A2401" t="s">
        <v>695</v>
      </c>
      <c r="B2401" t="s">
        <v>3064</v>
      </c>
    </row>
    <row r="2402" spans="1:2" x14ac:dyDescent="0.25">
      <c r="A2402" t="s">
        <v>765</v>
      </c>
      <c r="B2402" t="s">
        <v>3065</v>
      </c>
    </row>
    <row r="2403" spans="1:2" x14ac:dyDescent="0.25">
      <c r="A2403" t="s">
        <v>768</v>
      </c>
      <c r="B2403" t="s">
        <v>3066</v>
      </c>
    </row>
    <row r="2404" spans="1:2" x14ac:dyDescent="0.25">
      <c r="A2404" t="s">
        <v>771</v>
      </c>
      <c r="B2404" t="s">
        <v>3067</v>
      </c>
    </row>
    <row r="2405" spans="1:2" x14ac:dyDescent="0.25">
      <c r="A2405" t="s">
        <v>773</v>
      </c>
      <c r="B2405" t="s">
        <v>3068</v>
      </c>
    </row>
    <row r="2406" spans="1:2" x14ac:dyDescent="0.25">
      <c r="A2406" t="s">
        <v>775</v>
      </c>
      <c r="B2406" t="s">
        <v>3069</v>
      </c>
    </row>
    <row r="2407" spans="1:2" x14ac:dyDescent="0.25">
      <c r="A2407" t="s">
        <v>777</v>
      </c>
      <c r="B2407" t="s">
        <v>3070</v>
      </c>
    </row>
    <row r="2408" spans="1:2" x14ac:dyDescent="0.25">
      <c r="A2408" t="s">
        <v>780</v>
      </c>
      <c r="B2408" t="s">
        <v>3071</v>
      </c>
    </row>
    <row r="2409" spans="1:2" x14ac:dyDescent="0.25">
      <c r="A2409" t="s">
        <v>2561</v>
      </c>
      <c r="B2409" t="s">
        <v>3072</v>
      </c>
    </row>
    <row r="2410" spans="1:2" x14ac:dyDescent="0.25">
      <c r="A2410" t="s">
        <v>2564</v>
      </c>
      <c r="B2410" t="s">
        <v>3073</v>
      </c>
    </row>
    <row r="2411" spans="1:2" x14ac:dyDescent="0.25">
      <c r="A2411" t="s">
        <v>2279</v>
      </c>
      <c r="B2411" t="s">
        <v>3074</v>
      </c>
    </row>
    <row r="2412" spans="1:2" x14ac:dyDescent="0.25">
      <c r="A2412" t="s">
        <v>2820</v>
      </c>
      <c r="B2412" t="s">
        <v>3075</v>
      </c>
    </row>
    <row r="2413" spans="1:2" x14ac:dyDescent="0.25">
      <c r="A2413" t="s">
        <v>858</v>
      </c>
      <c r="B2413" t="s">
        <v>3076</v>
      </c>
    </row>
    <row r="2414" spans="1:2" x14ac:dyDescent="0.25">
      <c r="A2414" t="s">
        <v>867</v>
      </c>
      <c r="B2414" t="s">
        <v>3077</v>
      </c>
    </row>
    <row r="2415" spans="1:2" x14ac:dyDescent="0.25">
      <c r="A2415" t="s">
        <v>871</v>
      </c>
      <c r="B2415" t="s">
        <v>3078</v>
      </c>
    </row>
    <row r="2416" spans="1:2" x14ac:dyDescent="0.25">
      <c r="A2416" t="s">
        <v>875</v>
      </c>
      <c r="B2416" t="s">
        <v>3079</v>
      </c>
    </row>
    <row r="2417" spans="1:2" x14ac:dyDescent="0.25">
      <c r="A2417" t="s">
        <v>1307</v>
      </c>
      <c r="B2417" t="s">
        <v>12055</v>
      </c>
    </row>
    <row r="2418" spans="1:2" x14ac:dyDescent="0.25">
      <c r="A2418" t="s">
        <v>1309</v>
      </c>
      <c r="B2418" t="s">
        <v>12056</v>
      </c>
    </row>
    <row r="2419" spans="1:2" x14ac:dyDescent="0.25">
      <c r="A2419" t="s">
        <v>2311</v>
      </c>
      <c r="B2419" t="s">
        <v>12057</v>
      </c>
    </row>
    <row r="2420" spans="1:2" x14ac:dyDescent="0.25">
      <c r="A2420" t="s">
        <v>498</v>
      </c>
      <c r="B2420" t="s">
        <v>12058</v>
      </c>
    </row>
    <row r="2421" spans="1:2" x14ac:dyDescent="0.25">
      <c r="A2421" t="s">
        <v>2239</v>
      </c>
      <c r="B2421" t="s">
        <v>12059</v>
      </c>
    </row>
    <row r="2422" spans="1:2" x14ac:dyDescent="0.25">
      <c r="A2422" t="s">
        <v>1316</v>
      </c>
      <c r="B2422" t="s">
        <v>12060</v>
      </c>
    </row>
    <row r="2423" spans="1:2" x14ac:dyDescent="0.25">
      <c r="A2423" t="s">
        <v>502</v>
      </c>
      <c r="B2423" t="s">
        <v>12061</v>
      </c>
    </row>
    <row r="2424" spans="1:2" x14ac:dyDescent="0.25">
      <c r="A2424" t="s">
        <v>506</v>
      </c>
      <c r="B2424" t="s">
        <v>12062</v>
      </c>
    </row>
    <row r="2425" spans="1:2" x14ac:dyDescent="0.25">
      <c r="A2425" t="s">
        <v>518</v>
      </c>
      <c r="B2425" t="s">
        <v>12063</v>
      </c>
    </row>
    <row r="2426" spans="1:2" x14ac:dyDescent="0.25">
      <c r="A2426" t="s">
        <v>521</v>
      </c>
      <c r="B2426" t="s">
        <v>12064</v>
      </c>
    </row>
    <row r="2427" spans="1:2" x14ac:dyDescent="0.25">
      <c r="A2427" t="s">
        <v>523</v>
      </c>
      <c r="B2427" t="s">
        <v>12065</v>
      </c>
    </row>
    <row r="2428" spans="1:2" x14ac:dyDescent="0.25">
      <c r="A2428" t="s">
        <v>525</v>
      </c>
      <c r="B2428" t="s">
        <v>12066</v>
      </c>
    </row>
    <row r="2429" spans="1:2" x14ac:dyDescent="0.25">
      <c r="A2429" t="s">
        <v>527</v>
      </c>
      <c r="B2429" t="s">
        <v>12067</v>
      </c>
    </row>
    <row r="2430" spans="1:2" x14ac:dyDescent="0.25">
      <c r="A2430" t="s">
        <v>529</v>
      </c>
      <c r="B2430" t="s">
        <v>12068</v>
      </c>
    </row>
    <row r="2431" spans="1:2" x14ac:dyDescent="0.25">
      <c r="A2431" t="s">
        <v>531</v>
      </c>
      <c r="B2431" t="s">
        <v>12069</v>
      </c>
    </row>
    <row r="2432" spans="1:2" x14ac:dyDescent="0.25">
      <c r="A2432" t="s">
        <v>533</v>
      </c>
      <c r="B2432" t="s">
        <v>12070</v>
      </c>
    </row>
    <row r="2433" spans="1:2" x14ac:dyDescent="0.25">
      <c r="A2433" t="s">
        <v>535</v>
      </c>
      <c r="B2433" t="s">
        <v>12071</v>
      </c>
    </row>
    <row r="2434" spans="1:2" x14ac:dyDescent="0.25">
      <c r="A2434" t="s">
        <v>537</v>
      </c>
      <c r="B2434" t="s">
        <v>12072</v>
      </c>
    </row>
    <row r="2435" spans="1:2" x14ac:dyDescent="0.25">
      <c r="A2435" t="s">
        <v>540</v>
      </c>
      <c r="B2435" t="s">
        <v>12073</v>
      </c>
    </row>
    <row r="2436" spans="1:2" x14ac:dyDescent="0.25">
      <c r="A2436" t="s">
        <v>542</v>
      </c>
      <c r="B2436" t="s">
        <v>12074</v>
      </c>
    </row>
    <row r="2437" spans="1:2" x14ac:dyDescent="0.25">
      <c r="A2437" t="s">
        <v>544</v>
      </c>
      <c r="B2437" t="s">
        <v>12075</v>
      </c>
    </row>
    <row r="2438" spans="1:2" x14ac:dyDescent="0.25">
      <c r="A2438" t="s">
        <v>1337</v>
      </c>
      <c r="B2438" t="s">
        <v>12076</v>
      </c>
    </row>
    <row r="2439" spans="1:2" x14ac:dyDescent="0.25">
      <c r="A2439" t="s">
        <v>548</v>
      </c>
      <c r="B2439" t="s">
        <v>12077</v>
      </c>
    </row>
    <row r="2440" spans="1:2" x14ac:dyDescent="0.25">
      <c r="A2440" t="s">
        <v>3177</v>
      </c>
      <c r="B2440" t="s">
        <v>12078</v>
      </c>
    </row>
    <row r="2441" spans="1:2" x14ac:dyDescent="0.25">
      <c r="A2441" t="s">
        <v>1339</v>
      </c>
      <c r="B2441" t="s">
        <v>12079</v>
      </c>
    </row>
    <row r="2442" spans="1:2" x14ac:dyDescent="0.25">
      <c r="A2442" t="s">
        <v>1341</v>
      </c>
      <c r="B2442" t="s">
        <v>12080</v>
      </c>
    </row>
    <row r="2443" spans="1:2" x14ac:dyDescent="0.25">
      <c r="A2443" t="s">
        <v>1343</v>
      </c>
      <c r="B2443" t="s">
        <v>12081</v>
      </c>
    </row>
    <row r="2444" spans="1:2" x14ac:dyDescent="0.25">
      <c r="A2444" t="s">
        <v>6134</v>
      </c>
      <c r="B2444" t="s">
        <v>12082</v>
      </c>
    </row>
    <row r="2445" spans="1:2" x14ac:dyDescent="0.25">
      <c r="A2445" t="s">
        <v>550</v>
      </c>
      <c r="B2445" t="s">
        <v>12083</v>
      </c>
    </row>
    <row r="2446" spans="1:2" x14ac:dyDescent="0.25">
      <c r="A2446" t="s">
        <v>553</v>
      </c>
      <c r="B2446" t="s">
        <v>12084</v>
      </c>
    </row>
    <row r="2447" spans="1:2" x14ac:dyDescent="0.25">
      <c r="A2447" t="s">
        <v>555</v>
      </c>
      <c r="B2447" t="s">
        <v>12085</v>
      </c>
    </row>
    <row r="2448" spans="1:2" x14ac:dyDescent="0.25">
      <c r="A2448" t="s">
        <v>558</v>
      </c>
      <c r="B2448" t="s">
        <v>12086</v>
      </c>
    </row>
    <row r="2449" spans="1:2" x14ac:dyDescent="0.25">
      <c r="A2449" t="s">
        <v>561</v>
      </c>
      <c r="B2449" t="s">
        <v>12087</v>
      </c>
    </row>
    <row r="2450" spans="1:2" x14ac:dyDescent="0.25">
      <c r="A2450" t="s">
        <v>2416</v>
      </c>
      <c r="B2450" t="s">
        <v>12088</v>
      </c>
    </row>
    <row r="2451" spans="1:2" x14ac:dyDescent="0.25">
      <c r="A2451" t="s">
        <v>1345</v>
      </c>
      <c r="B2451" t="s">
        <v>12089</v>
      </c>
    </row>
    <row r="2452" spans="1:2" x14ac:dyDescent="0.25">
      <c r="A2452" t="s">
        <v>1347</v>
      </c>
      <c r="B2452" t="s">
        <v>12090</v>
      </c>
    </row>
    <row r="2453" spans="1:2" x14ac:dyDescent="0.25">
      <c r="A2453" t="s">
        <v>1349</v>
      </c>
      <c r="B2453" t="s">
        <v>12091</v>
      </c>
    </row>
    <row r="2454" spans="1:2" x14ac:dyDescent="0.25">
      <c r="A2454" t="s">
        <v>2252</v>
      </c>
      <c r="B2454" t="s">
        <v>12092</v>
      </c>
    </row>
    <row r="2455" spans="1:2" x14ac:dyDescent="0.25">
      <c r="A2455" t="s">
        <v>2254</v>
      </c>
      <c r="B2455" t="s">
        <v>12093</v>
      </c>
    </row>
    <row r="2456" spans="1:2" x14ac:dyDescent="0.25">
      <c r="A2456" t="s">
        <v>2256</v>
      </c>
      <c r="B2456" t="s">
        <v>12094</v>
      </c>
    </row>
    <row r="2457" spans="1:2" x14ac:dyDescent="0.25">
      <c r="A2457" t="s">
        <v>565</v>
      </c>
      <c r="B2457" t="s">
        <v>12095</v>
      </c>
    </row>
    <row r="2458" spans="1:2" x14ac:dyDescent="0.25">
      <c r="A2458" t="s">
        <v>567</v>
      </c>
      <c r="B2458" t="s">
        <v>12096</v>
      </c>
    </row>
    <row r="2459" spans="1:2" x14ac:dyDescent="0.25">
      <c r="A2459" t="s">
        <v>570</v>
      </c>
      <c r="B2459" t="s">
        <v>12097</v>
      </c>
    </row>
    <row r="2460" spans="1:2" x14ac:dyDescent="0.25">
      <c r="A2460" t="s">
        <v>574</v>
      </c>
      <c r="B2460" t="s">
        <v>12098</v>
      </c>
    </row>
    <row r="2461" spans="1:2" x14ac:dyDescent="0.25">
      <c r="A2461" t="s">
        <v>3118</v>
      </c>
      <c r="B2461" t="s">
        <v>12099</v>
      </c>
    </row>
    <row r="2462" spans="1:2" x14ac:dyDescent="0.25">
      <c r="A2462" t="s">
        <v>3120</v>
      </c>
      <c r="B2462" t="s">
        <v>12100</v>
      </c>
    </row>
    <row r="2463" spans="1:2" x14ac:dyDescent="0.25">
      <c r="A2463" t="s">
        <v>7255</v>
      </c>
      <c r="B2463" t="s">
        <v>12101</v>
      </c>
    </row>
    <row r="2464" spans="1:2" x14ac:dyDescent="0.25">
      <c r="A2464" t="s">
        <v>1351</v>
      </c>
      <c r="B2464" t="s">
        <v>12102</v>
      </c>
    </row>
    <row r="2465" spans="1:2" x14ac:dyDescent="0.25">
      <c r="A2465" t="s">
        <v>577</v>
      </c>
      <c r="B2465" t="s">
        <v>12103</v>
      </c>
    </row>
    <row r="2466" spans="1:2" x14ac:dyDescent="0.25">
      <c r="A2466" t="s">
        <v>580</v>
      </c>
      <c r="B2466" t="s">
        <v>12104</v>
      </c>
    </row>
    <row r="2467" spans="1:2" x14ac:dyDescent="0.25">
      <c r="A2467" t="s">
        <v>582</v>
      </c>
      <c r="B2467" t="s">
        <v>12105</v>
      </c>
    </row>
    <row r="2468" spans="1:2" x14ac:dyDescent="0.25">
      <c r="A2468" t="s">
        <v>586</v>
      </c>
      <c r="B2468" t="s">
        <v>12106</v>
      </c>
    </row>
    <row r="2469" spans="1:2" x14ac:dyDescent="0.25">
      <c r="A2469" t="s">
        <v>588</v>
      </c>
      <c r="B2469" t="s">
        <v>12107</v>
      </c>
    </row>
    <row r="2470" spans="1:2" x14ac:dyDescent="0.25">
      <c r="A2470" t="s">
        <v>1353</v>
      </c>
      <c r="B2470" t="s">
        <v>12108</v>
      </c>
    </row>
    <row r="2471" spans="1:2" x14ac:dyDescent="0.25">
      <c r="A2471" t="s">
        <v>2331</v>
      </c>
      <c r="B2471" t="s">
        <v>12109</v>
      </c>
    </row>
    <row r="2472" spans="1:2" x14ac:dyDescent="0.25">
      <c r="A2472" t="s">
        <v>590</v>
      </c>
      <c r="B2472" t="s">
        <v>12110</v>
      </c>
    </row>
    <row r="2473" spans="1:2" x14ac:dyDescent="0.25">
      <c r="A2473" t="s">
        <v>676</v>
      </c>
      <c r="B2473" t="s">
        <v>12111</v>
      </c>
    </row>
    <row r="2474" spans="1:2" x14ac:dyDescent="0.25">
      <c r="A2474" t="s">
        <v>678</v>
      </c>
      <c r="B2474" t="s">
        <v>12112</v>
      </c>
    </row>
    <row r="2475" spans="1:2" x14ac:dyDescent="0.25">
      <c r="A2475" t="s">
        <v>681</v>
      </c>
      <c r="B2475" t="s">
        <v>12113</v>
      </c>
    </row>
    <row r="2476" spans="1:2" x14ac:dyDescent="0.25">
      <c r="A2476" t="s">
        <v>684</v>
      </c>
      <c r="B2476" t="s">
        <v>12114</v>
      </c>
    </row>
    <row r="2477" spans="1:2" x14ac:dyDescent="0.25">
      <c r="A2477" t="s">
        <v>2538</v>
      </c>
      <c r="B2477" t="s">
        <v>12115</v>
      </c>
    </row>
    <row r="2478" spans="1:2" x14ac:dyDescent="0.25">
      <c r="A2478" t="s">
        <v>765</v>
      </c>
      <c r="B2478" t="s">
        <v>12116</v>
      </c>
    </row>
    <row r="2479" spans="1:2" x14ac:dyDescent="0.25">
      <c r="A2479" t="s">
        <v>768</v>
      </c>
      <c r="B2479" t="s">
        <v>12117</v>
      </c>
    </row>
    <row r="2480" spans="1:2" x14ac:dyDescent="0.25">
      <c r="A2480" t="s">
        <v>771</v>
      </c>
      <c r="B2480" t="s">
        <v>12118</v>
      </c>
    </row>
    <row r="2481" spans="1:2" x14ac:dyDescent="0.25">
      <c r="A2481" t="s">
        <v>773</v>
      </c>
      <c r="B2481" t="s">
        <v>12119</v>
      </c>
    </row>
    <row r="2482" spans="1:2" x14ac:dyDescent="0.25">
      <c r="A2482" t="s">
        <v>775</v>
      </c>
      <c r="B2482" t="s">
        <v>12120</v>
      </c>
    </row>
    <row r="2483" spans="1:2" x14ac:dyDescent="0.25">
      <c r="A2483" t="s">
        <v>777</v>
      </c>
      <c r="B2483" t="s">
        <v>12121</v>
      </c>
    </row>
    <row r="2484" spans="1:2" x14ac:dyDescent="0.25">
      <c r="A2484" t="s">
        <v>780</v>
      </c>
      <c r="B2484" t="s">
        <v>12122</v>
      </c>
    </row>
    <row r="2485" spans="1:2" x14ac:dyDescent="0.25">
      <c r="A2485" t="s">
        <v>2561</v>
      </c>
      <c r="B2485" t="s">
        <v>12123</v>
      </c>
    </row>
    <row r="2486" spans="1:2" x14ac:dyDescent="0.25">
      <c r="A2486" t="s">
        <v>2564</v>
      </c>
      <c r="B2486" t="s">
        <v>12124</v>
      </c>
    </row>
    <row r="2487" spans="1:2" x14ac:dyDescent="0.25">
      <c r="A2487" t="s">
        <v>2567</v>
      </c>
      <c r="B2487" t="s">
        <v>12125</v>
      </c>
    </row>
    <row r="2488" spans="1:2" x14ac:dyDescent="0.25">
      <c r="A2488" t="s">
        <v>858</v>
      </c>
      <c r="B2488" t="s">
        <v>12126</v>
      </c>
    </row>
    <row r="2489" spans="1:2" x14ac:dyDescent="0.25">
      <c r="A2489" t="s">
        <v>860</v>
      </c>
      <c r="B2489" t="s">
        <v>12127</v>
      </c>
    </row>
    <row r="2490" spans="1:2" x14ac:dyDescent="0.25">
      <c r="A2490" t="s">
        <v>862</v>
      </c>
      <c r="B2490" t="s">
        <v>12128</v>
      </c>
    </row>
    <row r="2491" spans="1:2" x14ac:dyDescent="0.25">
      <c r="A2491" t="s">
        <v>965</v>
      </c>
      <c r="B2491" t="s">
        <v>12129</v>
      </c>
    </row>
    <row r="2492" spans="1:2" x14ac:dyDescent="0.25">
      <c r="A2492" t="s">
        <v>968</v>
      </c>
      <c r="B2492" t="s">
        <v>12130</v>
      </c>
    </row>
    <row r="2493" spans="1:2" x14ac:dyDescent="0.25">
      <c r="A2493" t="s">
        <v>975</v>
      </c>
      <c r="B2493" t="s">
        <v>12131</v>
      </c>
    </row>
    <row r="2494" spans="1:2" x14ac:dyDescent="0.25">
      <c r="A2494" t="s">
        <v>977</v>
      </c>
      <c r="B2494" t="s">
        <v>12132</v>
      </c>
    </row>
    <row r="2495" spans="1:2" x14ac:dyDescent="0.25">
      <c r="A2495" t="s">
        <v>979</v>
      </c>
      <c r="B2495" t="s">
        <v>12133</v>
      </c>
    </row>
    <row r="2496" spans="1:2" x14ac:dyDescent="0.25">
      <c r="A2496" t="s">
        <v>981</v>
      </c>
      <c r="B2496" t="s">
        <v>12134</v>
      </c>
    </row>
    <row r="2497" spans="1:2" x14ac:dyDescent="0.25">
      <c r="A2497" t="s">
        <v>983</v>
      </c>
      <c r="B2497" t="s">
        <v>12135</v>
      </c>
    </row>
    <row r="2498" spans="1:2" x14ac:dyDescent="0.25">
      <c r="A2498" t="s">
        <v>985</v>
      </c>
      <c r="B2498" t="s">
        <v>12136</v>
      </c>
    </row>
    <row r="2499" spans="1:2" x14ac:dyDescent="0.25">
      <c r="A2499" t="s">
        <v>991</v>
      </c>
      <c r="B2499" t="s">
        <v>12137</v>
      </c>
    </row>
    <row r="2500" spans="1:2" x14ac:dyDescent="0.25">
      <c r="A2500" t="s">
        <v>993</v>
      </c>
      <c r="B2500" t="s">
        <v>12138</v>
      </c>
    </row>
    <row r="2501" spans="1:2" x14ac:dyDescent="0.25">
      <c r="A2501" t="s">
        <v>996</v>
      </c>
      <c r="B2501" t="s">
        <v>12139</v>
      </c>
    </row>
    <row r="2502" spans="1:2" x14ac:dyDescent="0.25">
      <c r="A2502" t="s">
        <v>999</v>
      </c>
      <c r="B2502" t="s">
        <v>12140</v>
      </c>
    </row>
    <row r="2503" spans="1:2" x14ac:dyDescent="0.25">
      <c r="A2503" t="s">
        <v>1003</v>
      </c>
      <c r="B2503" t="s">
        <v>12141</v>
      </c>
    </row>
    <row r="2504" spans="1:2" x14ac:dyDescent="0.25">
      <c r="A2504" t="s">
        <v>496</v>
      </c>
      <c r="B2504" t="s">
        <v>2721</v>
      </c>
    </row>
    <row r="2505" spans="1:2" x14ac:dyDescent="0.25">
      <c r="A2505" t="s">
        <v>1304</v>
      </c>
      <c r="B2505" t="s">
        <v>2722</v>
      </c>
    </row>
    <row r="2506" spans="1:2" x14ac:dyDescent="0.25">
      <c r="A2506" t="s">
        <v>498</v>
      </c>
      <c r="B2506" t="s">
        <v>2725</v>
      </c>
    </row>
    <row r="2507" spans="1:2" x14ac:dyDescent="0.25">
      <c r="A2507" t="s">
        <v>502</v>
      </c>
      <c r="B2507" t="s">
        <v>2726</v>
      </c>
    </row>
    <row r="2508" spans="1:2" x14ac:dyDescent="0.25">
      <c r="A2508" t="s">
        <v>518</v>
      </c>
      <c r="B2508" t="s">
        <v>2727</v>
      </c>
    </row>
    <row r="2509" spans="1:2" x14ac:dyDescent="0.25">
      <c r="A2509" t="s">
        <v>521</v>
      </c>
      <c r="B2509" t="s">
        <v>2729</v>
      </c>
    </row>
    <row r="2510" spans="1:2" x14ac:dyDescent="0.25">
      <c r="A2510" t="s">
        <v>535</v>
      </c>
      <c r="B2510" t="s">
        <v>2730</v>
      </c>
    </row>
    <row r="2511" spans="1:2" x14ac:dyDescent="0.25">
      <c r="A2511" t="s">
        <v>537</v>
      </c>
      <c r="B2511" t="s">
        <v>2732</v>
      </c>
    </row>
    <row r="2512" spans="1:2" x14ac:dyDescent="0.25">
      <c r="A2512" t="s">
        <v>544</v>
      </c>
      <c r="B2512" t="s">
        <v>2733</v>
      </c>
    </row>
    <row r="2513" spans="1:2" x14ac:dyDescent="0.25">
      <c r="A2513" t="s">
        <v>1339</v>
      </c>
      <c r="B2513" t="s">
        <v>2734</v>
      </c>
    </row>
    <row r="2514" spans="1:2" x14ac:dyDescent="0.25">
      <c r="A2514" t="s">
        <v>577</v>
      </c>
      <c r="B2514" t="s">
        <v>2735</v>
      </c>
    </row>
    <row r="2515" spans="1:2" x14ac:dyDescent="0.25">
      <c r="A2515" t="s">
        <v>593</v>
      </c>
      <c r="B2515" t="s">
        <v>2743</v>
      </c>
    </row>
    <row r="2516" spans="1:2" x14ac:dyDescent="0.25">
      <c r="A2516" t="s">
        <v>2268</v>
      </c>
      <c r="B2516" t="s">
        <v>2747</v>
      </c>
    </row>
    <row r="2517" spans="1:2" x14ac:dyDescent="0.25">
      <c r="A2517" t="s">
        <v>614</v>
      </c>
      <c r="B2517" t="s">
        <v>2751</v>
      </c>
    </row>
    <row r="2518" spans="1:2" x14ac:dyDescent="0.25">
      <c r="A2518" t="s">
        <v>632</v>
      </c>
      <c r="B2518" t="s">
        <v>2755</v>
      </c>
    </row>
    <row r="2519" spans="1:2" x14ac:dyDescent="0.25">
      <c r="A2519" t="s">
        <v>582</v>
      </c>
      <c r="B2519" t="s">
        <v>2738</v>
      </c>
    </row>
    <row r="2520" spans="1:2" x14ac:dyDescent="0.25">
      <c r="A2520" t="s">
        <v>598</v>
      </c>
      <c r="B2520" t="s">
        <v>2744</v>
      </c>
    </row>
    <row r="2521" spans="1:2" x14ac:dyDescent="0.25">
      <c r="A2521" t="s">
        <v>2274</v>
      </c>
      <c r="B2521" t="s">
        <v>2748</v>
      </c>
    </row>
    <row r="2522" spans="1:2" x14ac:dyDescent="0.25">
      <c r="A2522" t="s">
        <v>1359</v>
      </c>
      <c r="B2522" t="s">
        <v>2752</v>
      </c>
    </row>
    <row r="2523" spans="1:2" x14ac:dyDescent="0.25">
      <c r="A2523" t="s">
        <v>636</v>
      </c>
      <c r="B2523" t="s">
        <v>2756</v>
      </c>
    </row>
    <row r="2524" spans="1:2" x14ac:dyDescent="0.25">
      <c r="A2524" t="s">
        <v>586</v>
      </c>
      <c r="B2524" t="s">
        <v>2740</v>
      </c>
    </row>
    <row r="2525" spans="1:2" x14ac:dyDescent="0.25">
      <c r="A2525" t="s">
        <v>2266</v>
      </c>
      <c r="B2525" t="s">
        <v>2745</v>
      </c>
    </row>
    <row r="2526" spans="1:2" x14ac:dyDescent="0.25">
      <c r="A2526" t="s">
        <v>2277</v>
      </c>
      <c r="B2526" t="s">
        <v>2749</v>
      </c>
    </row>
    <row r="2527" spans="1:2" x14ac:dyDescent="0.25">
      <c r="A2527" t="s">
        <v>616</v>
      </c>
      <c r="B2527" t="s">
        <v>2753</v>
      </c>
    </row>
    <row r="2528" spans="1:2" x14ac:dyDescent="0.25">
      <c r="A2528" t="s">
        <v>638</v>
      </c>
      <c r="B2528" t="s">
        <v>2757</v>
      </c>
    </row>
    <row r="2529" spans="1:2" x14ac:dyDescent="0.25">
      <c r="A2529" t="s">
        <v>588</v>
      </c>
      <c r="B2529" t="s">
        <v>2742</v>
      </c>
    </row>
    <row r="2530" spans="1:2" x14ac:dyDescent="0.25">
      <c r="A2530" t="s">
        <v>601</v>
      </c>
      <c r="B2530" t="s">
        <v>2746</v>
      </c>
    </row>
    <row r="2531" spans="1:2" x14ac:dyDescent="0.25">
      <c r="A2531" t="s">
        <v>2434</v>
      </c>
      <c r="B2531" t="s">
        <v>2750</v>
      </c>
    </row>
    <row r="2532" spans="1:2" x14ac:dyDescent="0.25">
      <c r="A2532" t="s">
        <v>620</v>
      </c>
      <c r="B2532" t="s">
        <v>2754</v>
      </c>
    </row>
    <row r="2533" spans="1:2" x14ac:dyDescent="0.25">
      <c r="A2533" t="s">
        <v>640</v>
      </c>
      <c r="B2533" t="s">
        <v>2758</v>
      </c>
    </row>
    <row r="2534" spans="1:2" x14ac:dyDescent="0.25">
      <c r="A2534" t="s">
        <v>676</v>
      </c>
      <c r="B2534" t="s">
        <v>2759</v>
      </c>
    </row>
    <row r="2535" spans="1:2" x14ac:dyDescent="0.25">
      <c r="A2535" t="s">
        <v>681</v>
      </c>
      <c r="B2535" t="s">
        <v>2761</v>
      </c>
    </row>
    <row r="2536" spans="1:2" x14ac:dyDescent="0.25">
      <c r="A2536" t="s">
        <v>684</v>
      </c>
      <c r="B2536" t="s">
        <v>2762</v>
      </c>
    </row>
    <row r="2537" spans="1:2" x14ac:dyDescent="0.25">
      <c r="A2537" t="s">
        <v>2538</v>
      </c>
      <c r="B2537" t="s">
        <v>2764</v>
      </c>
    </row>
    <row r="2538" spans="1:2" x14ac:dyDescent="0.25">
      <c r="A2538" t="s">
        <v>2765</v>
      </c>
      <c r="B2538" t="s">
        <v>2766</v>
      </c>
    </row>
    <row r="2539" spans="1:2" x14ac:dyDescent="0.25">
      <c r="A2539" t="s">
        <v>2768</v>
      </c>
      <c r="B2539" t="s">
        <v>2769</v>
      </c>
    </row>
    <row r="2540" spans="1:2" x14ac:dyDescent="0.25">
      <c r="A2540" t="s">
        <v>2771</v>
      </c>
      <c r="B2540" t="s">
        <v>2772</v>
      </c>
    </row>
    <row r="2541" spans="1:2" x14ac:dyDescent="0.25">
      <c r="A2541" t="s">
        <v>2470</v>
      </c>
      <c r="B2541" t="s">
        <v>2773</v>
      </c>
    </row>
    <row r="2542" spans="1:2" x14ac:dyDescent="0.25">
      <c r="A2542" t="s">
        <v>686</v>
      </c>
      <c r="B2542" t="s">
        <v>2774</v>
      </c>
    </row>
    <row r="2543" spans="1:2" x14ac:dyDescent="0.25">
      <c r="A2543" t="s">
        <v>689</v>
      </c>
      <c r="B2543" t="s">
        <v>2776</v>
      </c>
    </row>
    <row r="2544" spans="1:2" x14ac:dyDescent="0.25">
      <c r="A2544" t="s">
        <v>692</v>
      </c>
      <c r="B2544" t="s">
        <v>2777</v>
      </c>
    </row>
    <row r="2545" spans="1:2" x14ac:dyDescent="0.25">
      <c r="A2545" t="s">
        <v>695</v>
      </c>
      <c r="B2545" t="s">
        <v>2779</v>
      </c>
    </row>
    <row r="2546" spans="1:2" x14ac:dyDescent="0.25">
      <c r="A2546" t="s">
        <v>697</v>
      </c>
      <c r="B2546" t="s">
        <v>2782</v>
      </c>
    </row>
    <row r="2547" spans="1:2" x14ac:dyDescent="0.25">
      <c r="A2547" t="s">
        <v>2483</v>
      </c>
      <c r="B2547" t="s">
        <v>2785</v>
      </c>
    </row>
    <row r="2548" spans="1:2" x14ac:dyDescent="0.25">
      <c r="A2548" t="s">
        <v>2485</v>
      </c>
      <c r="B2548" t="s">
        <v>2786</v>
      </c>
    </row>
    <row r="2549" spans="1:2" x14ac:dyDescent="0.25">
      <c r="A2549" t="s">
        <v>2487</v>
      </c>
      <c r="B2549" t="s">
        <v>2787</v>
      </c>
    </row>
    <row r="2550" spans="1:2" x14ac:dyDescent="0.25">
      <c r="A2550" t="s">
        <v>715</v>
      </c>
      <c r="B2550" t="s">
        <v>2788</v>
      </c>
    </row>
    <row r="2551" spans="1:2" x14ac:dyDescent="0.25">
      <c r="A2551" t="s">
        <v>718</v>
      </c>
      <c r="B2551" t="s">
        <v>2791</v>
      </c>
    </row>
    <row r="2552" spans="1:2" x14ac:dyDescent="0.25">
      <c r="A2552" t="s">
        <v>2794</v>
      </c>
      <c r="B2552" t="s">
        <v>2795</v>
      </c>
    </row>
    <row r="2553" spans="1:2" x14ac:dyDescent="0.25">
      <c r="A2553" t="s">
        <v>2796</v>
      </c>
      <c r="B2553" t="s">
        <v>2797</v>
      </c>
    </row>
    <row r="2554" spans="1:2" x14ac:dyDescent="0.25">
      <c r="A2554" t="s">
        <v>765</v>
      </c>
      <c r="B2554" t="s">
        <v>2798</v>
      </c>
    </row>
    <row r="2555" spans="1:2" x14ac:dyDescent="0.25">
      <c r="A2555" t="s">
        <v>768</v>
      </c>
      <c r="B2555" t="s">
        <v>2800</v>
      </c>
    </row>
    <row r="2556" spans="1:2" x14ac:dyDescent="0.25">
      <c r="A2556" t="s">
        <v>771</v>
      </c>
      <c r="B2556" t="s">
        <v>2801</v>
      </c>
    </row>
    <row r="2557" spans="1:2" x14ac:dyDescent="0.25">
      <c r="A2557" t="s">
        <v>773</v>
      </c>
      <c r="B2557" t="s">
        <v>2802</v>
      </c>
    </row>
    <row r="2558" spans="1:2" x14ac:dyDescent="0.25">
      <c r="A2558" t="s">
        <v>2569</v>
      </c>
      <c r="B2558" t="s">
        <v>2803</v>
      </c>
    </row>
    <row r="2559" spans="1:2" x14ac:dyDescent="0.25">
      <c r="A2559" t="s">
        <v>2582</v>
      </c>
      <c r="B2559" t="s">
        <v>2804</v>
      </c>
    </row>
    <row r="2560" spans="1:2" x14ac:dyDescent="0.25">
      <c r="A2560" t="s">
        <v>2587</v>
      </c>
      <c r="B2560" t="s">
        <v>2805</v>
      </c>
    </row>
    <row r="2561" spans="1:2" x14ac:dyDescent="0.25">
      <c r="A2561" t="s">
        <v>2589</v>
      </c>
      <c r="B2561" t="s">
        <v>2807</v>
      </c>
    </row>
    <row r="2562" spans="1:2" x14ac:dyDescent="0.25">
      <c r="A2562" t="s">
        <v>789</v>
      </c>
      <c r="B2562" t="s">
        <v>2808</v>
      </c>
    </row>
    <row r="2563" spans="1:2" x14ac:dyDescent="0.25">
      <c r="A2563" t="s">
        <v>792</v>
      </c>
      <c r="B2563" t="s">
        <v>2810</v>
      </c>
    </row>
    <row r="2564" spans="1:2" x14ac:dyDescent="0.25">
      <c r="A2564" t="s">
        <v>2811</v>
      </c>
      <c r="B2564" t="s">
        <v>2812</v>
      </c>
    </row>
    <row r="2565" spans="1:2" x14ac:dyDescent="0.25">
      <c r="A2565" t="s">
        <v>794</v>
      </c>
      <c r="B2565" t="s">
        <v>2813</v>
      </c>
    </row>
    <row r="2566" spans="1:2" x14ac:dyDescent="0.25">
      <c r="A2566" t="s">
        <v>799</v>
      </c>
      <c r="B2566" t="s">
        <v>2815</v>
      </c>
    </row>
    <row r="2567" spans="1:2" x14ac:dyDescent="0.25">
      <c r="A2567" t="s">
        <v>816</v>
      </c>
      <c r="B2567" t="s">
        <v>2817</v>
      </c>
    </row>
    <row r="2568" spans="1:2" x14ac:dyDescent="0.25">
      <c r="A2568" t="s">
        <v>820</v>
      </c>
      <c r="B2568" t="s">
        <v>2818</v>
      </c>
    </row>
    <row r="2569" spans="1:2" x14ac:dyDescent="0.25">
      <c r="A2569" t="s">
        <v>2279</v>
      </c>
      <c r="B2569" t="s">
        <v>2819</v>
      </c>
    </row>
    <row r="2570" spans="1:2" x14ac:dyDescent="0.25">
      <c r="A2570" t="s">
        <v>2820</v>
      </c>
      <c r="B2570" t="s">
        <v>2821</v>
      </c>
    </row>
    <row r="2571" spans="1:2" x14ac:dyDescent="0.25">
      <c r="A2571" t="s">
        <v>826</v>
      </c>
      <c r="B2571" t="s">
        <v>2822</v>
      </c>
    </row>
    <row r="2572" spans="1:2" x14ac:dyDescent="0.25">
      <c r="A2572" t="s">
        <v>828</v>
      </c>
      <c r="B2572" t="s">
        <v>2823</v>
      </c>
    </row>
    <row r="2573" spans="1:2" x14ac:dyDescent="0.25">
      <c r="A2573" t="s">
        <v>842</v>
      </c>
      <c r="B2573" t="s">
        <v>2824</v>
      </c>
    </row>
    <row r="2574" spans="1:2" x14ac:dyDescent="0.25">
      <c r="A2574" t="s">
        <v>844</v>
      </c>
      <c r="B2574" t="s">
        <v>2825</v>
      </c>
    </row>
    <row r="2575" spans="1:2" x14ac:dyDescent="0.25">
      <c r="A2575" t="s">
        <v>858</v>
      </c>
      <c r="B2575" t="s">
        <v>2826</v>
      </c>
    </row>
    <row r="2576" spans="1:2" x14ac:dyDescent="0.25">
      <c r="A2576" t="s">
        <v>867</v>
      </c>
      <c r="B2576" t="s">
        <v>2830</v>
      </c>
    </row>
    <row r="2577" spans="1:2" x14ac:dyDescent="0.25">
      <c r="A2577" t="s">
        <v>860</v>
      </c>
      <c r="B2577" t="s">
        <v>2827</v>
      </c>
    </row>
    <row r="2578" spans="1:2" x14ac:dyDescent="0.25">
      <c r="A2578" t="s">
        <v>869</v>
      </c>
      <c r="B2578" t="s">
        <v>2831</v>
      </c>
    </row>
    <row r="2579" spans="1:2" x14ac:dyDescent="0.25">
      <c r="A2579" t="s">
        <v>862</v>
      </c>
      <c r="B2579" t="s">
        <v>2828</v>
      </c>
    </row>
    <row r="2580" spans="1:2" x14ac:dyDescent="0.25">
      <c r="A2580" t="s">
        <v>871</v>
      </c>
      <c r="B2580" t="s">
        <v>2832</v>
      </c>
    </row>
    <row r="2581" spans="1:2" x14ac:dyDescent="0.25">
      <c r="A2581" t="s">
        <v>864</v>
      </c>
      <c r="B2581" t="s">
        <v>2829</v>
      </c>
    </row>
    <row r="2582" spans="1:2" x14ac:dyDescent="0.25">
      <c r="A2582" t="s">
        <v>873</v>
      </c>
      <c r="B2582" t="s">
        <v>2833</v>
      </c>
    </row>
    <row r="2583" spans="1:2" x14ac:dyDescent="0.25">
      <c r="A2583" t="s">
        <v>900</v>
      </c>
      <c r="B2583" t="s">
        <v>2834</v>
      </c>
    </row>
    <row r="2584" spans="1:2" x14ac:dyDescent="0.25">
      <c r="A2584" t="s">
        <v>909</v>
      </c>
      <c r="B2584" t="s">
        <v>2838</v>
      </c>
    </row>
    <row r="2585" spans="1:2" x14ac:dyDescent="0.25">
      <c r="A2585" t="s">
        <v>903</v>
      </c>
      <c r="B2585" t="s">
        <v>2835</v>
      </c>
    </row>
    <row r="2586" spans="1:2" x14ac:dyDescent="0.25">
      <c r="A2586" t="s">
        <v>912</v>
      </c>
      <c r="B2586" t="s">
        <v>2839</v>
      </c>
    </row>
    <row r="2587" spans="1:2" x14ac:dyDescent="0.25">
      <c r="A2587" t="s">
        <v>905</v>
      </c>
      <c r="B2587" t="s">
        <v>2836</v>
      </c>
    </row>
    <row r="2588" spans="1:2" x14ac:dyDescent="0.25">
      <c r="A2588" t="s">
        <v>915</v>
      </c>
      <c r="B2588" t="s">
        <v>2840</v>
      </c>
    </row>
    <row r="2589" spans="1:2" x14ac:dyDescent="0.25">
      <c r="A2589" t="s">
        <v>907</v>
      </c>
      <c r="B2589" t="s">
        <v>2837</v>
      </c>
    </row>
    <row r="2590" spans="1:2" x14ac:dyDescent="0.25">
      <c r="A2590" t="s">
        <v>918</v>
      </c>
      <c r="B2590" t="s">
        <v>2841</v>
      </c>
    </row>
    <row r="2591" spans="1:2" x14ac:dyDescent="0.25">
      <c r="A2591" t="s">
        <v>968</v>
      </c>
      <c r="B2591" t="s">
        <v>2842</v>
      </c>
    </row>
    <row r="2592" spans="1:2" x14ac:dyDescent="0.25">
      <c r="A2592" t="s">
        <v>977</v>
      </c>
      <c r="B2592" t="s">
        <v>2845</v>
      </c>
    </row>
    <row r="2593" spans="1:2" x14ac:dyDescent="0.25">
      <c r="A2593" t="s">
        <v>970</v>
      </c>
      <c r="B2593" t="s">
        <v>2843</v>
      </c>
    </row>
    <row r="2594" spans="1:2" x14ac:dyDescent="0.25">
      <c r="A2594" t="s">
        <v>979</v>
      </c>
      <c r="B2594" t="s">
        <v>2846</v>
      </c>
    </row>
    <row r="2595" spans="1:2" x14ac:dyDescent="0.25">
      <c r="A2595" t="s">
        <v>973</v>
      </c>
      <c r="B2595" t="s">
        <v>2844</v>
      </c>
    </row>
    <row r="2596" spans="1:2" x14ac:dyDescent="0.25">
      <c r="A2596" t="s">
        <v>981</v>
      </c>
      <c r="B2596" t="s">
        <v>2847</v>
      </c>
    </row>
    <row r="2597" spans="1:2" x14ac:dyDescent="0.25">
      <c r="A2597" t="s">
        <v>1037</v>
      </c>
      <c r="B2597" t="s">
        <v>2848</v>
      </c>
    </row>
    <row r="2598" spans="1:2" x14ac:dyDescent="0.25">
      <c r="A2598" t="s">
        <v>1474</v>
      </c>
      <c r="B2598" t="s">
        <v>2851</v>
      </c>
    </row>
    <row r="2599" spans="1:2" x14ac:dyDescent="0.25">
      <c r="A2599" t="s">
        <v>1039</v>
      </c>
      <c r="B2599" t="s">
        <v>2849</v>
      </c>
    </row>
    <row r="2600" spans="1:2" x14ac:dyDescent="0.25">
      <c r="A2600" t="s">
        <v>1476</v>
      </c>
      <c r="B2600" t="s">
        <v>2852</v>
      </c>
    </row>
    <row r="2601" spans="1:2" x14ac:dyDescent="0.25">
      <c r="A2601" t="s">
        <v>1041</v>
      </c>
      <c r="B2601" t="s">
        <v>2850</v>
      </c>
    </row>
    <row r="2602" spans="1:2" x14ac:dyDescent="0.25">
      <c r="A2602" t="s">
        <v>1479</v>
      </c>
      <c r="B2602" t="s">
        <v>2853</v>
      </c>
    </row>
    <row r="2603" spans="1:2" x14ac:dyDescent="0.25">
      <c r="A2603" t="s">
        <v>1481</v>
      </c>
      <c r="B2603" t="s">
        <v>2854</v>
      </c>
    </row>
    <row r="2604" spans="1:2" x14ac:dyDescent="0.25">
      <c r="A2604" t="s">
        <v>2856</v>
      </c>
      <c r="B2604" t="s">
        <v>2857</v>
      </c>
    </row>
    <row r="2605" spans="1:2" x14ac:dyDescent="0.25">
      <c r="A2605" t="s">
        <v>2626</v>
      </c>
      <c r="B2605" t="s">
        <v>2861</v>
      </c>
    </row>
    <row r="2606" spans="1:2" x14ac:dyDescent="0.25">
      <c r="A2606" t="s">
        <v>2863</v>
      </c>
      <c r="B2606" t="s">
        <v>2864</v>
      </c>
    </row>
    <row r="2607" spans="1:2" x14ac:dyDescent="0.25">
      <c r="A2607" t="s">
        <v>1043</v>
      </c>
      <c r="B2607" t="s">
        <v>2867</v>
      </c>
    </row>
    <row r="2608" spans="1:2" x14ac:dyDescent="0.25">
      <c r="A2608" t="s">
        <v>2870</v>
      </c>
      <c r="B2608" t="s">
        <v>2871</v>
      </c>
    </row>
    <row r="2609" spans="1:2" x14ac:dyDescent="0.25">
      <c r="A2609" t="s">
        <v>1485</v>
      </c>
      <c r="B2609" t="s">
        <v>2874</v>
      </c>
    </row>
    <row r="2610" spans="1:2" x14ac:dyDescent="0.25">
      <c r="A2610" t="s">
        <v>2876</v>
      </c>
      <c r="B2610" t="s">
        <v>2877</v>
      </c>
    </row>
    <row r="2611" spans="1:2" x14ac:dyDescent="0.25">
      <c r="A2611" t="s">
        <v>2636</v>
      </c>
      <c r="B2611" t="s">
        <v>2880</v>
      </c>
    </row>
    <row r="2612" spans="1:2" x14ac:dyDescent="0.25">
      <c r="A2612" t="s">
        <v>2884</v>
      </c>
      <c r="B2612" t="s">
        <v>2885</v>
      </c>
    </row>
    <row r="2613" spans="1:2" x14ac:dyDescent="0.25">
      <c r="A2613" t="s">
        <v>2640</v>
      </c>
      <c r="B2613" t="s">
        <v>2889</v>
      </c>
    </row>
    <row r="2614" spans="1:2" x14ac:dyDescent="0.25">
      <c r="A2614" t="s">
        <v>1048</v>
      </c>
      <c r="B2614" t="s">
        <v>2891</v>
      </c>
    </row>
    <row r="2615" spans="1:2" x14ac:dyDescent="0.25">
      <c r="A2615" t="s">
        <v>1052</v>
      </c>
      <c r="B2615" t="s">
        <v>2893</v>
      </c>
    </row>
    <row r="2616" spans="1:2" x14ac:dyDescent="0.25">
      <c r="A2616" t="s">
        <v>1056</v>
      </c>
      <c r="B2616" t="s">
        <v>2896</v>
      </c>
    </row>
    <row r="2617" spans="1:2" x14ac:dyDescent="0.25">
      <c r="A2617" t="s">
        <v>1060</v>
      </c>
      <c r="B2617" t="s">
        <v>2899</v>
      </c>
    </row>
    <row r="2618" spans="1:2" x14ac:dyDescent="0.25">
      <c r="A2618" t="s">
        <v>1065</v>
      </c>
      <c r="B2618" t="s">
        <v>2902</v>
      </c>
    </row>
    <row r="2619" spans="1:2" x14ac:dyDescent="0.25">
      <c r="A2619" t="s">
        <v>1483</v>
      </c>
      <c r="B2619" t="s">
        <v>2855</v>
      </c>
    </row>
    <row r="2620" spans="1:2" x14ac:dyDescent="0.25">
      <c r="A2620" t="s">
        <v>2859</v>
      </c>
      <c r="B2620" t="s">
        <v>2860</v>
      </c>
    </row>
    <row r="2621" spans="1:2" x14ac:dyDescent="0.25">
      <c r="A2621" t="s">
        <v>2628</v>
      </c>
      <c r="B2621" t="s">
        <v>2862</v>
      </c>
    </row>
    <row r="2622" spans="1:2" x14ac:dyDescent="0.25">
      <c r="A2622" t="s">
        <v>2865</v>
      </c>
      <c r="B2622" t="s">
        <v>2866</v>
      </c>
    </row>
    <row r="2623" spans="1:2" x14ac:dyDescent="0.25">
      <c r="A2623" t="s">
        <v>2631</v>
      </c>
      <c r="B2623" t="s">
        <v>2869</v>
      </c>
    </row>
    <row r="2624" spans="1:2" x14ac:dyDescent="0.25">
      <c r="A2624" t="s">
        <v>2872</v>
      </c>
      <c r="B2624" t="s">
        <v>2873</v>
      </c>
    </row>
    <row r="2625" spans="1:2" x14ac:dyDescent="0.25">
      <c r="A2625" t="s">
        <v>2634</v>
      </c>
      <c r="B2625" t="s">
        <v>2875</v>
      </c>
    </row>
    <row r="2626" spans="1:2" x14ac:dyDescent="0.25">
      <c r="A2626" t="s">
        <v>2878</v>
      </c>
      <c r="B2626" t="s">
        <v>2879</v>
      </c>
    </row>
    <row r="2627" spans="1:2" x14ac:dyDescent="0.25">
      <c r="A2627" t="s">
        <v>2638</v>
      </c>
      <c r="B2627" t="s">
        <v>2882</v>
      </c>
    </row>
    <row r="2628" spans="1:2" x14ac:dyDescent="0.25">
      <c r="A2628" t="s">
        <v>2887</v>
      </c>
      <c r="B2628" t="s">
        <v>2888</v>
      </c>
    </row>
    <row r="2629" spans="1:2" x14ac:dyDescent="0.25">
      <c r="A2629" t="s">
        <v>1045</v>
      </c>
      <c r="B2629" t="s">
        <v>2890</v>
      </c>
    </row>
    <row r="2630" spans="1:2" x14ac:dyDescent="0.25">
      <c r="A2630" t="s">
        <v>1050</v>
      </c>
      <c r="B2630" t="s">
        <v>2892</v>
      </c>
    </row>
    <row r="2631" spans="1:2" x14ac:dyDescent="0.25">
      <c r="A2631" t="s">
        <v>1054</v>
      </c>
      <c r="B2631" t="s">
        <v>2894</v>
      </c>
    </row>
    <row r="2632" spans="1:2" x14ac:dyDescent="0.25">
      <c r="A2632" t="s">
        <v>1058</v>
      </c>
      <c r="B2632" t="s">
        <v>2897</v>
      </c>
    </row>
    <row r="2633" spans="1:2" x14ac:dyDescent="0.25">
      <c r="A2633" t="s">
        <v>1062</v>
      </c>
      <c r="B2633" t="s">
        <v>2901</v>
      </c>
    </row>
    <row r="2634" spans="1:2" x14ac:dyDescent="0.25">
      <c r="A2634" t="s">
        <v>1067</v>
      </c>
      <c r="B2634" t="s">
        <v>2903</v>
      </c>
    </row>
    <row r="2635" spans="1:2" x14ac:dyDescent="0.25">
      <c r="A2635" t="s">
        <v>1101</v>
      </c>
      <c r="B2635" t="s">
        <v>2904</v>
      </c>
    </row>
    <row r="2636" spans="1:2" x14ac:dyDescent="0.25">
      <c r="A2636" t="s">
        <v>1103</v>
      </c>
      <c r="B2636" t="s">
        <v>2905</v>
      </c>
    </row>
    <row r="2637" spans="1:2" x14ac:dyDescent="0.25">
      <c r="A2637" t="s">
        <v>1105</v>
      </c>
      <c r="B2637" t="s">
        <v>2906</v>
      </c>
    </row>
    <row r="2638" spans="1:2" x14ac:dyDescent="0.25">
      <c r="A2638" t="s">
        <v>1111</v>
      </c>
      <c r="B2638" t="s">
        <v>2907</v>
      </c>
    </row>
    <row r="2639" spans="1:2" x14ac:dyDescent="0.25">
      <c r="A2639" t="s">
        <v>1113</v>
      </c>
      <c r="B2639" t="s">
        <v>2908</v>
      </c>
    </row>
    <row r="2640" spans="1:2" x14ac:dyDescent="0.25">
      <c r="A2640" t="s">
        <v>1115</v>
      </c>
      <c r="B2640" t="s">
        <v>2909</v>
      </c>
    </row>
    <row r="2641" spans="1:2" x14ac:dyDescent="0.25">
      <c r="A2641" t="s">
        <v>1117</v>
      </c>
      <c r="B2641" t="s">
        <v>2910</v>
      </c>
    </row>
    <row r="2642" spans="1:2" x14ac:dyDescent="0.25">
      <c r="A2642" t="s">
        <v>2660</v>
      </c>
      <c r="B2642" t="s">
        <v>2911</v>
      </c>
    </row>
    <row r="2643" spans="1:2" x14ac:dyDescent="0.25">
      <c r="A2643" t="s">
        <v>2914</v>
      </c>
      <c r="B2643" t="s">
        <v>2915</v>
      </c>
    </row>
    <row r="2644" spans="1:2" x14ac:dyDescent="0.25">
      <c r="A2644" t="s">
        <v>1497</v>
      </c>
      <c r="B2644" t="s">
        <v>2918</v>
      </c>
    </row>
    <row r="2645" spans="1:2" x14ac:dyDescent="0.25">
      <c r="A2645" t="s">
        <v>1501</v>
      </c>
      <c r="B2645" t="s">
        <v>2920</v>
      </c>
    </row>
    <row r="2646" spans="1:2" x14ac:dyDescent="0.25">
      <c r="A2646" t="s">
        <v>1127</v>
      </c>
      <c r="B2646" t="s">
        <v>2922</v>
      </c>
    </row>
    <row r="2647" spans="1:2" x14ac:dyDescent="0.25">
      <c r="A2647" t="s">
        <v>1133</v>
      </c>
      <c r="B2647" t="s">
        <v>2924</v>
      </c>
    </row>
    <row r="2648" spans="1:2" x14ac:dyDescent="0.25">
      <c r="A2648" t="s">
        <v>1139</v>
      </c>
      <c r="B2648" t="s">
        <v>2926</v>
      </c>
    </row>
    <row r="2649" spans="1:2" x14ac:dyDescent="0.25">
      <c r="A2649" t="s">
        <v>1144</v>
      </c>
      <c r="B2649" t="s">
        <v>2928</v>
      </c>
    </row>
    <row r="2650" spans="1:2" x14ac:dyDescent="0.25">
      <c r="A2650" t="s">
        <v>1516</v>
      </c>
      <c r="B2650" t="s">
        <v>2930</v>
      </c>
    </row>
    <row r="2651" spans="1:2" x14ac:dyDescent="0.25">
      <c r="A2651" t="s">
        <v>1521</v>
      </c>
      <c r="B2651" t="s">
        <v>2932</v>
      </c>
    </row>
    <row r="2652" spans="1:2" x14ac:dyDescent="0.25">
      <c r="A2652" t="s">
        <v>1526</v>
      </c>
      <c r="B2652" t="s">
        <v>2934</v>
      </c>
    </row>
    <row r="2653" spans="1:2" x14ac:dyDescent="0.25">
      <c r="A2653" t="s">
        <v>1531</v>
      </c>
      <c r="B2653" t="s">
        <v>2936</v>
      </c>
    </row>
    <row r="2654" spans="1:2" x14ac:dyDescent="0.25">
      <c r="A2654" t="s">
        <v>1146</v>
      </c>
      <c r="B2654" t="s">
        <v>2938</v>
      </c>
    </row>
    <row r="2655" spans="1:2" x14ac:dyDescent="0.25">
      <c r="A2655" t="s">
        <v>1539</v>
      </c>
      <c r="B2655" t="s">
        <v>2941</v>
      </c>
    </row>
    <row r="2656" spans="1:2" x14ac:dyDescent="0.25">
      <c r="A2656" t="s">
        <v>1155</v>
      </c>
      <c r="B2656" t="s">
        <v>2944</v>
      </c>
    </row>
    <row r="2657" spans="1:2" x14ac:dyDescent="0.25">
      <c r="A2657" t="s">
        <v>1160</v>
      </c>
      <c r="B2657" t="s">
        <v>2947</v>
      </c>
    </row>
    <row r="2658" spans="1:2" x14ac:dyDescent="0.25">
      <c r="A2658" t="s">
        <v>1164</v>
      </c>
      <c r="B2658" t="s">
        <v>2949</v>
      </c>
    </row>
    <row r="2659" spans="1:2" x14ac:dyDescent="0.25">
      <c r="A2659" t="s">
        <v>1169</v>
      </c>
      <c r="B2659" t="s">
        <v>2951</v>
      </c>
    </row>
    <row r="2660" spans="1:2" x14ac:dyDescent="0.25">
      <c r="A2660" t="s">
        <v>1173</v>
      </c>
      <c r="B2660" t="s">
        <v>2953</v>
      </c>
    </row>
    <row r="2661" spans="1:2" x14ac:dyDescent="0.25">
      <c r="A2661" t="s">
        <v>1177</v>
      </c>
      <c r="B2661" t="s">
        <v>2955</v>
      </c>
    </row>
    <row r="2662" spans="1:2" x14ac:dyDescent="0.25">
      <c r="A2662" t="s">
        <v>1181</v>
      </c>
      <c r="B2662" t="s">
        <v>2957</v>
      </c>
    </row>
    <row r="2663" spans="1:2" x14ac:dyDescent="0.25">
      <c r="A2663" t="s">
        <v>1186</v>
      </c>
      <c r="B2663" t="s">
        <v>2959</v>
      </c>
    </row>
    <row r="2664" spans="1:2" x14ac:dyDescent="0.25">
      <c r="A2664" t="s">
        <v>1191</v>
      </c>
      <c r="B2664" t="s">
        <v>2961</v>
      </c>
    </row>
    <row r="2665" spans="1:2" x14ac:dyDescent="0.25">
      <c r="A2665" t="s">
        <v>1195</v>
      </c>
      <c r="B2665" t="s">
        <v>2963</v>
      </c>
    </row>
    <row r="2666" spans="1:2" x14ac:dyDescent="0.25">
      <c r="A2666" t="s">
        <v>2912</v>
      </c>
      <c r="B2666" t="s">
        <v>2913</v>
      </c>
    </row>
    <row r="2667" spans="1:2" x14ac:dyDescent="0.25">
      <c r="A2667" t="s">
        <v>2916</v>
      </c>
      <c r="B2667" t="s">
        <v>2917</v>
      </c>
    </row>
    <row r="2668" spans="1:2" x14ac:dyDescent="0.25">
      <c r="A2668" t="s">
        <v>1499</v>
      </c>
      <c r="B2668" t="s">
        <v>2919</v>
      </c>
    </row>
    <row r="2669" spans="1:2" x14ac:dyDescent="0.25">
      <c r="A2669" t="s">
        <v>1504</v>
      </c>
      <c r="B2669" t="s">
        <v>2921</v>
      </c>
    </row>
    <row r="2670" spans="1:2" x14ac:dyDescent="0.25">
      <c r="A2670" t="s">
        <v>1131</v>
      </c>
      <c r="B2670" t="s">
        <v>2923</v>
      </c>
    </row>
    <row r="2671" spans="1:2" x14ac:dyDescent="0.25">
      <c r="A2671" t="s">
        <v>1136</v>
      </c>
      <c r="B2671" t="s">
        <v>2925</v>
      </c>
    </row>
    <row r="2672" spans="1:2" x14ac:dyDescent="0.25">
      <c r="A2672" t="s">
        <v>1141</v>
      </c>
      <c r="B2672" t="s">
        <v>2927</v>
      </c>
    </row>
    <row r="2673" spans="1:2" x14ac:dyDescent="0.25">
      <c r="A2673" t="s">
        <v>1514</v>
      </c>
      <c r="B2673" t="s">
        <v>2929</v>
      </c>
    </row>
    <row r="2674" spans="1:2" x14ac:dyDescent="0.25">
      <c r="A2674" t="s">
        <v>1519</v>
      </c>
      <c r="B2674" t="s">
        <v>2931</v>
      </c>
    </row>
    <row r="2675" spans="1:2" x14ac:dyDescent="0.25">
      <c r="A2675" t="s">
        <v>1523</v>
      </c>
      <c r="B2675" t="s">
        <v>2933</v>
      </c>
    </row>
    <row r="2676" spans="1:2" x14ac:dyDescent="0.25">
      <c r="A2676" t="s">
        <v>1528</v>
      </c>
      <c r="B2676" t="s">
        <v>2935</v>
      </c>
    </row>
    <row r="2677" spans="1:2" x14ac:dyDescent="0.25">
      <c r="A2677" t="s">
        <v>1533</v>
      </c>
      <c r="B2677" t="s">
        <v>2937</v>
      </c>
    </row>
    <row r="2678" spans="1:2" x14ac:dyDescent="0.25">
      <c r="A2678" t="s">
        <v>1150</v>
      </c>
      <c r="B2678" t="s">
        <v>2939</v>
      </c>
    </row>
    <row r="2679" spans="1:2" x14ac:dyDescent="0.25">
      <c r="A2679" t="s">
        <v>1152</v>
      </c>
      <c r="B2679" t="s">
        <v>2943</v>
      </c>
    </row>
    <row r="2680" spans="1:2" x14ac:dyDescent="0.25">
      <c r="A2680" t="s">
        <v>1157</v>
      </c>
      <c r="B2680" t="s">
        <v>2946</v>
      </c>
    </row>
    <row r="2681" spans="1:2" x14ac:dyDescent="0.25">
      <c r="A2681" t="s">
        <v>1162</v>
      </c>
      <c r="B2681" t="s">
        <v>2948</v>
      </c>
    </row>
    <row r="2682" spans="1:2" x14ac:dyDescent="0.25">
      <c r="A2682" t="s">
        <v>1167</v>
      </c>
      <c r="B2682" t="s">
        <v>2950</v>
      </c>
    </row>
    <row r="2683" spans="1:2" x14ac:dyDescent="0.25">
      <c r="A2683" t="s">
        <v>1171</v>
      </c>
      <c r="B2683" t="s">
        <v>2952</v>
      </c>
    </row>
    <row r="2684" spans="1:2" x14ac:dyDescent="0.25">
      <c r="A2684" t="s">
        <v>1175</v>
      </c>
      <c r="B2684" t="s">
        <v>2954</v>
      </c>
    </row>
    <row r="2685" spans="1:2" x14ac:dyDescent="0.25">
      <c r="A2685" t="s">
        <v>1179</v>
      </c>
      <c r="B2685" t="s">
        <v>2956</v>
      </c>
    </row>
    <row r="2686" spans="1:2" x14ac:dyDescent="0.25">
      <c r="A2686" t="s">
        <v>1184</v>
      </c>
      <c r="B2686" t="s">
        <v>2958</v>
      </c>
    </row>
    <row r="2687" spans="1:2" x14ac:dyDescent="0.25">
      <c r="A2687" t="s">
        <v>1189</v>
      </c>
      <c r="B2687" t="s">
        <v>2960</v>
      </c>
    </row>
    <row r="2688" spans="1:2" x14ac:dyDescent="0.25">
      <c r="A2688" t="s">
        <v>1193</v>
      </c>
      <c r="B2688" t="s">
        <v>2962</v>
      </c>
    </row>
    <row r="2689" spans="1:2" x14ac:dyDescent="0.25">
      <c r="A2689" t="s">
        <v>1197</v>
      </c>
      <c r="B2689" t="s">
        <v>2964</v>
      </c>
    </row>
    <row r="2690" spans="1:2" x14ac:dyDescent="0.25">
      <c r="A2690" t="s">
        <v>1236</v>
      </c>
      <c r="B2690" t="s">
        <v>2965</v>
      </c>
    </row>
    <row r="2691" spans="1:2" x14ac:dyDescent="0.25">
      <c r="A2691" t="s">
        <v>1238</v>
      </c>
      <c r="B2691" t="s">
        <v>2966</v>
      </c>
    </row>
    <row r="2692" spans="1:2" x14ac:dyDescent="0.25">
      <c r="A2692" t="s">
        <v>1241</v>
      </c>
      <c r="B2692" t="s">
        <v>2967</v>
      </c>
    </row>
    <row r="2693" spans="1:2" x14ac:dyDescent="0.25">
      <c r="A2693" t="s">
        <v>1246</v>
      </c>
      <c r="B2693" t="s">
        <v>2968</v>
      </c>
    </row>
    <row r="2694" spans="1:2" x14ac:dyDescent="0.25">
      <c r="A2694" t="s">
        <v>1256</v>
      </c>
      <c r="B2694" t="s">
        <v>2969</v>
      </c>
    </row>
    <row r="2695" spans="1:2" x14ac:dyDescent="0.25">
      <c r="A2695" t="s">
        <v>1259</v>
      </c>
      <c r="B2695" t="s">
        <v>2970</v>
      </c>
    </row>
    <row r="2696" spans="1:2" x14ac:dyDescent="0.25">
      <c r="A2696" t="s">
        <v>1594</v>
      </c>
      <c r="B2696" t="s">
        <v>2971</v>
      </c>
    </row>
    <row r="2697" spans="1:2" x14ac:dyDescent="0.25">
      <c r="A2697" t="s">
        <v>1602</v>
      </c>
      <c r="B2697" t="s">
        <v>2972</v>
      </c>
    </row>
    <row r="2698" spans="1:2" x14ac:dyDescent="0.25">
      <c r="A2698" t="s">
        <v>1604</v>
      </c>
      <c r="B2698" t="s">
        <v>2973</v>
      </c>
    </row>
    <row r="2699" spans="1:2" x14ac:dyDescent="0.25">
      <c r="A2699" t="s">
        <v>1606</v>
      </c>
      <c r="B2699" t="s">
        <v>2974</v>
      </c>
    </row>
    <row r="2700" spans="1:2" x14ac:dyDescent="0.25">
      <c r="A2700" t="s">
        <v>1676</v>
      </c>
      <c r="B2700" t="s">
        <v>2975</v>
      </c>
    </row>
    <row r="2701" spans="1:2" x14ac:dyDescent="0.25">
      <c r="A2701" t="s">
        <v>1678</v>
      </c>
      <c r="B2701" t="s">
        <v>2976</v>
      </c>
    </row>
    <row r="2702" spans="1:2" x14ac:dyDescent="0.25">
      <c r="A2702" t="s">
        <v>1680</v>
      </c>
      <c r="B2702" t="s">
        <v>2978</v>
      </c>
    </row>
    <row r="2703" spans="1:2" x14ac:dyDescent="0.25">
      <c r="A2703" t="s">
        <v>1684</v>
      </c>
      <c r="B2703" t="s">
        <v>2979</v>
      </c>
    </row>
    <row r="2704" spans="1:2" x14ac:dyDescent="0.25">
      <c r="A2704" t="s">
        <v>1686</v>
      </c>
      <c r="B2704" t="s">
        <v>2980</v>
      </c>
    </row>
    <row r="2705" spans="1:2" x14ac:dyDescent="0.25">
      <c r="A2705" t="s">
        <v>1688</v>
      </c>
      <c r="B2705" t="s">
        <v>2981</v>
      </c>
    </row>
    <row r="2706" spans="1:2" x14ac:dyDescent="0.25">
      <c r="A2706" t="s">
        <v>1690</v>
      </c>
      <c r="B2706" t="s">
        <v>2982</v>
      </c>
    </row>
    <row r="2707" spans="1:2" x14ac:dyDescent="0.25">
      <c r="A2707" t="s">
        <v>1692</v>
      </c>
      <c r="B2707" t="s">
        <v>2983</v>
      </c>
    </row>
    <row r="2708" spans="1:2" x14ac:dyDescent="0.25">
      <c r="A2708" t="s">
        <v>1694</v>
      </c>
      <c r="B2708" t="s">
        <v>2984</v>
      </c>
    </row>
    <row r="2709" spans="1:2" x14ac:dyDescent="0.25">
      <c r="A2709" t="s">
        <v>1696</v>
      </c>
      <c r="B2709" t="s">
        <v>2985</v>
      </c>
    </row>
    <row r="2710" spans="1:2" x14ac:dyDescent="0.25">
      <c r="A2710" t="s">
        <v>1698</v>
      </c>
      <c r="B2710" t="s">
        <v>2986</v>
      </c>
    </row>
    <row r="2711" spans="1:2" x14ac:dyDescent="0.25">
      <c r="A2711" t="s">
        <v>1708</v>
      </c>
      <c r="B2711" t="s">
        <v>2987</v>
      </c>
    </row>
    <row r="2712" spans="1:2" x14ac:dyDescent="0.25">
      <c r="A2712" t="s">
        <v>1740</v>
      </c>
      <c r="B2712" t="s">
        <v>2988</v>
      </c>
    </row>
    <row r="2713" spans="1:2" x14ac:dyDescent="0.25">
      <c r="A2713" t="s">
        <v>1742</v>
      </c>
      <c r="B2713" t="s">
        <v>2990</v>
      </c>
    </row>
    <row r="2714" spans="1:2" x14ac:dyDescent="0.25">
      <c r="A2714" t="s">
        <v>1744</v>
      </c>
      <c r="B2714" t="s">
        <v>2991</v>
      </c>
    </row>
    <row r="2715" spans="1:2" x14ac:dyDescent="0.25">
      <c r="A2715" t="s">
        <v>1746</v>
      </c>
      <c r="B2715" t="s">
        <v>2993</v>
      </c>
    </row>
    <row r="2716" spans="1:2" x14ac:dyDescent="0.25">
      <c r="A2716" t="s">
        <v>1804</v>
      </c>
      <c r="B2716" t="s">
        <v>2994</v>
      </c>
    </row>
    <row r="2717" spans="1:2" x14ac:dyDescent="0.25">
      <c r="A2717" t="s">
        <v>2706</v>
      </c>
      <c r="B2717" t="s">
        <v>2995</v>
      </c>
    </row>
    <row r="2718" spans="1:2" x14ac:dyDescent="0.25">
      <c r="A2718" t="s">
        <v>2708</v>
      </c>
      <c r="B2718" t="s">
        <v>2997</v>
      </c>
    </row>
    <row r="2719" spans="1:2" x14ac:dyDescent="0.25">
      <c r="A2719" t="s">
        <v>2710</v>
      </c>
      <c r="B2719" t="s">
        <v>2998</v>
      </c>
    </row>
    <row r="2720" spans="1:2" x14ac:dyDescent="0.25">
      <c r="A2720" t="s">
        <v>1902</v>
      </c>
      <c r="B2720" t="s">
        <v>2999</v>
      </c>
    </row>
    <row r="2721" spans="1:2" x14ac:dyDescent="0.25">
      <c r="A2721" t="s">
        <v>1905</v>
      </c>
      <c r="B2721" t="s">
        <v>3000</v>
      </c>
    </row>
    <row r="2722" spans="1:2" x14ac:dyDescent="0.25">
      <c r="A2722" t="s">
        <v>1908</v>
      </c>
      <c r="B2722" t="s">
        <v>3001</v>
      </c>
    </row>
    <row r="2723" spans="1:2" x14ac:dyDescent="0.25">
      <c r="A2723" t="s">
        <v>3002</v>
      </c>
      <c r="B2723" t="s">
        <v>3003</v>
      </c>
    </row>
    <row r="2724" spans="1:2" x14ac:dyDescent="0.25">
      <c r="A2724" t="s">
        <v>3004</v>
      </c>
      <c r="B2724" t="s">
        <v>3005</v>
      </c>
    </row>
    <row r="2725" spans="1:2" x14ac:dyDescent="0.25">
      <c r="A2725" t="s">
        <v>3006</v>
      </c>
      <c r="B2725" t="s">
        <v>3007</v>
      </c>
    </row>
    <row r="2726" spans="1:2" x14ac:dyDescent="0.25">
      <c r="A2726" t="s">
        <v>1910</v>
      </c>
      <c r="B2726" t="s">
        <v>3008</v>
      </c>
    </row>
    <row r="2727" spans="1:2" x14ac:dyDescent="0.25">
      <c r="A2727" t="s">
        <v>1913</v>
      </c>
      <c r="B2727" t="s">
        <v>3009</v>
      </c>
    </row>
    <row r="2728" spans="1:2" x14ac:dyDescent="0.25">
      <c r="A2728" t="s">
        <v>3010</v>
      </c>
      <c r="B2728" t="s">
        <v>3011</v>
      </c>
    </row>
    <row r="2729" spans="1:2" x14ac:dyDescent="0.25">
      <c r="A2729" t="s">
        <v>3012</v>
      </c>
      <c r="B2729" t="s">
        <v>3013</v>
      </c>
    </row>
    <row r="2730" spans="1:2" x14ac:dyDescent="0.25">
      <c r="A2730" t="s">
        <v>1916</v>
      </c>
      <c r="B2730" t="s">
        <v>3014</v>
      </c>
    </row>
    <row r="2731" spans="1:2" x14ac:dyDescent="0.25">
      <c r="A2731" t="s">
        <v>3015</v>
      </c>
      <c r="B2731" t="s">
        <v>3016</v>
      </c>
    </row>
    <row r="2732" spans="1:2" x14ac:dyDescent="0.25">
      <c r="A2732" t="s">
        <v>2233</v>
      </c>
      <c r="B2732" t="s">
        <v>12142</v>
      </c>
    </row>
    <row r="2733" spans="1:2" x14ac:dyDescent="0.25">
      <c r="A2733" t="s">
        <v>2298</v>
      </c>
      <c r="B2733" t="s">
        <v>12143</v>
      </c>
    </row>
    <row r="2734" spans="1:2" x14ac:dyDescent="0.25">
      <c r="A2734" t="s">
        <v>479</v>
      </c>
      <c r="B2734" t="s">
        <v>12144</v>
      </c>
    </row>
    <row r="2735" spans="1:2" x14ac:dyDescent="0.25">
      <c r="A2735" t="s">
        <v>483</v>
      </c>
      <c r="B2735" t="s">
        <v>1289</v>
      </c>
    </row>
    <row r="2736" spans="1:2" x14ac:dyDescent="0.25">
      <c r="A2736" t="s">
        <v>487</v>
      </c>
      <c r="B2736" t="s">
        <v>1292</v>
      </c>
    </row>
    <row r="2737" spans="1:2" x14ac:dyDescent="0.25">
      <c r="A2737" t="s">
        <v>491</v>
      </c>
      <c r="B2737" t="s">
        <v>1294</v>
      </c>
    </row>
    <row r="2738" spans="1:2" x14ac:dyDescent="0.25">
      <c r="A2738" t="s">
        <v>494</v>
      </c>
      <c r="B2738" t="s">
        <v>1295</v>
      </c>
    </row>
    <row r="2739" spans="1:2" x14ac:dyDescent="0.25">
      <c r="A2739" t="s">
        <v>496</v>
      </c>
      <c r="B2739" t="s">
        <v>1296</v>
      </c>
    </row>
    <row r="2740" spans="1:2" x14ac:dyDescent="0.25">
      <c r="A2740" t="s">
        <v>1297</v>
      </c>
      <c r="B2740" t="s">
        <v>1298</v>
      </c>
    </row>
    <row r="2741" spans="1:2" x14ac:dyDescent="0.25">
      <c r="A2741" t="s">
        <v>1300</v>
      </c>
      <c r="B2741" t="s">
        <v>1301</v>
      </c>
    </row>
    <row r="2742" spans="1:2" x14ac:dyDescent="0.25">
      <c r="A2742" t="s">
        <v>1302</v>
      </c>
      <c r="B2742" t="s">
        <v>1303</v>
      </c>
    </row>
    <row r="2743" spans="1:2" x14ac:dyDescent="0.25">
      <c r="A2743" t="s">
        <v>1304</v>
      </c>
      <c r="B2743" t="s">
        <v>1305</v>
      </c>
    </row>
    <row r="2744" spans="1:2" x14ac:dyDescent="0.25">
      <c r="A2744" t="s">
        <v>1307</v>
      </c>
      <c r="B2744" t="s">
        <v>1308</v>
      </c>
    </row>
    <row r="2745" spans="1:2" x14ac:dyDescent="0.25">
      <c r="A2745" t="s">
        <v>1309</v>
      </c>
      <c r="B2745" t="s">
        <v>1310</v>
      </c>
    </row>
    <row r="2746" spans="1:2" x14ac:dyDescent="0.25">
      <c r="A2746" t="s">
        <v>2311</v>
      </c>
      <c r="B2746" t="s">
        <v>12145</v>
      </c>
    </row>
    <row r="2747" spans="1:2" x14ac:dyDescent="0.25">
      <c r="A2747" t="s">
        <v>498</v>
      </c>
      <c r="B2747" t="s">
        <v>1311</v>
      </c>
    </row>
    <row r="2748" spans="1:2" x14ac:dyDescent="0.25">
      <c r="A2748" t="s">
        <v>500</v>
      </c>
      <c r="B2748" t="s">
        <v>1313</v>
      </c>
    </row>
    <row r="2749" spans="1:2" x14ac:dyDescent="0.25">
      <c r="A2749" t="s">
        <v>2239</v>
      </c>
      <c r="B2749" t="s">
        <v>12146</v>
      </c>
    </row>
    <row r="2750" spans="1:2" x14ac:dyDescent="0.25">
      <c r="A2750" t="s">
        <v>1316</v>
      </c>
      <c r="B2750" t="s">
        <v>1317</v>
      </c>
    </row>
    <row r="2751" spans="1:2" x14ac:dyDescent="0.25">
      <c r="A2751" t="s">
        <v>502</v>
      </c>
      <c r="B2751" t="s">
        <v>1320</v>
      </c>
    </row>
    <row r="2752" spans="1:2" x14ac:dyDescent="0.25">
      <c r="A2752" t="s">
        <v>506</v>
      </c>
      <c r="B2752" t="s">
        <v>12147</v>
      </c>
    </row>
    <row r="2753" spans="1:2" x14ac:dyDescent="0.25">
      <c r="A2753" t="s">
        <v>510</v>
      </c>
      <c r="B2753" t="s">
        <v>1321</v>
      </c>
    </row>
    <row r="2754" spans="1:2" x14ac:dyDescent="0.25">
      <c r="A2754" t="s">
        <v>518</v>
      </c>
      <c r="B2754" t="s">
        <v>1323</v>
      </c>
    </row>
    <row r="2755" spans="1:2" x14ac:dyDescent="0.25">
      <c r="A2755" t="s">
        <v>521</v>
      </c>
      <c r="B2755" t="s">
        <v>12148</v>
      </c>
    </row>
    <row r="2756" spans="1:2" x14ac:dyDescent="0.25">
      <c r="A2756" t="s">
        <v>523</v>
      </c>
      <c r="B2756" t="s">
        <v>1326</v>
      </c>
    </row>
    <row r="2757" spans="1:2" x14ac:dyDescent="0.25">
      <c r="A2757" t="s">
        <v>525</v>
      </c>
      <c r="B2757" t="s">
        <v>12149</v>
      </c>
    </row>
    <row r="2758" spans="1:2" x14ac:dyDescent="0.25">
      <c r="A2758" t="s">
        <v>529</v>
      </c>
      <c r="B2758" t="s">
        <v>1327</v>
      </c>
    </row>
    <row r="2759" spans="1:2" x14ac:dyDescent="0.25">
      <c r="A2759" t="s">
        <v>531</v>
      </c>
      <c r="B2759" t="s">
        <v>1330</v>
      </c>
    </row>
    <row r="2760" spans="1:2" x14ac:dyDescent="0.25">
      <c r="A2760" t="s">
        <v>533</v>
      </c>
      <c r="B2760" t="s">
        <v>1333</v>
      </c>
    </row>
    <row r="2761" spans="1:2" x14ac:dyDescent="0.25">
      <c r="A2761" t="s">
        <v>535</v>
      </c>
      <c r="B2761" t="s">
        <v>12150</v>
      </c>
    </row>
    <row r="2762" spans="1:2" x14ac:dyDescent="0.25">
      <c r="A2762" t="s">
        <v>537</v>
      </c>
      <c r="B2762" t="s">
        <v>12151</v>
      </c>
    </row>
    <row r="2763" spans="1:2" x14ac:dyDescent="0.25">
      <c r="A2763" t="s">
        <v>542</v>
      </c>
      <c r="B2763" t="s">
        <v>1335</v>
      </c>
    </row>
    <row r="2764" spans="1:2" x14ac:dyDescent="0.25">
      <c r="A2764" t="s">
        <v>544</v>
      </c>
      <c r="B2764" t="s">
        <v>1336</v>
      </c>
    </row>
    <row r="2765" spans="1:2" x14ac:dyDescent="0.25">
      <c r="A2765" t="s">
        <v>1337</v>
      </c>
      <c r="B2765" t="s">
        <v>1338</v>
      </c>
    </row>
    <row r="2766" spans="1:2" x14ac:dyDescent="0.25">
      <c r="A2766" t="s">
        <v>548</v>
      </c>
      <c r="B2766" t="s">
        <v>12152</v>
      </c>
    </row>
    <row r="2767" spans="1:2" x14ac:dyDescent="0.25">
      <c r="A2767" t="s">
        <v>1339</v>
      </c>
      <c r="B2767" t="s">
        <v>1340</v>
      </c>
    </row>
    <row r="2768" spans="1:2" x14ac:dyDescent="0.25">
      <c r="A2768" t="s">
        <v>1341</v>
      </c>
      <c r="B2768" t="s">
        <v>1342</v>
      </c>
    </row>
    <row r="2769" spans="1:2" x14ac:dyDescent="0.25">
      <c r="A2769" t="s">
        <v>1343</v>
      </c>
      <c r="B2769" t="s">
        <v>1344</v>
      </c>
    </row>
    <row r="2770" spans="1:2" x14ac:dyDescent="0.25">
      <c r="A2770" t="s">
        <v>6134</v>
      </c>
      <c r="B2770" t="s">
        <v>12153</v>
      </c>
    </row>
    <row r="2771" spans="1:2" x14ac:dyDescent="0.25">
      <c r="A2771" t="s">
        <v>1345</v>
      </c>
      <c r="B2771" t="s">
        <v>1346</v>
      </c>
    </row>
    <row r="2772" spans="1:2" x14ac:dyDescent="0.25">
      <c r="A2772" t="s">
        <v>1347</v>
      </c>
      <c r="B2772" t="s">
        <v>1348</v>
      </c>
    </row>
    <row r="2773" spans="1:2" x14ac:dyDescent="0.25">
      <c r="A2773" t="s">
        <v>1349</v>
      </c>
      <c r="B2773" t="s">
        <v>1350</v>
      </c>
    </row>
    <row r="2774" spans="1:2" x14ac:dyDescent="0.25">
      <c r="A2774" t="s">
        <v>2252</v>
      </c>
      <c r="B2774" t="s">
        <v>12154</v>
      </c>
    </row>
    <row r="2775" spans="1:2" x14ac:dyDescent="0.25">
      <c r="A2775" t="s">
        <v>1351</v>
      </c>
      <c r="B2775" t="s">
        <v>1352</v>
      </c>
    </row>
    <row r="2776" spans="1:2" x14ac:dyDescent="0.25">
      <c r="A2776" t="s">
        <v>1353</v>
      </c>
      <c r="B2776" t="s">
        <v>1354</v>
      </c>
    </row>
    <row r="2777" spans="1:2" x14ac:dyDescent="0.25">
      <c r="A2777" t="s">
        <v>606</v>
      </c>
      <c r="B2777" t="s">
        <v>1356</v>
      </c>
    </row>
    <row r="2778" spans="1:2" x14ac:dyDescent="0.25">
      <c r="A2778" t="s">
        <v>612</v>
      </c>
      <c r="B2778" t="s">
        <v>1357</v>
      </c>
    </row>
    <row r="2779" spans="1:2" x14ac:dyDescent="0.25">
      <c r="A2779" t="s">
        <v>614</v>
      </c>
      <c r="B2779" t="s">
        <v>1358</v>
      </c>
    </row>
    <row r="2780" spans="1:2" x14ac:dyDescent="0.25">
      <c r="A2780" t="s">
        <v>2440</v>
      </c>
      <c r="B2780" t="s">
        <v>12155</v>
      </c>
    </row>
    <row r="2781" spans="1:2" x14ac:dyDescent="0.25">
      <c r="A2781" t="s">
        <v>1359</v>
      </c>
      <c r="B2781" t="s">
        <v>1360</v>
      </c>
    </row>
    <row r="2782" spans="1:2" x14ac:dyDescent="0.25">
      <c r="A2782" t="s">
        <v>616</v>
      </c>
      <c r="B2782" t="s">
        <v>1361</v>
      </c>
    </row>
    <row r="2783" spans="1:2" x14ac:dyDescent="0.25">
      <c r="A2783" t="s">
        <v>620</v>
      </c>
      <c r="B2783" t="s">
        <v>12156</v>
      </c>
    </row>
    <row r="2784" spans="1:2" x14ac:dyDescent="0.25">
      <c r="A2784" t="s">
        <v>630</v>
      </c>
      <c r="B2784" t="s">
        <v>1362</v>
      </c>
    </row>
    <row r="2785" spans="1:2" x14ac:dyDescent="0.25">
      <c r="A2785" t="s">
        <v>632</v>
      </c>
      <c r="B2785" t="s">
        <v>12157</v>
      </c>
    </row>
    <row r="2786" spans="1:2" x14ac:dyDescent="0.25">
      <c r="A2786" t="s">
        <v>659</v>
      </c>
      <c r="B2786" t="s">
        <v>1363</v>
      </c>
    </row>
    <row r="2787" spans="1:2" x14ac:dyDescent="0.25">
      <c r="A2787" t="s">
        <v>667</v>
      </c>
      <c r="B2787" t="s">
        <v>1364</v>
      </c>
    </row>
    <row r="2788" spans="1:2" x14ac:dyDescent="0.25">
      <c r="A2788" t="s">
        <v>669</v>
      </c>
      <c r="B2788" t="s">
        <v>1365</v>
      </c>
    </row>
    <row r="2789" spans="1:2" x14ac:dyDescent="0.25">
      <c r="A2789" t="s">
        <v>671</v>
      </c>
      <c r="B2789" t="s">
        <v>1366</v>
      </c>
    </row>
    <row r="2790" spans="1:2" x14ac:dyDescent="0.25">
      <c r="A2790" t="s">
        <v>2460</v>
      </c>
      <c r="B2790" t="s">
        <v>12158</v>
      </c>
    </row>
    <row r="2791" spans="1:2" x14ac:dyDescent="0.25">
      <c r="A2791" t="s">
        <v>700</v>
      </c>
      <c r="B2791" t="s">
        <v>1367</v>
      </c>
    </row>
    <row r="2792" spans="1:2" x14ac:dyDescent="0.25">
      <c r="A2792" t="s">
        <v>704</v>
      </c>
      <c r="B2792" t="s">
        <v>1368</v>
      </c>
    </row>
    <row r="2793" spans="1:2" x14ac:dyDescent="0.25">
      <c r="A2793" t="s">
        <v>708</v>
      </c>
      <c r="B2793" t="s">
        <v>1369</v>
      </c>
    </row>
    <row r="2794" spans="1:2" x14ac:dyDescent="0.25">
      <c r="A2794" t="s">
        <v>711</v>
      </c>
      <c r="B2794" t="s">
        <v>12159</v>
      </c>
    </row>
    <row r="2795" spans="1:2" x14ac:dyDescent="0.25">
      <c r="A2795" t="s">
        <v>715</v>
      </c>
      <c r="B2795" t="s">
        <v>12160</v>
      </c>
    </row>
    <row r="2796" spans="1:2" x14ac:dyDescent="0.25">
      <c r="A2796" t="s">
        <v>858</v>
      </c>
      <c r="B2796" t="s">
        <v>1370</v>
      </c>
    </row>
    <row r="2797" spans="1:2" x14ac:dyDescent="0.25">
      <c r="A2797" t="s">
        <v>860</v>
      </c>
      <c r="B2797" t="s">
        <v>1371</v>
      </c>
    </row>
    <row r="2798" spans="1:2" x14ac:dyDescent="0.25">
      <c r="A2798" t="s">
        <v>862</v>
      </c>
      <c r="B2798" t="s">
        <v>1372</v>
      </c>
    </row>
    <row r="2799" spans="1:2" x14ac:dyDescent="0.25">
      <c r="A2799" t="s">
        <v>864</v>
      </c>
      <c r="B2799" t="s">
        <v>1373</v>
      </c>
    </row>
    <row r="2800" spans="1:2" x14ac:dyDescent="0.25">
      <c r="A2800" t="s">
        <v>867</v>
      </c>
      <c r="B2800" t="s">
        <v>12161</v>
      </c>
    </row>
    <row r="2801" spans="1:2" x14ac:dyDescent="0.25">
      <c r="A2801" t="s">
        <v>890</v>
      </c>
      <c r="B2801" t="s">
        <v>1375</v>
      </c>
    </row>
    <row r="2802" spans="1:2" x14ac:dyDescent="0.25">
      <c r="A2802" t="s">
        <v>892</v>
      </c>
      <c r="B2802" t="s">
        <v>1376</v>
      </c>
    </row>
    <row r="2803" spans="1:2" x14ac:dyDescent="0.25">
      <c r="A2803" t="s">
        <v>894</v>
      </c>
      <c r="B2803" t="s">
        <v>1377</v>
      </c>
    </row>
    <row r="2804" spans="1:2" x14ac:dyDescent="0.25">
      <c r="A2804" t="s">
        <v>897</v>
      </c>
      <c r="B2804" t="s">
        <v>1378</v>
      </c>
    </row>
    <row r="2805" spans="1:2" x14ac:dyDescent="0.25">
      <c r="A2805" t="s">
        <v>900</v>
      </c>
      <c r="B2805" t="s">
        <v>1379</v>
      </c>
    </row>
    <row r="2806" spans="1:2" x14ac:dyDescent="0.25">
      <c r="A2806" t="s">
        <v>903</v>
      </c>
      <c r="B2806" t="s">
        <v>1380</v>
      </c>
    </row>
    <row r="2807" spans="1:2" x14ac:dyDescent="0.25">
      <c r="A2807" t="s">
        <v>905</v>
      </c>
      <c r="B2807" t="s">
        <v>1381</v>
      </c>
    </row>
    <row r="2808" spans="1:2" x14ac:dyDescent="0.25">
      <c r="A2808" t="s">
        <v>907</v>
      </c>
      <c r="B2808" t="s">
        <v>1382</v>
      </c>
    </row>
    <row r="2809" spans="1:2" x14ac:dyDescent="0.25">
      <c r="A2809" t="s">
        <v>909</v>
      </c>
      <c r="B2809" t="s">
        <v>1383</v>
      </c>
    </row>
    <row r="2810" spans="1:2" x14ac:dyDescent="0.25">
      <c r="A2810" t="s">
        <v>912</v>
      </c>
      <c r="B2810" t="s">
        <v>1384</v>
      </c>
    </row>
    <row r="2811" spans="1:2" x14ac:dyDescent="0.25">
      <c r="A2811" t="s">
        <v>915</v>
      </c>
      <c r="B2811" t="s">
        <v>1385</v>
      </c>
    </row>
    <row r="2812" spans="1:2" x14ac:dyDescent="0.25">
      <c r="A2812" t="s">
        <v>918</v>
      </c>
      <c r="B2812" t="s">
        <v>1386</v>
      </c>
    </row>
    <row r="2813" spans="1:2" x14ac:dyDescent="0.25">
      <c r="A2813" t="s">
        <v>1387</v>
      </c>
      <c r="B2813" t="s">
        <v>1388</v>
      </c>
    </row>
    <row r="2814" spans="1:2" x14ac:dyDescent="0.25">
      <c r="A2814" t="s">
        <v>921</v>
      </c>
      <c r="B2814" t="s">
        <v>1389</v>
      </c>
    </row>
    <row r="2815" spans="1:2" x14ac:dyDescent="0.25">
      <c r="A2815" t="s">
        <v>924</v>
      </c>
      <c r="B2815" t="s">
        <v>1390</v>
      </c>
    </row>
    <row r="2816" spans="1:2" x14ac:dyDescent="0.25">
      <c r="A2816" t="s">
        <v>927</v>
      </c>
      <c r="B2816" t="s">
        <v>1391</v>
      </c>
    </row>
    <row r="2817" spans="1:2" x14ac:dyDescent="0.25">
      <c r="A2817" t="s">
        <v>930</v>
      </c>
      <c r="B2817" t="s">
        <v>1392</v>
      </c>
    </row>
    <row r="2818" spans="1:2" x14ac:dyDescent="0.25">
      <c r="A2818" t="s">
        <v>933</v>
      </c>
      <c r="B2818" t="s">
        <v>1393</v>
      </c>
    </row>
    <row r="2819" spans="1:2" x14ac:dyDescent="0.25">
      <c r="A2819" t="s">
        <v>936</v>
      </c>
      <c r="B2819" t="s">
        <v>1394</v>
      </c>
    </row>
    <row r="2820" spans="1:2" x14ac:dyDescent="0.25">
      <c r="A2820" t="s">
        <v>939</v>
      </c>
      <c r="B2820" t="s">
        <v>1395</v>
      </c>
    </row>
    <row r="2821" spans="1:2" x14ac:dyDescent="0.25">
      <c r="A2821" t="s">
        <v>942</v>
      </c>
      <c r="B2821" t="s">
        <v>1396</v>
      </c>
    </row>
    <row r="2822" spans="1:2" x14ac:dyDescent="0.25">
      <c r="A2822" t="s">
        <v>1397</v>
      </c>
      <c r="B2822" t="s">
        <v>1398</v>
      </c>
    </row>
    <row r="2823" spans="1:2" x14ac:dyDescent="0.25">
      <c r="A2823" t="s">
        <v>1399</v>
      </c>
      <c r="B2823" t="s">
        <v>1400</v>
      </c>
    </row>
    <row r="2824" spans="1:2" x14ac:dyDescent="0.25">
      <c r="A2824" t="s">
        <v>1401</v>
      </c>
      <c r="B2824" t="s">
        <v>1402</v>
      </c>
    </row>
    <row r="2825" spans="1:2" x14ac:dyDescent="0.25">
      <c r="A2825" t="s">
        <v>1403</v>
      </c>
      <c r="B2825" t="s">
        <v>1404</v>
      </c>
    </row>
    <row r="2826" spans="1:2" x14ac:dyDescent="0.25">
      <c r="A2826" t="s">
        <v>1405</v>
      </c>
      <c r="B2826" t="s">
        <v>1406</v>
      </c>
    </row>
    <row r="2827" spans="1:2" x14ac:dyDescent="0.25">
      <c r="A2827" t="s">
        <v>1407</v>
      </c>
      <c r="B2827" t="s">
        <v>1408</v>
      </c>
    </row>
    <row r="2828" spans="1:2" x14ac:dyDescent="0.25">
      <c r="A2828" t="s">
        <v>1409</v>
      </c>
      <c r="B2828" t="s">
        <v>1410</v>
      </c>
    </row>
    <row r="2829" spans="1:2" x14ac:dyDescent="0.25">
      <c r="A2829" t="s">
        <v>1411</v>
      </c>
      <c r="B2829" t="s">
        <v>1412</v>
      </c>
    </row>
    <row r="2830" spans="1:2" x14ac:dyDescent="0.25">
      <c r="A2830" t="s">
        <v>945</v>
      </c>
      <c r="B2830" t="s">
        <v>1413</v>
      </c>
    </row>
    <row r="2831" spans="1:2" x14ac:dyDescent="0.25">
      <c r="A2831" t="s">
        <v>948</v>
      </c>
      <c r="B2831" t="s">
        <v>1414</v>
      </c>
    </row>
    <row r="2832" spans="1:2" x14ac:dyDescent="0.25">
      <c r="A2832" t="s">
        <v>951</v>
      </c>
      <c r="B2832" t="s">
        <v>1415</v>
      </c>
    </row>
    <row r="2833" spans="1:2" x14ac:dyDescent="0.25">
      <c r="A2833" t="s">
        <v>965</v>
      </c>
      <c r="B2833" t="s">
        <v>1416</v>
      </c>
    </row>
    <row r="2834" spans="1:2" x14ac:dyDescent="0.25">
      <c r="A2834" t="s">
        <v>968</v>
      </c>
      <c r="B2834" t="s">
        <v>1419</v>
      </c>
    </row>
    <row r="2835" spans="1:2" x14ac:dyDescent="0.25">
      <c r="A2835" t="s">
        <v>970</v>
      </c>
      <c r="B2835" t="s">
        <v>1422</v>
      </c>
    </row>
    <row r="2836" spans="1:2" x14ac:dyDescent="0.25">
      <c r="A2836" t="s">
        <v>973</v>
      </c>
      <c r="B2836" t="s">
        <v>1425</v>
      </c>
    </row>
    <row r="2837" spans="1:2" x14ac:dyDescent="0.25">
      <c r="A2837" t="s">
        <v>975</v>
      </c>
      <c r="B2837" t="s">
        <v>1428</v>
      </c>
    </row>
    <row r="2838" spans="1:2" x14ac:dyDescent="0.25">
      <c r="A2838" t="s">
        <v>977</v>
      </c>
      <c r="B2838" t="s">
        <v>1430</v>
      </c>
    </row>
    <row r="2839" spans="1:2" x14ac:dyDescent="0.25">
      <c r="A2839" t="s">
        <v>979</v>
      </c>
      <c r="B2839" t="s">
        <v>1432</v>
      </c>
    </row>
    <row r="2840" spans="1:2" x14ac:dyDescent="0.25">
      <c r="A2840" t="s">
        <v>981</v>
      </c>
      <c r="B2840" t="s">
        <v>1433</v>
      </c>
    </row>
    <row r="2841" spans="1:2" x14ac:dyDescent="0.25">
      <c r="A2841" t="s">
        <v>991</v>
      </c>
      <c r="B2841" t="s">
        <v>1434</v>
      </c>
    </row>
    <row r="2842" spans="1:2" x14ac:dyDescent="0.25">
      <c r="A2842" t="s">
        <v>993</v>
      </c>
      <c r="B2842" t="s">
        <v>1435</v>
      </c>
    </row>
    <row r="2843" spans="1:2" x14ac:dyDescent="0.25">
      <c r="A2843" t="s">
        <v>996</v>
      </c>
      <c r="B2843" t="s">
        <v>1436</v>
      </c>
    </row>
    <row r="2844" spans="1:2" x14ac:dyDescent="0.25">
      <c r="A2844" t="s">
        <v>999</v>
      </c>
      <c r="B2844" t="s">
        <v>1437</v>
      </c>
    </row>
    <row r="2845" spans="1:2" x14ac:dyDescent="0.25">
      <c r="A2845" t="s">
        <v>1001</v>
      </c>
      <c r="B2845" t="s">
        <v>1438</v>
      </c>
    </row>
    <row r="2846" spans="1:2" x14ac:dyDescent="0.25">
      <c r="A2846" t="s">
        <v>1440</v>
      </c>
      <c r="B2846" t="s">
        <v>1441</v>
      </c>
    </row>
    <row r="2847" spans="1:2" x14ac:dyDescent="0.25">
      <c r="A2847" t="s">
        <v>1443</v>
      </c>
      <c r="B2847" t="s">
        <v>1444</v>
      </c>
    </row>
    <row r="2848" spans="1:2" x14ac:dyDescent="0.25">
      <c r="A2848" t="s">
        <v>1445</v>
      </c>
      <c r="B2848" t="s">
        <v>1446</v>
      </c>
    </row>
    <row r="2849" spans="1:2" x14ac:dyDescent="0.25">
      <c r="A2849" t="s">
        <v>1003</v>
      </c>
      <c r="B2849" t="s">
        <v>1447</v>
      </c>
    </row>
    <row r="2850" spans="1:2" x14ac:dyDescent="0.25">
      <c r="A2850" t="s">
        <v>1007</v>
      </c>
      <c r="B2850" t="s">
        <v>1450</v>
      </c>
    </row>
    <row r="2851" spans="1:2" x14ac:dyDescent="0.25">
      <c r="A2851" t="s">
        <v>1011</v>
      </c>
      <c r="B2851" t="s">
        <v>1453</v>
      </c>
    </row>
    <row r="2852" spans="1:2" x14ac:dyDescent="0.25">
      <c r="A2852" t="s">
        <v>1014</v>
      </c>
      <c r="B2852" t="s">
        <v>1454</v>
      </c>
    </row>
    <row r="2853" spans="1:2" x14ac:dyDescent="0.25">
      <c r="A2853" t="s">
        <v>1017</v>
      </c>
      <c r="B2853" t="s">
        <v>1456</v>
      </c>
    </row>
    <row r="2854" spans="1:2" x14ac:dyDescent="0.25">
      <c r="A2854" t="s">
        <v>1019</v>
      </c>
      <c r="B2854" t="s">
        <v>1458</v>
      </c>
    </row>
    <row r="2855" spans="1:2" x14ac:dyDescent="0.25">
      <c r="A2855" t="s">
        <v>1021</v>
      </c>
      <c r="B2855" t="s">
        <v>1459</v>
      </c>
    </row>
    <row r="2856" spans="1:2" x14ac:dyDescent="0.25">
      <c r="A2856" t="s">
        <v>1024</v>
      </c>
      <c r="B2856" t="s">
        <v>1460</v>
      </c>
    </row>
    <row r="2857" spans="1:2" x14ac:dyDescent="0.25">
      <c r="A2857" t="s">
        <v>1026</v>
      </c>
      <c r="B2857" t="s">
        <v>1462</v>
      </c>
    </row>
    <row r="2858" spans="1:2" x14ac:dyDescent="0.25">
      <c r="A2858" t="s">
        <v>1029</v>
      </c>
      <c r="B2858" t="s">
        <v>1463</v>
      </c>
    </row>
    <row r="2859" spans="1:2" x14ac:dyDescent="0.25">
      <c r="A2859" t="s">
        <v>1031</v>
      </c>
      <c r="B2859" t="s">
        <v>1466</v>
      </c>
    </row>
    <row r="2860" spans="1:2" x14ac:dyDescent="0.25">
      <c r="A2860" t="s">
        <v>1033</v>
      </c>
      <c r="B2860" t="s">
        <v>1467</v>
      </c>
    </row>
    <row r="2861" spans="1:2" x14ac:dyDescent="0.25">
      <c r="A2861" t="s">
        <v>1035</v>
      </c>
      <c r="B2861" t="s">
        <v>1468</v>
      </c>
    </row>
    <row r="2862" spans="1:2" x14ac:dyDescent="0.25">
      <c r="A2862" t="s">
        <v>1037</v>
      </c>
      <c r="B2862" t="s">
        <v>1469</v>
      </c>
    </row>
    <row r="2863" spans="1:2" x14ac:dyDescent="0.25">
      <c r="A2863" t="s">
        <v>1039</v>
      </c>
      <c r="B2863" t="s">
        <v>1470</v>
      </c>
    </row>
    <row r="2864" spans="1:2" x14ac:dyDescent="0.25">
      <c r="A2864" t="s">
        <v>1041</v>
      </c>
      <c r="B2864" t="s">
        <v>1471</v>
      </c>
    </row>
    <row r="2865" spans="1:2" x14ac:dyDescent="0.25">
      <c r="A2865" t="s">
        <v>1472</v>
      </c>
      <c r="B2865" t="s">
        <v>1473</v>
      </c>
    </row>
    <row r="2866" spans="1:2" x14ac:dyDescent="0.25">
      <c r="A2866" t="s">
        <v>1474</v>
      </c>
      <c r="B2866" t="s">
        <v>1475</v>
      </c>
    </row>
    <row r="2867" spans="1:2" x14ac:dyDescent="0.25">
      <c r="A2867" t="s">
        <v>1476</v>
      </c>
      <c r="B2867" t="s">
        <v>1477</v>
      </c>
    </row>
    <row r="2868" spans="1:2" x14ac:dyDescent="0.25">
      <c r="A2868" t="s">
        <v>1479</v>
      </c>
      <c r="B2868" t="s">
        <v>1480</v>
      </c>
    </row>
    <row r="2869" spans="1:2" x14ac:dyDescent="0.25">
      <c r="A2869" t="s">
        <v>1481</v>
      </c>
      <c r="B2869" t="s">
        <v>1482</v>
      </c>
    </row>
    <row r="2870" spans="1:2" x14ac:dyDescent="0.25">
      <c r="A2870" t="s">
        <v>1483</v>
      </c>
      <c r="B2870" t="s">
        <v>1484</v>
      </c>
    </row>
    <row r="2871" spans="1:2" x14ac:dyDescent="0.25">
      <c r="A2871" t="s">
        <v>2626</v>
      </c>
      <c r="B2871" t="s">
        <v>12162</v>
      </c>
    </row>
    <row r="2872" spans="1:2" x14ac:dyDescent="0.25">
      <c r="A2872" t="s">
        <v>2628</v>
      </c>
      <c r="B2872" t="s">
        <v>12163</v>
      </c>
    </row>
    <row r="2873" spans="1:2" x14ac:dyDescent="0.25">
      <c r="A2873" t="s">
        <v>2863</v>
      </c>
      <c r="B2873" t="s">
        <v>12164</v>
      </c>
    </row>
    <row r="2874" spans="1:2" x14ac:dyDescent="0.25">
      <c r="A2874" t="s">
        <v>2865</v>
      </c>
      <c r="B2874" t="s">
        <v>12165</v>
      </c>
    </row>
    <row r="2875" spans="1:2" x14ac:dyDescent="0.25">
      <c r="A2875" t="s">
        <v>1043</v>
      </c>
      <c r="B2875" t="s">
        <v>12166</v>
      </c>
    </row>
    <row r="2876" spans="1:2" x14ac:dyDescent="0.25">
      <c r="A2876" t="s">
        <v>2631</v>
      </c>
      <c r="B2876" t="s">
        <v>12167</v>
      </c>
    </row>
    <row r="2877" spans="1:2" x14ac:dyDescent="0.25">
      <c r="A2877" t="s">
        <v>2870</v>
      </c>
      <c r="B2877" t="s">
        <v>12168</v>
      </c>
    </row>
    <row r="2878" spans="1:2" x14ac:dyDescent="0.25">
      <c r="A2878" t="s">
        <v>2872</v>
      </c>
      <c r="B2878" t="s">
        <v>12169</v>
      </c>
    </row>
    <row r="2879" spans="1:2" x14ac:dyDescent="0.25">
      <c r="A2879" t="s">
        <v>1485</v>
      </c>
      <c r="B2879" t="s">
        <v>1486</v>
      </c>
    </row>
    <row r="2880" spans="1:2" x14ac:dyDescent="0.25">
      <c r="A2880" t="s">
        <v>1111</v>
      </c>
      <c r="B2880" t="s">
        <v>1487</v>
      </c>
    </row>
    <row r="2881" spans="1:2" x14ac:dyDescent="0.25">
      <c r="A2881" t="s">
        <v>1113</v>
      </c>
      <c r="B2881" t="s">
        <v>1490</v>
      </c>
    </row>
    <row r="2882" spans="1:2" x14ac:dyDescent="0.25">
      <c r="A2882" t="s">
        <v>1115</v>
      </c>
      <c r="B2882" t="s">
        <v>1493</v>
      </c>
    </row>
    <row r="2883" spans="1:2" x14ac:dyDescent="0.25">
      <c r="A2883" t="s">
        <v>1117</v>
      </c>
      <c r="B2883" t="s">
        <v>1494</v>
      </c>
    </row>
    <row r="2884" spans="1:2" x14ac:dyDescent="0.25">
      <c r="A2884" t="s">
        <v>1119</v>
      </c>
      <c r="B2884" t="s">
        <v>1496</v>
      </c>
    </row>
    <row r="2885" spans="1:2" x14ac:dyDescent="0.25">
      <c r="A2885" t="s">
        <v>2660</v>
      </c>
      <c r="B2885" t="s">
        <v>12170</v>
      </c>
    </row>
    <row r="2886" spans="1:2" x14ac:dyDescent="0.25">
      <c r="A2886" t="s">
        <v>2912</v>
      </c>
      <c r="B2886" t="s">
        <v>12171</v>
      </c>
    </row>
    <row r="2887" spans="1:2" x14ac:dyDescent="0.25">
      <c r="A2887" t="s">
        <v>1497</v>
      </c>
      <c r="B2887" t="s">
        <v>1498</v>
      </c>
    </row>
    <row r="2888" spans="1:2" x14ac:dyDescent="0.25">
      <c r="A2888" t="s">
        <v>1499</v>
      </c>
      <c r="B2888" t="s">
        <v>1500</v>
      </c>
    </row>
    <row r="2889" spans="1:2" x14ac:dyDescent="0.25">
      <c r="A2889" t="s">
        <v>1501</v>
      </c>
      <c r="B2889" t="s">
        <v>1502</v>
      </c>
    </row>
    <row r="2890" spans="1:2" x14ac:dyDescent="0.25">
      <c r="A2890" t="s">
        <v>1504</v>
      </c>
      <c r="B2890" t="s">
        <v>1505</v>
      </c>
    </row>
    <row r="2891" spans="1:2" x14ac:dyDescent="0.25">
      <c r="A2891" t="s">
        <v>1127</v>
      </c>
      <c r="B2891" t="s">
        <v>1506</v>
      </c>
    </row>
    <row r="2892" spans="1:2" x14ac:dyDescent="0.25">
      <c r="A2892" t="s">
        <v>1131</v>
      </c>
      <c r="B2892" t="s">
        <v>1507</v>
      </c>
    </row>
    <row r="2893" spans="1:2" x14ac:dyDescent="0.25">
      <c r="A2893" t="s">
        <v>1133</v>
      </c>
      <c r="B2893" t="s">
        <v>1508</v>
      </c>
    </row>
    <row r="2894" spans="1:2" x14ac:dyDescent="0.25">
      <c r="A2894" t="s">
        <v>1136</v>
      </c>
      <c r="B2894" t="s">
        <v>1509</v>
      </c>
    </row>
    <row r="2895" spans="1:2" x14ac:dyDescent="0.25">
      <c r="A2895" t="s">
        <v>1139</v>
      </c>
      <c r="B2895" t="s">
        <v>1510</v>
      </c>
    </row>
    <row r="2896" spans="1:2" x14ac:dyDescent="0.25">
      <c r="A2896" t="s">
        <v>1141</v>
      </c>
      <c r="B2896" t="s">
        <v>1512</v>
      </c>
    </row>
    <row r="2897" spans="1:2" x14ac:dyDescent="0.25">
      <c r="A2897" t="s">
        <v>1144</v>
      </c>
      <c r="B2897" t="s">
        <v>1513</v>
      </c>
    </row>
    <row r="2898" spans="1:2" x14ac:dyDescent="0.25">
      <c r="A2898" t="s">
        <v>1514</v>
      </c>
      <c r="B2898" t="s">
        <v>1515</v>
      </c>
    </row>
    <row r="2899" spans="1:2" x14ac:dyDescent="0.25">
      <c r="A2899" t="s">
        <v>1516</v>
      </c>
      <c r="B2899" t="s">
        <v>1517</v>
      </c>
    </row>
    <row r="2900" spans="1:2" x14ac:dyDescent="0.25">
      <c r="A2900" t="s">
        <v>1519</v>
      </c>
      <c r="B2900" t="s">
        <v>1520</v>
      </c>
    </row>
    <row r="2901" spans="1:2" x14ac:dyDescent="0.25">
      <c r="A2901" t="s">
        <v>1521</v>
      </c>
      <c r="B2901" t="s">
        <v>1522</v>
      </c>
    </row>
    <row r="2902" spans="1:2" x14ac:dyDescent="0.25">
      <c r="A2902" t="s">
        <v>1523</v>
      </c>
      <c r="B2902" t="s">
        <v>1524</v>
      </c>
    </row>
    <row r="2903" spans="1:2" x14ac:dyDescent="0.25">
      <c r="A2903" t="s">
        <v>1526</v>
      </c>
      <c r="B2903" t="s">
        <v>1527</v>
      </c>
    </row>
    <row r="2904" spans="1:2" x14ac:dyDescent="0.25">
      <c r="A2904" t="s">
        <v>1528</v>
      </c>
      <c r="B2904" t="s">
        <v>1529</v>
      </c>
    </row>
    <row r="2905" spans="1:2" x14ac:dyDescent="0.25">
      <c r="A2905" t="s">
        <v>1531</v>
      </c>
      <c r="B2905" t="s">
        <v>1532</v>
      </c>
    </row>
    <row r="2906" spans="1:2" x14ac:dyDescent="0.25">
      <c r="A2906" t="s">
        <v>1533</v>
      </c>
      <c r="B2906" t="s">
        <v>1534</v>
      </c>
    </row>
    <row r="2907" spans="1:2" x14ac:dyDescent="0.25">
      <c r="A2907" t="s">
        <v>1146</v>
      </c>
      <c r="B2907" t="s">
        <v>1535</v>
      </c>
    </row>
    <row r="2908" spans="1:2" x14ac:dyDescent="0.25">
      <c r="A2908" t="s">
        <v>1150</v>
      </c>
      <c r="B2908" t="s">
        <v>1537</v>
      </c>
    </row>
    <row r="2909" spans="1:2" x14ac:dyDescent="0.25">
      <c r="A2909" t="s">
        <v>1539</v>
      </c>
      <c r="B2909" t="s">
        <v>1540</v>
      </c>
    </row>
    <row r="2910" spans="1:2" x14ac:dyDescent="0.25">
      <c r="A2910" t="s">
        <v>1152</v>
      </c>
      <c r="B2910" t="s">
        <v>1542</v>
      </c>
    </row>
    <row r="2911" spans="1:2" x14ac:dyDescent="0.25">
      <c r="A2911" t="s">
        <v>1155</v>
      </c>
      <c r="B2911" t="s">
        <v>1543</v>
      </c>
    </row>
    <row r="2912" spans="1:2" x14ac:dyDescent="0.25">
      <c r="A2912" t="s">
        <v>1157</v>
      </c>
      <c r="B2912" t="s">
        <v>1544</v>
      </c>
    </row>
    <row r="2913" spans="1:2" x14ac:dyDescent="0.25">
      <c r="A2913" t="s">
        <v>1160</v>
      </c>
      <c r="B2913" t="s">
        <v>1545</v>
      </c>
    </row>
    <row r="2914" spans="1:2" x14ac:dyDescent="0.25">
      <c r="A2914" t="s">
        <v>1162</v>
      </c>
      <c r="B2914" t="s">
        <v>1546</v>
      </c>
    </row>
    <row r="2915" spans="1:2" x14ac:dyDescent="0.25">
      <c r="A2915" t="s">
        <v>1164</v>
      </c>
      <c r="B2915" t="s">
        <v>1547</v>
      </c>
    </row>
    <row r="2916" spans="1:2" x14ac:dyDescent="0.25">
      <c r="A2916" t="s">
        <v>1167</v>
      </c>
      <c r="B2916" t="s">
        <v>1548</v>
      </c>
    </row>
    <row r="2917" spans="1:2" x14ac:dyDescent="0.25">
      <c r="A2917" t="s">
        <v>1169</v>
      </c>
      <c r="B2917" t="s">
        <v>1549</v>
      </c>
    </row>
    <row r="2918" spans="1:2" x14ac:dyDescent="0.25">
      <c r="A2918" t="s">
        <v>1171</v>
      </c>
      <c r="B2918" t="s">
        <v>1550</v>
      </c>
    </row>
    <row r="2919" spans="1:2" x14ac:dyDescent="0.25">
      <c r="A2919" t="s">
        <v>1173</v>
      </c>
      <c r="B2919" t="s">
        <v>1551</v>
      </c>
    </row>
    <row r="2920" spans="1:2" x14ac:dyDescent="0.25">
      <c r="A2920" t="s">
        <v>1175</v>
      </c>
      <c r="B2920" t="s">
        <v>1553</v>
      </c>
    </row>
    <row r="2921" spans="1:2" x14ac:dyDescent="0.25">
      <c r="A2921" t="s">
        <v>1177</v>
      </c>
      <c r="B2921" t="s">
        <v>1555</v>
      </c>
    </row>
    <row r="2922" spans="1:2" x14ac:dyDescent="0.25">
      <c r="A2922" t="s">
        <v>1179</v>
      </c>
      <c r="B2922" t="s">
        <v>1556</v>
      </c>
    </row>
    <row r="2923" spans="1:2" x14ac:dyDescent="0.25">
      <c r="A2923" t="s">
        <v>1181</v>
      </c>
      <c r="B2923" t="s">
        <v>1557</v>
      </c>
    </row>
    <row r="2924" spans="1:2" x14ac:dyDescent="0.25">
      <c r="A2924" t="s">
        <v>1184</v>
      </c>
      <c r="B2924" t="s">
        <v>1559</v>
      </c>
    </row>
    <row r="2925" spans="1:2" x14ac:dyDescent="0.25">
      <c r="A2925" t="s">
        <v>1186</v>
      </c>
      <c r="B2925" t="s">
        <v>1560</v>
      </c>
    </row>
    <row r="2926" spans="1:2" x14ac:dyDescent="0.25">
      <c r="A2926" t="s">
        <v>1189</v>
      </c>
      <c r="B2926" t="s">
        <v>1561</v>
      </c>
    </row>
    <row r="2927" spans="1:2" x14ac:dyDescent="0.25">
      <c r="A2927" t="s">
        <v>1191</v>
      </c>
      <c r="B2927" t="s">
        <v>1562</v>
      </c>
    </row>
    <row r="2928" spans="1:2" x14ac:dyDescent="0.25">
      <c r="A2928" t="s">
        <v>1193</v>
      </c>
      <c r="B2928" t="s">
        <v>1563</v>
      </c>
    </row>
    <row r="2929" spans="1:2" x14ac:dyDescent="0.25">
      <c r="A2929" t="s">
        <v>1195</v>
      </c>
      <c r="B2929" t="s">
        <v>1564</v>
      </c>
    </row>
    <row r="2930" spans="1:2" x14ac:dyDescent="0.25">
      <c r="A2930" t="s">
        <v>1197</v>
      </c>
      <c r="B2930" t="s">
        <v>1565</v>
      </c>
    </row>
    <row r="2931" spans="1:2" x14ac:dyDescent="0.25">
      <c r="A2931" t="s">
        <v>1199</v>
      </c>
      <c r="B2931" t="s">
        <v>1566</v>
      </c>
    </row>
    <row r="2932" spans="1:2" x14ac:dyDescent="0.25">
      <c r="A2932" t="s">
        <v>1201</v>
      </c>
      <c r="B2932" t="s">
        <v>1567</v>
      </c>
    </row>
    <row r="2933" spans="1:2" x14ac:dyDescent="0.25">
      <c r="A2933" t="s">
        <v>1203</v>
      </c>
      <c r="B2933" t="s">
        <v>1568</v>
      </c>
    </row>
    <row r="2934" spans="1:2" x14ac:dyDescent="0.25">
      <c r="A2934" t="s">
        <v>1205</v>
      </c>
      <c r="B2934" t="s">
        <v>1569</v>
      </c>
    </row>
    <row r="2935" spans="1:2" x14ac:dyDescent="0.25">
      <c r="A2935" t="s">
        <v>1207</v>
      </c>
      <c r="B2935" t="s">
        <v>1570</v>
      </c>
    </row>
    <row r="2936" spans="1:2" x14ac:dyDescent="0.25">
      <c r="A2936" t="s">
        <v>1210</v>
      </c>
      <c r="B2936" t="s">
        <v>1571</v>
      </c>
    </row>
    <row r="2937" spans="1:2" x14ac:dyDescent="0.25">
      <c r="A2937" t="s">
        <v>1212</v>
      </c>
      <c r="B2937" t="s">
        <v>1572</v>
      </c>
    </row>
    <row r="2938" spans="1:2" x14ac:dyDescent="0.25">
      <c r="A2938" t="s">
        <v>1214</v>
      </c>
      <c r="B2938" t="s">
        <v>1573</v>
      </c>
    </row>
    <row r="2939" spans="1:2" x14ac:dyDescent="0.25">
      <c r="A2939" t="s">
        <v>1217</v>
      </c>
      <c r="B2939" t="s">
        <v>1574</v>
      </c>
    </row>
    <row r="2940" spans="1:2" x14ac:dyDescent="0.25">
      <c r="A2940" t="s">
        <v>1219</v>
      </c>
      <c r="B2940" t="s">
        <v>1575</v>
      </c>
    </row>
    <row r="2941" spans="1:2" x14ac:dyDescent="0.25">
      <c r="A2941" t="s">
        <v>1221</v>
      </c>
      <c r="B2941" t="s">
        <v>1576</v>
      </c>
    </row>
    <row r="2942" spans="1:2" x14ac:dyDescent="0.25">
      <c r="A2942" t="s">
        <v>1224</v>
      </c>
      <c r="B2942" t="s">
        <v>1577</v>
      </c>
    </row>
    <row r="2943" spans="1:2" x14ac:dyDescent="0.25">
      <c r="A2943" t="s">
        <v>1227</v>
      </c>
      <c r="B2943" t="s">
        <v>1578</v>
      </c>
    </row>
    <row r="2944" spans="1:2" x14ac:dyDescent="0.25">
      <c r="A2944" t="s">
        <v>1229</v>
      </c>
      <c r="B2944" t="s">
        <v>1579</v>
      </c>
    </row>
    <row r="2945" spans="1:2" x14ac:dyDescent="0.25">
      <c r="A2945" t="s">
        <v>1231</v>
      </c>
      <c r="B2945" t="s">
        <v>1580</v>
      </c>
    </row>
    <row r="2946" spans="1:2" x14ac:dyDescent="0.25">
      <c r="A2946" t="s">
        <v>1233</v>
      </c>
      <c r="B2946" t="s">
        <v>1581</v>
      </c>
    </row>
    <row r="2947" spans="1:2" x14ac:dyDescent="0.25">
      <c r="A2947" t="s">
        <v>1236</v>
      </c>
      <c r="B2947" t="s">
        <v>1582</v>
      </c>
    </row>
    <row r="2948" spans="1:2" x14ac:dyDescent="0.25">
      <c r="A2948" t="s">
        <v>1238</v>
      </c>
      <c r="B2948" t="s">
        <v>1583</v>
      </c>
    </row>
    <row r="2949" spans="1:2" x14ac:dyDescent="0.25">
      <c r="A2949" t="s">
        <v>1241</v>
      </c>
      <c r="B2949" t="s">
        <v>1584</v>
      </c>
    </row>
    <row r="2950" spans="1:2" x14ac:dyDescent="0.25">
      <c r="A2950" t="s">
        <v>1243</v>
      </c>
      <c r="B2950" t="s">
        <v>1585</v>
      </c>
    </row>
    <row r="2951" spans="1:2" x14ac:dyDescent="0.25">
      <c r="A2951" t="s">
        <v>1246</v>
      </c>
      <c r="B2951" t="s">
        <v>1586</v>
      </c>
    </row>
    <row r="2952" spans="1:2" x14ac:dyDescent="0.25">
      <c r="A2952" t="s">
        <v>1248</v>
      </c>
      <c r="B2952" t="s">
        <v>1587</v>
      </c>
    </row>
    <row r="2953" spans="1:2" x14ac:dyDescent="0.25">
      <c r="A2953" t="s">
        <v>1251</v>
      </c>
      <c r="B2953" t="s">
        <v>1588</v>
      </c>
    </row>
    <row r="2954" spans="1:2" x14ac:dyDescent="0.25">
      <c r="A2954" t="s">
        <v>1253</v>
      </c>
      <c r="B2954" t="s">
        <v>1589</v>
      </c>
    </row>
    <row r="2955" spans="1:2" x14ac:dyDescent="0.25">
      <c r="A2955" t="s">
        <v>1256</v>
      </c>
      <c r="B2955" t="s">
        <v>1590</v>
      </c>
    </row>
    <row r="2956" spans="1:2" x14ac:dyDescent="0.25">
      <c r="A2956" t="s">
        <v>1259</v>
      </c>
      <c r="B2956" t="s">
        <v>1591</v>
      </c>
    </row>
    <row r="2957" spans="1:2" x14ac:dyDescent="0.25">
      <c r="A2957" t="s">
        <v>1261</v>
      </c>
      <c r="B2957" t="s">
        <v>1592</v>
      </c>
    </row>
    <row r="2958" spans="1:2" x14ac:dyDescent="0.25">
      <c r="A2958" t="s">
        <v>1263</v>
      </c>
      <c r="B2958" t="s">
        <v>1593</v>
      </c>
    </row>
    <row r="2959" spans="1:2" x14ac:dyDescent="0.25">
      <c r="A2959" t="s">
        <v>1594</v>
      </c>
      <c r="B2959" t="s">
        <v>1595</v>
      </c>
    </row>
    <row r="2960" spans="1:2" x14ac:dyDescent="0.25">
      <c r="A2960" t="s">
        <v>1596</v>
      </c>
      <c r="B2960" t="s">
        <v>1597</v>
      </c>
    </row>
    <row r="2961" spans="1:2" x14ac:dyDescent="0.25">
      <c r="A2961" t="s">
        <v>1598</v>
      </c>
      <c r="B2961" t="s">
        <v>1599</v>
      </c>
    </row>
    <row r="2962" spans="1:2" x14ac:dyDescent="0.25">
      <c r="A2962" t="s">
        <v>1600</v>
      </c>
      <c r="B2962" t="s">
        <v>1601</v>
      </c>
    </row>
    <row r="2963" spans="1:2" x14ac:dyDescent="0.25">
      <c r="A2963" t="s">
        <v>1602</v>
      </c>
      <c r="B2963" t="s">
        <v>1603</v>
      </c>
    </row>
    <row r="2964" spans="1:2" x14ac:dyDescent="0.25">
      <c r="A2964" t="s">
        <v>1604</v>
      </c>
      <c r="B2964" t="s">
        <v>1605</v>
      </c>
    </row>
    <row r="2965" spans="1:2" x14ac:dyDescent="0.25">
      <c r="A2965" t="s">
        <v>1606</v>
      </c>
      <c r="B2965" t="s">
        <v>1607</v>
      </c>
    </row>
    <row r="2966" spans="1:2" x14ac:dyDescent="0.25">
      <c r="A2966" t="s">
        <v>1608</v>
      </c>
      <c r="B2966" t="s">
        <v>1609</v>
      </c>
    </row>
    <row r="2967" spans="1:2" x14ac:dyDescent="0.25">
      <c r="A2967" t="s">
        <v>1610</v>
      </c>
      <c r="B2967" t="s">
        <v>1611</v>
      </c>
    </row>
    <row r="2968" spans="1:2" x14ac:dyDescent="0.25">
      <c r="A2968" t="s">
        <v>1612</v>
      </c>
      <c r="B2968" t="s">
        <v>1613</v>
      </c>
    </row>
    <row r="2969" spans="1:2" x14ac:dyDescent="0.25">
      <c r="A2969" t="s">
        <v>1614</v>
      </c>
      <c r="B2969" t="s">
        <v>1615</v>
      </c>
    </row>
    <row r="2970" spans="1:2" x14ac:dyDescent="0.25">
      <c r="A2970" t="s">
        <v>1616</v>
      </c>
      <c r="B2970" t="s">
        <v>1617</v>
      </c>
    </row>
    <row r="2971" spans="1:2" x14ac:dyDescent="0.25">
      <c r="A2971" t="s">
        <v>1618</v>
      </c>
      <c r="B2971" t="s">
        <v>1619</v>
      </c>
    </row>
    <row r="2972" spans="1:2" x14ac:dyDescent="0.25">
      <c r="A2972" t="s">
        <v>1620</v>
      </c>
      <c r="B2972" t="s">
        <v>1621</v>
      </c>
    </row>
    <row r="2973" spans="1:2" x14ac:dyDescent="0.25">
      <c r="A2973" t="s">
        <v>1622</v>
      </c>
      <c r="B2973" t="s">
        <v>1623</v>
      </c>
    </row>
    <row r="2974" spans="1:2" x14ac:dyDescent="0.25">
      <c r="A2974" t="s">
        <v>1624</v>
      </c>
      <c r="B2974" t="s">
        <v>1625</v>
      </c>
    </row>
    <row r="2975" spans="1:2" x14ac:dyDescent="0.25">
      <c r="A2975" t="s">
        <v>1626</v>
      </c>
      <c r="B2975" t="s">
        <v>1627</v>
      </c>
    </row>
    <row r="2976" spans="1:2" x14ac:dyDescent="0.25">
      <c r="A2976" t="s">
        <v>1628</v>
      </c>
      <c r="B2976" t="s">
        <v>1629</v>
      </c>
    </row>
    <row r="2977" spans="1:2" x14ac:dyDescent="0.25">
      <c r="A2977" t="s">
        <v>1631</v>
      </c>
      <c r="B2977" t="s">
        <v>1632</v>
      </c>
    </row>
    <row r="2978" spans="1:2" x14ac:dyDescent="0.25">
      <c r="A2978" t="s">
        <v>1633</v>
      </c>
      <c r="B2978" t="s">
        <v>1634</v>
      </c>
    </row>
    <row r="2979" spans="1:2" x14ac:dyDescent="0.25">
      <c r="A2979" t="s">
        <v>1635</v>
      </c>
      <c r="B2979" t="s">
        <v>1636</v>
      </c>
    </row>
    <row r="2980" spans="1:2" x14ac:dyDescent="0.25">
      <c r="A2980" t="s">
        <v>1637</v>
      </c>
      <c r="B2980" t="s">
        <v>1638</v>
      </c>
    </row>
    <row r="2981" spans="1:2" x14ac:dyDescent="0.25">
      <c r="A2981" t="s">
        <v>1639</v>
      </c>
      <c r="B2981" t="s">
        <v>1640</v>
      </c>
    </row>
    <row r="2982" spans="1:2" x14ac:dyDescent="0.25">
      <c r="A2982" t="s">
        <v>1641</v>
      </c>
      <c r="B2982" t="s">
        <v>1642</v>
      </c>
    </row>
    <row r="2983" spans="1:2" x14ac:dyDescent="0.25">
      <c r="A2983" t="s">
        <v>1643</v>
      </c>
      <c r="B2983" t="s">
        <v>1644</v>
      </c>
    </row>
    <row r="2984" spans="1:2" x14ac:dyDescent="0.25">
      <c r="A2984" t="s">
        <v>1645</v>
      </c>
      <c r="B2984" t="s">
        <v>1646</v>
      </c>
    </row>
    <row r="2985" spans="1:2" x14ac:dyDescent="0.25">
      <c r="A2985" t="s">
        <v>1647</v>
      </c>
      <c r="B2985" t="s">
        <v>1648</v>
      </c>
    </row>
    <row r="2986" spans="1:2" x14ac:dyDescent="0.25">
      <c r="A2986" t="s">
        <v>1650</v>
      </c>
      <c r="B2986" t="s">
        <v>1651</v>
      </c>
    </row>
    <row r="2987" spans="1:2" x14ac:dyDescent="0.25">
      <c r="A2987" t="s">
        <v>1652</v>
      </c>
      <c r="B2987" t="s">
        <v>1653</v>
      </c>
    </row>
    <row r="2988" spans="1:2" x14ac:dyDescent="0.25">
      <c r="A2988" t="s">
        <v>1654</v>
      </c>
      <c r="B2988" t="s">
        <v>1655</v>
      </c>
    </row>
    <row r="2989" spans="1:2" x14ac:dyDescent="0.25">
      <c r="A2989" t="s">
        <v>1656</v>
      </c>
      <c r="B2989" t="s">
        <v>1657</v>
      </c>
    </row>
    <row r="2990" spans="1:2" x14ac:dyDescent="0.25">
      <c r="A2990" t="s">
        <v>1658</v>
      </c>
      <c r="B2990" t="s">
        <v>1659</v>
      </c>
    </row>
    <row r="2991" spans="1:2" x14ac:dyDescent="0.25">
      <c r="A2991" t="s">
        <v>7070</v>
      </c>
      <c r="B2991" t="s">
        <v>12172</v>
      </c>
    </row>
    <row r="2992" spans="1:2" x14ac:dyDescent="0.25">
      <c r="A2992" t="s">
        <v>7072</v>
      </c>
      <c r="B2992" t="s">
        <v>12173</v>
      </c>
    </row>
    <row r="2993" spans="1:2" x14ac:dyDescent="0.25">
      <c r="A2993" t="s">
        <v>7074</v>
      </c>
      <c r="B2993" t="s">
        <v>12174</v>
      </c>
    </row>
    <row r="2994" spans="1:2" x14ac:dyDescent="0.25">
      <c r="A2994" t="s">
        <v>7076</v>
      </c>
      <c r="B2994" t="s">
        <v>12175</v>
      </c>
    </row>
    <row r="2995" spans="1:2" x14ac:dyDescent="0.25">
      <c r="A2995" t="s">
        <v>7078</v>
      </c>
      <c r="B2995" t="s">
        <v>12176</v>
      </c>
    </row>
    <row r="2996" spans="1:2" x14ac:dyDescent="0.25">
      <c r="A2996" t="s">
        <v>7080</v>
      </c>
      <c r="B2996" t="s">
        <v>12177</v>
      </c>
    </row>
    <row r="2997" spans="1:2" x14ac:dyDescent="0.25">
      <c r="A2997" t="s">
        <v>7082</v>
      </c>
      <c r="B2997" t="s">
        <v>12178</v>
      </c>
    </row>
    <row r="2998" spans="1:2" x14ac:dyDescent="0.25">
      <c r="A2998" t="s">
        <v>7084</v>
      </c>
      <c r="B2998" t="s">
        <v>12179</v>
      </c>
    </row>
    <row r="2999" spans="1:2" x14ac:dyDescent="0.25">
      <c r="A2999" t="s">
        <v>1660</v>
      </c>
      <c r="B2999" t="s">
        <v>1661</v>
      </c>
    </row>
    <row r="3000" spans="1:2" x14ac:dyDescent="0.25">
      <c r="A3000" t="s">
        <v>1662</v>
      </c>
      <c r="B3000" t="s">
        <v>1663</v>
      </c>
    </row>
    <row r="3001" spans="1:2" x14ac:dyDescent="0.25">
      <c r="A3001" t="s">
        <v>1664</v>
      </c>
      <c r="B3001" t="s">
        <v>1665</v>
      </c>
    </row>
    <row r="3002" spans="1:2" x14ac:dyDescent="0.25">
      <c r="A3002" t="s">
        <v>1666</v>
      </c>
      <c r="B3002" t="s">
        <v>1667</v>
      </c>
    </row>
    <row r="3003" spans="1:2" x14ac:dyDescent="0.25">
      <c r="A3003" t="s">
        <v>1668</v>
      </c>
      <c r="B3003" t="s">
        <v>1669</v>
      </c>
    </row>
    <row r="3004" spans="1:2" x14ac:dyDescent="0.25">
      <c r="A3004" t="s">
        <v>1670</v>
      </c>
      <c r="B3004" t="s">
        <v>1671</v>
      </c>
    </row>
    <row r="3005" spans="1:2" x14ac:dyDescent="0.25">
      <c r="A3005" t="s">
        <v>1672</v>
      </c>
      <c r="B3005" t="s">
        <v>1673</v>
      </c>
    </row>
    <row r="3006" spans="1:2" x14ac:dyDescent="0.25">
      <c r="A3006" t="s">
        <v>1674</v>
      </c>
      <c r="B3006" t="s">
        <v>1675</v>
      </c>
    </row>
    <row r="3007" spans="1:2" x14ac:dyDescent="0.25">
      <c r="A3007" t="s">
        <v>1676</v>
      </c>
      <c r="B3007" t="s">
        <v>1677</v>
      </c>
    </row>
    <row r="3008" spans="1:2" x14ac:dyDescent="0.25">
      <c r="A3008" t="s">
        <v>1678</v>
      </c>
      <c r="B3008" t="s">
        <v>1679</v>
      </c>
    </row>
    <row r="3009" spans="1:2" x14ac:dyDescent="0.25">
      <c r="A3009" t="s">
        <v>1680</v>
      </c>
      <c r="B3009" t="s">
        <v>1681</v>
      </c>
    </row>
    <row r="3010" spans="1:2" x14ac:dyDescent="0.25">
      <c r="A3010" t="s">
        <v>1682</v>
      </c>
      <c r="B3010" t="s">
        <v>1683</v>
      </c>
    </row>
    <row r="3011" spans="1:2" x14ac:dyDescent="0.25">
      <c r="A3011" t="s">
        <v>1684</v>
      </c>
      <c r="B3011" t="s">
        <v>1685</v>
      </c>
    </row>
    <row r="3012" spans="1:2" x14ac:dyDescent="0.25">
      <c r="A3012" t="s">
        <v>1686</v>
      </c>
      <c r="B3012" t="s">
        <v>1687</v>
      </c>
    </row>
    <row r="3013" spans="1:2" x14ac:dyDescent="0.25">
      <c r="A3013" t="s">
        <v>1688</v>
      </c>
      <c r="B3013" t="s">
        <v>1689</v>
      </c>
    </row>
    <row r="3014" spans="1:2" x14ac:dyDescent="0.25">
      <c r="A3014" t="s">
        <v>1690</v>
      </c>
      <c r="B3014" t="s">
        <v>1691</v>
      </c>
    </row>
    <row r="3015" spans="1:2" x14ac:dyDescent="0.25">
      <c r="A3015" t="s">
        <v>1692</v>
      </c>
      <c r="B3015" t="s">
        <v>1693</v>
      </c>
    </row>
    <row r="3016" spans="1:2" x14ac:dyDescent="0.25">
      <c r="A3016" t="s">
        <v>1694</v>
      </c>
      <c r="B3016" t="s">
        <v>1695</v>
      </c>
    </row>
    <row r="3017" spans="1:2" x14ac:dyDescent="0.25">
      <c r="A3017" t="s">
        <v>1696</v>
      </c>
      <c r="B3017" t="s">
        <v>1697</v>
      </c>
    </row>
    <row r="3018" spans="1:2" x14ac:dyDescent="0.25">
      <c r="A3018" t="s">
        <v>1698</v>
      </c>
      <c r="B3018" t="s">
        <v>1699</v>
      </c>
    </row>
    <row r="3019" spans="1:2" x14ac:dyDescent="0.25">
      <c r="A3019" t="s">
        <v>1700</v>
      </c>
      <c r="B3019" t="s">
        <v>1701</v>
      </c>
    </row>
    <row r="3020" spans="1:2" x14ac:dyDescent="0.25">
      <c r="A3020" t="s">
        <v>1702</v>
      </c>
      <c r="B3020" t="s">
        <v>1703</v>
      </c>
    </row>
    <row r="3021" spans="1:2" x14ac:dyDescent="0.25">
      <c r="A3021" t="s">
        <v>1704</v>
      </c>
      <c r="B3021" t="s">
        <v>1705</v>
      </c>
    </row>
    <row r="3022" spans="1:2" x14ac:dyDescent="0.25">
      <c r="A3022" t="s">
        <v>1706</v>
      </c>
      <c r="B3022" t="s">
        <v>1707</v>
      </c>
    </row>
    <row r="3023" spans="1:2" x14ac:dyDescent="0.25">
      <c r="A3023" t="s">
        <v>1708</v>
      </c>
      <c r="B3023" t="s">
        <v>1709</v>
      </c>
    </row>
    <row r="3024" spans="1:2" x14ac:dyDescent="0.25">
      <c r="A3024" t="s">
        <v>1710</v>
      </c>
      <c r="B3024" t="s">
        <v>1711</v>
      </c>
    </row>
    <row r="3025" spans="1:2" x14ac:dyDescent="0.25">
      <c r="A3025" t="s">
        <v>1712</v>
      </c>
      <c r="B3025" t="s">
        <v>1713</v>
      </c>
    </row>
    <row r="3026" spans="1:2" x14ac:dyDescent="0.25">
      <c r="A3026" t="s">
        <v>1714</v>
      </c>
      <c r="B3026" t="s">
        <v>1715</v>
      </c>
    </row>
    <row r="3027" spans="1:2" x14ac:dyDescent="0.25">
      <c r="A3027" t="s">
        <v>1716</v>
      </c>
      <c r="B3027" t="s">
        <v>1717</v>
      </c>
    </row>
    <row r="3028" spans="1:2" x14ac:dyDescent="0.25">
      <c r="A3028" t="s">
        <v>1718</v>
      </c>
      <c r="B3028" t="s">
        <v>1719</v>
      </c>
    </row>
    <row r="3029" spans="1:2" x14ac:dyDescent="0.25">
      <c r="A3029" t="s">
        <v>1720</v>
      </c>
      <c r="B3029" t="s">
        <v>1721</v>
      </c>
    </row>
    <row r="3030" spans="1:2" x14ac:dyDescent="0.25">
      <c r="A3030" t="s">
        <v>1722</v>
      </c>
      <c r="B3030" t="s">
        <v>1723</v>
      </c>
    </row>
    <row r="3031" spans="1:2" x14ac:dyDescent="0.25">
      <c r="A3031" t="s">
        <v>1724</v>
      </c>
      <c r="B3031" t="s">
        <v>1725</v>
      </c>
    </row>
    <row r="3032" spans="1:2" x14ac:dyDescent="0.25">
      <c r="A3032" t="s">
        <v>1726</v>
      </c>
      <c r="B3032" t="s">
        <v>1727</v>
      </c>
    </row>
    <row r="3033" spans="1:2" x14ac:dyDescent="0.25">
      <c r="A3033" t="s">
        <v>1728</v>
      </c>
      <c r="B3033" t="s">
        <v>1729</v>
      </c>
    </row>
    <row r="3034" spans="1:2" x14ac:dyDescent="0.25">
      <c r="A3034" t="s">
        <v>1730</v>
      </c>
      <c r="B3034" t="s">
        <v>1731</v>
      </c>
    </row>
    <row r="3035" spans="1:2" x14ac:dyDescent="0.25">
      <c r="A3035" t="s">
        <v>1732</v>
      </c>
      <c r="B3035" t="s">
        <v>1733</v>
      </c>
    </row>
    <row r="3036" spans="1:2" x14ac:dyDescent="0.25">
      <c r="A3036" t="s">
        <v>1734</v>
      </c>
      <c r="B3036" t="s">
        <v>1735</v>
      </c>
    </row>
    <row r="3037" spans="1:2" x14ac:dyDescent="0.25">
      <c r="A3037" t="s">
        <v>1736</v>
      </c>
      <c r="B3037" t="s">
        <v>1737</v>
      </c>
    </row>
    <row r="3038" spans="1:2" x14ac:dyDescent="0.25">
      <c r="A3038" t="s">
        <v>1738</v>
      </c>
      <c r="B3038" t="s">
        <v>1739</v>
      </c>
    </row>
    <row r="3039" spans="1:2" x14ac:dyDescent="0.25">
      <c r="A3039" t="s">
        <v>1740</v>
      </c>
      <c r="B3039" t="s">
        <v>1741</v>
      </c>
    </row>
    <row r="3040" spans="1:2" x14ac:dyDescent="0.25">
      <c r="A3040" t="s">
        <v>1742</v>
      </c>
      <c r="B3040" t="s">
        <v>1743</v>
      </c>
    </row>
    <row r="3041" spans="1:2" x14ac:dyDescent="0.25">
      <c r="A3041" t="s">
        <v>1744</v>
      </c>
      <c r="B3041" t="s">
        <v>1745</v>
      </c>
    </row>
    <row r="3042" spans="1:2" x14ac:dyDescent="0.25">
      <c r="A3042" t="s">
        <v>1746</v>
      </c>
      <c r="B3042" t="s">
        <v>1747</v>
      </c>
    </row>
    <row r="3043" spans="1:2" x14ac:dyDescent="0.25">
      <c r="A3043" t="s">
        <v>1748</v>
      </c>
      <c r="B3043" t="s">
        <v>1749</v>
      </c>
    </row>
    <row r="3044" spans="1:2" x14ac:dyDescent="0.25">
      <c r="A3044" t="s">
        <v>1750</v>
      </c>
      <c r="B3044" t="s">
        <v>1751</v>
      </c>
    </row>
    <row r="3045" spans="1:2" x14ac:dyDescent="0.25">
      <c r="A3045" t="s">
        <v>1752</v>
      </c>
      <c r="B3045" t="s">
        <v>1753</v>
      </c>
    </row>
    <row r="3046" spans="1:2" x14ac:dyDescent="0.25">
      <c r="A3046" t="s">
        <v>1754</v>
      </c>
      <c r="B3046" t="s">
        <v>1755</v>
      </c>
    </row>
    <row r="3047" spans="1:2" x14ac:dyDescent="0.25">
      <c r="A3047" t="s">
        <v>1756</v>
      </c>
      <c r="B3047" t="s">
        <v>1757</v>
      </c>
    </row>
    <row r="3048" spans="1:2" x14ac:dyDescent="0.25">
      <c r="A3048" t="s">
        <v>1758</v>
      </c>
      <c r="B3048" t="s">
        <v>1759</v>
      </c>
    </row>
    <row r="3049" spans="1:2" x14ac:dyDescent="0.25">
      <c r="A3049" t="s">
        <v>1760</v>
      </c>
      <c r="B3049" t="s">
        <v>1761</v>
      </c>
    </row>
    <row r="3050" spans="1:2" x14ac:dyDescent="0.25">
      <c r="A3050" t="s">
        <v>1762</v>
      </c>
      <c r="B3050" t="s">
        <v>1763</v>
      </c>
    </row>
    <row r="3051" spans="1:2" x14ac:dyDescent="0.25">
      <c r="A3051" t="s">
        <v>1764</v>
      </c>
      <c r="B3051" t="s">
        <v>1765</v>
      </c>
    </row>
    <row r="3052" spans="1:2" x14ac:dyDescent="0.25">
      <c r="A3052" t="s">
        <v>1766</v>
      </c>
      <c r="B3052" t="s">
        <v>1767</v>
      </c>
    </row>
    <row r="3053" spans="1:2" x14ac:dyDescent="0.25">
      <c r="A3053" t="s">
        <v>1768</v>
      </c>
      <c r="B3053" t="s">
        <v>1769</v>
      </c>
    </row>
    <row r="3054" spans="1:2" x14ac:dyDescent="0.25">
      <c r="A3054" t="s">
        <v>1770</v>
      </c>
      <c r="B3054" t="s">
        <v>1771</v>
      </c>
    </row>
    <row r="3055" spans="1:2" x14ac:dyDescent="0.25">
      <c r="A3055" t="s">
        <v>1772</v>
      </c>
      <c r="B3055" t="s">
        <v>1773</v>
      </c>
    </row>
    <row r="3056" spans="1:2" x14ac:dyDescent="0.25">
      <c r="A3056" t="s">
        <v>1774</v>
      </c>
      <c r="B3056" t="s">
        <v>1775</v>
      </c>
    </row>
    <row r="3057" spans="1:2" x14ac:dyDescent="0.25">
      <c r="A3057" t="s">
        <v>1776</v>
      </c>
      <c r="B3057" t="s">
        <v>1777</v>
      </c>
    </row>
    <row r="3058" spans="1:2" x14ac:dyDescent="0.25">
      <c r="A3058" t="s">
        <v>1778</v>
      </c>
      <c r="B3058" t="s">
        <v>1779</v>
      </c>
    </row>
    <row r="3059" spans="1:2" x14ac:dyDescent="0.25">
      <c r="A3059" t="s">
        <v>1780</v>
      </c>
      <c r="B3059" t="s">
        <v>1781</v>
      </c>
    </row>
    <row r="3060" spans="1:2" x14ac:dyDescent="0.25">
      <c r="A3060" t="s">
        <v>1782</v>
      </c>
      <c r="B3060" t="s">
        <v>1783</v>
      </c>
    </row>
    <row r="3061" spans="1:2" x14ac:dyDescent="0.25">
      <c r="A3061" t="s">
        <v>1784</v>
      </c>
      <c r="B3061" t="s">
        <v>1785</v>
      </c>
    </row>
    <row r="3062" spans="1:2" x14ac:dyDescent="0.25">
      <c r="A3062" t="s">
        <v>1786</v>
      </c>
      <c r="B3062" t="s">
        <v>1787</v>
      </c>
    </row>
    <row r="3063" spans="1:2" x14ac:dyDescent="0.25">
      <c r="A3063" t="s">
        <v>1788</v>
      </c>
      <c r="B3063" t="s">
        <v>1789</v>
      </c>
    </row>
    <row r="3064" spans="1:2" x14ac:dyDescent="0.25">
      <c r="A3064" t="s">
        <v>1790</v>
      </c>
      <c r="B3064" t="s">
        <v>1791</v>
      </c>
    </row>
    <row r="3065" spans="1:2" x14ac:dyDescent="0.25">
      <c r="A3065" t="s">
        <v>1792</v>
      </c>
      <c r="B3065" t="s">
        <v>1793</v>
      </c>
    </row>
    <row r="3066" spans="1:2" x14ac:dyDescent="0.25">
      <c r="A3066" t="s">
        <v>1794</v>
      </c>
      <c r="B3066" t="s">
        <v>1795</v>
      </c>
    </row>
    <row r="3067" spans="1:2" x14ac:dyDescent="0.25">
      <c r="A3067" t="s">
        <v>1796</v>
      </c>
      <c r="B3067" t="s">
        <v>1797</v>
      </c>
    </row>
    <row r="3068" spans="1:2" x14ac:dyDescent="0.25">
      <c r="A3068" t="s">
        <v>1798</v>
      </c>
      <c r="B3068" t="s">
        <v>1799</v>
      </c>
    </row>
    <row r="3069" spans="1:2" x14ac:dyDescent="0.25">
      <c r="A3069" t="s">
        <v>1800</v>
      </c>
      <c r="B3069" t="s">
        <v>1801</v>
      </c>
    </row>
    <row r="3070" spans="1:2" x14ac:dyDescent="0.25">
      <c r="A3070" t="s">
        <v>1802</v>
      </c>
      <c r="B3070" t="s">
        <v>1803</v>
      </c>
    </row>
    <row r="3071" spans="1:2" x14ac:dyDescent="0.25">
      <c r="A3071" t="s">
        <v>1804</v>
      </c>
      <c r="B3071" t="s">
        <v>1805</v>
      </c>
    </row>
    <row r="3072" spans="1:2" x14ac:dyDescent="0.25">
      <c r="A3072" t="s">
        <v>1806</v>
      </c>
      <c r="B3072" t="s">
        <v>1807</v>
      </c>
    </row>
    <row r="3073" spans="1:2" x14ac:dyDescent="0.25">
      <c r="A3073" t="s">
        <v>1808</v>
      </c>
      <c r="B3073" t="s">
        <v>1809</v>
      </c>
    </row>
    <row r="3074" spans="1:2" x14ac:dyDescent="0.25">
      <c r="A3074" t="s">
        <v>1810</v>
      </c>
      <c r="B3074" t="s">
        <v>1811</v>
      </c>
    </row>
    <row r="3075" spans="1:2" x14ac:dyDescent="0.25">
      <c r="A3075" t="s">
        <v>1812</v>
      </c>
      <c r="B3075" t="s">
        <v>1813</v>
      </c>
    </row>
    <row r="3076" spans="1:2" x14ac:dyDescent="0.25">
      <c r="A3076" t="s">
        <v>1814</v>
      </c>
      <c r="B3076" t="s">
        <v>1815</v>
      </c>
    </row>
    <row r="3077" spans="1:2" x14ac:dyDescent="0.25">
      <c r="A3077" t="s">
        <v>1816</v>
      </c>
      <c r="B3077" t="s">
        <v>1817</v>
      </c>
    </row>
    <row r="3078" spans="1:2" x14ac:dyDescent="0.25">
      <c r="A3078" t="s">
        <v>1818</v>
      </c>
      <c r="B3078" t="s">
        <v>1819</v>
      </c>
    </row>
    <row r="3079" spans="1:2" x14ac:dyDescent="0.25">
      <c r="A3079" t="s">
        <v>1820</v>
      </c>
      <c r="B3079" t="s">
        <v>1821</v>
      </c>
    </row>
    <row r="3080" spans="1:2" x14ac:dyDescent="0.25">
      <c r="A3080" t="s">
        <v>1822</v>
      </c>
      <c r="B3080" t="s">
        <v>1823</v>
      </c>
    </row>
    <row r="3081" spans="1:2" x14ac:dyDescent="0.25">
      <c r="A3081" t="s">
        <v>1824</v>
      </c>
      <c r="B3081" t="s">
        <v>1825</v>
      </c>
    </row>
    <row r="3082" spans="1:2" x14ac:dyDescent="0.25">
      <c r="A3082" t="s">
        <v>1826</v>
      </c>
      <c r="B3082" t="s">
        <v>1827</v>
      </c>
    </row>
    <row r="3083" spans="1:2" x14ac:dyDescent="0.25">
      <c r="A3083" t="s">
        <v>1828</v>
      </c>
      <c r="B3083" t="s">
        <v>1829</v>
      </c>
    </row>
    <row r="3084" spans="1:2" x14ac:dyDescent="0.25">
      <c r="A3084" t="s">
        <v>1830</v>
      </c>
      <c r="B3084" t="s">
        <v>1831</v>
      </c>
    </row>
    <row r="3085" spans="1:2" x14ac:dyDescent="0.25">
      <c r="A3085" t="s">
        <v>1832</v>
      </c>
      <c r="B3085" t="s">
        <v>1833</v>
      </c>
    </row>
    <row r="3086" spans="1:2" x14ac:dyDescent="0.25">
      <c r="A3086" t="s">
        <v>1834</v>
      </c>
      <c r="B3086" t="s">
        <v>1835</v>
      </c>
    </row>
    <row r="3087" spans="1:2" x14ac:dyDescent="0.25">
      <c r="A3087" t="s">
        <v>1836</v>
      </c>
      <c r="B3087" t="s">
        <v>1837</v>
      </c>
    </row>
    <row r="3088" spans="1:2" x14ac:dyDescent="0.25">
      <c r="A3088" t="s">
        <v>1838</v>
      </c>
      <c r="B3088" t="s">
        <v>1839</v>
      </c>
    </row>
    <row r="3089" spans="1:2" x14ac:dyDescent="0.25">
      <c r="A3089" t="s">
        <v>1840</v>
      </c>
      <c r="B3089" t="s">
        <v>1841</v>
      </c>
    </row>
    <row r="3090" spans="1:2" x14ac:dyDescent="0.25">
      <c r="A3090" t="s">
        <v>1842</v>
      </c>
      <c r="B3090" t="s">
        <v>1843</v>
      </c>
    </row>
    <row r="3091" spans="1:2" x14ac:dyDescent="0.25">
      <c r="A3091" t="s">
        <v>1844</v>
      </c>
      <c r="B3091" t="s">
        <v>1845</v>
      </c>
    </row>
    <row r="3092" spans="1:2" x14ac:dyDescent="0.25">
      <c r="A3092" t="s">
        <v>1846</v>
      </c>
      <c r="B3092" t="s">
        <v>1847</v>
      </c>
    </row>
    <row r="3093" spans="1:2" x14ac:dyDescent="0.25">
      <c r="A3093" t="s">
        <v>1848</v>
      </c>
      <c r="B3093" t="s">
        <v>1849</v>
      </c>
    </row>
    <row r="3094" spans="1:2" x14ac:dyDescent="0.25">
      <c r="A3094" t="s">
        <v>1850</v>
      </c>
      <c r="B3094" t="s">
        <v>1851</v>
      </c>
    </row>
    <row r="3095" spans="1:2" x14ac:dyDescent="0.25">
      <c r="A3095" t="s">
        <v>1852</v>
      </c>
      <c r="B3095" t="s">
        <v>1853</v>
      </c>
    </row>
    <row r="3096" spans="1:2" x14ac:dyDescent="0.25">
      <c r="A3096" t="s">
        <v>1854</v>
      </c>
      <c r="B3096" t="s">
        <v>1855</v>
      </c>
    </row>
    <row r="3097" spans="1:2" x14ac:dyDescent="0.25">
      <c r="A3097" t="s">
        <v>1856</v>
      </c>
      <c r="B3097" t="s">
        <v>1857</v>
      </c>
    </row>
    <row r="3098" spans="1:2" x14ac:dyDescent="0.25">
      <c r="A3098" t="s">
        <v>1858</v>
      </c>
      <c r="B3098" t="s">
        <v>1859</v>
      </c>
    </row>
    <row r="3099" spans="1:2" x14ac:dyDescent="0.25">
      <c r="A3099" t="s">
        <v>1860</v>
      </c>
      <c r="B3099" t="s">
        <v>1861</v>
      </c>
    </row>
    <row r="3100" spans="1:2" x14ac:dyDescent="0.25">
      <c r="A3100" t="s">
        <v>1862</v>
      </c>
      <c r="B3100" t="s">
        <v>1863</v>
      </c>
    </row>
    <row r="3101" spans="1:2" x14ac:dyDescent="0.25">
      <c r="A3101" t="s">
        <v>1864</v>
      </c>
      <c r="B3101" t="s">
        <v>1865</v>
      </c>
    </row>
    <row r="3102" spans="1:2" x14ac:dyDescent="0.25">
      <c r="A3102" t="s">
        <v>1866</v>
      </c>
      <c r="B3102" t="s">
        <v>1867</v>
      </c>
    </row>
    <row r="3103" spans="1:2" x14ac:dyDescent="0.25">
      <c r="A3103" t="s">
        <v>11882</v>
      </c>
      <c r="B3103" t="s">
        <v>12180</v>
      </c>
    </row>
    <row r="3104" spans="1:2" x14ac:dyDescent="0.25">
      <c r="A3104" t="s">
        <v>11884</v>
      </c>
      <c r="B3104" t="s">
        <v>12181</v>
      </c>
    </row>
    <row r="3105" spans="1:2" x14ac:dyDescent="0.25">
      <c r="A3105" t="s">
        <v>11886</v>
      </c>
      <c r="B3105" t="s">
        <v>12182</v>
      </c>
    </row>
    <row r="3106" spans="1:2" x14ac:dyDescent="0.25">
      <c r="A3106" t="s">
        <v>11888</v>
      </c>
      <c r="B3106" t="s">
        <v>12183</v>
      </c>
    </row>
    <row r="3107" spans="1:2" x14ac:dyDescent="0.25">
      <c r="A3107" t="s">
        <v>11890</v>
      </c>
      <c r="B3107" t="s">
        <v>12184</v>
      </c>
    </row>
    <row r="3108" spans="1:2" x14ac:dyDescent="0.25">
      <c r="A3108" t="s">
        <v>11892</v>
      </c>
      <c r="B3108" t="s">
        <v>12185</v>
      </c>
    </row>
    <row r="3109" spans="1:2" x14ac:dyDescent="0.25">
      <c r="A3109" t="s">
        <v>11894</v>
      </c>
      <c r="B3109" t="s">
        <v>12186</v>
      </c>
    </row>
    <row r="3110" spans="1:2" x14ac:dyDescent="0.25">
      <c r="A3110" t="s">
        <v>11896</v>
      </c>
      <c r="B3110" t="s">
        <v>12187</v>
      </c>
    </row>
    <row r="3111" spans="1:2" x14ac:dyDescent="0.25">
      <c r="A3111" t="s">
        <v>1868</v>
      </c>
      <c r="B3111" t="s">
        <v>1869</v>
      </c>
    </row>
    <row r="3112" spans="1:2" x14ac:dyDescent="0.25">
      <c r="A3112" t="s">
        <v>1870</v>
      </c>
      <c r="B3112" t="s">
        <v>1871</v>
      </c>
    </row>
    <row r="3113" spans="1:2" x14ac:dyDescent="0.25">
      <c r="A3113" t="s">
        <v>1872</v>
      </c>
      <c r="B3113" t="s">
        <v>1873</v>
      </c>
    </row>
    <row r="3114" spans="1:2" x14ac:dyDescent="0.25">
      <c r="A3114" t="s">
        <v>1874</v>
      </c>
      <c r="B3114" t="s">
        <v>1875</v>
      </c>
    </row>
    <row r="3115" spans="1:2" x14ac:dyDescent="0.25">
      <c r="A3115" t="s">
        <v>1877</v>
      </c>
      <c r="B3115" t="s">
        <v>1878</v>
      </c>
    </row>
    <row r="3116" spans="1:2" x14ac:dyDescent="0.25">
      <c r="A3116" t="s">
        <v>1879</v>
      </c>
      <c r="B3116" t="s">
        <v>1880</v>
      </c>
    </row>
    <row r="3117" spans="1:2" x14ac:dyDescent="0.25">
      <c r="A3117" t="s">
        <v>1881</v>
      </c>
      <c r="B3117" t="s">
        <v>1882</v>
      </c>
    </row>
    <row r="3118" spans="1:2" x14ac:dyDescent="0.25">
      <c r="A3118" t="s">
        <v>1883</v>
      </c>
      <c r="B3118" t="s">
        <v>1884</v>
      </c>
    </row>
    <row r="3119" spans="1:2" x14ac:dyDescent="0.25">
      <c r="A3119" t="s">
        <v>1885</v>
      </c>
      <c r="B3119" t="s">
        <v>1886</v>
      </c>
    </row>
    <row r="3120" spans="1:2" x14ac:dyDescent="0.25">
      <c r="A3120" t="s">
        <v>1887</v>
      </c>
      <c r="B3120" t="s">
        <v>1888</v>
      </c>
    </row>
    <row r="3121" spans="1:2" x14ac:dyDescent="0.25">
      <c r="A3121" t="s">
        <v>1889</v>
      </c>
      <c r="B3121" t="s">
        <v>1890</v>
      </c>
    </row>
    <row r="3122" spans="1:2" x14ac:dyDescent="0.25">
      <c r="A3122" t="s">
        <v>1891</v>
      </c>
      <c r="B3122" t="s">
        <v>1892</v>
      </c>
    </row>
    <row r="3123" spans="1:2" x14ac:dyDescent="0.25">
      <c r="A3123" t="s">
        <v>1893</v>
      </c>
      <c r="B3123" t="s">
        <v>1894</v>
      </c>
    </row>
    <row r="3124" spans="1:2" x14ac:dyDescent="0.25">
      <c r="A3124" t="s">
        <v>1895</v>
      </c>
      <c r="B3124" t="s">
        <v>1896</v>
      </c>
    </row>
    <row r="3125" spans="1:2" x14ac:dyDescent="0.25">
      <c r="A3125" t="s">
        <v>1897</v>
      </c>
      <c r="B3125" t="s">
        <v>1898</v>
      </c>
    </row>
    <row r="3126" spans="1:2" x14ac:dyDescent="0.25">
      <c r="A3126" t="s">
        <v>1899</v>
      </c>
      <c r="B3126" t="s">
        <v>1900</v>
      </c>
    </row>
    <row r="3127" spans="1:2" x14ac:dyDescent="0.25">
      <c r="A3127" t="s">
        <v>1902</v>
      </c>
      <c r="B3127" t="s">
        <v>1903</v>
      </c>
    </row>
    <row r="3128" spans="1:2" x14ac:dyDescent="0.25">
      <c r="A3128" t="s">
        <v>1905</v>
      </c>
      <c r="B3128" t="s">
        <v>1906</v>
      </c>
    </row>
    <row r="3129" spans="1:2" x14ac:dyDescent="0.25">
      <c r="A3129" t="s">
        <v>1908</v>
      </c>
      <c r="B3129" t="s">
        <v>1909</v>
      </c>
    </row>
    <row r="3130" spans="1:2" x14ac:dyDescent="0.25">
      <c r="A3130" t="s">
        <v>1910</v>
      </c>
      <c r="B3130" t="s">
        <v>1911</v>
      </c>
    </row>
    <row r="3131" spans="1:2" x14ac:dyDescent="0.25">
      <c r="A3131" t="s">
        <v>1913</v>
      </c>
      <c r="B3131" t="s">
        <v>1914</v>
      </c>
    </row>
    <row r="3132" spans="1:2" x14ac:dyDescent="0.25">
      <c r="A3132" t="s">
        <v>1916</v>
      </c>
      <c r="B3132" t="s">
        <v>1917</v>
      </c>
    </row>
    <row r="3133" spans="1:2" x14ac:dyDescent="0.25">
      <c r="A3133" t="s">
        <v>1919</v>
      </c>
      <c r="B3133" t="s">
        <v>1920</v>
      </c>
    </row>
    <row r="3134" spans="1:2" x14ac:dyDescent="0.25">
      <c r="A3134" t="s">
        <v>1922</v>
      </c>
      <c r="B3134" t="s">
        <v>1923</v>
      </c>
    </row>
    <row r="3135" spans="1:2" x14ac:dyDescent="0.25">
      <c r="A3135" t="s">
        <v>1924</v>
      </c>
      <c r="B3135" t="s">
        <v>1925</v>
      </c>
    </row>
    <row r="3136" spans="1:2" x14ac:dyDescent="0.25">
      <c r="A3136" t="s">
        <v>1927</v>
      </c>
      <c r="B3136" t="s">
        <v>1928</v>
      </c>
    </row>
    <row r="3137" spans="1:2" x14ac:dyDescent="0.25">
      <c r="A3137" t="s">
        <v>1930</v>
      </c>
      <c r="B3137" t="s">
        <v>1931</v>
      </c>
    </row>
    <row r="3138" spans="1:2" x14ac:dyDescent="0.25">
      <c r="A3138" t="s">
        <v>1933</v>
      </c>
      <c r="B3138" t="s">
        <v>1934</v>
      </c>
    </row>
    <row r="3139" spans="1:2" x14ac:dyDescent="0.25">
      <c r="A3139" t="s">
        <v>1936</v>
      </c>
      <c r="B3139" t="s">
        <v>1937</v>
      </c>
    </row>
    <row r="3140" spans="1:2" x14ac:dyDescent="0.25">
      <c r="A3140" t="s">
        <v>1939</v>
      </c>
      <c r="B3140" t="s">
        <v>1940</v>
      </c>
    </row>
    <row r="3141" spans="1:2" x14ac:dyDescent="0.25">
      <c r="A3141" t="s">
        <v>1941</v>
      </c>
      <c r="B3141" t="s">
        <v>1942</v>
      </c>
    </row>
    <row r="3142" spans="1:2" x14ac:dyDescent="0.25">
      <c r="A3142" t="s">
        <v>1943</v>
      </c>
      <c r="B3142" t="s">
        <v>1944</v>
      </c>
    </row>
    <row r="3143" spans="1:2" x14ac:dyDescent="0.25">
      <c r="A3143" t="s">
        <v>1945</v>
      </c>
      <c r="B3143" t="s">
        <v>1946</v>
      </c>
    </row>
    <row r="3144" spans="1:2" x14ac:dyDescent="0.25">
      <c r="A3144" t="s">
        <v>1947</v>
      </c>
      <c r="B3144" t="s">
        <v>1948</v>
      </c>
    </row>
    <row r="3145" spans="1:2" x14ac:dyDescent="0.25">
      <c r="A3145" t="s">
        <v>1950</v>
      </c>
      <c r="B3145" t="s">
        <v>1951</v>
      </c>
    </row>
    <row r="3146" spans="1:2" x14ac:dyDescent="0.25">
      <c r="A3146" t="s">
        <v>1952</v>
      </c>
      <c r="B3146" t="s">
        <v>1953</v>
      </c>
    </row>
    <row r="3147" spans="1:2" x14ac:dyDescent="0.25">
      <c r="A3147" t="s">
        <v>1954</v>
      </c>
      <c r="B3147" t="s">
        <v>1955</v>
      </c>
    </row>
    <row r="3148" spans="1:2" x14ac:dyDescent="0.25">
      <c r="A3148" t="s">
        <v>1956</v>
      </c>
      <c r="B3148" t="s">
        <v>1957</v>
      </c>
    </row>
    <row r="3149" spans="1:2" x14ac:dyDescent="0.25">
      <c r="A3149" t="s">
        <v>1958</v>
      </c>
      <c r="B3149" t="s">
        <v>1959</v>
      </c>
    </row>
    <row r="3150" spans="1:2" x14ac:dyDescent="0.25">
      <c r="A3150" t="s">
        <v>1960</v>
      </c>
      <c r="B3150" t="s">
        <v>1961</v>
      </c>
    </row>
    <row r="3151" spans="1:2" x14ac:dyDescent="0.25">
      <c r="A3151" t="s">
        <v>1962</v>
      </c>
      <c r="B3151" t="s">
        <v>1963</v>
      </c>
    </row>
    <row r="3152" spans="1:2" x14ac:dyDescent="0.25">
      <c r="A3152" t="s">
        <v>1966</v>
      </c>
      <c r="B3152" t="s">
        <v>1967</v>
      </c>
    </row>
    <row r="3153" spans="1:2" x14ac:dyDescent="0.25">
      <c r="A3153" t="s">
        <v>1970</v>
      </c>
      <c r="B3153" t="s">
        <v>1971</v>
      </c>
    </row>
    <row r="3154" spans="1:2" x14ac:dyDescent="0.25">
      <c r="A3154" t="s">
        <v>1973</v>
      </c>
      <c r="B3154" t="s">
        <v>1974</v>
      </c>
    </row>
    <row r="3155" spans="1:2" x14ac:dyDescent="0.25">
      <c r="A3155" t="s">
        <v>1975</v>
      </c>
      <c r="B3155" t="s">
        <v>1976</v>
      </c>
    </row>
    <row r="3156" spans="1:2" x14ac:dyDescent="0.25">
      <c r="A3156" t="s">
        <v>1978</v>
      </c>
      <c r="B3156" t="s">
        <v>1979</v>
      </c>
    </row>
    <row r="3157" spans="1:2" x14ac:dyDescent="0.25">
      <c r="A3157" t="s">
        <v>1980</v>
      </c>
      <c r="B3157" t="s">
        <v>1981</v>
      </c>
    </row>
    <row r="3158" spans="1:2" x14ac:dyDescent="0.25">
      <c r="A3158" t="s">
        <v>11989</v>
      </c>
      <c r="B3158" t="s">
        <v>12188</v>
      </c>
    </row>
    <row r="3159" spans="1:2" x14ac:dyDescent="0.25">
      <c r="A3159" t="s">
        <v>11991</v>
      </c>
      <c r="B3159" t="s">
        <v>12189</v>
      </c>
    </row>
    <row r="3160" spans="1:2" x14ac:dyDescent="0.25">
      <c r="A3160" t="s">
        <v>1982</v>
      </c>
      <c r="B3160" t="s">
        <v>1983</v>
      </c>
    </row>
    <row r="3161" spans="1:2" x14ac:dyDescent="0.25">
      <c r="A3161" t="s">
        <v>1984</v>
      </c>
      <c r="B3161" t="s">
        <v>1985</v>
      </c>
    </row>
    <row r="3162" spans="1:2" x14ac:dyDescent="0.25">
      <c r="A3162" t="s">
        <v>1986</v>
      </c>
      <c r="B3162" t="s">
        <v>1987</v>
      </c>
    </row>
    <row r="3163" spans="1:2" x14ac:dyDescent="0.25">
      <c r="A3163" t="s">
        <v>1988</v>
      </c>
      <c r="B3163" t="s">
        <v>1989</v>
      </c>
    </row>
    <row r="3164" spans="1:2" x14ac:dyDescent="0.25">
      <c r="A3164" t="s">
        <v>1991</v>
      </c>
      <c r="B3164" t="s">
        <v>1992</v>
      </c>
    </row>
    <row r="3165" spans="1:2" x14ac:dyDescent="0.25">
      <c r="A3165" t="s">
        <v>1993</v>
      </c>
      <c r="B3165" t="s">
        <v>1994</v>
      </c>
    </row>
    <row r="3166" spans="1:2" x14ac:dyDescent="0.25">
      <c r="A3166" t="s">
        <v>1995</v>
      </c>
      <c r="B3166" t="s">
        <v>1996</v>
      </c>
    </row>
    <row r="3167" spans="1:2" x14ac:dyDescent="0.25">
      <c r="A3167" t="s">
        <v>1997</v>
      </c>
      <c r="B3167" t="s">
        <v>1998</v>
      </c>
    </row>
    <row r="3168" spans="1:2" x14ac:dyDescent="0.25">
      <c r="A3168" t="s">
        <v>1999</v>
      </c>
      <c r="B3168" t="s">
        <v>2000</v>
      </c>
    </row>
    <row r="3169" spans="1:2" x14ac:dyDescent="0.25">
      <c r="A3169" t="s">
        <v>2001</v>
      </c>
      <c r="B3169" t="s">
        <v>2002</v>
      </c>
    </row>
    <row r="3170" spans="1:2" x14ac:dyDescent="0.25">
      <c r="A3170" t="s">
        <v>2003</v>
      </c>
      <c r="B3170" t="s">
        <v>2004</v>
      </c>
    </row>
    <row r="3171" spans="1:2" x14ac:dyDescent="0.25">
      <c r="A3171" t="s">
        <v>2006</v>
      </c>
      <c r="B3171" t="s">
        <v>2007</v>
      </c>
    </row>
    <row r="3172" spans="1:2" x14ac:dyDescent="0.25">
      <c r="A3172" t="s">
        <v>2008</v>
      </c>
      <c r="B3172" t="s">
        <v>2009</v>
      </c>
    </row>
    <row r="3173" spans="1:2" x14ac:dyDescent="0.25">
      <c r="A3173" t="s">
        <v>2010</v>
      </c>
      <c r="B3173" t="s">
        <v>2011</v>
      </c>
    </row>
    <row r="3174" spans="1:2" x14ac:dyDescent="0.25">
      <c r="A3174" t="s">
        <v>2012</v>
      </c>
      <c r="B3174" t="s">
        <v>2013</v>
      </c>
    </row>
    <row r="3175" spans="1:2" x14ac:dyDescent="0.25">
      <c r="A3175" t="s">
        <v>2014</v>
      </c>
      <c r="B3175" t="s">
        <v>2015</v>
      </c>
    </row>
    <row r="3176" spans="1:2" x14ac:dyDescent="0.25">
      <c r="A3176" t="s">
        <v>2016</v>
      </c>
      <c r="B3176" t="s">
        <v>2017</v>
      </c>
    </row>
    <row r="3177" spans="1:2" x14ac:dyDescent="0.25">
      <c r="A3177" t="s">
        <v>2018</v>
      </c>
      <c r="B3177" t="s">
        <v>2019</v>
      </c>
    </row>
    <row r="3178" spans="1:2" x14ac:dyDescent="0.25">
      <c r="A3178" t="s">
        <v>2020</v>
      </c>
      <c r="B3178" t="s">
        <v>2021</v>
      </c>
    </row>
    <row r="3179" spans="1:2" x14ac:dyDescent="0.25">
      <c r="A3179" t="s">
        <v>2023</v>
      </c>
      <c r="B3179" t="s">
        <v>2024</v>
      </c>
    </row>
    <row r="3180" spans="1:2" x14ac:dyDescent="0.25">
      <c r="A3180" t="s">
        <v>2025</v>
      </c>
      <c r="B3180" t="s">
        <v>2026</v>
      </c>
    </row>
    <row r="3181" spans="1:2" x14ac:dyDescent="0.25">
      <c r="A3181" t="s">
        <v>2028</v>
      </c>
      <c r="B3181" t="s">
        <v>2029</v>
      </c>
    </row>
    <row r="3182" spans="1:2" x14ac:dyDescent="0.25">
      <c r="A3182" t="s">
        <v>2030</v>
      </c>
      <c r="B3182" t="s">
        <v>2031</v>
      </c>
    </row>
    <row r="3183" spans="1:2" x14ac:dyDescent="0.25">
      <c r="A3183" t="s">
        <v>2032</v>
      </c>
      <c r="B3183" t="s">
        <v>2033</v>
      </c>
    </row>
    <row r="3184" spans="1:2" x14ac:dyDescent="0.25">
      <c r="A3184" t="s">
        <v>2034</v>
      </c>
      <c r="B3184" t="s">
        <v>2035</v>
      </c>
    </row>
    <row r="3185" spans="1:2" x14ac:dyDescent="0.25">
      <c r="A3185" t="s">
        <v>2036</v>
      </c>
      <c r="B3185" t="s">
        <v>2037</v>
      </c>
    </row>
    <row r="3186" spans="1:2" x14ac:dyDescent="0.25">
      <c r="A3186" t="s">
        <v>2038</v>
      </c>
      <c r="B3186" t="s">
        <v>2039</v>
      </c>
    </row>
    <row r="3187" spans="1:2" x14ac:dyDescent="0.25">
      <c r="A3187" t="s">
        <v>2040</v>
      </c>
      <c r="B3187" t="s">
        <v>2041</v>
      </c>
    </row>
    <row r="3188" spans="1:2" x14ac:dyDescent="0.25">
      <c r="A3188" t="s">
        <v>2042</v>
      </c>
      <c r="B3188" t="s">
        <v>2043</v>
      </c>
    </row>
    <row r="3189" spans="1:2" x14ac:dyDescent="0.25">
      <c r="A3189" t="s">
        <v>2044</v>
      </c>
      <c r="B3189" t="s">
        <v>2045</v>
      </c>
    </row>
    <row r="3190" spans="1:2" x14ac:dyDescent="0.25">
      <c r="A3190" t="s">
        <v>2046</v>
      </c>
      <c r="B3190" t="s">
        <v>2047</v>
      </c>
    </row>
    <row r="3191" spans="1:2" x14ac:dyDescent="0.25">
      <c r="A3191" t="s">
        <v>2048</v>
      </c>
      <c r="B3191" t="s">
        <v>2049</v>
      </c>
    </row>
    <row r="3192" spans="1:2" x14ac:dyDescent="0.25">
      <c r="A3192" t="s">
        <v>2050</v>
      </c>
      <c r="B3192" t="s">
        <v>2051</v>
      </c>
    </row>
    <row r="3193" spans="1:2" x14ac:dyDescent="0.25">
      <c r="A3193" t="s">
        <v>2052</v>
      </c>
      <c r="B3193" t="s">
        <v>2053</v>
      </c>
    </row>
    <row r="3194" spans="1:2" x14ac:dyDescent="0.25">
      <c r="A3194" t="s">
        <v>2056</v>
      </c>
      <c r="B3194" t="s">
        <v>2057</v>
      </c>
    </row>
    <row r="3195" spans="1:2" x14ac:dyDescent="0.25">
      <c r="A3195" t="s">
        <v>2058</v>
      </c>
      <c r="B3195" t="s">
        <v>2059</v>
      </c>
    </row>
    <row r="3196" spans="1:2" x14ac:dyDescent="0.25">
      <c r="A3196" t="s">
        <v>2060</v>
      </c>
      <c r="B3196" t="s">
        <v>2061</v>
      </c>
    </row>
    <row r="3197" spans="1:2" x14ac:dyDescent="0.25">
      <c r="A3197" t="s">
        <v>2062</v>
      </c>
      <c r="B3197" t="s">
        <v>2063</v>
      </c>
    </row>
    <row r="3198" spans="1:2" x14ac:dyDescent="0.25">
      <c r="A3198" t="s">
        <v>2064</v>
      </c>
      <c r="B3198" t="s">
        <v>2065</v>
      </c>
    </row>
    <row r="3199" spans="1:2" x14ac:dyDescent="0.25">
      <c r="A3199" t="s">
        <v>2066</v>
      </c>
      <c r="B3199" t="s">
        <v>2067</v>
      </c>
    </row>
    <row r="3200" spans="1:2" x14ac:dyDescent="0.25">
      <c r="A3200" t="s">
        <v>2068</v>
      </c>
      <c r="B3200" t="s">
        <v>2069</v>
      </c>
    </row>
    <row r="3201" spans="1:2" x14ac:dyDescent="0.25">
      <c r="A3201" t="s">
        <v>2070</v>
      </c>
      <c r="B3201" t="s">
        <v>2071</v>
      </c>
    </row>
    <row r="3202" spans="1:2" x14ac:dyDescent="0.25">
      <c r="A3202" t="s">
        <v>2072</v>
      </c>
      <c r="B3202" t="s">
        <v>2073</v>
      </c>
    </row>
    <row r="3203" spans="1:2" x14ac:dyDescent="0.25">
      <c r="A3203" t="s">
        <v>2074</v>
      </c>
      <c r="B3203" t="s">
        <v>2075</v>
      </c>
    </row>
    <row r="3204" spans="1:2" x14ac:dyDescent="0.25">
      <c r="A3204" t="s">
        <v>2076</v>
      </c>
      <c r="B3204" t="s">
        <v>2077</v>
      </c>
    </row>
    <row r="3205" spans="1:2" x14ac:dyDescent="0.25">
      <c r="A3205" t="s">
        <v>2078</v>
      </c>
      <c r="B3205" t="s">
        <v>2079</v>
      </c>
    </row>
    <row r="3206" spans="1:2" x14ac:dyDescent="0.25">
      <c r="A3206" t="s">
        <v>2080</v>
      </c>
      <c r="B3206" t="s">
        <v>2081</v>
      </c>
    </row>
    <row r="3207" spans="1:2" x14ac:dyDescent="0.25">
      <c r="A3207" t="s">
        <v>2082</v>
      </c>
      <c r="B3207" t="s">
        <v>2083</v>
      </c>
    </row>
    <row r="3208" spans="1:2" x14ac:dyDescent="0.25">
      <c r="A3208" t="s">
        <v>2084</v>
      </c>
      <c r="B3208" t="s">
        <v>2085</v>
      </c>
    </row>
    <row r="3209" spans="1:2" x14ac:dyDescent="0.25">
      <c r="A3209" t="s">
        <v>2087</v>
      </c>
      <c r="B3209" t="s">
        <v>2088</v>
      </c>
    </row>
    <row r="3210" spans="1:2" x14ac:dyDescent="0.25">
      <c r="A3210" t="s">
        <v>2089</v>
      </c>
      <c r="B3210" t="s">
        <v>2090</v>
      </c>
    </row>
    <row r="3211" spans="1:2" x14ac:dyDescent="0.25">
      <c r="A3211" t="s">
        <v>2091</v>
      </c>
      <c r="B3211" t="s">
        <v>2092</v>
      </c>
    </row>
    <row r="3212" spans="1:2" x14ac:dyDescent="0.25">
      <c r="A3212" t="s">
        <v>2093</v>
      </c>
      <c r="B3212" t="s">
        <v>2094</v>
      </c>
    </row>
    <row r="3213" spans="1:2" x14ac:dyDescent="0.25">
      <c r="A3213" t="s">
        <v>2095</v>
      </c>
      <c r="B3213" t="s">
        <v>2096</v>
      </c>
    </row>
    <row r="3214" spans="1:2" x14ac:dyDescent="0.25">
      <c r="A3214" t="s">
        <v>2097</v>
      </c>
      <c r="B3214" t="s">
        <v>2098</v>
      </c>
    </row>
    <row r="3215" spans="1:2" x14ac:dyDescent="0.25">
      <c r="A3215" t="s">
        <v>2099</v>
      </c>
      <c r="B3215" t="s">
        <v>2100</v>
      </c>
    </row>
    <row r="3216" spans="1:2" x14ac:dyDescent="0.25">
      <c r="A3216" t="s">
        <v>2101</v>
      </c>
      <c r="B3216" t="s">
        <v>2102</v>
      </c>
    </row>
    <row r="3217" spans="1:2" x14ac:dyDescent="0.25">
      <c r="A3217" t="s">
        <v>2103</v>
      </c>
      <c r="B3217" t="s">
        <v>2104</v>
      </c>
    </row>
    <row r="3218" spans="1:2" x14ac:dyDescent="0.25">
      <c r="A3218" t="s">
        <v>2105</v>
      </c>
      <c r="B3218" t="s">
        <v>2106</v>
      </c>
    </row>
    <row r="3219" spans="1:2" x14ac:dyDescent="0.25">
      <c r="A3219" t="s">
        <v>2107</v>
      </c>
      <c r="B3219" t="s">
        <v>2108</v>
      </c>
    </row>
    <row r="3220" spans="1:2" x14ac:dyDescent="0.25">
      <c r="A3220" t="s">
        <v>2109</v>
      </c>
      <c r="B3220" t="s">
        <v>2110</v>
      </c>
    </row>
    <row r="3221" spans="1:2" x14ac:dyDescent="0.25">
      <c r="A3221" t="s">
        <v>2111</v>
      </c>
      <c r="B3221" t="s">
        <v>2112</v>
      </c>
    </row>
    <row r="3222" spans="1:2" x14ac:dyDescent="0.25">
      <c r="A3222" t="s">
        <v>2113</v>
      </c>
      <c r="B3222" t="s">
        <v>2114</v>
      </c>
    </row>
    <row r="3223" spans="1:2" x14ac:dyDescent="0.25">
      <c r="A3223" t="s">
        <v>2115</v>
      </c>
      <c r="B3223" t="s">
        <v>2116</v>
      </c>
    </row>
    <row r="3224" spans="1:2" x14ac:dyDescent="0.25">
      <c r="A3224" t="s">
        <v>2118</v>
      </c>
      <c r="B3224" t="s">
        <v>2119</v>
      </c>
    </row>
    <row r="3225" spans="1:2" x14ac:dyDescent="0.25">
      <c r="A3225" t="s">
        <v>2120</v>
      </c>
      <c r="B3225" t="s">
        <v>2121</v>
      </c>
    </row>
    <row r="3226" spans="1:2" x14ac:dyDescent="0.25">
      <c r="A3226" t="s">
        <v>2122</v>
      </c>
      <c r="B3226" t="s">
        <v>2123</v>
      </c>
    </row>
    <row r="3227" spans="1:2" x14ac:dyDescent="0.25">
      <c r="A3227" t="s">
        <v>2124</v>
      </c>
      <c r="B3227" t="s">
        <v>2125</v>
      </c>
    </row>
    <row r="3228" spans="1:2" x14ac:dyDescent="0.25">
      <c r="A3228" t="s">
        <v>2126</v>
      </c>
      <c r="B3228" t="s">
        <v>2127</v>
      </c>
    </row>
    <row r="3229" spans="1:2" x14ac:dyDescent="0.25">
      <c r="A3229" t="s">
        <v>2128</v>
      </c>
      <c r="B3229" t="s">
        <v>2129</v>
      </c>
    </row>
    <row r="3230" spans="1:2" x14ac:dyDescent="0.25">
      <c r="A3230" t="s">
        <v>2130</v>
      </c>
      <c r="B3230" t="s">
        <v>2131</v>
      </c>
    </row>
    <row r="3231" spans="1:2" x14ac:dyDescent="0.25">
      <c r="A3231" t="s">
        <v>2132</v>
      </c>
      <c r="B3231" t="s">
        <v>2133</v>
      </c>
    </row>
    <row r="3232" spans="1:2" x14ac:dyDescent="0.25">
      <c r="A3232" t="s">
        <v>2134</v>
      </c>
      <c r="B3232" t="s">
        <v>2135</v>
      </c>
    </row>
    <row r="3233" spans="1:2" x14ac:dyDescent="0.25">
      <c r="A3233" t="s">
        <v>2136</v>
      </c>
      <c r="B3233" t="s">
        <v>2137</v>
      </c>
    </row>
    <row r="3234" spans="1:2" x14ac:dyDescent="0.25">
      <c r="A3234" t="s">
        <v>2138</v>
      </c>
      <c r="B3234" t="s">
        <v>2139</v>
      </c>
    </row>
    <row r="3235" spans="1:2" x14ac:dyDescent="0.25">
      <c r="A3235" t="s">
        <v>2140</v>
      </c>
      <c r="B3235" t="s">
        <v>2141</v>
      </c>
    </row>
    <row r="3236" spans="1:2" x14ac:dyDescent="0.25">
      <c r="A3236" t="s">
        <v>2142</v>
      </c>
      <c r="B3236" t="s">
        <v>2143</v>
      </c>
    </row>
    <row r="3237" spans="1:2" x14ac:dyDescent="0.25">
      <c r="A3237" t="s">
        <v>2144</v>
      </c>
      <c r="B3237" t="s">
        <v>2145</v>
      </c>
    </row>
    <row r="3238" spans="1:2" x14ac:dyDescent="0.25">
      <c r="A3238" t="s">
        <v>2146</v>
      </c>
      <c r="B3238" t="s">
        <v>2147</v>
      </c>
    </row>
    <row r="3239" spans="1:2" x14ac:dyDescent="0.25">
      <c r="A3239" t="s">
        <v>2148</v>
      </c>
      <c r="B3239" t="s">
        <v>2149</v>
      </c>
    </row>
    <row r="3240" spans="1:2" x14ac:dyDescent="0.25">
      <c r="A3240" t="s">
        <v>2150</v>
      </c>
      <c r="B3240" t="s">
        <v>2151</v>
      </c>
    </row>
    <row r="3241" spans="1:2" x14ac:dyDescent="0.25">
      <c r="A3241" t="s">
        <v>2152</v>
      </c>
      <c r="B3241" t="s">
        <v>2153</v>
      </c>
    </row>
    <row r="3242" spans="1:2" x14ac:dyDescent="0.25">
      <c r="A3242" t="s">
        <v>2154</v>
      </c>
      <c r="B3242" t="s">
        <v>2155</v>
      </c>
    </row>
    <row r="3243" spans="1:2" x14ac:dyDescent="0.25">
      <c r="A3243" t="s">
        <v>2156</v>
      </c>
      <c r="B3243" t="s">
        <v>2157</v>
      </c>
    </row>
    <row r="3244" spans="1:2" x14ac:dyDescent="0.25">
      <c r="A3244" t="s">
        <v>2158</v>
      </c>
      <c r="B3244" t="s">
        <v>2159</v>
      </c>
    </row>
    <row r="3245" spans="1:2" x14ac:dyDescent="0.25">
      <c r="A3245" t="s">
        <v>2160</v>
      </c>
      <c r="B3245" t="s">
        <v>2161</v>
      </c>
    </row>
    <row r="3246" spans="1:2" x14ac:dyDescent="0.25">
      <c r="A3246" t="s">
        <v>2162</v>
      </c>
      <c r="B3246" t="s">
        <v>2163</v>
      </c>
    </row>
    <row r="3247" spans="1:2" x14ac:dyDescent="0.25">
      <c r="A3247" t="s">
        <v>2164</v>
      </c>
      <c r="B3247" t="s">
        <v>2165</v>
      </c>
    </row>
    <row r="3248" spans="1:2" x14ac:dyDescent="0.25">
      <c r="A3248" t="s">
        <v>2166</v>
      </c>
      <c r="B3248" t="s">
        <v>2167</v>
      </c>
    </row>
    <row r="3249" spans="1:2" x14ac:dyDescent="0.25">
      <c r="A3249" t="s">
        <v>2168</v>
      </c>
      <c r="B3249" t="s">
        <v>2169</v>
      </c>
    </row>
    <row r="3250" spans="1:2" x14ac:dyDescent="0.25">
      <c r="A3250" t="s">
        <v>2170</v>
      </c>
      <c r="B3250" t="s">
        <v>2171</v>
      </c>
    </row>
    <row r="3251" spans="1:2" x14ac:dyDescent="0.25">
      <c r="A3251" t="s">
        <v>2172</v>
      </c>
      <c r="B3251" t="s">
        <v>2173</v>
      </c>
    </row>
    <row r="3252" spans="1:2" x14ac:dyDescent="0.25">
      <c r="A3252" t="s">
        <v>2174</v>
      </c>
      <c r="B3252" t="s">
        <v>2175</v>
      </c>
    </row>
    <row r="3253" spans="1:2" x14ac:dyDescent="0.25">
      <c r="A3253" t="s">
        <v>2176</v>
      </c>
      <c r="B3253" t="s">
        <v>2177</v>
      </c>
    </row>
    <row r="3254" spans="1:2" x14ac:dyDescent="0.25">
      <c r="A3254" t="s">
        <v>2179</v>
      </c>
      <c r="B3254" t="s">
        <v>2180</v>
      </c>
    </row>
    <row r="3255" spans="1:2" x14ac:dyDescent="0.25">
      <c r="A3255" t="s">
        <v>2181</v>
      </c>
      <c r="B3255" t="s">
        <v>2182</v>
      </c>
    </row>
    <row r="3256" spans="1:2" x14ac:dyDescent="0.25">
      <c r="A3256" t="s">
        <v>2183</v>
      </c>
      <c r="B3256" t="s">
        <v>2184</v>
      </c>
    </row>
    <row r="3257" spans="1:2" x14ac:dyDescent="0.25">
      <c r="A3257" t="s">
        <v>2185</v>
      </c>
      <c r="B3257" t="s">
        <v>2186</v>
      </c>
    </row>
    <row r="3258" spans="1:2" x14ac:dyDescent="0.25">
      <c r="A3258" t="s">
        <v>2187</v>
      </c>
      <c r="B3258" t="s">
        <v>2188</v>
      </c>
    </row>
    <row r="3259" spans="1:2" x14ac:dyDescent="0.25">
      <c r="A3259" t="s">
        <v>2189</v>
      </c>
      <c r="B3259" t="s">
        <v>2190</v>
      </c>
    </row>
    <row r="3260" spans="1:2" x14ac:dyDescent="0.25">
      <c r="A3260" t="s">
        <v>2191</v>
      </c>
      <c r="B3260" t="s">
        <v>2192</v>
      </c>
    </row>
    <row r="3261" spans="1:2" x14ac:dyDescent="0.25">
      <c r="A3261" t="s">
        <v>2193</v>
      </c>
      <c r="B3261" t="s">
        <v>2194</v>
      </c>
    </row>
    <row r="3262" spans="1:2" x14ac:dyDescent="0.25">
      <c r="A3262" t="s">
        <v>2195</v>
      </c>
      <c r="B3262" t="s">
        <v>2196</v>
      </c>
    </row>
    <row r="3263" spans="1:2" x14ac:dyDescent="0.25">
      <c r="A3263" t="s">
        <v>2197</v>
      </c>
      <c r="B3263" t="s">
        <v>2198</v>
      </c>
    </row>
    <row r="3264" spans="1:2" x14ac:dyDescent="0.25">
      <c r="A3264" t="s">
        <v>2199</v>
      </c>
      <c r="B3264" t="s">
        <v>2200</v>
      </c>
    </row>
    <row r="3265" spans="1:2" x14ac:dyDescent="0.25">
      <c r="A3265" t="s">
        <v>2201</v>
      </c>
      <c r="B3265" t="s">
        <v>2202</v>
      </c>
    </row>
    <row r="3266" spans="1:2" x14ac:dyDescent="0.25">
      <c r="A3266" t="s">
        <v>2203</v>
      </c>
      <c r="B3266" t="s">
        <v>2204</v>
      </c>
    </row>
    <row r="3267" spans="1:2" x14ac:dyDescent="0.25">
      <c r="A3267" t="s">
        <v>2205</v>
      </c>
      <c r="B3267" t="s">
        <v>2206</v>
      </c>
    </row>
    <row r="3268" spans="1:2" x14ac:dyDescent="0.25">
      <c r="A3268" t="s">
        <v>2207</v>
      </c>
      <c r="B3268" t="s">
        <v>2208</v>
      </c>
    </row>
    <row r="3269" spans="1:2" x14ac:dyDescent="0.25">
      <c r="A3269" t="s">
        <v>2210</v>
      </c>
      <c r="B3269" t="s">
        <v>2211</v>
      </c>
    </row>
    <row r="3270" spans="1:2" x14ac:dyDescent="0.25">
      <c r="A3270" t="s">
        <v>2212</v>
      </c>
      <c r="B3270" t="s">
        <v>2213</v>
      </c>
    </row>
    <row r="3271" spans="1:2" x14ac:dyDescent="0.25">
      <c r="A3271" t="s">
        <v>2214</v>
      </c>
      <c r="B3271" t="s">
        <v>2215</v>
      </c>
    </row>
    <row r="3272" spans="1:2" x14ac:dyDescent="0.25">
      <c r="A3272" t="s">
        <v>2216</v>
      </c>
      <c r="B3272" t="s">
        <v>2217</v>
      </c>
    </row>
    <row r="3273" spans="1:2" x14ac:dyDescent="0.25">
      <c r="A3273" t="s">
        <v>2218</v>
      </c>
      <c r="B3273" t="s">
        <v>2219</v>
      </c>
    </row>
    <row r="3274" spans="1:2" x14ac:dyDescent="0.25">
      <c r="A3274" t="s">
        <v>2220</v>
      </c>
      <c r="B3274" t="s">
        <v>2221</v>
      </c>
    </row>
    <row r="3275" spans="1:2" x14ac:dyDescent="0.25">
      <c r="A3275" t="s">
        <v>2222</v>
      </c>
      <c r="B3275" t="s">
        <v>2223</v>
      </c>
    </row>
    <row r="3276" spans="1:2" x14ac:dyDescent="0.25">
      <c r="A3276" t="s">
        <v>2224</v>
      </c>
      <c r="B3276" t="s">
        <v>2225</v>
      </c>
    </row>
    <row r="3277" spans="1:2" x14ac:dyDescent="0.25">
      <c r="A3277" t="s">
        <v>2226</v>
      </c>
      <c r="B3277" t="s">
        <v>2227</v>
      </c>
    </row>
    <row r="3278" spans="1:2" x14ac:dyDescent="0.25">
      <c r="A3278" t="s">
        <v>2228</v>
      </c>
      <c r="B3278" t="s">
        <v>2229</v>
      </c>
    </row>
    <row r="3279" spans="1:2" x14ac:dyDescent="0.25">
      <c r="A3279" t="s">
        <v>2230</v>
      </c>
      <c r="B3279" t="s">
        <v>2231</v>
      </c>
    </row>
    <row r="3280" spans="1:2" x14ac:dyDescent="0.25">
      <c r="A3280" t="s">
        <v>2233</v>
      </c>
      <c r="B3280" t="s">
        <v>12190</v>
      </c>
    </row>
    <row r="3281" spans="1:2" x14ac:dyDescent="0.25">
      <c r="A3281" t="s">
        <v>2298</v>
      </c>
      <c r="B3281" t="s">
        <v>12191</v>
      </c>
    </row>
    <row r="3282" spans="1:2" x14ac:dyDescent="0.25">
      <c r="A3282" t="s">
        <v>2300</v>
      </c>
      <c r="B3282" t="s">
        <v>12192</v>
      </c>
    </row>
    <row r="3283" spans="1:2" x14ac:dyDescent="0.25">
      <c r="A3283" t="s">
        <v>479</v>
      </c>
      <c r="B3283" t="s">
        <v>480</v>
      </c>
    </row>
    <row r="3284" spans="1:2" x14ac:dyDescent="0.25">
      <c r="A3284" t="s">
        <v>483</v>
      </c>
      <c r="B3284" t="s">
        <v>484</v>
      </c>
    </row>
    <row r="3285" spans="1:2" x14ac:dyDescent="0.25">
      <c r="A3285" t="s">
        <v>487</v>
      </c>
      <c r="B3285" t="s">
        <v>488</v>
      </c>
    </row>
    <row r="3286" spans="1:2" x14ac:dyDescent="0.25">
      <c r="A3286" t="s">
        <v>491</v>
      </c>
      <c r="B3286" t="s">
        <v>492</v>
      </c>
    </row>
    <row r="3287" spans="1:2" x14ac:dyDescent="0.25">
      <c r="A3287" t="s">
        <v>494</v>
      </c>
      <c r="B3287" t="s">
        <v>495</v>
      </c>
    </row>
    <row r="3288" spans="1:2" x14ac:dyDescent="0.25">
      <c r="A3288" t="s">
        <v>496</v>
      </c>
      <c r="B3288" t="s">
        <v>497</v>
      </c>
    </row>
    <row r="3289" spans="1:2" x14ac:dyDescent="0.25">
      <c r="A3289" t="s">
        <v>1297</v>
      </c>
      <c r="B3289" t="s">
        <v>12193</v>
      </c>
    </row>
    <row r="3290" spans="1:2" x14ac:dyDescent="0.25">
      <c r="A3290" t="s">
        <v>1300</v>
      </c>
      <c r="B3290" t="s">
        <v>12194</v>
      </c>
    </row>
    <row r="3291" spans="1:2" x14ac:dyDescent="0.25">
      <c r="A3291" t="s">
        <v>1302</v>
      </c>
      <c r="B3291" t="s">
        <v>12195</v>
      </c>
    </row>
    <row r="3292" spans="1:2" x14ac:dyDescent="0.25">
      <c r="A3292" t="s">
        <v>1304</v>
      </c>
      <c r="B3292" t="s">
        <v>12196</v>
      </c>
    </row>
    <row r="3293" spans="1:2" x14ac:dyDescent="0.25">
      <c r="A3293" t="s">
        <v>1307</v>
      </c>
      <c r="B3293" t="s">
        <v>12197</v>
      </c>
    </row>
    <row r="3294" spans="1:2" x14ac:dyDescent="0.25">
      <c r="A3294" t="s">
        <v>1309</v>
      </c>
      <c r="B3294" t="s">
        <v>12198</v>
      </c>
    </row>
    <row r="3295" spans="1:2" x14ac:dyDescent="0.25">
      <c r="A3295" t="s">
        <v>2311</v>
      </c>
      <c r="B3295" t="s">
        <v>12199</v>
      </c>
    </row>
    <row r="3296" spans="1:2" x14ac:dyDescent="0.25">
      <c r="A3296" t="s">
        <v>498</v>
      </c>
      <c r="B3296" t="s">
        <v>499</v>
      </c>
    </row>
    <row r="3297" spans="1:2" x14ac:dyDescent="0.25">
      <c r="A3297" t="s">
        <v>500</v>
      </c>
      <c r="B3297" t="s">
        <v>501</v>
      </c>
    </row>
    <row r="3298" spans="1:2" x14ac:dyDescent="0.25">
      <c r="A3298" t="s">
        <v>502</v>
      </c>
      <c r="B3298" t="s">
        <v>503</v>
      </c>
    </row>
    <row r="3299" spans="1:2" x14ac:dyDescent="0.25">
      <c r="A3299" t="s">
        <v>506</v>
      </c>
      <c r="B3299" t="s">
        <v>507</v>
      </c>
    </row>
    <row r="3300" spans="1:2" x14ac:dyDescent="0.25">
      <c r="A3300" t="s">
        <v>510</v>
      </c>
      <c r="B3300" t="s">
        <v>511</v>
      </c>
    </row>
    <row r="3301" spans="1:2" x14ac:dyDescent="0.25">
      <c r="A3301" t="s">
        <v>514</v>
      </c>
      <c r="B3301" t="s">
        <v>515</v>
      </c>
    </row>
    <row r="3302" spans="1:2" x14ac:dyDescent="0.25">
      <c r="A3302" t="s">
        <v>518</v>
      </c>
      <c r="B3302" t="s">
        <v>519</v>
      </c>
    </row>
    <row r="3303" spans="1:2" x14ac:dyDescent="0.25">
      <c r="A3303" t="s">
        <v>521</v>
      </c>
      <c r="B3303" t="s">
        <v>522</v>
      </c>
    </row>
    <row r="3304" spans="1:2" x14ac:dyDescent="0.25">
      <c r="A3304" t="s">
        <v>523</v>
      </c>
      <c r="B3304" t="s">
        <v>524</v>
      </c>
    </row>
    <row r="3305" spans="1:2" x14ac:dyDescent="0.25">
      <c r="A3305" t="s">
        <v>525</v>
      </c>
      <c r="B3305" t="s">
        <v>526</v>
      </c>
    </row>
    <row r="3306" spans="1:2" x14ac:dyDescent="0.25">
      <c r="A3306" t="s">
        <v>527</v>
      </c>
      <c r="B3306" t="s">
        <v>528</v>
      </c>
    </row>
    <row r="3307" spans="1:2" x14ac:dyDescent="0.25">
      <c r="A3307" t="s">
        <v>529</v>
      </c>
      <c r="B3307" t="s">
        <v>530</v>
      </c>
    </row>
    <row r="3308" spans="1:2" x14ac:dyDescent="0.25">
      <c r="A3308" t="s">
        <v>531</v>
      </c>
      <c r="B3308" t="s">
        <v>532</v>
      </c>
    </row>
    <row r="3309" spans="1:2" x14ac:dyDescent="0.25">
      <c r="A3309" t="s">
        <v>533</v>
      </c>
      <c r="B3309" t="s">
        <v>534</v>
      </c>
    </row>
    <row r="3310" spans="1:2" x14ac:dyDescent="0.25">
      <c r="A3310" t="s">
        <v>535</v>
      </c>
      <c r="B3310" t="s">
        <v>536</v>
      </c>
    </row>
    <row r="3311" spans="1:2" x14ac:dyDescent="0.25">
      <c r="A3311" t="s">
        <v>537</v>
      </c>
      <c r="B3311" t="s">
        <v>538</v>
      </c>
    </row>
    <row r="3312" spans="1:2" x14ac:dyDescent="0.25">
      <c r="A3312" t="s">
        <v>540</v>
      </c>
      <c r="B3312" t="s">
        <v>541</v>
      </c>
    </row>
    <row r="3313" spans="1:2" x14ac:dyDescent="0.25">
      <c r="A3313" t="s">
        <v>542</v>
      </c>
      <c r="B3313" t="s">
        <v>543</v>
      </c>
    </row>
    <row r="3314" spans="1:2" x14ac:dyDescent="0.25">
      <c r="A3314" t="s">
        <v>544</v>
      </c>
      <c r="B3314" t="s">
        <v>545</v>
      </c>
    </row>
    <row r="3315" spans="1:2" x14ac:dyDescent="0.25">
      <c r="A3315" t="s">
        <v>1337</v>
      </c>
      <c r="B3315" t="s">
        <v>12200</v>
      </c>
    </row>
    <row r="3316" spans="1:2" x14ac:dyDescent="0.25">
      <c r="A3316" t="s">
        <v>548</v>
      </c>
      <c r="B3316" t="s">
        <v>549</v>
      </c>
    </row>
    <row r="3317" spans="1:2" x14ac:dyDescent="0.25">
      <c r="A3317" t="s">
        <v>3177</v>
      </c>
      <c r="B3317" t="s">
        <v>12201</v>
      </c>
    </row>
    <row r="3318" spans="1:2" x14ac:dyDescent="0.25">
      <c r="A3318" t="s">
        <v>550</v>
      </c>
      <c r="B3318" t="s">
        <v>551</v>
      </c>
    </row>
    <row r="3319" spans="1:2" x14ac:dyDescent="0.25">
      <c r="A3319" t="s">
        <v>553</v>
      </c>
      <c r="B3319" t="s">
        <v>554</v>
      </c>
    </row>
    <row r="3320" spans="1:2" x14ac:dyDescent="0.25">
      <c r="A3320" t="s">
        <v>555</v>
      </c>
      <c r="B3320" t="s">
        <v>556</v>
      </c>
    </row>
    <row r="3321" spans="1:2" x14ac:dyDescent="0.25">
      <c r="A3321" t="s">
        <v>558</v>
      </c>
      <c r="B3321" t="s">
        <v>559</v>
      </c>
    </row>
    <row r="3322" spans="1:2" x14ac:dyDescent="0.25">
      <c r="A3322" t="s">
        <v>561</v>
      </c>
      <c r="B3322" t="s">
        <v>562</v>
      </c>
    </row>
    <row r="3323" spans="1:2" x14ac:dyDescent="0.25">
      <c r="A3323" t="s">
        <v>2416</v>
      </c>
      <c r="B3323" t="s">
        <v>12202</v>
      </c>
    </row>
    <row r="3324" spans="1:2" x14ac:dyDescent="0.25">
      <c r="A3324" t="s">
        <v>1345</v>
      </c>
      <c r="B3324" t="s">
        <v>12203</v>
      </c>
    </row>
    <row r="3325" spans="1:2" x14ac:dyDescent="0.25">
      <c r="A3325" t="s">
        <v>1347</v>
      </c>
      <c r="B3325" t="s">
        <v>12204</v>
      </c>
    </row>
    <row r="3326" spans="1:2" x14ac:dyDescent="0.25">
      <c r="A3326" t="s">
        <v>565</v>
      </c>
      <c r="B3326" t="s">
        <v>566</v>
      </c>
    </row>
    <row r="3327" spans="1:2" x14ac:dyDescent="0.25">
      <c r="A3327" t="s">
        <v>567</v>
      </c>
      <c r="B3327" t="s">
        <v>568</v>
      </c>
    </row>
    <row r="3328" spans="1:2" x14ac:dyDescent="0.25">
      <c r="A3328" t="s">
        <v>570</v>
      </c>
      <c r="B3328" t="s">
        <v>571</v>
      </c>
    </row>
    <row r="3329" spans="1:2" x14ac:dyDescent="0.25">
      <c r="A3329" t="s">
        <v>574</v>
      </c>
      <c r="B3329" t="s">
        <v>575</v>
      </c>
    </row>
    <row r="3330" spans="1:2" x14ac:dyDescent="0.25">
      <c r="A3330" t="s">
        <v>577</v>
      </c>
      <c r="B3330" t="s">
        <v>578</v>
      </c>
    </row>
    <row r="3331" spans="1:2" x14ac:dyDescent="0.25">
      <c r="A3331" t="s">
        <v>580</v>
      </c>
      <c r="B3331" t="s">
        <v>581</v>
      </c>
    </row>
    <row r="3332" spans="1:2" x14ac:dyDescent="0.25">
      <c r="A3332" t="s">
        <v>582</v>
      </c>
      <c r="B3332" t="s">
        <v>583</v>
      </c>
    </row>
    <row r="3333" spans="1:2" x14ac:dyDescent="0.25">
      <c r="A3333" t="s">
        <v>586</v>
      </c>
      <c r="B3333" t="s">
        <v>587</v>
      </c>
    </row>
    <row r="3334" spans="1:2" x14ac:dyDescent="0.25">
      <c r="A3334" t="s">
        <v>588</v>
      </c>
      <c r="B3334" t="s">
        <v>589</v>
      </c>
    </row>
    <row r="3335" spans="1:2" x14ac:dyDescent="0.25">
      <c r="A3335" t="s">
        <v>590</v>
      </c>
      <c r="B3335" t="s">
        <v>591</v>
      </c>
    </row>
    <row r="3336" spans="1:2" x14ac:dyDescent="0.25">
      <c r="A3336" t="s">
        <v>593</v>
      </c>
      <c r="B3336" t="s">
        <v>594</v>
      </c>
    </row>
    <row r="3337" spans="1:2" x14ac:dyDescent="0.25">
      <c r="A3337" t="s">
        <v>595</v>
      </c>
      <c r="B3337" t="s">
        <v>596</v>
      </c>
    </row>
    <row r="3338" spans="1:2" x14ac:dyDescent="0.25">
      <c r="A3338" t="s">
        <v>598</v>
      </c>
      <c r="B3338" t="s">
        <v>599</v>
      </c>
    </row>
    <row r="3339" spans="1:2" x14ac:dyDescent="0.25">
      <c r="A3339" t="s">
        <v>601</v>
      </c>
      <c r="B3339" t="s">
        <v>602</v>
      </c>
    </row>
    <row r="3340" spans="1:2" x14ac:dyDescent="0.25">
      <c r="A3340" t="s">
        <v>603</v>
      </c>
      <c r="B3340" t="s">
        <v>604</v>
      </c>
    </row>
    <row r="3341" spans="1:2" x14ac:dyDescent="0.25">
      <c r="A3341" t="s">
        <v>606</v>
      </c>
      <c r="B3341" t="s">
        <v>607</v>
      </c>
    </row>
    <row r="3342" spans="1:2" x14ac:dyDescent="0.25">
      <c r="A3342" t="s">
        <v>610</v>
      </c>
      <c r="B3342" t="s">
        <v>611</v>
      </c>
    </row>
    <row r="3343" spans="1:2" x14ac:dyDescent="0.25">
      <c r="A3343" t="s">
        <v>612</v>
      </c>
      <c r="B3343" t="s">
        <v>613</v>
      </c>
    </row>
    <row r="3344" spans="1:2" x14ac:dyDescent="0.25">
      <c r="A3344" t="s">
        <v>614</v>
      </c>
      <c r="B3344" t="s">
        <v>615</v>
      </c>
    </row>
    <row r="3345" spans="1:2" x14ac:dyDescent="0.25">
      <c r="A3345" t="s">
        <v>616</v>
      </c>
      <c r="B3345" t="s">
        <v>617</v>
      </c>
    </row>
    <row r="3346" spans="1:2" x14ac:dyDescent="0.25">
      <c r="A3346" t="s">
        <v>620</v>
      </c>
      <c r="B3346" t="s">
        <v>621</v>
      </c>
    </row>
    <row r="3347" spans="1:2" x14ac:dyDescent="0.25">
      <c r="A3347" t="s">
        <v>623</v>
      </c>
      <c r="B3347" t="s">
        <v>624</v>
      </c>
    </row>
    <row r="3348" spans="1:2" x14ac:dyDescent="0.25">
      <c r="A3348" t="s">
        <v>625</v>
      </c>
      <c r="B3348" t="s">
        <v>626</v>
      </c>
    </row>
    <row r="3349" spans="1:2" x14ac:dyDescent="0.25">
      <c r="A3349" t="s">
        <v>630</v>
      </c>
      <c r="B3349" t="s">
        <v>631</v>
      </c>
    </row>
    <row r="3350" spans="1:2" x14ac:dyDescent="0.25">
      <c r="A3350" t="s">
        <v>632</v>
      </c>
      <c r="B3350" t="s">
        <v>633</v>
      </c>
    </row>
    <row r="3351" spans="1:2" x14ac:dyDescent="0.25">
      <c r="A3351" t="s">
        <v>634</v>
      </c>
      <c r="B3351" t="s">
        <v>635</v>
      </c>
    </row>
    <row r="3352" spans="1:2" x14ac:dyDescent="0.25">
      <c r="A3352" t="s">
        <v>636</v>
      </c>
      <c r="B3352" t="s">
        <v>637</v>
      </c>
    </row>
    <row r="3353" spans="1:2" x14ac:dyDescent="0.25">
      <c r="A3353" t="s">
        <v>638</v>
      </c>
      <c r="B3353" t="s">
        <v>639</v>
      </c>
    </row>
    <row r="3354" spans="1:2" x14ac:dyDescent="0.25">
      <c r="A3354" t="s">
        <v>640</v>
      </c>
      <c r="B3354" t="s">
        <v>641</v>
      </c>
    </row>
    <row r="3355" spans="1:2" x14ac:dyDescent="0.25">
      <c r="A3355" t="s">
        <v>642</v>
      </c>
      <c r="B3355" t="s">
        <v>643</v>
      </c>
    </row>
    <row r="3356" spans="1:2" x14ac:dyDescent="0.25">
      <c r="A3356" t="s">
        <v>644</v>
      </c>
      <c r="B3356" t="s">
        <v>645</v>
      </c>
    </row>
    <row r="3357" spans="1:2" x14ac:dyDescent="0.25">
      <c r="A3357" t="s">
        <v>646</v>
      </c>
      <c r="B3357" t="s">
        <v>647</v>
      </c>
    </row>
    <row r="3358" spans="1:2" x14ac:dyDescent="0.25">
      <c r="A3358" t="s">
        <v>648</v>
      </c>
      <c r="B3358" t="s">
        <v>649</v>
      </c>
    </row>
    <row r="3359" spans="1:2" x14ac:dyDescent="0.25">
      <c r="A3359" t="s">
        <v>650</v>
      </c>
      <c r="B3359" t="s">
        <v>651</v>
      </c>
    </row>
    <row r="3360" spans="1:2" x14ac:dyDescent="0.25">
      <c r="A3360" t="s">
        <v>653</v>
      </c>
      <c r="B3360" t="s">
        <v>654</v>
      </c>
    </row>
    <row r="3361" spans="1:2" x14ac:dyDescent="0.25">
      <c r="A3361" t="s">
        <v>655</v>
      </c>
      <c r="B3361" t="s">
        <v>656</v>
      </c>
    </row>
    <row r="3362" spans="1:2" x14ac:dyDescent="0.25">
      <c r="A3362" t="s">
        <v>657</v>
      </c>
      <c r="B3362" t="s">
        <v>658</v>
      </c>
    </row>
    <row r="3363" spans="1:2" x14ac:dyDescent="0.25">
      <c r="A3363" t="s">
        <v>659</v>
      </c>
      <c r="B3363" t="s">
        <v>660</v>
      </c>
    </row>
    <row r="3364" spans="1:2" x14ac:dyDescent="0.25">
      <c r="A3364" t="s">
        <v>661</v>
      </c>
      <c r="B3364" t="s">
        <v>662</v>
      </c>
    </row>
    <row r="3365" spans="1:2" x14ac:dyDescent="0.25">
      <c r="A3365" t="s">
        <v>663</v>
      </c>
      <c r="B3365" t="s">
        <v>664</v>
      </c>
    </row>
    <row r="3366" spans="1:2" x14ac:dyDescent="0.25">
      <c r="A3366" t="s">
        <v>665</v>
      </c>
      <c r="B3366" t="s">
        <v>666</v>
      </c>
    </row>
    <row r="3367" spans="1:2" x14ac:dyDescent="0.25">
      <c r="A3367" t="s">
        <v>667</v>
      </c>
      <c r="B3367" t="s">
        <v>668</v>
      </c>
    </row>
    <row r="3368" spans="1:2" x14ac:dyDescent="0.25">
      <c r="A3368" t="s">
        <v>669</v>
      </c>
      <c r="B3368" t="s">
        <v>670</v>
      </c>
    </row>
    <row r="3369" spans="1:2" x14ac:dyDescent="0.25">
      <c r="A3369" t="s">
        <v>671</v>
      </c>
      <c r="B3369" t="s">
        <v>672</v>
      </c>
    </row>
    <row r="3370" spans="1:2" x14ac:dyDescent="0.25">
      <c r="A3370" t="s">
        <v>673</v>
      </c>
      <c r="B3370" t="s">
        <v>674</v>
      </c>
    </row>
    <row r="3371" spans="1:2" x14ac:dyDescent="0.25">
      <c r="A3371" t="s">
        <v>11408</v>
      </c>
      <c r="B3371" t="s">
        <v>12205</v>
      </c>
    </row>
    <row r="3372" spans="1:2" x14ac:dyDescent="0.25">
      <c r="A3372" t="s">
        <v>676</v>
      </c>
      <c r="B3372" t="s">
        <v>677</v>
      </c>
    </row>
    <row r="3373" spans="1:2" x14ac:dyDescent="0.25">
      <c r="A3373" t="s">
        <v>678</v>
      </c>
      <c r="B3373" t="s">
        <v>679</v>
      </c>
    </row>
    <row r="3374" spans="1:2" x14ac:dyDescent="0.25">
      <c r="A3374" t="s">
        <v>681</v>
      </c>
      <c r="B3374" t="s">
        <v>682</v>
      </c>
    </row>
    <row r="3375" spans="1:2" x14ac:dyDescent="0.25">
      <c r="A3375" t="s">
        <v>684</v>
      </c>
      <c r="B3375" t="s">
        <v>685</v>
      </c>
    </row>
    <row r="3376" spans="1:2" x14ac:dyDescent="0.25">
      <c r="A3376" t="s">
        <v>2470</v>
      </c>
      <c r="B3376" t="s">
        <v>12206</v>
      </c>
    </row>
    <row r="3377" spans="1:2" x14ac:dyDescent="0.25">
      <c r="A3377" t="s">
        <v>2475</v>
      </c>
      <c r="B3377" t="s">
        <v>12207</v>
      </c>
    </row>
    <row r="3378" spans="1:2" x14ac:dyDescent="0.25">
      <c r="A3378" t="s">
        <v>686</v>
      </c>
      <c r="B3378" t="s">
        <v>687</v>
      </c>
    </row>
    <row r="3379" spans="1:2" x14ac:dyDescent="0.25">
      <c r="A3379" t="s">
        <v>689</v>
      </c>
      <c r="B3379" t="s">
        <v>690</v>
      </c>
    </row>
    <row r="3380" spans="1:2" x14ac:dyDescent="0.25">
      <c r="A3380" t="s">
        <v>692</v>
      </c>
      <c r="B3380" t="s">
        <v>693</v>
      </c>
    </row>
    <row r="3381" spans="1:2" x14ac:dyDescent="0.25">
      <c r="A3381" t="s">
        <v>695</v>
      </c>
      <c r="B3381" t="s">
        <v>696</v>
      </c>
    </row>
    <row r="3382" spans="1:2" x14ac:dyDescent="0.25">
      <c r="A3382" t="s">
        <v>697</v>
      </c>
      <c r="B3382" t="s">
        <v>698</v>
      </c>
    </row>
    <row r="3383" spans="1:2" x14ac:dyDescent="0.25">
      <c r="A3383" t="s">
        <v>2483</v>
      </c>
      <c r="B3383" t="s">
        <v>12208</v>
      </c>
    </row>
    <row r="3384" spans="1:2" x14ac:dyDescent="0.25">
      <c r="A3384" t="s">
        <v>2485</v>
      </c>
      <c r="B3384" t="s">
        <v>12209</v>
      </c>
    </row>
    <row r="3385" spans="1:2" x14ac:dyDescent="0.25">
      <c r="A3385" t="s">
        <v>700</v>
      </c>
      <c r="B3385" t="s">
        <v>701</v>
      </c>
    </row>
    <row r="3386" spans="1:2" x14ac:dyDescent="0.25">
      <c r="A3386" t="s">
        <v>704</v>
      </c>
      <c r="B3386" t="s">
        <v>705</v>
      </c>
    </row>
    <row r="3387" spans="1:2" x14ac:dyDescent="0.25">
      <c r="A3387" t="s">
        <v>708</v>
      </c>
      <c r="B3387" t="s">
        <v>709</v>
      </c>
    </row>
    <row r="3388" spans="1:2" x14ac:dyDescent="0.25">
      <c r="A3388" t="s">
        <v>711</v>
      </c>
      <c r="B3388" t="s">
        <v>712</v>
      </c>
    </row>
    <row r="3389" spans="1:2" x14ac:dyDescent="0.25">
      <c r="A3389" t="s">
        <v>715</v>
      </c>
      <c r="B3389" t="s">
        <v>716</v>
      </c>
    </row>
    <row r="3390" spans="1:2" x14ac:dyDescent="0.25">
      <c r="A3390" t="s">
        <v>718</v>
      </c>
      <c r="B3390" t="s">
        <v>719</v>
      </c>
    </row>
    <row r="3391" spans="1:2" x14ac:dyDescent="0.25">
      <c r="A3391" t="s">
        <v>720</v>
      </c>
      <c r="B3391" t="s">
        <v>721</v>
      </c>
    </row>
    <row r="3392" spans="1:2" x14ac:dyDescent="0.25">
      <c r="A3392" t="s">
        <v>11445</v>
      </c>
      <c r="B3392" t="s">
        <v>12210</v>
      </c>
    </row>
    <row r="3393" spans="1:2" x14ac:dyDescent="0.25">
      <c r="A3393" t="s">
        <v>2794</v>
      </c>
      <c r="B3393" t="s">
        <v>12211</v>
      </c>
    </row>
    <row r="3394" spans="1:2" x14ac:dyDescent="0.25">
      <c r="A3394" t="s">
        <v>2796</v>
      </c>
      <c r="B3394" t="s">
        <v>12212</v>
      </c>
    </row>
    <row r="3395" spans="1:2" x14ac:dyDescent="0.25">
      <c r="A3395" t="s">
        <v>3230</v>
      </c>
      <c r="B3395" t="s">
        <v>12213</v>
      </c>
    </row>
    <row r="3396" spans="1:2" x14ac:dyDescent="0.25">
      <c r="A3396" t="s">
        <v>3233</v>
      </c>
      <c r="B3396" t="s">
        <v>12214</v>
      </c>
    </row>
    <row r="3397" spans="1:2" x14ac:dyDescent="0.25">
      <c r="A3397" t="s">
        <v>3235</v>
      </c>
      <c r="B3397" t="s">
        <v>12215</v>
      </c>
    </row>
    <row r="3398" spans="1:2" x14ac:dyDescent="0.25">
      <c r="A3398" t="s">
        <v>3237</v>
      </c>
      <c r="B3398" t="s">
        <v>12216</v>
      </c>
    </row>
    <row r="3399" spans="1:2" x14ac:dyDescent="0.25">
      <c r="A3399" t="s">
        <v>722</v>
      </c>
      <c r="B3399" t="s">
        <v>723</v>
      </c>
    </row>
    <row r="3400" spans="1:2" x14ac:dyDescent="0.25">
      <c r="A3400" t="s">
        <v>724</v>
      </c>
      <c r="B3400" t="s">
        <v>725</v>
      </c>
    </row>
    <row r="3401" spans="1:2" x14ac:dyDescent="0.25">
      <c r="A3401" t="s">
        <v>3241</v>
      </c>
      <c r="B3401" t="s">
        <v>12217</v>
      </c>
    </row>
    <row r="3402" spans="1:2" x14ac:dyDescent="0.25">
      <c r="A3402" t="s">
        <v>11456</v>
      </c>
      <c r="B3402" t="s">
        <v>12218</v>
      </c>
    </row>
    <row r="3403" spans="1:2" x14ac:dyDescent="0.25">
      <c r="A3403" t="s">
        <v>11458</v>
      </c>
      <c r="B3403" t="s">
        <v>12219</v>
      </c>
    </row>
    <row r="3404" spans="1:2" x14ac:dyDescent="0.25">
      <c r="A3404" t="s">
        <v>726</v>
      </c>
      <c r="B3404" t="s">
        <v>727</v>
      </c>
    </row>
    <row r="3405" spans="1:2" x14ac:dyDescent="0.25">
      <c r="A3405" t="s">
        <v>729</v>
      </c>
      <c r="B3405" t="s">
        <v>730</v>
      </c>
    </row>
    <row r="3406" spans="1:2" x14ac:dyDescent="0.25">
      <c r="A3406" t="s">
        <v>733</v>
      </c>
      <c r="B3406" t="s">
        <v>734</v>
      </c>
    </row>
    <row r="3407" spans="1:2" x14ac:dyDescent="0.25">
      <c r="A3407" t="s">
        <v>11465</v>
      </c>
      <c r="B3407" t="s">
        <v>12220</v>
      </c>
    </row>
    <row r="3408" spans="1:2" x14ac:dyDescent="0.25">
      <c r="A3408" t="s">
        <v>736</v>
      </c>
      <c r="B3408" t="s">
        <v>737</v>
      </c>
    </row>
    <row r="3409" spans="1:2" x14ac:dyDescent="0.25">
      <c r="A3409" t="s">
        <v>739</v>
      </c>
      <c r="B3409" t="s">
        <v>740</v>
      </c>
    </row>
    <row r="3410" spans="1:2" x14ac:dyDescent="0.25">
      <c r="A3410" t="s">
        <v>741</v>
      </c>
      <c r="B3410" t="s">
        <v>742</v>
      </c>
    </row>
    <row r="3411" spans="1:2" x14ac:dyDescent="0.25">
      <c r="A3411" t="s">
        <v>744</v>
      </c>
      <c r="B3411" t="s">
        <v>745</v>
      </c>
    </row>
    <row r="3412" spans="1:2" x14ac:dyDescent="0.25">
      <c r="A3412" t="s">
        <v>746</v>
      </c>
      <c r="B3412" t="s">
        <v>747</v>
      </c>
    </row>
    <row r="3413" spans="1:2" x14ac:dyDescent="0.25">
      <c r="A3413" t="s">
        <v>748</v>
      </c>
      <c r="B3413" t="s">
        <v>749</v>
      </c>
    </row>
    <row r="3414" spans="1:2" x14ac:dyDescent="0.25">
      <c r="A3414" t="s">
        <v>750</v>
      </c>
      <c r="B3414" t="s">
        <v>751</v>
      </c>
    </row>
    <row r="3415" spans="1:2" x14ac:dyDescent="0.25">
      <c r="A3415" t="s">
        <v>752</v>
      </c>
      <c r="B3415" t="s">
        <v>753</v>
      </c>
    </row>
    <row r="3416" spans="1:2" x14ac:dyDescent="0.25">
      <c r="A3416" t="s">
        <v>755</v>
      </c>
      <c r="B3416" t="s">
        <v>756</v>
      </c>
    </row>
    <row r="3417" spans="1:2" x14ac:dyDescent="0.25">
      <c r="A3417" t="s">
        <v>758</v>
      </c>
      <c r="B3417" t="s">
        <v>759</v>
      </c>
    </row>
    <row r="3418" spans="1:2" x14ac:dyDescent="0.25">
      <c r="A3418" t="s">
        <v>760</v>
      </c>
      <c r="B3418" t="s">
        <v>761</v>
      </c>
    </row>
    <row r="3419" spans="1:2" x14ac:dyDescent="0.25">
      <c r="A3419" t="s">
        <v>763</v>
      </c>
      <c r="B3419" t="s">
        <v>764</v>
      </c>
    </row>
    <row r="3420" spans="1:2" x14ac:dyDescent="0.25">
      <c r="A3420" t="s">
        <v>765</v>
      </c>
      <c r="B3420" t="s">
        <v>766</v>
      </c>
    </row>
    <row r="3421" spans="1:2" x14ac:dyDescent="0.25">
      <c r="A3421" t="s">
        <v>768</v>
      </c>
      <c r="B3421" t="s">
        <v>769</v>
      </c>
    </row>
    <row r="3422" spans="1:2" x14ac:dyDescent="0.25">
      <c r="A3422" t="s">
        <v>771</v>
      </c>
      <c r="B3422" t="s">
        <v>772</v>
      </c>
    </row>
    <row r="3423" spans="1:2" x14ac:dyDescent="0.25">
      <c r="A3423" t="s">
        <v>773</v>
      </c>
      <c r="B3423" t="s">
        <v>774</v>
      </c>
    </row>
    <row r="3424" spans="1:2" x14ac:dyDescent="0.25">
      <c r="A3424" t="s">
        <v>775</v>
      </c>
      <c r="B3424" t="s">
        <v>776</v>
      </c>
    </row>
    <row r="3425" spans="1:2" x14ac:dyDescent="0.25">
      <c r="A3425" t="s">
        <v>777</v>
      </c>
      <c r="B3425" t="s">
        <v>778</v>
      </c>
    </row>
    <row r="3426" spans="1:2" x14ac:dyDescent="0.25">
      <c r="A3426" t="s">
        <v>780</v>
      </c>
      <c r="B3426" t="s">
        <v>781</v>
      </c>
    </row>
    <row r="3427" spans="1:2" x14ac:dyDescent="0.25">
      <c r="A3427" t="s">
        <v>783</v>
      </c>
      <c r="B3427" t="s">
        <v>784</v>
      </c>
    </row>
    <row r="3428" spans="1:2" x14ac:dyDescent="0.25">
      <c r="A3428" t="s">
        <v>786</v>
      </c>
      <c r="B3428" t="s">
        <v>787</v>
      </c>
    </row>
    <row r="3429" spans="1:2" x14ac:dyDescent="0.25">
      <c r="A3429" t="s">
        <v>789</v>
      </c>
      <c r="B3429" t="s">
        <v>790</v>
      </c>
    </row>
    <row r="3430" spans="1:2" x14ac:dyDescent="0.25">
      <c r="A3430" t="s">
        <v>792</v>
      </c>
      <c r="B3430" t="s">
        <v>793</v>
      </c>
    </row>
    <row r="3431" spans="1:2" x14ac:dyDescent="0.25">
      <c r="A3431" t="s">
        <v>794</v>
      </c>
      <c r="B3431" t="s">
        <v>795</v>
      </c>
    </row>
    <row r="3432" spans="1:2" x14ac:dyDescent="0.25">
      <c r="A3432" t="s">
        <v>797</v>
      </c>
      <c r="B3432" t="s">
        <v>798</v>
      </c>
    </row>
    <row r="3433" spans="1:2" x14ac:dyDescent="0.25">
      <c r="A3433" t="s">
        <v>799</v>
      </c>
      <c r="B3433" t="s">
        <v>800</v>
      </c>
    </row>
    <row r="3434" spans="1:2" x14ac:dyDescent="0.25">
      <c r="A3434" t="s">
        <v>802</v>
      </c>
      <c r="B3434" t="s">
        <v>803</v>
      </c>
    </row>
    <row r="3435" spans="1:2" x14ac:dyDescent="0.25">
      <c r="A3435" t="s">
        <v>804</v>
      </c>
      <c r="B3435" t="s">
        <v>805</v>
      </c>
    </row>
    <row r="3436" spans="1:2" x14ac:dyDescent="0.25">
      <c r="A3436" t="s">
        <v>807</v>
      </c>
      <c r="B3436" t="s">
        <v>808</v>
      </c>
    </row>
    <row r="3437" spans="1:2" x14ac:dyDescent="0.25">
      <c r="A3437" t="s">
        <v>810</v>
      </c>
      <c r="B3437" t="s">
        <v>811</v>
      </c>
    </row>
    <row r="3438" spans="1:2" x14ac:dyDescent="0.25">
      <c r="A3438" t="s">
        <v>813</v>
      </c>
      <c r="B3438" t="s">
        <v>814</v>
      </c>
    </row>
    <row r="3439" spans="1:2" x14ac:dyDescent="0.25">
      <c r="A3439" t="s">
        <v>816</v>
      </c>
      <c r="B3439" t="s">
        <v>817</v>
      </c>
    </row>
    <row r="3440" spans="1:2" x14ac:dyDescent="0.25">
      <c r="A3440" t="s">
        <v>820</v>
      </c>
      <c r="B3440" t="s">
        <v>821</v>
      </c>
    </row>
    <row r="3441" spans="1:2" x14ac:dyDescent="0.25">
      <c r="A3441" t="s">
        <v>822</v>
      </c>
      <c r="B3441" t="s">
        <v>823</v>
      </c>
    </row>
    <row r="3442" spans="1:2" x14ac:dyDescent="0.25">
      <c r="A3442" t="s">
        <v>824</v>
      </c>
      <c r="B3442" t="s">
        <v>825</v>
      </c>
    </row>
    <row r="3443" spans="1:2" x14ac:dyDescent="0.25">
      <c r="A3443" t="s">
        <v>2279</v>
      </c>
      <c r="B3443" t="s">
        <v>12221</v>
      </c>
    </row>
    <row r="3444" spans="1:2" x14ac:dyDescent="0.25">
      <c r="A3444" t="s">
        <v>826</v>
      </c>
      <c r="B3444" t="s">
        <v>827</v>
      </c>
    </row>
    <row r="3445" spans="1:2" x14ac:dyDescent="0.25">
      <c r="A3445" t="s">
        <v>828</v>
      </c>
      <c r="B3445" t="s">
        <v>829</v>
      </c>
    </row>
    <row r="3446" spans="1:2" x14ac:dyDescent="0.25">
      <c r="A3446" t="s">
        <v>830</v>
      </c>
      <c r="B3446" t="s">
        <v>831</v>
      </c>
    </row>
    <row r="3447" spans="1:2" x14ac:dyDescent="0.25">
      <c r="A3447" t="s">
        <v>832</v>
      </c>
      <c r="B3447" t="s">
        <v>833</v>
      </c>
    </row>
    <row r="3448" spans="1:2" x14ac:dyDescent="0.25">
      <c r="A3448" t="s">
        <v>834</v>
      </c>
      <c r="B3448" t="s">
        <v>835</v>
      </c>
    </row>
    <row r="3449" spans="1:2" x14ac:dyDescent="0.25">
      <c r="A3449" t="s">
        <v>836</v>
      </c>
      <c r="B3449" t="s">
        <v>837</v>
      </c>
    </row>
    <row r="3450" spans="1:2" x14ac:dyDescent="0.25">
      <c r="A3450" t="s">
        <v>838</v>
      </c>
      <c r="B3450" t="s">
        <v>839</v>
      </c>
    </row>
    <row r="3451" spans="1:2" x14ac:dyDescent="0.25">
      <c r="A3451" t="s">
        <v>840</v>
      </c>
      <c r="B3451" t="s">
        <v>841</v>
      </c>
    </row>
    <row r="3452" spans="1:2" x14ac:dyDescent="0.25">
      <c r="A3452" t="s">
        <v>842</v>
      </c>
      <c r="B3452" t="s">
        <v>843</v>
      </c>
    </row>
    <row r="3453" spans="1:2" x14ac:dyDescent="0.25">
      <c r="A3453" t="s">
        <v>844</v>
      </c>
      <c r="B3453" t="s">
        <v>845</v>
      </c>
    </row>
    <row r="3454" spans="1:2" x14ac:dyDescent="0.25">
      <c r="A3454" t="s">
        <v>846</v>
      </c>
      <c r="B3454" t="s">
        <v>847</v>
      </c>
    </row>
    <row r="3455" spans="1:2" x14ac:dyDescent="0.25">
      <c r="A3455" t="s">
        <v>848</v>
      </c>
      <c r="B3455" t="s">
        <v>849</v>
      </c>
    </row>
    <row r="3456" spans="1:2" x14ac:dyDescent="0.25">
      <c r="A3456" t="s">
        <v>850</v>
      </c>
      <c r="B3456" t="s">
        <v>851</v>
      </c>
    </row>
    <row r="3457" spans="1:2" x14ac:dyDescent="0.25">
      <c r="A3457" t="s">
        <v>852</v>
      </c>
      <c r="B3457" t="s">
        <v>853</v>
      </c>
    </row>
    <row r="3458" spans="1:2" x14ac:dyDescent="0.25">
      <c r="A3458" t="s">
        <v>854</v>
      </c>
      <c r="B3458" t="s">
        <v>855</v>
      </c>
    </row>
    <row r="3459" spans="1:2" x14ac:dyDescent="0.25">
      <c r="A3459" t="s">
        <v>856</v>
      </c>
      <c r="B3459" t="s">
        <v>857</v>
      </c>
    </row>
    <row r="3460" spans="1:2" x14ac:dyDescent="0.25">
      <c r="A3460" t="s">
        <v>858</v>
      </c>
      <c r="B3460" t="s">
        <v>859</v>
      </c>
    </row>
    <row r="3461" spans="1:2" x14ac:dyDescent="0.25">
      <c r="A3461" t="s">
        <v>860</v>
      </c>
      <c r="B3461" t="s">
        <v>861</v>
      </c>
    </row>
    <row r="3462" spans="1:2" x14ac:dyDescent="0.25">
      <c r="A3462" t="s">
        <v>862</v>
      </c>
      <c r="B3462" t="s">
        <v>863</v>
      </c>
    </row>
    <row r="3463" spans="1:2" x14ac:dyDescent="0.25">
      <c r="A3463" t="s">
        <v>864</v>
      </c>
      <c r="B3463" t="s">
        <v>865</v>
      </c>
    </row>
    <row r="3464" spans="1:2" x14ac:dyDescent="0.25">
      <c r="A3464" t="s">
        <v>867</v>
      </c>
      <c r="B3464" t="s">
        <v>868</v>
      </c>
    </row>
    <row r="3465" spans="1:2" x14ac:dyDescent="0.25">
      <c r="A3465" t="s">
        <v>869</v>
      </c>
      <c r="B3465" t="s">
        <v>870</v>
      </c>
    </row>
    <row r="3466" spans="1:2" x14ac:dyDescent="0.25">
      <c r="A3466" t="s">
        <v>871</v>
      </c>
      <c r="B3466" t="s">
        <v>872</v>
      </c>
    </row>
    <row r="3467" spans="1:2" x14ac:dyDescent="0.25">
      <c r="A3467" t="s">
        <v>873</v>
      </c>
      <c r="B3467" t="s">
        <v>874</v>
      </c>
    </row>
    <row r="3468" spans="1:2" x14ac:dyDescent="0.25">
      <c r="A3468" t="s">
        <v>875</v>
      </c>
      <c r="B3468" t="s">
        <v>876</v>
      </c>
    </row>
    <row r="3469" spans="1:2" x14ac:dyDescent="0.25">
      <c r="A3469" t="s">
        <v>2346</v>
      </c>
      <c r="B3469" t="s">
        <v>12222</v>
      </c>
    </row>
    <row r="3470" spans="1:2" x14ac:dyDescent="0.25">
      <c r="A3470" t="s">
        <v>6948</v>
      </c>
      <c r="B3470" t="s">
        <v>12223</v>
      </c>
    </row>
    <row r="3471" spans="1:2" x14ac:dyDescent="0.25">
      <c r="A3471" t="s">
        <v>6950</v>
      </c>
      <c r="B3471" t="s">
        <v>12224</v>
      </c>
    </row>
    <row r="3472" spans="1:2" x14ac:dyDescent="0.25">
      <c r="A3472" t="s">
        <v>2348</v>
      </c>
      <c r="B3472" t="s">
        <v>12225</v>
      </c>
    </row>
    <row r="3473" spans="1:2" x14ac:dyDescent="0.25">
      <c r="A3473" t="s">
        <v>877</v>
      </c>
      <c r="B3473" t="s">
        <v>878</v>
      </c>
    </row>
    <row r="3474" spans="1:2" x14ac:dyDescent="0.25">
      <c r="A3474" t="s">
        <v>879</v>
      </c>
      <c r="B3474" t="s">
        <v>880</v>
      </c>
    </row>
    <row r="3475" spans="1:2" x14ac:dyDescent="0.25">
      <c r="A3475" t="s">
        <v>881</v>
      </c>
      <c r="B3475" t="s">
        <v>882</v>
      </c>
    </row>
    <row r="3476" spans="1:2" x14ac:dyDescent="0.25">
      <c r="A3476" t="s">
        <v>884</v>
      </c>
      <c r="B3476" t="s">
        <v>885</v>
      </c>
    </row>
    <row r="3477" spans="1:2" x14ac:dyDescent="0.25">
      <c r="A3477" t="s">
        <v>886</v>
      </c>
      <c r="B3477" t="s">
        <v>887</v>
      </c>
    </row>
    <row r="3478" spans="1:2" x14ac:dyDescent="0.25">
      <c r="A3478" t="s">
        <v>888</v>
      </c>
      <c r="B3478" t="s">
        <v>889</v>
      </c>
    </row>
    <row r="3479" spans="1:2" x14ac:dyDescent="0.25">
      <c r="A3479" t="s">
        <v>890</v>
      </c>
      <c r="B3479" t="s">
        <v>891</v>
      </c>
    </row>
    <row r="3480" spans="1:2" x14ac:dyDescent="0.25">
      <c r="A3480" t="s">
        <v>892</v>
      </c>
      <c r="B3480" t="s">
        <v>893</v>
      </c>
    </row>
    <row r="3481" spans="1:2" x14ac:dyDescent="0.25">
      <c r="A3481" t="s">
        <v>894</v>
      </c>
      <c r="B3481" t="s">
        <v>895</v>
      </c>
    </row>
    <row r="3482" spans="1:2" x14ac:dyDescent="0.25">
      <c r="A3482" t="s">
        <v>897</v>
      </c>
      <c r="B3482" t="s">
        <v>898</v>
      </c>
    </row>
    <row r="3483" spans="1:2" x14ac:dyDescent="0.25">
      <c r="A3483" t="s">
        <v>900</v>
      </c>
      <c r="B3483" t="s">
        <v>901</v>
      </c>
    </row>
    <row r="3484" spans="1:2" x14ac:dyDescent="0.25">
      <c r="A3484" t="s">
        <v>903</v>
      </c>
      <c r="B3484" t="s">
        <v>904</v>
      </c>
    </row>
    <row r="3485" spans="1:2" x14ac:dyDescent="0.25">
      <c r="A3485" t="s">
        <v>905</v>
      </c>
      <c r="B3485" t="s">
        <v>906</v>
      </c>
    </row>
    <row r="3486" spans="1:2" x14ac:dyDescent="0.25">
      <c r="A3486" t="s">
        <v>907</v>
      </c>
      <c r="B3486" t="s">
        <v>908</v>
      </c>
    </row>
    <row r="3487" spans="1:2" x14ac:dyDescent="0.25">
      <c r="A3487" t="s">
        <v>909</v>
      </c>
      <c r="B3487" t="s">
        <v>910</v>
      </c>
    </row>
    <row r="3488" spans="1:2" x14ac:dyDescent="0.25">
      <c r="A3488" t="s">
        <v>912</v>
      </c>
      <c r="B3488" t="s">
        <v>913</v>
      </c>
    </row>
    <row r="3489" spans="1:2" x14ac:dyDescent="0.25">
      <c r="A3489" t="s">
        <v>915</v>
      </c>
      <c r="B3489" t="s">
        <v>916</v>
      </c>
    </row>
    <row r="3490" spans="1:2" x14ac:dyDescent="0.25">
      <c r="A3490" t="s">
        <v>918</v>
      </c>
      <c r="B3490" t="s">
        <v>919</v>
      </c>
    </row>
    <row r="3491" spans="1:2" x14ac:dyDescent="0.25">
      <c r="A3491" t="s">
        <v>921</v>
      </c>
      <c r="B3491" t="s">
        <v>922</v>
      </c>
    </row>
    <row r="3492" spans="1:2" x14ac:dyDescent="0.25">
      <c r="A3492" t="s">
        <v>924</v>
      </c>
      <c r="B3492" t="s">
        <v>925</v>
      </c>
    </row>
    <row r="3493" spans="1:2" x14ac:dyDescent="0.25">
      <c r="A3493" t="s">
        <v>927</v>
      </c>
      <c r="B3493" t="s">
        <v>928</v>
      </c>
    </row>
    <row r="3494" spans="1:2" x14ac:dyDescent="0.25">
      <c r="A3494" t="s">
        <v>930</v>
      </c>
      <c r="B3494" t="s">
        <v>931</v>
      </c>
    </row>
    <row r="3495" spans="1:2" x14ac:dyDescent="0.25">
      <c r="A3495" t="s">
        <v>933</v>
      </c>
      <c r="B3495" t="s">
        <v>934</v>
      </c>
    </row>
    <row r="3496" spans="1:2" x14ac:dyDescent="0.25">
      <c r="A3496" t="s">
        <v>936</v>
      </c>
      <c r="B3496" t="s">
        <v>937</v>
      </c>
    </row>
    <row r="3497" spans="1:2" x14ac:dyDescent="0.25">
      <c r="A3497" t="s">
        <v>939</v>
      </c>
      <c r="B3497" t="s">
        <v>940</v>
      </c>
    </row>
    <row r="3498" spans="1:2" x14ac:dyDescent="0.25">
      <c r="A3498" t="s">
        <v>942</v>
      </c>
      <c r="B3498" t="s">
        <v>943</v>
      </c>
    </row>
    <row r="3499" spans="1:2" x14ac:dyDescent="0.25">
      <c r="A3499" t="s">
        <v>945</v>
      </c>
      <c r="B3499" t="s">
        <v>946</v>
      </c>
    </row>
    <row r="3500" spans="1:2" x14ac:dyDescent="0.25">
      <c r="A3500" t="s">
        <v>948</v>
      </c>
      <c r="B3500" t="s">
        <v>949</v>
      </c>
    </row>
    <row r="3501" spans="1:2" x14ac:dyDescent="0.25">
      <c r="A3501" t="s">
        <v>951</v>
      </c>
      <c r="B3501" t="s">
        <v>952</v>
      </c>
    </row>
    <row r="3502" spans="1:2" x14ac:dyDescent="0.25">
      <c r="A3502" t="s">
        <v>954</v>
      </c>
      <c r="B3502" t="s">
        <v>955</v>
      </c>
    </row>
    <row r="3503" spans="1:2" x14ac:dyDescent="0.25">
      <c r="A3503" t="s">
        <v>957</v>
      </c>
      <c r="B3503" t="s">
        <v>958</v>
      </c>
    </row>
    <row r="3504" spans="1:2" x14ac:dyDescent="0.25">
      <c r="A3504" t="s">
        <v>960</v>
      </c>
      <c r="B3504" t="s">
        <v>961</v>
      </c>
    </row>
    <row r="3505" spans="1:2" x14ac:dyDescent="0.25">
      <c r="A3505" t="s">
        <v>962</v>
      </c>
      <c r="B3505" t="s">
        <v>963</v>
      </c>
    </row>
    <row r="3506" spans="1:2" x14ac:dyDescent="0.25">
      <c r="A3506" t="s">
        <v>965</v>
      </c>
      <c r="B3506" t="s">
        <v>966</v>
      </c>
    </row>
    <row r="3507" spans="1:2" x14ac:dyDescent="0.25">
      <c r="A3507" t="s">
        <v>968</v>
      </c>
      <c r="B3507" t="s">
        <v>969</v>
      </c>
    </row>
    <row r="3508" spans="1:2" x14ac:dyDescent="0.25">
      <c r="A3508" t="s">
        <v>970</v>
      </c>
      <c r="B3508" t="s">
        <v>971</v>
      </c>
    </row>
    <row r="3509" spans="1:2" x14ac:dyDescent="0.25">
      <c r="A3509" t="s">
        <v>973</v>
      </c>
      <c r="B3509" t="s">
        <v>974</v>
      </c>
    </row>
    <row r="3510" spans="1:2" x14ac:dyDescent="0.25">
      <c r="A3510" t="s">
        <v>975</v>
      </c>
      <c r="B3510" t="s">
        <v>976</v>
      </c>
    </row>
    <row r="3511" spans="1:2" x14ac:dyDescent="0.25">
      <c r="A3511" t="s">
        <v>977</v>
      </c>
      <c r="B3511" t="s">
        <v>978</v>
      </c>
    </row>
    <row r="3512" spans="1:2" x14ac:dyDescent="0.25">
      <c r="A3512" t="s">
        <v>979</v>
      </c>
      <c r="B3512" t="s">
        <v>980</v>
      </c>
    </row>
    <row r="3513" spans="1:2" x14ac:dyDescent="0.25">
      <c r="A3513" t="s">
        <v>981</v>
      </c>
      <c r="B3513" t="s">
        <v>982</v>
      </c>
    </row>
    <row r="3514" spans="1:2" x14ac:dyDescent="0.25">
      <c r="A3514" t="s">
        <v>983</v>
      </c>
      <c r="B3514" t="s">
        <v>984</v>
      </c>
    </row>
    <row r="3515" spans="1:2" x14ac:dyDescent="0.25">
      <c r="A3515" t="s">
        <v>985</v>
      </c>
      <c r="B3515" t="s">
        <v>986</v>
      </c>
    </row>
    <row r="3516" spans="1:2" x14ac:dyDescent="0.25">
      <c r="A3516" t="s">
        <v>987</v>
      </c>
      <c r="B3516" t="s">
        <v>988</v>
      </c>
    </row>
    <row r="3517" spans="1:2" x14ac:dyDescent="0.25">
      <c r="A3517" t="s">
        <v>989</v>
      </c>
      <c r="B3517" t="s">
        <v>990</v>
      </c>
    </row>
    <row r="3518" spans="1:2" x14ac:dyDescent="0.25">
      <c r="A3518" t="s">
        <v>991</v>
      </c>
      <c r="B3518" t="s">
        <v>992</v>
      </c>
    </row>
    <row r="3519" spans="1:2" x14ac:dyDescent="0.25">
      <c r="A3519" t="s">
        <v>993</v>
      </c>
      <c r="B3519" t="s">
        <v>994</v>
      </c>
    </row>
    <row r="3520" spans="1:2" x14ac:dyDescent="0.25">
      <c r="A3520" t="s">
        <v>996</v>
      </c>
      <c r="B3520" t="s">
        <v>997</v>
      </c>
    </row>
    <row r="3521" spans="1:2" x14ac:dyDescent="0.25">
      <c r="A3521" t="s">
        <v>999</v>
      </c>
      <c r="B3521" t="s">
        <v>1000</v>
      </c>
    </row>
    <row r="3522" spans="1:2" x14ac:dyDescent="0.25">
      <c r="A3522" t="s">
        <v>1001</v>
      </c>
      <c r="B3522" t="s">
        <v>1002</v>
      </c>
    </row>
    <row r="3523" spans="1:2" x14ac:dyDescent="0.25">
      <c r="A3523" t="s">
        <v>1003</v>
      </c>
      <c r="B3523" t="s">
        <v>1004</v>
      </c>
    </row>
    <row r="3524" spans="1:2" x14ac:dyDescent="0.25">
      <c r="A3524" t="s">
        <v>1007</v>
      </c>
      <c r="B3524" t="s">
        <v>1008</v>
      </c>
    </row>
    <row r="3525" spans="1:2" x14ac:dyDescent="0.25">
      <c r="A3525" t="s">
        <v>1011</v>
      </c>
      <c r="B3525" t="s">
        <v>1012</v>
      </c>
    </row>
    <row r="3526" spans="1:2" x14ac:dyDescent="0.25">
      <c r="A3526" t="s">
        <v>1014</v>
      </c>
      <c r="B3526" t="s">
        <v>1015</v>
      </c>
    </row>
    <row r="3527" spans="1:2" x14ac:dyDescent="0.25">
      <c r="A3527" t="s">
        <v>1017</v>
      </c>
      <c r="B3527" t="s">
        <v>1018</v>
      </c>
    </row>
    <row r="3528" spans="1:2" x14ac:dyDescent="0.25">
      <c r="A3528" t="s">
        <v>1019</v>
      </c>
      <c r="B3528" t="s">
        <v>1020</v>
      </c>
    </row>
    <row r="3529" spans="1:2" x14ac:dyDescent="0.25">
      <c r="A3529" t="s">
        <v>1021</v>
      </c>
      <c r="B3529" t="s">
        <v>1022</v>
      </c>
    </row>
    <row r="3530" spans="1:2" x14ac:dyDescent="0.25">
      <c r="A3530" t="s">
        <v>1024</v>
      </c>
      <c r="B3530" t="s">
        <v>1025</v>
      </c>
    </row>
    <row r="3531" spans="1:2" x14ac:dyDescent="0.25">
      <c r="A3531" t="s">
        <v>1026</v>
      </c>
      <c r="B3531" t="s">
        <v>1027</v>
      </c>
    </row>
    <row r="3532" spans="1:2" x14ac:dyDescent="0.25">
      <c r="A3532" t="s">
        <v>1029</v>
      </c>
      <c r="B3532" t="s">
        <v>1030</v>
      </c>
    </row>
    <row r="3533" spans="1:2" x14ac:dyDescent="0.25">
      <c r="A3533" t="s">
        <v>1031</v>
      </c>
      <c r="B3533" t="s">
        <v>1032</v>
      </c>
    </row>
    <row r="3534" spans="1:2" x14ac:dyDescent="0.25">
      <c r="A3534" t="s">
        <v>1033</v>
      </c>
      <c r="B3534" t="s">
        <v>1034</v>
      </c>
    </row>
    <row r="3535" spans="1:2" x14ac:dyDescent="0.25">
      <c r="A3535" t="s">
        <v>1035</v>
      </c>
      <c r="B3535" t="s">
        <v>1036</v>
      </c>
    </row>
    <row r="3536" spans="1:2" x14ac:dyDescent="0.25">
      <c r="A3536" t="s">
        <v>1037</v>
      </c>
      <c r="B3536" t="s">
        <v>1038</v>
      </c>
    </row>
    <row r="3537" spans="1:2" x14ac:dyDescent="0.25">
      <c r="A3537" t="s">
        <v>1039</v>
      </c>
      <c r="B3537" t="s">
        <v>1040</v>
      </c>
    </row>
    <row r="3538" spans="1:2" x14ac:dyDescent="0.25">
      <c r="A3538" t="s">
        <v>1041</v>
      </c>
      <c r="B3538" t="s">
        <v>1042</v>
      </c>
    </row>
    <row r="3539" spans="1:2" x14ac:dyDescent="0.25">
      <c r="A3539" t="s">
        <v>1043</v>
      </c>
      <c r="B3539" t="s">
        <v>1044</v>
      </c>
    </row>
    <row r="3540" spans="1:2" x14ac:dyDescent="0.25">
      <c r="A3540" t="s">
        <v>2631</v>
      </c>
      <c r="B3540" t="s">
        <v>12226</v>
      </c>
    </row>
    <row r="3541" spans="1:2" x14ac:dyDescent="0.25">
      <c r="A3541" t="s">
        <v>1045</v>
      </c>
      <c r="B3541" t="s">
        <v>1046</v>
      </c>
    </row>
    <row r="3542" spans="1:2" x14ac:dyDescent="0.25">
      <c r="A3542" t="s">
        <v>1048</v>
      </c>
      <c r="B3542" t="s">
        <v>1049</v>
      </c>
    </row>
    <row r="3543" spans="1:2" x14ac:dyDescent="0.25">
      <c r="A3543" t="s">
        <v>1050</v>
      </c>
      <c r="B3543" t="s">
        <v>1051</v>
      </c>
    </row>
    <row r="3544" spans="1:2" x14ac:dyDescent="0.25">
      <c r="A3544" t="s">
        <v>1052</v>
      </c>
      <c r="B3544" t="s">
        <v>1053</v>
      </c>
    </row>
    <row r="3545" spans="1:2" x14ac:dyDescent="0.25">
      <c r="A3545" t="s">
        <v>1054</v>
      </c>
      <c r="B3545" t="s">
        <v>1055</v>
      </c>
    </row>
    <row r="3546" spans="1:2" x14ac:dyDescent="0.25">
      <c r="A3546" t="s">
        <v>1056</v>
      </c>
      <c r="B3546" t="s">
        <v>1057</v>
      </c>
    </row>
    <row r="3547" spans="1:2" x14ac:dyDescent="0.25">
      <c r="A3547" t="s">
        <v>1058</v>
      </c>
      <c r="B3547" t="s">
        <v>1059</v>
      </c>
    </row>
    <row r="3548" spans="1:2" x14ac:dyDescent="0.25">
      <c r="A3548" t="s">
        <v>1060</v>
      </c>
      <c r="B3548" t="s">
        <v>1061</v>
      </c>
    </row>
    <row r="3549" spans="1:2" x14ac:dyDescent="0.25">
      <c r="A3549" t="s">
        <v>1062</v>
      </c>
      <c r="B3549" t="s">
        <v>1063</v>
      </c>
    </row>
    <row r="3550" spans="1:2" x14ac:dyDescent="0.25">
      <c r="A3550" t="s">
        <v>1065</v>
      </c>
      <c r="B3550" t="s">
        <v>1066</v>
      </c>
    </row>
    <row r="3551" spans="1:2" x14ac:dyDescent="0.25">
      <c r="A3551" t="s">
        <v>1067</v>
      </c>
      <c r="B3551" t="s">
        <v>1068</v>
      </c>
    </row>
    <row r="3552" spans="1:2" x14ac:dyDescent="0.25">
      <c r="A3552" t="s">
        <v>1069</v>
      </c>
      <c r="B3552" t="s">
        <v>1070</v>
      </c>
    </row>
    <row r="3553" spans="1:2" x14ac:dyDescent="0.25">
      <c r="A3553" t="s">
        <v>1071</v>
      </c>
      <c r="B3553" t="s">
        <v>1072</v>
      </c>
    </row>
    <row r="3554" spans="1:2" x14ac:dyDescent="0.25">
      <c r="A3554" t="s">
        <v>1073</v>
      </c>
      <c r="B3554" t="s">
        <v>1074</v>
      </c>
    </row>
    <row r="3555" spans="1:2" x14ac:dyDescent="0.25">
      <c r="A3555" t="s">
        <v>1075</v>
      </c>
      <c r="B3555" t="s">
        <v>1076</v>
      </c>
    </row>
    <row r="3556" spans="1:2" x14ac:dyDescent="0.25">
      <c r="A3556" t="s">
        <v>1077</v>
      </c>
      <c r="B3556" t="s">
        <v>1078</v>
      </c>
    </row>
    <row r="3557" spans="1:2" x14ac:dyDescent="0.25">
      <c r="A3557" t="s">
        <v>1079</v>
      </c>
      <c r="B3557" t="s">
        <v>1080</v>
      </c>
    </row>
    <row r="3558" spans="1:2" x14ac:dyDescent="0.25">
      <c r="A3558" t="s">
        <v>1081</v>
      </c>
      <c r="B3558" t="s">
        <v>1082</v>
      </c>
    </row>
    <row r="3559" spans="1:2" x14ac:dyDescent="0.25">
      <c r="A3559" t="s">
        <v>1083</v>
      </c>
      <c r="B3559" t="s">
        <v>1084</v>
      </c>
    </row>
    <row r="3560" spans="1:2" x14ac:dyDescent="0.25">
      <c r="A3560" t="s">
        <v>1085</v>
      </c>
      <c r="B3560" t="s">
        <v>1086</v>
      </c>
    </row>
    <row r="3561" spans="1:2" x14ac:dyDescent="0.25">
      <c r="A3561" t="s">
        <v>1087</v>
      </c>
      <c r="B3561" t="s">
        <v>1088</v>
      </c>
    </row>
    <row r="3562" spans="1:2" x14ac:dyDescent="0.25">
      <c r="A3562" t="s">
        <v>1089</v>
      </c>
      <c r="B3562" t="s">
        <v>1090</v>
      </c>
    </row>
    <row r="3563" spans="1:2" x14ac:dyDescent="0.25">
      <c r="A3563" t="s">
        <v>1091</v>
      </c>
      <c r="B3563" t="s">
        <v>1092</v>
      </c>
    </row>
    <row r="3564" spans="1:2" x14ac:dyDescent="0.25">
      <c r="A3564" t="s">
        <v>1093</v>
      </c>
      <c r="B3564" t="s">
        <v>1094</v>
      </c>
    </row>
    <row r="3565" spans="1:2" x14ac:dyDescent="0.25">
      <c r="A3565" t="s">
        <v>1095</v>
      </c>
      <c r="B3565" t="s">
        <v>1096</v>
      </c>
    </row>
    <row r="3566" spans="1:2" x14ac:dyDescent="0.25">
      <c r="A3566" t="s">
        <v>1097</v>
      </c>
      <c r="B3566" t="s">
        <v>1098</v>
      </c>
    </row>
    <row r="3567" spans="1:2" x14ac:dyDescent="0.25">
      <c r="A3567" t="s">
        <v>1099</v>
      </c>
      <c r="B3567" t="s">
        <v>1100</v>
      </c>
    </row>
    <row r="3568" spans="1:2" x14ac:dyDescent="0.25">
      <c r="A3568" t="s">
        <v>1101</v>
      </c>
      <c r="B3568" t="s">
        <v>1102</v>
      </c>
    </row>
    <row r="3569" spans="1:2" x14ac:dyDescent="0.25">
      <c r="A3569" t="s">
        <v>1103</v>
      </c>
      <c r="B3569" t="s">
        <v>1104</v>
      </c>
    </row>
    <row r="3570" spans="1:2" x14ac:dyDescent="0.25">
      <c r="A3570" t="s">
        <v>1105</v>
      </c>
      <c r="B3570" t="s">
        <v>1106</v>
      </c>
    </row>
    <row r="3571" spans="1:2" x14ac:dyDescent="0.25">
      <c r="A3571" t="s">
        <v>1107</v>
      </c>
      <c r="B3571" t="s">
        <v>1108</v>
      </c>
    </row>
    <row r="3572" spans="1:2" x14ac:dyDescent="0.25">
      <c r="A3572" t="s">
        <v>1109</v>
      </c>
      <c r="B3572" t="s">
        <v>1110</v>
      </c>
    </row>
    <row r="3573" spans="1:2" x14ac:dyDescent="0.25">
      <c r="A3573" t="s">
        <v>1111</v>
      </c>
      <c r="B3573" t="s">
        <v>1112</v>
      </c>
    </row>
    <row r="3574" spans="1:2" x14ac:dyDescent="0.25">
      <c r="A3574" t="s">
        <v>1113</v>
      </c>
      <c r="B3574" t="s">
        <v>1114</v>
      </c>
    </row>
    <row r="3575" spans="1:2" x14ac:dyDescent="0.25">
      <c r="A3575" t="s">
        <v>1115</v>
      </c>
      <c r="B3575" t="s">
        <v>1116</v>
      </c>
    </row>
    <row r="3576" spans="1:2" x14ac:dyDescent="0.25">
      <c r="A3576" t="s">
        <v>1117</v>
      </c>
      <c r="B3576" t="s">
        <v>1118</v>
      </c>
    </row>
    <row r="3577" spans="1:2" x14ac:dyDescent="0.25">
      <c r="A3577" t="s">
        <v>1119</v>
      </c>
      <c r="B3577" t="s">
        <v>1120</v>
      </c>
    </row>
    <row r="3578" spans="1:2" x14ac:dyDescent="0.25">
      <c r="A3578" t="s">
        <v>1121</v>
      </c>
      <c r="B3578" t="s">
        <v>1122</v>
      </c>
    </row>
    <row r="3579" spans="1:2" x14ac:dyDescent="0.25">
      <c r="A3579" t="s">
        <v>1123</v>
      </c>
      <c r="B3579" t="s">
        <v>1124</v>
      </c>
    </row>
    <row r="3580" spans="1:2" x14ac:dyDescent="0.25">
      <c r="A3580" t="s">
        <v>1125</v>
      </c>
      <c r="B3580" t="s">
        <v>1126</v>
      </c>
    </row>
    <row r="3581" spans="1:2" x14ac:dyDescent="0.25">
      <c r="A3581" t="s">
        <v>1127</v>
      </c>
      <c r="B3581" t="s">
        <v>1128</v>
      </c>
    </row>
    <row r="3582" spans="1:2" x14ac:dyDescent="0.25">
      <c r="A3582" t="s">
        <v>1131</v>
      </c>
      <c r="B3582" t="s">
        <v>1132</v>
      </c>
    </row>
    <row r="3583" spans="1:2" x14ac:dyDescent="0.25">
      <c r="A3583" t="s">
        <v>1133</v>
      </c>
      <c r="B3583" t="s">
        <v>1134</v>
      </c>
    </row>
    <row r="3584" spans="1:2" x14ac:dyDescent="0.25">
      <c r="A3584" t="s">
        <v>1136</v>
      </c>
      <c r="B3584" t="s">
        <v>1137</v>
      </c>
    </row>
    <row r="3585" spans="1:2" x14ac:dyDescent="0.25">
      <c r="A3585" t="s">
        <v>1139</v>
      </c>
      <c r="B3585" t="s">
        <v>1140</v>
      </c>
    </row>
    <row r="3586" spans="1:2" x14ac:dyDescent="0.25">
      <c r="A3586" t="s">
        <v>1141</v>
      </c>
      <c r="B3586" t="s">
        <v>1142</v>
      </c>
    </row>
    <row r="3587" spans="1:2" x14ac:dyDescent="0.25">
      <c r="A3587" t="s">
        <v>1144</v>
      </c>
      <c r="B3587" t="s">
        <v>1145</v>
      </c>
    </row>
    <row r="3588" spans="1:2" x14ac:dyDescent="0.25">
      <c r="A3588" t="s">
        <v>1516</v>
      </c>
      <c r="B3588" t="s">
        <v>12227</v>
      </c>
    </row>
    <row r="3589" spans="1:2" x14ac:dyDescent="0.25">
      <c r="A3589" t="s">
        <v>1519</v>
      </c>
      <c r="B3589" t="s">
        <v>12228</v>
      </c>
    </row>
    <row r="3590" spans="1:2" x14ac:dyDescent="0.25">
      <c r="A3590" t="s">
        <v>1146</v>
      </c>
      <c r="B3590" t="s">
        <v>1147</v>
      </c>
    </row>
    <row r="3591" spans="1:2" x14ac:dyDescent="0.25">
      <c r="A3591" t="s">
        <v>1150</v>
      </c>
      <c r="B3591" t="s">
        <v>1151</v>
      </c>
    </row>
    <row r="3592" spans="1:2" x14ac:dyDescent="0.25">
      <c r="A3592" t="s">
        <v>1539</v>
      </c>
      <c r="B3592" t="s">
        <v>12229</v>
      </c>
    </row>
    <row r="3593" spans="1:2" x14ac:dyDescent="0.25">
      <c r="A3593" t="s">
        <v>1152</v>
      </c>
      <c r="B3593" t="s">
        <v>1153</v>
      </c>
    </row>
    <row r="3594" spans="1:2" x14ac:dyDescent="0.25">
      <c r="A3594" t="s">
        <v>1155</v>
      </c>
      <c r="B3594" t="s">
        <v>1156</v>
      </c>
    </row>
    <row r="3595" spans="1:2" x14ac:dyDescent="0.25">
      <c r="A3595" t="s">
        <v>1157</v>
      </c>
      <c r="B3595" t="s">
        <v>1158</v>
      </c>
    </row>
    <row r="3596" spans="1:2" x14ac:dyDescent="0.25">
      <c r="A3596" t="s">
        <v>1160</v>
      </c>
      <c r="B3596" t="s">
        <v>1161</v>
      </c>
    </row>
    <row r="3597" spans="1:2" x14ac:dyDescent="0.25">
      <c r="A3597" t="s">
        <v>1162</v>
      </c>
      <c r="B3597" t="s">
        <v>1163</v>
      </c>
    </row>
    <row r="3598" spans="1:2" x14ac:dyDescent="0.25">
      <c r="A3598" t="s">
        <v>1164</v>
      </c>
      <c r="B3598" t="s">
        <v>1165</v>
      </c>
    </row>
    <row r="3599" spans="1:2" x14ac:dyDescent="0.25">
      <c r="A3599" t="s">
        <v>1167</v>
      </c>
      <c r="B3599" t="s">
        <v>1168</v>
      </c>
    </row>
    <row r="3600" spans="1:2" x14ac:dyDescent="0.25">
      <c r="A3600" t="s">
        <v>1169</v>
      </c>
      <c r="B3600" t="s">
        <v>1170</v>
      </c>
    </row>
    <row r="3601" spans="1:2" x14ac:dyDescent="0.25">
      <c r="A3601" t="s">
        <v>1171</v>
      </c>
      <c r="B3601" t="s">
        <v>1172</v>
      </c>
    </row>
    <row r="3602" spans="1:2" x14ac:dyDescent="0.25">
      <c r="A3602" t="s">
        <v>1173</v>
      </c>
      <c r="B3602" t="s">
        <v>1174</v>
      </c>
    </row>
    <row r="3603" spans="1:2" x14ac:dyDescent="0.25">
      <c r="A3603" t="s">
        <v>1175</v>
      </c>
      <c r="B3603" t="s">
        <v>1176</v>
      </c>
    </row>
    <row r="3604" spans="1:2" x14ac:dyDescent="0.25">
      <c r="A3604" t="s">
        <v>1177</v>
      </c>
      <c r="B3604" t="s">
        <v>1178</v>
      </c>
    </row>
    <row r="3605" spans="1:2" x14ac:dyDescent="0.25">
      <c r="A3605" t="s">
        <v>1179</v>
      </c>
      <c r="B3605" t="s">
        <v>1180</v>
      </c>
    </row>
    <row r="3606" spans="1:2" x14ac:dyDescent="0.25">
      <c r="A3606" t="s">
        <v>1181</v>
      </c>
      <c r="B3606" t="s">
        <v>1182</v>
      </c>
    </row>
    <row r="3607" spans="1:2" x14ac:dyDescent="0.25">
      <c r="A3607" t="s">
        <v>1184</v>
      </c>
      <c r="B3607" t="s">
        <v>1185</v>
      </c>
    </row>
    <row r="3608" spans="1:2" x14ac:dyDescent="0.25">
      <c r="A3608" t="s">
        <v>1186</v>
      </c>
      <c r="B3608" t="s">
        <v>1187</v>
      </c>
    </row>
    <row r="3609" spans="1:2" x14ac:dyDescent="0.25">
      <c r="A3609" t="s">
        <v>1189</v>
      </c>
      <c r="B3609" t="s">
        <v>1190</v>
      </c>
    </row>
    <row r="3610" spans="1:2" x14ac:dyDescent="0.25">
      <c r="A3610" t="s">
        <v>1191</v>
      </c>
      <c r="B3610" t="s">
        <v>1192</v>
      </c>
    </row>
    <row r="3611" spans="1:2" x14ac:dyDescent="0.25">
      <c r="A3611" t="s">
        <v>1193</v>
      </c>
      <c r="B3611" t="s">
        <v>1194</v>
      </c>
    </row>
    <row r="3612" spans="1:2" x14ac:dyDescent="0.25">
      <c r="A3612" t="s">
        <v>1195</v>
      </c>
      <c r="B3612" t="s">
        <v>1196</v>
      </c>
    </row>
    <row r="3613" spans="1:2" x14ac:dyDescent="0.25">
      <c r="A3613" t="s">
        <v>1197</v>
      </c>
      <c r="B3613" t="s">
        <v>1198</v>
      </c>
    </row>
    <row r="3614" spans="1:2" x14ac:dyDescent="0.25">
      <c r="A3614" t="s">
        <v>1199</v>
      </c>
      <c r="B3614" t="s">
        <v>1200</v>
      </c>
    </row>
    <row r="3615" spans="1:2" x14ac:dyDescent="0.25">
      <c r="A3615" t="s">
        <v>1201</v>
      </c>
      <c r="B3615" t="s">
        <v>1202</v>
      </c>
    </row>
    <row r="3616" spans="1:2" x14ac:dyDescent="0.25">
      <c r="A3616" t="s">
        <v>1203</v>
      </c>
      <c r="B3616" t="s">
        <v>1204</v>
      </c>
    </row>
    <row r="3617" spans="1:2" x14ac:dyDescent="0.25">
      <c r="A3617" t="s">
        <v>1205</v>
      </c>
      <c r="B3617" t="s">
        <v>1206</v>
      </c>
    </row>
    <row r="3618" spans="1:2" x14ac:dyDescent="0.25">
      <c r="A3618" t="s">
        <v>1207</v>
      </c>
      <c r="B3618" t="s">
        <v>1208</v>
      </c>
    </row>
    <row r="3619" spans="1:2" x14ac:dyDescent="0.25">
      <c r="A3619" t="s">
        <v>1210</v>
      </c>
      <c r="B3619" t="s">
        <v>1211</v>
      </c>
    </row>
    <row r="3620" spans="1:2" x14ac:dyDescent="0.25">
      <c r="A3620" t="s">
        <v>1212</v>
      </c>
      <c r="B3620" t="s">
        <v>1213</v>
      </c>
    </row>
    <row r="3621" spans="1:2" x14ac:dyDescent="0.25">
      <c r="A3621" t="s">
        <v>1214</v>
      </c>
      <c r="B3621" t="s">
        <v>1215</v>
      </c>
    </row>
    <row r="3622" spans="1:2" x14ac:dyDescent="0.25">
      <c r="A3622" t="s">
        <v>1217</v>
      </c>
      <c r="B3622" t="s">
        <v>1218</v>
      </c>
    </row>
    <row r="3623" spans="1:2" x14ac:dyDescent="0.25">
      <c r="A3623" t="s">
        <v>1219</v>
      </c>
      <c r="B3623" t="s">
        <v>1220</v>
      </c>
    </row>
    <row r="3624" spans="1:2" x14ac:dyDescent="0.25">
      <c r="A3624" t="s">
        <v>1221</v>
      </c>
      <c r="B3624" t="s">
        <v>1222</v>
      </c>
    </row>
    <row r="3625" spans="1:2" x14ac:dyDescent="0.25">
      <c r="A3625" t="s">
        <v>1224</v>
      </c>
      <c r="B3625" t="s">
        <v>1225</v>
      </c>
    </row>
    <row r="3626" spans="1:2" x14ac:dyDescent="0.25">
      <c r="A3626" t="s">
        <v>1227</v>
      </c>
      <c r="B3626" t="s">
        <v>1228</v>
      </c>
    </row>
    <row r="3627" spans="1:2" x14ac:dyDescent="0.25">
      <c r="A3627" t="s">
        <v>1229</v>
      </c>
      <c r="B3627" t="s">
        <v>1230</v>
      </c>
    </row>
    <row r="3628" spans="1:2" x14ac:dyDescent="0.25">
      <c r="A3628" t="s">
        <v>1231</v>
      </c>
      <c r="B3628" t="s">
        <v>1232</v>
      </c>
    </row>
    <row r="3629" spans="1:2" x14ac:dyDescent="0.25">
      <c r="A3629" t="s">
        <v>1233</v>
      </c>
      <c r="B3629" t="s">
        <v>1234</v>
      </c>
    </row>
    <row r="3630" spans="1:2" x14ac:dyDescent="0.25">
      <c r="A3630" t="s">
        <v>1236</v>
      </c>
      <c r="B3630" t="s">
        <v>1237</v>
      </c>
    </row>
    <row r="3631" spans="1:2" x14ac:dyDescent="0.25">
      <c r="A3631" t="s">
        <v>1238</v>
      </c>
      <c r="B3631" t="s">
        <v>1239</v>
      </c>
    </row>
    <row r="3632" spans="1:2" x14ac:dyDescent="0.25">
      <c r="A3632" t="s">
        <v>1241</v>
      </c>
      <c r="B3632" t="s">
        <v>1242</v>
      </c>
    </row>
    <row r="3633" spans="1:2" x14ac:dyDescent="0.25">
      <c r="A3633" t="s">
        <v>1243</v>
      </c>
      <c r="B3633" t="s">
        <v>1244</v>
      </c>
    </row>
    <row r="3634" spans="1:2" x14ac:dyDescent="0.25">
      <c r="A3634" t="s">
        <v>1246</v>
      </c>
      <c r="B3634" t="s">
        <v>1247</v>
      </c>
    </row>
    <row r="3635" spans="1:2" x14ac:dyDescent="0.25">
      <c r="A3635" t="s">
        <v>1248</v>
      </c>
      <c r="B3635" t="s">
        <v>1249</v>
      </c>
    </row>
    <row r="3636" spans="1:2" x14ac:dyDescent="0.25">
      <c r="A3636" t="s">
        <v>1251</v>
      </c>
      <c r="B3636" t="s">
        <v>1252</v>
      </c>
    </row>
    <row r="3637" spans="1:2" x14ac:dyDescent="0.25">
      <c r="A3637" t="s">
        <v>1253</v>
      </c>
      <c r="B3637" t="s">
        <v>1254</v>
      </c>
    </row>
    <row r="3638" spans="1:2" x14ac:dyDescent="0.25">
      <c r="A3638" t="s">
        <v>1256</v>
      </c>
      <c r="B3638" t="s">
        <v>1257</v>
      </c>
    </row>
    <row r="3639" spans="1:2" x14ac:dyDescent="0.25">
      <c r="A3639" t="s">
        <v>1259</v>
      </c>
      <c r="B3639" t="s">
        <v>1260</v>
      </c>
    </row>
    <row r="3640" spans="1:2" x14ac:dyDescent="0.25">
      <c r="A3640" t="s">
        <v>1261</v>
      </c>
      <c r="B3640" t="s">
        <v>1262</v>
      </c>
    </row>
    <row r="3641" spans="1:2" x14ac:dyDescent="0.25">
      <c r="A3641" t="s">
        <v>1263</v>
      </c>
      <c r="B3641" t="s">
        <v>1264</v>
      </c>
    </row>
    <row r="3642" spans="1:2" x14ac:dyDescent="0.25">
      <c r="A3642" t="s">
        <v>2233</v>
      </c>
      <c r="B3642" t="s">
        <v>12230</v>
      </c>
    </row>
    <row r="3643" spans="1:2" x14ac:dyDescent="0.25">
      <c r="A3643" t="s">
        <v>2298</v>
      </c>
      <c r="B3643" t="s">
        <v>12231</v>
      </c>
    </row>
    <row r="3644" spans="1:2" x14ac:dyDescent="0.25">
      <c r="A3644" t="s">
        <v>2300</v>
      </c>
      <c r="B3644" t="s">
        <v>12232</v>
      </c>
    </row>
    <row r="3645" spans="1:2" x14ac:dyDescent="0.25">
      <c r="A3645" t="s">
        <v>479</v>
      </c>
      <c r="B3645" t="s">
        <v>12233</v>
      </c>
    </row>
    <row r="3646" spans="1:2" x14ac:dyDescent="0.25">
      <c r="A3646" t="s">
        <v>483</v>
      </c>
      <c r="B3646" t="s">
        <v>12234</v>
      </c>
    </row>
    <row r="3647" spans="1:2" x14ac:dyDescent="0.25">
      <c r="A3647" t="s">
        <v>487</v>
      </c>
      <c r="B3647" t="s">
        <v>12235</v>
      </c>
    </row>
    <row r="3648" spans="1:2" x14ac:dyDescent="0.25">
      <c r="A3648" t="s">
        <v>491</v>
      </c>
      <c r="B3648" t="s">
        <v>12236</v>
      </c>
    </row>
    <row r="3649" spans="1:2" x14ac:dyDescent="0.25">
      <c r="A3649" t="s">
        <v>494</v>
      </c>
      <c r="B3649" t="s">
        <v>12237</v>
      </c>
    </row>
    <row r="3650" spans="1:2" x14ac:dyDescent="0.25">
      <c r="A3650" t="s">
        <v>496</v>
      </c>
      <c r="B3650" t="s">
        <v>12238</v>
      </c>
    </row>
    <row r="3651" spans="1:2" x14ac:dyDescent="0.25">
      <c r="A3651" t="s">
        <v>1297</v>
      </c>
      <c r="B3651" t="s">
        <v>12239</v>
      </c>
    </row>
    <row r="3652" spans="1:2" x14ac:dyDescent="0.25">
      <c r="A3652" t="s">
        <v>1300</v>
      </c>
      <c r="B3652" t="s">
        <v>12240</v>
      </c>
    </row>
    <row r="3653" spans="1:2" x14ac:dyDescent="0.25">
      <c r="A3653" t="s">
        <v>1302</v>
      </c>
      <c r="B3653" t="s">
        <v>12241</v>
      </c>
    </row>
    <row r="3654" spans="1:2" x14ac:dyDescent="0.25">
      <c r="A3654" t="s">
        <v>1304</v>
      </c>
      <c r="B3654" t="s">
        <v>12242</v>
      </c>
    </row>
    <row r="3655" spans="1:2" x14ac:dyDescent="0.25">
      <c r="A3655" t="s">
        <v>1307</v>
      </c>
      <c r="B3655" t="s">
        <v>12243</v>
      </c>
    </row>
    <row r="3656" spans="1:2" x14ac:dyDescent="0.25">
      <c r="A3656" t="s">
        <v>1309</v>
      </c>
      <c r="B3656" t="s">
        <v>12244</v>
      </c>
    </row>
    <row r="3657" spans="1:2" x14ac:dyDescent="0.25">
      <c r="A3657" t="s">
        <v>2311</v>
      </c>
      <c r="B3657" t="s">
        <v>12245</v>
      </c>
    </row>
    <row r="3658" spans="1:2" x14ac:dyDescent="0.25">
      <c r="A3658" t="s">
        <v>498</v>
      </c>
      <c r="B3658" t="s">
        <v>12246</v>
      </c>
    </row>
    <row r="3659" spans="1:2" x14ac:dyDescent="0.25">
      <c r="A3659" t="s">
        <v>500</v>
      </c>
      <c r="B3659" t="s">
        <v>12247</v>
      </c>
    </row>
    <row r="3660" spans="1:2" x14ac:dyDescent="0.25">
      <c r="A3660" t="s">
        <v>2239</v>
      </c>
      <c r="B3660" t="s">
        <v>12248</v>
      </c>
    </row>
    <row r="3661" spans="1:2" x14ac:dyDescent="0.25">
      <c r="A3661" t="s">
        <v>1316</v>
      </c>
      <c r="B3661" t="s">
        <v>12249</v>
      </c>
    </row>
    <row r="3662" spans="1:2" x14ac:dyDescent="0.25">
      <c r="A3662" t="s">
        <v>502</v>
      </c>
      <c r="B3662" t="s">
        <v>12250</v>
      </c>
    </row>
    <row r="3663" spans="1:2" x14ac:dyDescent="0.25">
      <c r="A3663" t="s">
        <v>506</v>
      </c>
      <c r="B3663" t="s">
        <v>12251</v>
      </c>
    </row>
    <row r="3664" spans="1:2" x14ac:dyDescent="0.25">
      <c r="A3664" t="s">
        <v>510</v>
      </c>
      <c r="B3664" t="s">
        <v>12252</v>
      </c>
    </row>
    <row r="3665" spans="1:2" x14ac:dyDescent="0.25">
      <c r="A3665" t="s">
        <v>514</v>
      </c>
      <c r="B3665" t="s">
        <v>12253</v>
      </c>
    </row>
    <row r="3666" spans="1:2" x14ac:dyDescent="0.25">
      <c r="A3666" t="s">
        <v>518</v>
      </c>
      <c r="B3666" t="s">
        <v>12254</v>
      </c>
    </row>
    <row r="3667" spans="1:2" x14ac:dyDescent="0.25">
      <c r="A3667" t="s">
        <v>521</v>
      </c>
      <c r="B3667" t="s">
        <v>12255</v>
      </c>
    </row>
    <row r="3668" spans="1:2" x14ac:dyDescent="0.25">
      <c r="A3668" t="s">
        <v>523</v>
      </c>
      <c r="B3668" t="s">
        <v>12256</v>
      </c>
    </row>
    <row r="3669" spans="1:2" x14ac:dyDescent="0.25">
      <c r="A3669" t="s">
        <v>525</v>
      </c>
      <c r="B3669" t="s">
        <v>12257</v>
      </c>
    </row>
    <row r="3670" spans="1:2" x14ac:dyDescent="0.25">
      <c r="A3670" t="s">
        <v>527</v>
      </c>
      <c r="B3670" t="s">
        <v>12258</v>
      </c>
    </row>
    <row r="3671" spans="1:2" x14ac:dyDescent="0.25">
      <c r="A3671" t="s">
        <v>529</v>
      </c>
      <c r="B3671" t="s">
        <v>12259</v>
      </c>
    </row>
    <row r="3672" spans="1:2" x14ac:dyDescent="0.25">
      <c r="A3672" t="s">
        <v>531</v>
      </c>
      <c r="B3672" t="s">
        <v>12260</v>
      </c>
    </row>
    <row r="3673" spans="1:2" x14ac:dyDescent="0.25">
      <c r="A3673" t="s">
        <v>533</v>
      </c>
      <c r="B3673" t="s">
        <v>12261</v>
      </c>
    </row>
    <row r="3674" spans="1:2" x14ac:dyDescent="0.25">
      <c r="A3674" t="s">
        <v>535</v>
      </c>
      <c r="B3674" t="s">
        <v>12262</v>
      </c>
    </row>
    <row r="3675" spans="1:2" x14ac:dyDescent="0.25">
      <c r="A3675" t="s">
        <v>537</v>
      </c>
      <c r="B3675" t="s">
        <v>12263</v>
      </c>
    </row>
    <row r="3676" spans="1:2" x14ac:dyDescent="0.25">
      <c r="A3676" t="s">
        <v>540</v>
      </c>
      <c r="B3676" t="s">
        <v>12264</v>
      </c>
    </row>
    <row r="3677" spans="1:2" x14ac:dyDescent="0.25">
      <c r="A3677" t="s">
        <v>542</v>
      </c>
      <c r="B3677" t="s">
        <v>12265</v>
      </c>
    </row>
    <row r="3678" spans="1:2" x14ac:dyDescent="0.25">
      <c r="A3678" t="s">
        <v>544</v>
      </c>
      <c r="B3678" t="s">
        <v>12266</v>
      </c>
    </row>
    <row r="3679" spans="1:2" x14ac:dyDescent="0.25">
      <c r="A3679" t="s">
        <v>1337</v>
      </c>
      <c r="B3679" t="s">
        <v>12267</v>
      </c>
    </row>
    <row r="3680" spans="1:2" x14ac:dyDescent="0.25">
      <c r="A3680" t="s">
        <v>548</v>
      </c>
      <c r="B3680" t="s">
        <v>12268</v>
      </c>
    </row>
    <row r="3681" spans="1:2" x14ac:dyDescent="0.25">
      <c r="A3681" t="s">
        <v>3177</v>
      </c>
      <c r="B3681" t="s">
        <v>12269</v>
      </c>
    </row>
    <row r="3682" spans="1:2" x14ac:dyDescent="0.25">
      <c r="A3682" t="s">
        <v>1339</v>
      </c>
      <c r="B3682" t="s">
        <v>12270</v>
      </c>
    </row>
    <row r="3683" spans="1:2" x14ac:dyDescent="0.25">
      <c r="A3683" t="s">
        <v>1341</v>
      </c>
      <c r="B3683" t="s">
        <v>12271</v>
      </c>
    </row>
    <row r="3684" spans="1:2" x14ac:dyDescent="0.25">
      <c r="A3684" t="s">
        <v>1343</v>
      </c>
      <c r="B3684" t="s">
        <v>12272</v>
      </c>
    </row>
    <row r="3685" spans="1:2" x14ac:dyDescent="0.25">
      <c r="A3685" t="s">
        <v>6134</v>
      </c>
      <c r="B3685" t="s">
        <v>12273</v>
      </c>
    </row>
    <row r="3686" spans="1:2" x14ac:dyDescent="0.25">
      <c r="A3686" t="s">
        <v>550</v>
      </c>
      <c r="B3686" t="s">
        <v>12274</v>
      </c>
    </row>
    <row r="3687" spans="1:2" x14ac:dyDescent="0.25">
      <c r="A3687" t="s">
        <v>553</v>
      </c>
      <c r="B3687" t="s">
        <v>12275</v>
      </c>
    </row>
    <row r="3688" spans="1:2" x14ac:dyDescent="0.25">
      <c r="A3688" t="s">
        <v>555</v>
      </c>
      <c r="B3688" t="s">
        <v>12276</v>
      </c>
    </row>
    <row r="3689" spans="1:2" x14ac:dyDescent="0.25">
      <c r="A3689" t="s">
        <v>558</v>
      </c>
      <c r="B3689" t="s">
        <v>12277</v>
      </c>
    </row>
    <row r="3690" spans="1:2" x14ac:dyDescent="0.25">
      <c r="A3690" t="s">
        <v>561</v>
      </c>
      <c r="B3690" t="s">
        <v>12278</v>
      </c>
    </row>
    <row r="3691" spans="1:2" x14ac:dyDescent="0.25">
      <c r="A3691" t="s">
        <v>2416</v>
      </c>
      <c r="B3691" t="s">
        <v>12279</v>
      </c>
    </row>
    <row r="3692" spans="1:2" x14ac:dyDescent="0.25">
      <c r="A3692" t="s">
        <v>1345</v>
      </c>
      <c r="B3692" t="s">
        <v>12280</v>
      </c>
    </row>
    <row r="3693" spans="1:2" x14ac:dyDescent="0.25">
      <c r="A3693" t="s">
        <v>1347</v>
      </c>
      <c r="B3693" t="s">
        <v>12281</v>
      </c>
    </row>
    <row r="3694" spans="1:2" x14ac:dyDescent="0.25">
      <c r="A3694" t="s">
        <v>1349</v>
      </c>
      <c r="B3694" t="s">
        <v>12282</v>
      </c>
    </row>
    <row r="3695" spans="1:2" x14ac:dyDescent="0.25">
      <c r="A3695" t="s">
        <v>2252</v>
      </c>
      <c r="B3695" t="s">
        <v>12283</v>
      </c>
    </row>
    <row r="3696" spans="1:2" x14ac:dyDescent="0.25">
      <c r="A3696" t="s">
        <v>2254</v>
      </c>
      <c r="B3696" t="s">
        <v>12284</v>
      </c>
    </row>
    <row r="3697" spans="1:2" x14ac:dyDescent="0.25">
      <c r="A3697" t="s">
        <v>2256</v>
      </c>
      <c r="B3697" t="s">
        <v>12285</v>
      </c>
    </row>
    <row r="3698" spans="1:2" x14ac:dyDescent="0.25">
      <c r="A3698" t="s">
        <v>565</v>
      </c>
      <c r="B3698" t="s">
        <v>12286</v>
      </c>
    </row>
    <row r="3699" spans="1:2" x14ac:dyDescent="0.25">
      <c r="A3699" t="s">
        <v>567</v>
      </c>
      <c r="B3699" t="s">
        <v>12287</v>
      </c>
    </row>
    <row r="3700" spans="1:2" x14ac:dyDescent="0.25">
      <c r="A3700" t="s">
        <v>570</v>
      </c>
      <c r="B3700" t="s">
        <v>12288</v>
      </c>
    </row>
    <row r="3701" spans="1:2" x14ac:dyDescent="0.25">
      <c r="A3701" t="s">
        <v>574</v>
      </c>
      <c r="B3701" t="s">
        <v>12289</v>
      </c>
    </row>
    <row r="3702" spans="1:2" x14ac:dyDescent="0.25">
      <c r="A3702" t="s">
        <v>3118</v>
      </c>
      <c r="B3702" t="s">
        <v>12290</v>
      </c>
    </row>
    <row r="3703" spans="1:2" x14ac:dyDescent="0.25">
      <c r="A3703" t="s">
        <v>3120</v>
      </c>
      <c r="B3703" t="s">
        <v>12291</v>
      </c>
    </row>
    <row r="3704" spans="1:2" x14ac:dyDescent="0.25">
      <c r="A3704" t="s">
        <v>7255</v>
      </c>
      <c r="B3704" t="s">
        <v>12292</v>
      </c>
    </row>
    <row r="3705" spans="1:2" x14ac:dyDescent="0.25">
      <c r="A3705" t="s">
        <v>1351</v>
      </c>
      <c r="B3705" t="s">
        <v>12293</v>
      </c>
    </row>
    <row r="3706" spans="1:2" x14ac:dyDescent="0.25">
      <c r="A3706" t="s">
        <v>577</v>
      </c>
      <c r="B3706" t="s">
        <v>12294</v>
      </c>
    </row>
    <row r="3707" spans="1:2" x14ac:dyDescent="0.25">
      <c r="A3707" t="s">
        <v>580</v>
      </c>
      <c r="B3707" t="s">
        <v>12295</v>
      </c>
    </row>
    <row r="3708" spans="1:2" x14ac:dyDescent="0.25">
      <c r="A3708" t="s">
        <v>582</v>
      </c>
      <c r="B3708" t="s">
        <v>12296</v>
      </c>
    </row>
    <row r="3709" spans="1:2" x14ac:dyDescent="0.25">
      <c r="A3709" t="s">
        <v>586</v>
      </c>
      <c r="B3709" t="s">
        <v>12297</v>
      </c>
    </row>
    <row r="3710" spans="1:2" x14ac:dyDescent="0.25">
      <c r="A3710" t="s">
        <v>588</v>
      </c>
      <c r="B3710" t="s">
        <v>12298</v>
      </c>
    </row>
    <row r="3711" spans="1:2" x14ac:dyDescent="0.25">
      <c r="A3711" t="s">
        <v>1353</v>
      </c>
      <c r="B3711" t="s">
        <v>12299</v>
      </c>
    </row>
    <row r="3712" spans="1:2" x14ac:dyDescent="0.25">
      <c r="A3712" t="s">
        <v>2331</v>
      </c>
      <c r="B3712" t="s">
        <v>12300</v>
      </c>
    </row>
    <row r="3713" spans="1:2" x14ac:dyDescent="0.25">
      <c r="A3713" t="s">
        <v>590</v>
      </c>
      <c r="B3713" t="s">
        <v>12301</v>
      </c>
    </row>
    <row r="3714" spans="1:2" x14ac:dyDescent="0.25">
      <c r="A3714" t="s">
        <v>593</v>
      </c>
      <c r="B3714" t="s">
        <v>12302</v>
      </c>
    </row>
    <row r="3715" spans="1:2" x14ac:dyDescent="0.25">
      <c r="A3715" t="s">
        <v>595</v>
      </c>
      <c r="B3715" t="s">
        <v>12303</v>
      </c>
    </row>
    <row r="3716" spans="1:2" x14ac:dyDescent="0.25">
      <c r="A3716" t="s">
        <v>598</v>
      </c>
      <c r="B3716" t="s">
        <v>12304</v>
      </c>
    </row>
    <row r="3717" spans="1:2" x14ac:dyDescent="0.25">
      <c r="A3717" t="s">
        <v>2266</v>
      </c>
      <c r="B3717" t="s">
        <v>12305</v>
      </c>
    </row>
    <row r="3718" spans="1:2" x14ac:dyDescent="0.25">
      <c r="A3718" t="s">
        <v>601</v>
      </c>
      <c r="B3718" t="s">
        <v>12306</v>
      </c>
    </row>
    <row r="3719" spans="1:2" x14ac:dyDescent="0.25">
      <c r="A3719" t="s">
        <v>603</v>
      </c>
      <c r="B3719" t="s">
        <v>12307</v>
      </c>
    </row>
    <row r="3720" spans="1:2" x14ac:dyDescent="0.25">
      <c r="A3720" t="s">
        <v>606</v>
      </c>
      <c r="B3720" t="s">
        <v>12308</v>
      </c>
    </row>
    <row r="3721" spans="1:2" x14ac:dyDescent="0.25">
      <c r="A3721" t="s">
        <v>2521</v>
      </c>
      <c r="B3721" t="s">
        <v>12309</v>
      </c>
    </row>
    <row r="3722" spans="1:2" x14ac:dyDescent="0.25">
      <c r="A3722" t="s">
        <v>2268</v>
      </c>
      <c r="B3722" t="s">
        <v>12310</v>
      </c>
    </row>
    <row r="3723" spans="1:2" x14ac:dyDescent="0.25">
      <c r="A3723" t="s">
        <v>2270</v>
      </c>
      <c r="B3723" t="s">
        <v>12311</v>
      </c>
    </row>
    <row r="3724" spans="1:2" x14ac:dyDescent="0.25">
      <c r="A3724" t="s">
        <v>2274</v>
      </c>
      <c r="B3724" t="s">
        <v>12312</v>
      </c>
    </row>
    <row r="3725" spans="1:2" x14ac:dyDescent="0.25">
      <c r="A3725" t="s">
        <v>2277</v>
      </c>
      <c r="B3725" t="s">
        <v>12313</v>
      </c>
    </row>
    <row r="3726" spans="1:2" x14ac:dyDescent="0.25">
      <c r="A3726" t="s">
        <v>2434</v>
      </c>
      <c r="B3726" t="s">
        <v>12314</v>
      </c>
    </row>
    <row r="3727" spans="1:2" x14ac:dyDescent="0.25">
      <c r="A3727" t="s">
        <v>2436</v>
      </c>
      <c r="B3727" t="s">
        <v>12315</v>
      </c>
    </row>
    <row r="3728" spans="1:2" x14ac:dyDescent="0.25">
      <c r="A3728" t="s">
        <v>610</v>
      </c>
      <c r="B3728" t="s">
        <v>12316</v>
      </c>
    </row>
    <row r="3729" spans="1:2" x14ac:dyDescent="0.25">
      <c r="A3729" t="s">
        <v>612</v>
      </c>
      <c r="B3729" t="s">
        <v>12317</v>
      </c>
    </row>
    <row r="3730" spans="1:2" x14ac:dyDescent="0.25">
      <c r="A3730" t="s">
        <v>614</v>
      </c>
      <c r="B3730" t="s">
        <v>12318</v>
      </c>
    </row>
    <row r="3731" spans="1:2" x14ac:dyDescent="0.25">
      <c r="A3731" t="s">
        <v>2440</v>
      </c>
      <c r="B3731" t="s">
        <v>12319</v>
      </c>
    </row>
    <row r="3732" spans="1:2" x14ac:dyDescent="0.25">
      <c r="A3732" t="s">
        <v>1359</v>
      </c>
      <c r="B3732" t="s">
        <v>12320</v>
      </c>
    </row>
    <row r="3733" spans="1:2" x14ac:dyDescent="0.25">
      <c r="A3733" t="s">
        <v>616</v>
      </c>
      <c r="B3733" t="s">
        <v>12321</v>
      </c>
    </row>
    <row r="3734" spans="1:2" x14ac:dyDescent="0.25">
      <c r="A3734" t="s">
        <v>620</v>
      </c>
      <c r="B3734" t="s">
        <v>12322</v>
      </c>
    </row>
    <row r="3735" spans="1:2" x14ac:dyDescent="0.25">
      <c r="A3735" t="s">
        <v>623</v>
      </c>
      <c r="B3735" t="s">
        <v>12323</v>
      </c>
    </row>
    <row r="3736" spans="1:2" x14ac:dyDescent="0.25">
      <c r="A3736" t="s">
        <v>625</v>
      </c>
      <c r="B3736" t="s">
        <v>12324</v>
      </c>
    </row>
    <row r="3737" spans="1:2" x14ac:dyDescent="0.25">
      <c r="A3737" t="s">
        <v>630</v>
      </c>
      <c r="B3737" t="s">
        <v>12325</v>
      </c>
    </row>
    <row r="3738" spans="1:2" x14ac:dyDescent="0.25">
      <c r="A3738" t="s">
        <v>632</v>
      </c>
      <c r="B3738" t="s">
        <v>12326</v>
      </c>
    </row>
    <row r="3739" spans="1:2" x14ac:dyDescent="0.25">
      <c r="A3739" t="s">
        <v>634</v>
      </c>
      <c r="B3739" t="s">
        <v>12327</v>
      </c>
    </row>
    <row r="3740" spans="1:2" x14ac:dyDescent="0.25">
      <c r="A3740" t="s">
        <v>636</v>
      </c>
      <c r="B3740" t="s">
        <v>12328</v>
      </c>
    </row>
    <row r="3741" spans="1:2" x14ac:dyDescent="0.25">
      <c r="A3741" t="s">
        <v>638</v>
      </c>
      <c r="B3741" t="s">
        <v>12329</v>
      </c>
    </row>
    <row r="3742" spans="1:2" x14ac:dyDescent="0.25">
      <c r="A3742" t="s">
        <v>640</v>
      </c>
      <c r="B3742" t="s">
        <v>12330</v>
      </c>
    </row>
    <row r="3743" spans="1:2" x14ac:dyDescent="0.25">
      <c r="A3743" t="s">
        <v>642</v>
      </c>
      <c r="B3743" t="s">
        <v>12331</v>
      </c>
    </row>
    <row r="3744" spans="1:2" x14ac:dyDescent="0.25">
      <c r="A3744" t="s">
        <v>644</v>
      </c>
      <c r="B3744" t="s">
        <v>12332</v>
      </c>
    </row>
    <row r="3745" spans="1:2" x14ac:dyDescent="0.25">
      <c r="A3745" t="s">
        <v>646</v>
      </c>
      <c r="B3745" t="s">
        <v>12333</v>
      </c>
    </row>
    <row r="3746" spans="1:2" x14ac:dyDescent="0.25">
      <c r="A3746" t="s">
        <v>648</v>
      </c>
      <c r="B3746" t="s">
        <v>12334</v>
      </c>
    </row>
    <row r="3747" spans="1:2" x14ac:dyDescent="0.25">
      <c r="A3747" t="s">
        <v>11385</v>
      </c>
      <c r="B3747" t="s">
        <v>12335</v>
      </c>
    </row>
    <row r="3748" spans="1:2" x14ac:dyDescent="0.25">
      <c r="A3748" t="s">
        <v>11387</v>
      </c>
      <c r="B3748" t="s">
        <v>12336</v>
      </c>
    </row>
    <row r="3749" spans="1:2" x14ac:dyDescent="0.25">
      <c r="A3749" t="s">
        <v>11389</v>
      </c>
      <c r="B3749" t="s">
        <v>12337</v>
      </c>
    </row>
    <row r="3750" spans="1:2" x14ac:dyDescent="0.25">
      <c r="A3750" t="s">
        <v>650</v>
      </c>
      <c r="B3750" t="s">
        <v>12338</v>
      </c>
    </row>
    <row r="3751" spans="1:2" x14ac:dyDescent="0.25">
      <c r="A3751" t="s">
        <v>653</v>
      </c>
      <c r="B3751" t="s">
        <v>12339</v>
      </c>
    </row>
    <row r="3752" spans="1:2" x14ac:dyDescent="0.25">
      <c r="A3752" t="s">
        <v>655</v>
      </c>
      <c r="B3752" t="s">
        <v>12340</v>
      </c>
    </row>
    <row r="3753" spans="1:2" x14ac:dyDescent="0.25">
      <c r="A3753" t="s">
        <v>657</v>
      </c>
      <c r="B3753" t="s">
        <v>12341</v>
      </c>
    </row>
    <row r="3754" spans="1:2" x14ac:dyDescent="0.25">
      <c r="A3754" t="s">
        <v>659</v>
      </c>
      <c r="B3754" t="s">
        <v>12342</v>
      </c>
    </row>
    <row r="3755" spans="1:2" x14ac:dyDescent="0.25">
      <c r="A3755" t="s">
        <v>661</v>
      </c>
      <c r="B3755" t="s">
        <v>12343</v>
      </c>
    </row>
    <row r="3756" spans="1:2" x14ac:dyDescent="0.25">
      <c r="A3756" t="s">
        <v>663</v>
      </c>
      <c r="B3756" t="s">
        <v>12344</v>
      </c>
    </row>
    <row r="3757" spans="1:2" x14ac:dyDescent="0.25">
      <c r="A3757" t="s">
        <v>665</v>
      </c>
      <c r="B3757" t="s">
        <v>12345</v>
      </c>
    </row>
    <row r="3758" spans="1:2" x14ac:dyDescent="0.25">
      <c r="A3758" t="s">
        <v>667</v>
      </c>
      <c r="B3758" t="s">
        <v>12346</v>
      </c>
    </row>
    <row r="3759" spans="1:2" x14ac:dyDescent="0.25">
      <c r="A3759" t="s">
        <v>669</v>
      </c>
      <c r="B3759" t="s">
        <v>12347</v>
      </c>
    </row>
    <row r="3760" spans="1:2" x14ac:dyDescent="0.25">
      <c r="A3760" t="s">
        <v>671</v>
      </c>
      <c r="B3760" t="s">
        <v>12348</v>
      </c>
    </row>
    <row r="3761" spans="1:2" x14ac:dyDescent="0.25">
      <c r="A3761" t="s">
        <v>2460</v>
      </c>
      <c r="B3761" t="s">
        <v>12349</v>
      </c>
    </row>
    <row r="3762" spans="1:2" x14ac:dyDescent="0.25">
      <c r="A3762" t="s">
        <v>2462</v>
      </c>
      <c r="B3762" t="s">
        <v>12350</v>
      </c>
    </row>
    <row r="3763" spans="1:2" x14ac:dyDescent="0.25">
      <c r="A3763" t="s">
        <v>2464</v>
      </c>
      <c r="B3763" t="s">
        <v>12351</v>
      </c>
    </row>
    <row r="3764" spans="1:2" x14ac:dyDescent="0.25">
      <c r="A3764" t="s">
        <v>2466</v>
      </c>
      <c r="B3764" t="s">
        <v>12352</v>
      </c>
    </row>
    <row r="3765" spans="1:2" x14ac:dyDescent="0.25">
      <c r="A3765" t="s">
        <v>2468</v>
      </c>
      <c r="B3765" t="s">
        <v>12353</v>
      </c>
    </row>
    <row r="3766" spans="1:2" x14ac:dyDescent="0.25">
      <c r="A3766" t="s">
        <v>673</v>
      </c>
      <c r="B3766" t="s">
        <v>12354</v>
      </c>
    </row>
    <row r="3767" spans="1:2" x14ac:dyDescent="0.25">
      <c r="A3767" t="s">
        <v>11408</v>
      </c>
      <c r="B3767" t="s">
        <v>12355</v>
      </c>
    </row>
    <row r="3768" spans="1:2" x14ac:dyDescent="0.25">
      <c r="A3768" t="s">
        <v>11410</v>
      </c>
      <c r="B3768" t="s">
        <v>12356</v>
      </c>
    </row>
    <row r="3769" spans="1:2" x14ac:dyDescent="0.25">
      <c r="A3769" t="s">
        <v>11412</v>
      </c>
      <c r="B3769" t="s">
        <v>12357</v>
      </c>
    </row>
    <row r="3770" spans="1:2" x14ac:dyDescent="0.25">
      <c r="A3770" t="s">
        <v>676</v>
      </c>
      <c r="B3770" t="s">
        <v>12358</v>
      </c>
    </row>
    <row r="3771" spans="1:2" x14ac:dyDescent="0.25">
      <c r="A3771" t="s">
        <v>678</v>
      </c>
      <c r="B3771" t="s">
        <v>12359</v>
      </c>
    </row>
    <row r="3772" spans="1:2" x14ac:dyDescent="0.25">
      <c r="A3772" t="s">
        <v>681</v>
      </c>
      <c r="B3772" t="s">
        <v>12360</v>
      </c>
    </row>
    <row r="3773" spans="1:2" x14ac:dyDescent="0.25">
      <c r="A3773" t="s">
        <v>684</v>
      </c>
      <c r="B3773" t="s">
        <v>12361</v>
      </c>
    </row>
    <row r="3774" spans="1:2" x14ac:dyDescent="0.25">
      <c r="A3774" t="s">
        <v>2538</v>
      </c>
      <c r="B3774" t="s">
        <v>12362</v>
      </c>
    </row>
    <row r="3775" spans="1:2" x14ac:dyDescent="0.25">
      <c r="A3775" t="s">
        <v>2540</v>
      </c>
      <c r="B3775" t="s">
        <v>12363</v>
      </c>
    </row>
    <row r="3776" spans="1:2" x14ac:dyDescent="0.25">
      <c r="A3776" t="s">
        <v>2543</v>
      </c>
      <c r="B3776" t="s">
        <v>12364</v>
      </c>
    </row>
    <row r="3777" spans="1:2" x14ac:dyDescent="0.25">
      <c r="A3777" t="s">
        <v>3049</v>
      </c>
      <c r="B3777" t="s">
        <v>12365</v>
      </c>
    </row>
    <row r="3778" spans="1:2" x14ac:dyDescent="0.25">
      <c r="A3778" t="s">
        <v>2765</v>
      </c>
      <c r="B3778" t="s">
        <v>12366</v>
      </c>
    </row>
    <row r="3779" spans="1:2" x14ac:dyDescent="0.25">
      <c r="A3779" t="s">
        <v>3053</v>
      </c>
      <c r="B3779" t="s">
        <v>12367</v>
      </c>
    </row>
    <row r="3780" spans="1:2" x14ac:dyDescent="0.25">
      <c r="A3780" t="s">
        <v>2768</v>
      </c>
      <c r="B3780" t="s">
        <v>12368</v>
      </c>
    </row>
    <row r="3781" spans="1:2" x14ac:dyDescent="0.25">
      <c r="A3781" t="s">
        <v>2771</v>
      </c>
      <c r="B3781" t="s">
        <v>12369</v>
      </c>
    </row>
    <row r="3782" spans="1:2" x14ac:dyDescent="0.25">
      <c r="A3782" t="s">
        <v>2470</v>
      </c>
      <c r="B3782" t="s">
        <v>12370</v>
      </c>
    </row>
    <row r="3783" spans="1:2" x14ac:dyDescent="0.25">
      <c r="A3783" t="s">
        <v>2475</v>
      </c>
      <c r="B3783" t="s">
        <v>12371</v>
      </c>
    </row>
    <row r="3784" spans="1:2" x14ac:dyDescent="0.25">
      <c r="A3784" t="s">
        <v>2477</v>
      </c>
      <c r="B3784" t="s">
        <v>12372</v>
      </c>
    </row>
    <row r="3785" spans="1:2" x14ac:dyDescent="0.25">
      <c r="A3785" t="s">
        <v>2479</v>
      </c>
      <c r="B3785" t="s">
        <v>12373</v>
      </c>
    </row>
    <row r="3786" spans="1:2" x14ac:dyDescent="0.25">
      <c r="A3786" t="s">
        <v>686</v>
      </c>
      <c r="B3786" t="s">
        <v>12374</v>
      </c>
    </row>
    <row r="3787" spans="1:2" x14ac:dyDescent="0.25">
      <c r="A3787" t="s">
        <v>689</v>
      </c>
      <c r="B3787" t="s">
        <v>12375</v>
      </c>
    </row>
    <row r="3788" spans="1:2" x14ac:dyDescent="0.25">
      <c r="A3788" t="s">
        <v>692</v>
      </c>
      <c r="B3788" t="s">
        <v>12376</v>
      </c>
    </row>
    <row r="3789" spans="1:2" x14ac:dyDescent="0.25">
      <c r="A3789" t="s">
        <v>695</v>
      </c>
      <c r="B3789" t="s">
        <v>12377</v>
      </c>
    </row>
    <row r="3790" spans="1:2" x14ac:dyDescent="0.25">
      <c r="A3790" t="s">
        <v>697</v>
      </c>
      <c r="B3790" t="s">
        <v>12378</v>
      </c>
    </row>
    <row r="3791" spans="1:2" x14ac:dyDescent="0.25">
      <c r="A3791" t="s">
        <v>2483</v>
      </c>
      <c r="B3791" t="s">
        <v>12379</v>
      </c>
    </row>
    <row r="3792" spans="1:2" x14ac:dyDescent="0.25">
      <c r="A3792" t="s">
        <v>2485</v>
      </c>
      <c r="B3792" t="s">
        <v>12380</v>
      </c>
    </row>
    <row r="3793" spans="1:2" x14ac:dyDescent="0.25">
      <c r="A3793" t="s">
        <v>2487</v>
      </c>
      <c r="B3793" t="s">
        <v>12381</v>
      </c>
    </row>
    <row r="3794" spans="1:2" x14ac:dyDescent="0.25">
      <c r="A3794" t="s">
        <v>700</v>
      </c>
      <c r="B3794" t="s">
        <v>12382</v>
      </c>
    </row>
    <row r="3795" spans="1:2" x14ac:dyDescent="0.25">
      <c r="A3795" t="s">
        <v>704</v>
      </c>
      <c r="B3795" t="s">
        <v>12383</v>
      </c>
    </row>
    <row r="3796" spans="1:2" x14ac:dyDescent="0.25">
      <c r="A3796" t="s">
        <v>708</v>
      </c>
      <c r="B3796" t="s">
        <v>12384</v>
      </c>
    </row>
    <row r="3797" spans="1:2" x14ac:dyDescent="0.25">
      <c r="A3797" t="s">
        <v>711</v>
      </c>
      <c r="B3797" t="s">
        <v>12385</v>
      </c>
    </row>
    <row r="3798" spans="1:2" x14ac:dyDescent="0.25">
      <c r="A3798" t="s">
        <v>715</v>
      </c>
      <c r="B3798" t="s">
        <v>12386</v>
      </c>
    </row>
    <row r="3799" spans="1:2" x14ac:dyDescent="0.25">
      <c r="A3799" t="s">
        <v>718</v>
      </c>
      <c r="B3799" t="s">
        <v>12387</v>
      </c>
    </row>
    <row r="3800" spans="1:2" x14ac:dyDescent="0.25">
      <c r="A3800" t="s">
        <v>720</v>
      </c>
      <c r="B3800" t="s">
        <v>12388</v>
      </c>
    </row>
    <row r="3801" spans="1:2" x14ac:dyDescent="0.25">
      <c r="A3801" t="s">
        <v>11445</v>
      </c>
      <c r="B3801" t="s">
        <v>12389</v>
      </c>
    </row>
    <row r="3802" spans="1:2" x14ac:dyDescent="0.25">
      <c r="A3802" t="s">
        <v>2794</v>
      </c>
      <c r="B3802" t="s">
        <v>12390</v>
      </c>
    </row>
    <row r="3803" spans="1:2" x14ac:dyDescent="0.25">
      <c r="A3803" t="s">
        <v>2796</v>
      </c>
      <c r="B3803" t="s">
        <v>12391</v>
      </c>
    </row>
    <row r="3804" spans="1:2" x14ac:dyDescent="0.25">
      <c r="A3804" t="s">
        <v>3230</v>
      </c>
      <c r="B3804" t="s">
        <v>12392</v>
      </c>
    </row>
    <row r="3805" spans="1:2" x14ac:dyDescent="0.25">
      <c r="A3805" t="s">
        <v>3233</v>
      </c>
      <c r="B3805" t="s">
        <v>12393</v>
      </c>
    </row>
    <row r="3806" spans="1:2" x14ac:dyDescent="0.25">
      <c r="A3806" t="s">
        <v>3235</v>
      </c>
      <c r="B3806" t="s">
        <v>12394</v>
      </c>
    </row>
    <row r="3807" spans="1:2" x14ac:dyDescent="0.25">
      <c r="A3807" t="s">
        <v>3237</v>
      </c>
      <c r="B3807" t="s">
        <v>12395</v>
      </c>
    </row>
    <row r="3808" spans="1:2" x14ac:dyDescent="0.25">
      <c r="A3808" t="s">
        <v>722</v>
      </c>
      <c r="B3808" t="s">
        <v>12396</v>
      </c>
    </row>
    <row r="3809" spans="1:2" x14ac:dyDescent="0.25">
      <c r="A3809" t="s">
        <v>724</v>
      </c>
      <c r="B3809" t="s">
        <v>12397</v>
      </c>
    </row>
    <row r="3810" spans="1:2" x14ac:dyDescent="0.25">
      <c r="A3810" t="s">
        <v>3241</v>
      </c>
      <c r="B3810" t="s">
        <v>12398</v>
      </c>
    </row>
    <row r="3811" spans="1:2" x14ac:dyDescent="0.25">
      <c r="A3811" t="s">
        <v>11456</v>
      </c>
      <c r="B3811" t="s">
        <v>12399</v>
      </c>
    </row>
    <row r="3812" spans="1:2" x14ac:dyDescent="0.25">
      <c r="A3812" t="s">
        <v>11458</v>
      </c>
      <c r="B3812" t="s">
        <v>12400</v>
      </c>
    </row>
    <row r="3813" spans="1:2" x14ac:dyDescent="0.25">
      <c r="A3813" t="s">
        <v>11460</v>
      </c>
      <c r="B3813" t="s">
        <v>12401</v>
      </c>
    </row>
    <row r="3814" spans="1:2" x14ac:dyDescent="0.25">
      <c r="A3814" t="s">
        <v>726</v>
      </c>
      <c r="B3814" t="s">
        <v>12402</v>
      </c>
    </row>
    <row r="3815" spans="1:2" x14ac:dyDescent="0.25">
      <c r="A3815" t="s">
        <v>729</v>
      </c>
      <c r="B3815" t="s">
        <v>12403</v>
      </c>
    </row>
    <row r="3816" spans="1:2" x14ac:dyDescent="0.25">
      <c r="A3816" t="s">
        <v>733</v>
      </c>
      <c r="B3816" t="s">
        <v>12404</v>
      </c>
    </row>
    <row r="3817" spans="1:2" x14ac:dyDescent="0.25">
      <c r="A3817" t="s">
        <v>11465</v>
      </c>
      <c r="B3817" t="s">
        <v>12405</v>
      </c>
    </row>
    <row r="3818" spans="1:2" x14ac:dyDescent="0.25">
      <c r="A3818" t="s">
        <v>11467</v>
      </c>
      <c r="B3818" t="s">
        <v>12406</v>
      </c>
    </row>
    <row r="3819" spans="1:2" x14ac:dyDescent="0.25">
      <c r="A3819" t="s">
        <v>11469</v>
      </c>
      <c r="B3819" t="s">
        <v>12407</v>
      </c>
    </row>
    <row r="3820" spans="1:2" x14ac:dyDescent="0.25">
      <c r="A3820" t="s">
        <v>11471</v>
      </c>
      <c r="B3820" t="s">
        <v>12408</v>
      </c>
    </row>
    <row r="3821" spans="1:2" x14ac:dyDescent="0.25">
      <c r="A3821" t="s">
        <v>11473</v>
      </c>
      <c r="B3821" t="s">
        <v>12409</v>
      </c>
    </row>
    <row r="3822" spans="1:2" x14ac:dyDescent="0.25">
      <c r="A3822" t="s">
        <v>736</v>
      </c>
      <c r="B3822" t="s">
        <v>12410</v>
      </c>
    </row>
    <row r="3823" spans="1:2" x14ac:dyDescent="0.25">
      <c r="A3823" t="s">
        <v>739</v>
      </c>
      <c r="B3823" t="s">
        <v>12411</v>
      </c>
    </row>
    <row r="3824" spans="1:2" x14ac:dyDescent="0.25">
      <c r="A3824" t="s">
        <v>741</v>
      </c>
      <c r="B3824" t="s">
        <v>12412</v>
      </c>
    </row>
    <row r="3825" spans="1:2" x14ac:dyDescent="0.25">
      <c r="A3825" t="s">
        <v>744</v>
      </c>
      <c r="B3825" t="s">
        <v>12413</v>
      </c>
    </row>
    <row r="3826" spans="1:2" x14ac:dyDescent="0.25">
      <c r="A3826" t="s">
        <v>746</v>
      </c>
      <c r="B3826" t="s">
        <v>12414</v>
      </c>
    </row>
    <row r="3827" spans="1:2" x14ac:dyDescent="0.25">
      <c r="A3827" t="s">
        <v>748</v>
      </c>
      <c r="B3827" t="s">
        <v>12415</v>
      </c>
    </row>
    <row r="3828" spans="1:2" x14ac:dyDescent="0.25">
      <c r="A3828" t="s">
        <v>750</v>
      </c>
      <c r="B3828" t="s">
        <v>12416</v>
      </c>
    </row>
    <row r="3829" spans="1:2" x14ac:dyDescent="0.25">
      <c r="A3829" t="s">
        <v>752</v>
      </c>
      <c r="B3829" t="s">
        <v>12417</v>
      </c>
    </row>
    <row r="3830" spans="1:2" x14ac:dyDescent="0.25">
      <c r="A3830" t="s">
        <v>755</v>
      </c>
      <c r="B3830" t="s">
        <v>12418</v>
      </c>
    </row>
    <row r="3831" spans="1:2" x14ac:dyDescent="0.25">
      <c r="A3831" t="s">
        <v>758</v>
      </c>
      <c r="B3831" t="s">
        <v>12419</v>
      </c>
    </row>
    <row r="3832" spans="1:2" x14ac:dyDescent="0.25">
      <c r="A3832" t="s">
        <v>760</v>
      </c>
      <c r="B3832" t="s">
        <v>12420</v>
      </c>
    </row>
    <row r="3833" spans="1:2" x14ac:dyDescent="0.25">
      <c r="A3833" t="s">
        <v>763</v>
      </c>
      <c r="B3833" t="s">
        <v>12421</v>
      </c>
    </row>
    <row r="3834" spans="1:2" x14ac:dyDescent="0.25">
      <c r="A3834" t="s">
        <v>765</v>
      </c>
      <c r="B3834" t="s">
        <v>12422</v>
      </c>
    </row>
    <row r="3835" spans="1:2" x14ac:dyDescent="0.25">
      <c r="A3835" t="s">
        <v>768</v>
      </c>
      <c r="B3835" t="s">
        <v>12423</v>
      </c>
    </row>
    <row r="3836" spans="1:2" x14ac:dyDescent="0.25">
      <c r="A3836" t="s">
        <v>771</v>
      </c>
      <c r="B3836" t="s">
        <v>12424</v>
      </c>
    </row>
    <row r="3837" spans="1:2" x14ac:dyDescent="0.25">
      <c r="A3837" t="s">
        <v>773</v>
      </c>
      <c r="B3837" t="s">
        <v>12425</v>
      </c>
    </row>
    <row r="3838" spans="1:2" x14ac:dyDescent="0.25">
      <c r="A3838" t="s">
        <v>775</v>
      </c>
      <c r="B3838" t="s">
        <v>12426</v>
      </c>
    </row>
    <row r="3839" spans="1:2" x14ac:dyDescent="0.25">
      <c r="A3839" t="s">
        <v>777</v>
      </c>
      <c r="B3839" t="s">
        <v>12427</v>
      </c>
    </row>
    <row r="3840" spans="1:2" x14ac:dyDescent="0.25">
      <c r="A3840" t="s">
        <v>780</v>
      </c>
      <c r="B3840" t="s">
        <v>12428</v>
      </c>
    </row>
    <row r="3841" spans="1:2" x14ac:dyDescent="0.25">
      <c r="A3841" t="s">
        <v>2561</v>
      </c>
      <c r="B3841" t="s">
        <v>12429</v>
      </c>
    </row>
    <row r="3842" spans="1:2" x14ac:dyDescent="0.25">
      <c r="A3842" t="s">
        <v>2564</v>
      </c>
      <c r="B3842" t="s">
        <v>12430</v>
      </c>
    </row>
    <row r="3843" spans="1:2" x14ac:dyDescent="0.25">
      <c r="A3843" t="s">
        <v>2567</v>
      </c>
      <c r="B3843" t="s">
        <v>12431</v>
      </c>
    </row>
    <row r="3844" spans="1:2" x14ac:dyDescent="0.25">
      <c r="A3844" t="s">
        <v>2569</v>
      </c>
      <c r="B3844" t="s">
        <v>12432</v>
      </c>
    </row>
    <row r="3845" spans="1:2" x14ac:dyDescent="0.25">
      <c r="A3845" t="s">
        <v>2571</v>
      </c>
      <c r="B3845" t="s">
        <v>12433</v>
      </c>
    </row>
    <row r="3846" spans="1:2" x14ac:dyDescent="0.25">
      <c r="A3846" t="s">
        <v>2573</v>
      </c>
      <c r="B3846" t="s">
        <v>12434</v>
      </c>
    </row>
    <row r="3847" spans="1:2" x14ac:dyDescent="0.25">
      <c r="A3847" t="s">
        <v>2575</v>
      </c>
      <c r="B3847" t="s">
        <v>12435</v>
      </c>
    </row>
    <row r="3848" spans="1:2" x14ac:dyDescent="0.25">
      <c r="A3848" t="s">
        <v>2577</v>
      </c>
      <c r="B3848" t="s">
        <v>12436</v>
      </c>
    </row>
    <row r="3849" spans="1:2" x14ac:dyDescent="0.25">
      <c r="A3849" t="s">
        <v>2579</v>
      </c>
      <c r="B3849" t="s">
        <v>12437</v>
      </c>
    </row>
    <row r="3850" spans="1:2" x14ac:dyDescent="0.25">
      <c r="A3850" t="s">
        <v>2582</v>
      </c>
      <c r="B3850" t="s">
        <v>12438</v>
      </c>
    </row>
    <row r="3851" spans="1:2" x14ac:dyDescent="0.25">
      <c r="A3851" t="s">
        <v>2585</v>
      </c>
      <c r="B3851" t="s">
        <v>12439</v>
      </c>
    </row>
    <row r="3852" spans="1:2" x14ac:dyDescent="0.25">
      <c r="A3852" t="s">
        <v>2587</v>
      </c>
      <c r="B3852" t="s">
        <v>12440</v>
      </c>
    </row>
    <row r="3853" spans="1:2" x14ac:dyDescent="0.25">
      <c r="A3853" t="s">
        <v>2589</v>
      </c>
      <c r="B3853" t="s">
        <v>12441</v>
      </c>
    </row>
    <row r="3854" spans="1:2" x14ac:dyDescent="0.25">
      <c r="A3854" t="s">
        <v>783</v>
      </c>
      <c r="B3854" t="s">
        <v>12442</v>
      </c>
    </row>
    <row r="3855" spans="1:2" x14ac:dyDescent="0.25">
      <c r="A3855" t="s">
        <v>2592</v>
      </c>
      <c r="B3855" t="s">
        <v>12443</v>
      </c>
    </row>
    <row r="3856" spans="1:2" x14ac:dyDescent="0.25">
      <c r="A3856" t="s">
        <v>786</v>
      </c>
      <c r="B3856" t="s">
        <v>12444</v>
      </c>
    </row>
    <row r="3857" spans="1:2" x14ac:dyDescent="0.25">
      <c r="A3857" t="s">
        <v>2595</v>
      </c>
      <c r="B3857" t="s">
        <v>12445</v>
      </c>
    </row>
    <row r="3858" spans="1:2" x14ac:dyDescent="0.25">
      <c r="A3858" t="s">
        <v>789</v>
      </c>
      <c r="B3858" t="s">
        <v>12446</v>
      </c>
    </row>
    <row r="3859" spans="1:2" x14ac:dyDescent="0.25">
      <c r="A3859" t="s">
        <v>2598</v>
      </c>
      <c r="B3859" t="s">
        <v>12447</v>
      </c>
    </row>
    <row r="3860" spans="1:2" x14ac:dyDescent="0.25">
      <c r="A3860" t="s">
        <v>792</v>
      </c>
      <c r="B3860" t="s">
        <v>12448</v>
      </c>
    </row>
    <row r="3861" spans="1:2" x14ac:dyDescent="0.25">
      <c r="A3861" t="s">
        <v>2811</v>
      </c>
      <c r="B3861" t="s">
        <v>12449</v>
      </c>
    </row>
    <row r="3862" spans="1:2" x14ac:dyDescent="0.25">
      <c r="A3862" t="s">
        <v>794</v>
      </c>
      <c r="B3862" t="s">
        <v>12450</v>
      </c>
    </row>
    <row r="3863" spans="1:2" x14ac:dyDescent="0.25">
      <c r="A3863" t="s">
        <v>12451</v>
      </c>
      <c r="B3863" t="s">
        <v>12452</v>
      </c>
    </row>
    <row r="3864" spans="1:2" x14ac:dyDescent="0.25">
      <c r="A3864" t="s">
        <v>797</v>
      </c>
      <c r="B3864" t="s">
        <v>12453</v>
      </c>
    </row>
    <row r="3865" spans="1:2" x14ac:dyDescent="0.25">
      <c r="A3865" t="s">
        <v>12454</v>
      </c>
      <c r="B3865" t="s">
        <v>12455</v>
      </c>
    </row>
    <row r="3866" spans="1:2" x14ac:dyDescent="0.25">
      <c r="A3866" t="s">
        <v>799</v>
      </c>
      <c r="B3866" t="s">
        <v>12456</v>
      </c>
    </row>
    <row r="3867" spans="1:2" x14ac:dyDescent="0.25">
      <c r="A3867" t="s">
        <v>11496</v>
      </c>
      <c r="B3867" t="s">
        <v>12457</v>
      </c>
    </row>
    <row r="3868" spans="1:2" x14ac:dyDescent="0.25">
      <c r="A3868" t="s">
        <v>802</v>
      </c>
      <c r="B3868" t="s">
        <v>12458</v>
      </c>
    </row>
    <row r="3869" spans="1:2" x14ac:dyDescent="0.25">
      <c r="A3869" t="s">
        <v>11499</v>
      </c>
      <c r="B3869" t="s">
        <v>12459</v>
      </c>
    </row>
    <row r="3870" spans="1:2" x14ac:dyDescent="0.25">
      <c r="A3870" t="s">
        <v>804</v>
      </c>
      <c r="B3870" t="s">
        <v>12460</v>
      </c>
    </row>
    <row r="3871" spans="1:2" x14ac:dyDescent="0.25">
      <c r="A3871" t="s">
        <v>807</v>
      </c>
      <c r="B3871" t="s">
        <v>12461</v>
      </c>
    </row>
    <row r="3872" spans="1:2" x14ac:dyDescent="0.25">
      <c r="A3872" t="s">
        <v>810</v>
      </c>
      <c r="B3872" t="s">
        <v>12462</v>
      </c>
    </row>
    <row r="3873" spans="1:2" x14ac:dyDescent="0.25">
      <c r="A3873" t="s">
        <v>813</v>
      </c>
      <c r="B3873" t="s">
        <v>12463</v>
      </c>
    </row>
    <row r="3874" spans="1:2" x14ac:dyDescent="0.25">
      <c r="A3874" t="s">
        <v>816</v>
      </c>
      <c r="B3874" t="s">
        <v>12464</v>
      </c>
    </row>
    <row r="3875" spans="1:2" x14ac:dyDescent="0.25">
      <c r="A3875" t="s">
        <v>820</v>
      </c>
      <c r="B3875" t="s">
        <v>12465</v>
      </c>
    </row>
    <row r="3876" spans="1:2" x14ac:dyDescent="0.25">
      <c r="A3876" t="s">
        <v>822</v>
      </c>
      <c r="B3876" t="s">
        <v>12466</v>
      </c>
    </row>
    <row r="3877" spans="1:2" x14ac:dyDescent="0.25">
      <c r="A3877" t="s">
        <v>824</v>
      </c>
      <c r="B3877" t="s">
        <v>12467</v>
      </c>
    </row>
    <row r="3878" spans="1:2" x14ac:dyDescent="0.25">
      <c r="A3878" t="s">
        <v>2279</v>
      </c>
      <c r="B3878" t="s">
        <v>12468</v>
      </c>
    </row>
    <row r="3879" spans="1:2" x14ac:dyDescent="0.25">
      <c r="A3879" t="s">
        <v>2820</v>
      </c>
      <c r="B3879" t="s">
        <v>12469</v>
      </c>
    </row>
    <row r="3880" spans="1:2" x14ac:dyDescent="0.25">
      <c r="A3880" t="s">
        <v>11511</v>
      </c>
      <c r="B3880" t="s">
        <v>12470</v>
      </c>
    </row>
    <row r="3881" spans="1:2" x14ac:dyDescent="0.25">
      <c r="A3881" t="s">
        <v>11513</v>
      </c>
      <c r="B3881" t="s">
        <v>12471</v>
      </c>
    </row>
    <row r="3882" spans="1:2" x14ac:dyDescent="0.25">
      <c r="A3882" t="s">
        <v>826</v>
      </c>
      <c r="B3882" t="s">
        <v>12472</v>
      </c>
    </row>
    <row r="3883" spans="1:2" x14ac:dyDescent="0.25">
      <c r="A3883" t="s">
        <v>828</v>
      </c>
      <c r="B3883" t="s">
        <v>12473</v>
      </c>
    </row>
    <row r="3884" spans="1:2" x14ac:dyDescent="0.25">
      <c r="A3884" t="s">
        <v>830</v>
      </c>
      <c r="B3884" t="s">
        <v>12474</v>
      </c>
    </row>
    <row r="3885" spans="1:2" x14ac:dyDescent="0.25">
      <c r="A3885" t="s">
        <v>832</v>
      </c>
      <c r="B3885" t="s">
        <v>12475</v>
      </c>
    </row>
    <row r="3886" spans="1:2" x14ac:dyDescent="0.25">
      <c r="A3886" t="s">
        <v>834</v>
      </c>
      <c r="B3886" t="s">
        <v>12476</v>
      </c>
    </row>
    <row r="3887" spans="1:2" x14ac:dyDescent="0.25">
      <c r="A3887" t="s">
        <v>836</v>
      </c>
      <c r="B3887" t="s">
        <v>12477</v>
      </c>
    </row>
    <row r="3888" spans="1:2" x14ac:dyDescent="0.25">
      <c r="A3888" t="s">
        <v>838</v>
      </c>
      <c r="B3888" t="s">
        <v>12478</v>
      </c>
    </row>
    <row r="3889" spans="1:2" x14ac:dyDescent="0.25">
      <c r="A3889" t="s">
        <v>840</v>
      </c>
      <c r="B3889" t="s">
        <v>12479</v>
      </c>
    </row>
    <row r="3890" spans="1:2" x14ac:dyDescent="0.25">
      <c r="A3890" t="s">
        <v>842</v>
      </c>
      <c r="B3890" t="s">
        <v>12480</v>
      </c>
    </row>
    <row r="3891" spans="1:2" x14ac:dyDescent="0.25">
      <c r="A3891" t="s">
        <v>844</v>
      </c>
      <c r="B3891" t="s">
        <v>12481</v>
      </c>
    </row>
    <row r="3892" spans="1:2" x14ac:dyDescent="0.25">
      <c r="A3892" t="s">
        <v>846</v>
      </c>
      <c r="B3892" t="s">
        <v>12482</v>
      </c>
    </row>
    <row r="3893" spans="1:2" x14ac:dyDescent="0.25">
      <c r="A3893" t="s">
        <v>848</v>
      </c>
      <c r="B3893" t="s">
        <v>12483</v>
      </c>
    </row>
    <row r="3894" spans="1:2" x14ac:dyDescent="0.25">
      <c r="A3894" t="s">
        <v>850</v>
      </c>
      <c r="B3894" t="s">
        <v>12484</v>
      </c>
    </row>
    <row r="3895" spans="1:2" x14ac:dyDescent="0.25">
      <c r="A3895" t="s">
        <v>852</v>
      </c>
      <c r="B3895" t="s">
        <v>12485</v>
      </c>
    </row>
    <row r="3896" spans="1:2" x14ac:dyDescent="0.25">
      <c r="A3896" t="s">
        <v>854</v>
      </c>
      <c r="B3896" t="s">
        <v>12486</v>
      </c>
    </row>
    <row r="3897" spans="1:2" x14ac:dyDescent="0.25">
      <c r="A3897" t="s">
        <v>856</v>
      </c>
      <c r="B3897" t="s">
        <v>12487</v>
      </c>
    </row>
    <row r="3898" spans="1:2" x14ac:dyDescent="0.25">
      <c r="A3898" t="s">
        <v>858</v>
      </c>
      <c r="B3898" t="s">
        <v>12488</v>
      </c>
    </row>
    <row r="3899" spans="1:2" x14ac:dyDescent="0.25">
      <c r="A3899" t="s">
        <v>860</v>
      </c>
      <c r="B3899" t="s">
        <v>12489</v>
      </c>
    </row>
    <row r="3900" spans="1:2" x14ac:dyDescent="0.25">
      <c r="A3900" t="s">
        <v>862</v>
      </c>
      <c r="B3900" t="s">
        <v>12490</v>
      </c>
    </row>
    <row r="3901" spans="1:2" x14ac:dyDescent="0.25">
      <c r="A3901" t="s">
        <v>864</v>
      </c>
      <c r="B3901" t="s">
        <v>12491</v>
      </c>
    </row>
    <row r="3902" spans="1:2" x14ac:dyDescent="0.25">
      <c r="A3902" t="s">
        <v>867</v>
      </c>
      <c r="B3902" t="s">
        <v>12492</v>
      </c>
    </row>
    <row r="3903" spans="1:2" x14ac:dyDescent="0.25">
      <c r="A3903" t="s">
        <v>869</v>
      </c>
      <c r="B3903" t="s">
        <v>12493</v>
      </c>
    </row>
    <row r="3904" spans="1:2" x14ac:dyDescent="0.25">
      <c r="A3904" t="s">
        <v>871</v>
      </c>
      <c r="B3904" t="s">
        <v>12494</v>
      </c>
    </row>
    <row r="3905" spans="1:2" x14ac:dyDescent="0.25">
      <c r="A3905" t="s">
        <v>873</v>
      </c>
      <c r="B3905" t="s">
        <v>12495</v>
      </c>
    </row>
    <row r="3906" spans="1:2" x14ac:dyDescent="0.25">
      <c r="A3906" t="s">
        <v>875</v>
      </c>
      <c r="B3906" t="s">
        <v>12496</v>
      </c>
    </row>
    <row r="3907" spans="1:2" x14ac:dyDescent="0.25">
      <c r="A3907" t="s">
        <v>2346</v>
      </c>
      <c r="B3907" t="s">
        <v>12497</v>
      </c>
    </row>
    <row r="3908" spans="1:2" x14ac:dyDescent="0.25">
      <c r="A3908" t="s">
        <v>6948</v>
      </c>
      <c r="B3908" t="s">
        <v>12498</v>
      </c>
    </row>
    <row r="3909" spans="1:2" x14ac:dyDescent="0.25">
      <c r="A3909" t="s">
        <v>6950</v>
      </c>
      <c r="B3909" t="s">
        <v>12499</v>
      </c>
    </row>
    <row r="3910" spans="1:2" x14ac:dyDescent="0.25">
      <c r="A3910" t="s">
        <v>2348</v>
      </c>
      <c r="B3910" t="s">
        <v>12500</v>
      </c>
    </row>
    <row r="3911" spans="1:2" x14ac:dyDescent="0.25">
      <c r="A3911" t="s">
        <v>877</v>
      </c>
      <c r="B3911" t="s">
        <v>12501</v>
      </c>
    </row>
    <row r="3912" spans="1:2" x14ac:dyDescent="0.25">
      <c r="A3912" t="s">
        <v>879</v>
      </c>
      <c r="B3912" t="s">
        <v>12502</v>
      </c>
    </row>
    <row r="3913" spans="1:2" x14ac:dyDescent="0.25">
      <c r="A3913" t="s">
        <v>11546</v>
      </c>
      <c r="B3913" t="s">
        <v>12503</v>
      </c>
    </row>
    <row r="3914" spans="1:2" x14ac:dyDescent="0.25">
      <c r="A3914" t="s">
        <v>2350</v>
      </c>
      <c r="B3914" t="s">
        <v>12504</v>
      </c>
    </row>
    <row r="3915" spans="1:2" x14ac:dyDescent="0.25">
      <c r="A3915" t="s">
        <v>6954</v>
      </c>
      <c r="B3915" t="s">
        <v>12505</v>
      </c>
    </row>
    <row r="3916" spans="1:2" x14ac:dyDescent="0.25">
      <c r="A3916" t="s">
        <v>2352</v>
      </c>
      <c r="B3916" t="s">
        <v>12506</v>
      </c>
    </row>
    <row r="3917" spans="1:2" x14ac:dyDescent="0.25">
      <c r="A3917" t="s">
        <v>6957</v>
      </c>
      <c r="B3917" t="s">
        <v>12507</v>
      </c>
    </row>
    <row r="3918" spans="1:2" x14ac:dyDescent="0.25">
      <c r="A3918" t="s">
        <v>11552</v>
      </c>
      <c r="B3918" t="s">
        <v>12508</v>
      </c>
    </row>
    <row r="3919" spans="1:2" x14ac:dyDescent="0.25">
      <c r="A3919" t="s">
        <v>11554</v>
      </c>
      <c r="B3919" t="s">
        <v>12509</v>
      </c>
    </row>
    <row r="3920" spans="1:2" x14ac:dyDescent="0.25">
      <c r="A3920" t="s">
        <v>11556</v>
      </c>
      <c r="B3920" t="s">
        <v>12510</v>
      </c>
    </row>
    <row r="3921" spans="1:2" x14ac:dyDescent="0.25">
      <c r="A3921" t="s">
        <v>11558</v>
      </c>
      <c r="B3921" t="s">
        <v>12511</v>
      </c>
    </row>
    <row r="3922" spans="1:2" x14ac:dyDescent="0.25">
      <c r="A3922" t="s">
        <v>881</v>
      </c>
      <c r="B3922" t="s">
        <v>12512</v>
      </c>
    </row>
    <row r="3923" spans="1:2" x14ac:dyDescent="0.25">
      <c r="A3923" t="s">
        <v>884</v>
      </c>
      <c r="B3923" t="s">
        <v>12513</v>
      </c>
    </row>
    <row r="3924" spans="1:2" x14ac:dyDescent="0.25">
      <c r="A3924" t="s">
        <v>886</v>
      </c>
      <c r="B3924" t="s">
        <v>12514</v>
      </c>
    </row>
    <row r="3925" spans="1:2" x14ac:dyDescent="0.25">
      <c r="A3925" t="s">
        <v>888</v>
      </c>
      <c r="B3925" t="s">
        <v>12515</v>
      </c>
    </row>
    <row r="3926" spans="1:2" x14ac:dyDescent="0.25">
      <c r="A3926" t="s">
        <v>890</v>
      </c>
      <c r="B3926" t="s">
        <v>12516</v>
      </c>
    </row>
    <row r="3927" spans="1:2" x14ac:dyDescent="0.25">
      <c r="A3927" t="s">
        <v>892</v>
      </c>
      <c r="B3927" t="s">
        <v>12517</v>
      </c>
    </row>
    <row r="3928" spans="1:2" x14ac:dyDescent="0.25">
      <c r="A3928" t="s">
        <v>894</v>
      </c>
      <c r="B3928" t="s">
        <v>12518</v>
      </c>
    </row>
    <row r="3929" spans="1:2" x14ac:dyDescent="0.25">
      <c r="A3929" t="s">
        <v>897</v>
      </c>
      <c r="B3929" t="s">
        <v>12519</v>
      </c>
    </row>
    <row r="3930" spans="1:2" x14ac:dyDescent="0.25">
      <c r="A3930" t="s">
        <v>900</v>
      </c>
      <c r="B3930" t="s">
        <v>12520</v>
      </c>
    </row>
    <row r="3931" spans="1:2" x14ac:dyDescent="0.25">
      <c r="A3931" t="s">
        <v>903</v>
      </c>
      <c r="B3931" t="s">
        <v>12521</v>
      </c>
    </row>
    <row r="3932" spans="1:2" x14ac:dyDescent="0.25">
      <c r="A3932" t="s">
        <v>905</v>
      </c>
      <c r="B3932" t="s">
        <v>12522</v>
      </c>
    </row>
    <row r="3933" spans="1:2" x14ac:dyDescent="0.25">
      <c r="A3933" t="s">
        <v>907</v>
      </c>
      <c r="B3933" t="s">
        <v>12523</v>
      </c>
    </row>
    <row r="3934" spans="1:2" x14ac:dyDescent="0.25">
      <c r="A3934" t="s">
        <v>909</v>
      </c>
      <c r="B3934" t="s">
        <v>12524</v>
      </c>
    </row>
    <row r="3935" spans="1:2" x14ac:dyDescent="0.25">
      <c r="A3935" t="s">
        <v>912</v>
      </c>
      <c r="B3935" t="s">
        <v>12525</v>
      </c>
    </row>
    <row r="3936" spans="1:2" x14ac:dyDescent="0.25">
      <c r="A3936" t="s">
        <v>915</v>
      </c>
      <c r="B3936" t="s">
        <v>12526</v>
      </c>
    </row>
    <row r="3937" spans="1:2" x14ac:dyDescent="0.25">
      <c r="A3937" t="s">
        <v>918</v>
      </c>
      <c r="B3937" t="s">
        <v>12527</v>
      </c>
    </row>
    <row r="3938" spans="1:2" x14ac:dyDescent="0.25">
      <c r="A3938" t="s">
        <v>1387</v>
      </c>
      <c r="B3938" t="s">
        <v>12528</v>
      </c>
    </row>
    <row r="3939" spans="1:2" x14ac:dyDescent="0.25">
      <c r="A3939" t="s">
        <v>921</v>
      </c>
      <c r="B3939" t="s">
        <v>12529</v>
      </c>
    </row>
    <row r="3940" spans="1:2" x14ac:dyDescent="0.25">
      <c r="A3940" t="s">
        <v>924</v>
      </c>
      <c r="B3940" t="s">
        <v>12530</v>
      </c>
    </row>
    <row r="3941" spans="1:2" x14ac:dyDescent="0.25">
      <c r="A3941" t="s">
        <v>927</v>
      </c>
      <c r="B3941" t="s">
        <v>12531</v>
      </c>
    </row>
    <row r="3942" spans="1:2" x14ac:dyDescent="0.25">
      <c r="A3942" t="s">
        <v>930</v>
      </c>
      <c r="B3942" t="s">
        <v>12532</v>
      </c>
    </row>
    <row r="3943" spans="1:2" x14ac:dyDescent="0.25">
      <c r="A3943" t="s">
        <v>933</v>
      </c>
      <c r="B3943" t="s">
        <v>12533</v>
      </c>
    </row>
    <row r="3944" spans="1:2" x14ac:dyDescent="0.25">
      <c r="A3944" t="s">
        <v>936</v>
      </c>
      <c r="B3944" t="s">
        <v>12534</v>
      </c>
    </row>
    <row r="3945" spans="1:2" x14ac:dyDescent="0.25">
      <c r="A3945" t="s">
        <v>939</v>
      </c>
      <c r="B3945" t="s">
        <v>12535</v>
      </c>
    </row>
    <row r="3946" spans="1:2" x14ac:dyDescent="0.25">
      <c r="A3946" t="s">
        <v>942</v>
      </c>
      <c r="B3946" t="s">
        <v>12536</v>
      </c>
    </row>
    <row r="3947" spans="1:2" x14ac:dyDescent="0.25">
      <c r="A3947" t="s">
        <v>1397</v>
      </c>
      <c r="B3947" t="s">
        <v>12537</v>
      </c>
    </row>
    <row r="3948" spans="1:2" x14ac:dyDescent="0.25">
      <c r="A3948" t="s">
        <v>1399</v>
      </c>
      <c r="B3948" t="s">
        <v>12538</v>
      </c>
    </row>
    <row r="3949" spans="1:2" x14ac:dyDescent="0.25">
      <c r="A3949" t="s">
        <v>1401</v>
      </c>
      <c r="B3949" t="s">
        <v>12539</v>
      </c>
    </row>
    <row r="3950" spans="1:2" x14ac:dyDescent="0.25">
      <c r="A3950" t="s">
        <v>1403</v>
      </c>
      <c r="B3950" t="s">
        <v>12540</v>
      </c>
    </row>
    <row r="3951" spans="1:2" x14ac:dyDescent="0.25">
      <c r="A3951" t="s">
        <v>1405</v>
      </c>
      <c r="B3951" t="s">
        <v>12541</v>
      </c>
    </row>
    <row r="3952" spans="1:2" x14ac:dyDescent="0.25">
      <c r="A3952" t="s">
        <v>1407</v>
      </c>
      <c r="B3952" t="s">
        <v>12542</v>
      </c>
    </row>
    <row r="3953" spans="1:2" x14ac:dyDescent="0.25">
      <c r="A3953" t="s">
        <v>1409</v>
      </c>
      <c r="B3953" t="s">
        <v>12543</v>
      </c>
    </row>
    <row r="3954" spans="1:2" x14ac:dyDescent="0.25">
      <c r="A3954" t="s">
        <v>1411</v>
      </c>
      <c r="B3954" t="s">
        <v>12544</v>
      </c>
    </row>
    <row r="3955" spans="1:2" x14ac:dyDescent="0.25">
      <c r="A3955" t="s">
        <v>945</v>
      </c>
      <c r="B3955" t="s">
        <v>12545</v>
      </c>
    </row>
    <row r="3956" spans="1:2" x14ac:dyDescent="0.25">
      <c r="A3956" t="s">
        <v>948</v>
      </c>
      <c r="B3956" t="s">
        <v>12546</v>
      </c>
    </row>
    <row r="3957" spans="1:2" x14ac:dyDescent="0.25">
      <c r="A3957" t="s">
        <v>951</v>
      </c>
      <c r="B3957" t="s">
        <v>12547</v>
      </c>
    </row>
    <row r="3958" spans="1:2" x14ac:dyDescent="0.25">
      <c r="A3958" t="s">
        <v>954</v>
      </c>
      <c r="B3958" t="s">
        <v>12548</v>
      </c>
    </row>
    <row r="3959" spans="1:2" x14ac:dyDescent="0.25">
      <c r="A3959" t="s">
        <v>957</v>
      </c>
      <c r="B3959" t="s">
        <v>12549</v>
      </c>
    </row>
    <row r="3960" spans="1:2" x14ac:dyDescent="0.25">
      <c r="A3960" t="s">
        <v>960</v>
      </c>
      <c r="B3960" t="s">
        <v>12550</v>
      </c>
    </row>
    <row r="3961" spans="1:2" x14ac:dyDescent="0.25">
      <c r="A3961" t="s">
        <v>962</v>
      </c>
      <c r="B3961" t="s">
        <v>12551</v>
      </c>
    </row>
    <row r="3962" spans="1:2" x14ac:dyDescent="0.25">
      <c r="A3962" t="s">
        <v>965</v>
      </c>
      <c r="B3962" t="s">
        <v>12552</v>
      </c>
    </row>
    <row r="3963" spans="1:2" x14ac:dyDescent="0.25">
      <c r="A3963" t="s">
        <v>968</v>
      </c>
      <c r="B3963" t="s">
        <v>12553</v>
      </c>
    </row>
    <row r="3964" spans="1:2" x14ac:dyDescent="0.25">
      <c r="A3964" t="s">
        <v>970</v>
      </c>
      <c r="B3964" t="s">
        <v>12554</v>
      </c>
    </row>
    <row r="3965" spans="1:2" x14ac:dyDescent="0.25">
      <c r="A3965" t="s">
        <v>973</v>
      </c>
      <c r="B3965" t="s">
        <v>12555</v>
      </c>
    </row>
    <row r="3966" spans="1:2" x14ac:dyDescent="0.25">
      <c r="A3966" t="s">
        <v>975</v>
      </c>
      <c r="B3966" t="s">
        <v>12556</v>
      </c>
    </row>
    <row r="3967" spans="1:2" x14ac:dyDescent="0.25">
      <c r="A3967" t="s">
        <v>977</v>
      </c>
      <c r="B3967" t="s">
        <v>12557</v>
      </c>
    </row>
    <row r="3968" spans="1:2" x14ac:dyDescent="0.25">
      <c r="A3968" t="s">
        <v>979</v>
      </c>
      <c r="B3968" t="s">
        <v>12558</v>
      </c>
    </row>
    <row r="3969" spans="1:2" x14ac:dyDescent="0.25">
      <c r="A3969" t="s">
        <v>981</v>
      </c>
      <c r="B3969" t="s">
        <v>12559</v>
      </c>
    </row>
    <row r="3970" spans="1:2" x14ac:dyDescent="0.25">
      <c r="A3970" t="s">
        <v>983</v>
      </c>
      <c r="B3970" t="s">
        <v>12560</v>
      </c>
    </row>
    <row r="3971" spans="1:2" x14ac:dyDescent="0.25">
      <c r="A3971" t="s">
        <v>985</v>
      </c>
      <c r="B3971" t="s">
        <v>12561</v>
      </c>
    </row>
    <row r="3972" spans="1:2" x14ac:dyDescent="0.25">
      <c r="A3972" t="s">
        <v>987</v>
      </c>
      <c r="B3972" t="s">
        <v>12562</v>
      </c>
    </row>
    <row r="3973" spans="1:2" x14ac:dyDescent="0.25">
      <c r="A3973" t="s">
        <v>989</v>
      </c>
      <c r="B3973" t="s">
        <v>12563</v>
      </c>
    </row>
    <row r="3974" spans="1:2" x14ac:dyDescent="0.25">
      <c r="A3974" t="s">
        <v>991</v>
      </c>
      <c r="B3974" t="s">
        <v>12564</v>
      </c>
    </row>
    <row r="3975" spans="1:2" x14ac:dyDescent="0.25">
      <c r="A3975" t="s">
        <v>993</v>
      </c>
      <c r="B3975" t="s">
        <v>12565</v>
      </c>
    </row>
    <row r="3976" spans="1:2" x14ac:dyDescent="0.25">
      <c r="A3976" t="s">
        <v>996</v>
      </c>
      <c r="B3976" t="s">
        <v>12566</v>
      </c>
    </row>
    <row r="3977" spans="1:2" x14ac:dyDescent="0.25">
      <c r="A3977" t="s">
        <v>999</v>
      </c>
      <c r="B3977" t="s">
        <v>12567</v>
      </c>
    </row>
    <row r="3978" spans="1:2" x14ac:dyDescent="0.25">
      <c r="A3978" t="s">
        <v>1001</v>
      </c>
      <c r="B3978" t="s">
        <v>12568</v>
      </c>
    </row>
    <row r="3979" spans="1:2" x14ac:dyDescent="0.25">
      <c r="A3979" t="s">
        <v>1440</v>
      </c>
      <c r="B3979" t="s">
        <v>12569</v>
      </c>
    </row>
    <row r="3980" spans="1:2" x14ac:dyDescent="0.25">
      <c r="A3980" t="s">
        <v>1443</v>
      </c>
      <c r="B3980" t="s">
        <v>12570</v>
      </c>
    </row>
    <row r="3981" spans="1:2" x14ac:dyDescent="0.25">
      <c r="A3981" t="s">
        <v>1445</v>
      </c>
      <c r="B3981" t="s">
        <v>12571</v>
      </c>
    </row>
    <row r="3982" spans="1:2" x14ac:dyDescent="0.25">
      <c r="A3982" t="s">
        <v>1003</v>
      </c>
      <c r="B3982" t="s">
        <v>12572</v>
      </c>
    </row>
    <row r="3983" spans="1:2" x14ac:dyDescent="0.25">
      <c r="A3983" t="s">
        <v>1007</v>
      </c>
      <c r="B3983" t="s">
        <v>12573</v>
      </c>
    </row>
    <row r="3984" spans="1:2" x14ac:dyDescent="0.25">
      <c r="A3984" t="s">
        <v>1011</v>
      </c>
      <c r="B3984" t="s">
        <v>12574</v>
      </c>
    </row>
    <row r="3985" spans="1:2" x14ac:dyDescent="0.25">
      <c r="A3985" t="s">
        <v>1014</v>
      </c>
      <c r="B3985" t="s">
        <v>12575</v>
      </c>
    </row>
    <row r="3986" spans="1:2" x14ac:dyDescent="0.25">
      <c r="A3986" t="s">
        <v>1017</v>
      </c>
      <c r="B3986" t="s">
        <v>12576</v>
      </c>
    </row>
    <row r="3987" spans="1:2" x14ac:dyDescent="0.25">
      <c r="A3987" t="s">
        <v>1019</v>
      </c>
      <c r="B3987" t="s">
        <v>12577</v>
      </c>
    </row>
    <row r="3988" spans="1:2" x14ac:dyDescent="0.25">
      <c r="A3988" t="s">
        <v>1021</v>
      </c>
      <c r="B3988" t="s">
        <v>12578</v>
      </c>
    </row>
    <row r="3989" spans="1:2" x14ac:dyDescent="0.25">
      <c r="A3989" t="s">
        <v>1024</v>
      </c>
      <c r="B3989" t="s">
        <v>12579</v>
      </c>
    </row>
    <row r="3990" spans="1:2" x14ac:dyDescent="0.25">
      <c r="A3990" t="s">
        <v>1026</v>
      </c>
      <c r="B3990" t="s">
        <v>12580</v>
      </c>
    </row>
    <row r="3991" spans="1:2" x14ac:dyDescent="0.25">
      <c r="A3991" t="s">
        <v>1029</v>
      </c>
      <c r="B3991" t="s">
        <v>12581</v>
      </c>
    </row>
    <row r="3992" spans="1:2" x14ac:dyDescent="0.25">
      <c r="A3992" t="s">
        <v>1031</v>
      </c>
      <c r="B3992" t="s">
        <v>12582</v>
      </c>
    </row>
    <row r="3993" spans="1:2" x14ac:dyDescent="0.25">
      <c r="A3993" t="s">
        <v>1033</v>
      </c>
      <c r="B3993" t="s">
        <v>12583</v>
      </c>
    </row>
    <row r="3994" spans="1:2" x14ac:dyDescent="0.25">
      <c r="A3994" t="s">
        <v>1035</v>
      </c>
      <c r="B3994" t="s">
        <v>12584</v>
      </c>
    </row>
    <row r="3995" spans="1:2" x14ac:dyDescent="0.25">
      <c r="A3995" t="s">
        <v>1037</v>
      </c>
      <c r="B3995" t="s">
        <v>12585</v>
      </c>
    </row>
    <row r="3996" spans="1:2" x14ac:dyDescent="0.25">
      <c r="A3996" t="s">
        <v>1039</v>
      </c>
      <c r="B3996" t="s">
        <v>12586</v>
      </c>
    </row>
    <row r="3997" spans="1:2" x14ac:dyDescent="0.25">
      <c r="A3997" t="s">
        <v>1041</v>
      </c>
      <c r="B3997" t="s">
        <v>12587</v>
      </c>
    </row>
    <row r="3998" spans="1:2" x14ac:dyDescent="0.25">
      <c r="A3998" t="s">
        <v>1472</v>
      </c>
      <c r="B3998" t="s">
        <v>12588</v>
      </c>
    </row>
    <row r="3999" spans="1:2" x14ac:dyDescent="0.25">
      <c r="A3999" t="s">
        <v>1474</v>
      </c>
      <c r="B3999" t="s">
        <v>12589</v>
      </c>
    </row>
    <row r="4000" spans="1:2" x14ac:dyDescent="0.25">
      <c r="A4000" t="s">
        <v>1476</v>
      </c>
      <c r="B4000" t="s">
        <v>12590</v>
      </c>
    </row>
    <row r="4001" spans="1:2" x14ac:dyDescent="0.25">
      <c r="A4001" t="s">
        <v>1479</v>
      </c>
      <c r="B4001" t="s">
        <v>12591</v>
      </c>
    </row>
    <row r="4002" spans="1:2" x14ac:dyDescent="0.25">
      <c r="A4002" t="s">
        <v>7001</v>
      </c>
      <c r="B4002" t="s">
        <v>12592</v>
      </c>
    </row>
    <row r="4003" spans="1:2" x14ac:dyDescent="0.25">
      <c r="A4003" t="s">
        <v>7003</v>
      </c>
      <c r="B4003" t="s">
        <v>12593</v>
      </c>
    </row>
    <row r="4004" spans="1:2" x14ac:dyDescent="0.25">
      <c r="A4004" t="s">
        <v>7005</v>
      </c>
      <c r="B4004" t="s">
        <v>12594</v>
      </c>
    </row>
    <row r="4005" spans="1:2" x14ac:dyDescent="0.25">
      <c r="A4005" t="s">
        <v>7007</v>
      </c>
      <c r="B4005" t="s">
        <v>12595</v>
      </c>
    </row>
    <row r="4006" spans="1:2" x14ac:dyDescent="0.25">
      <c r="A4006" t="s">
        <v>11616</v>
      </c>
      <c r="B4006" t="s">
        <v>12596</v>
      </c>
    </row>
    <row r="4007" spans="1:2" x14ac:dyDescent="0.25">
      <c r="A4007" t="s">
        <v>11618</v>
      </c>
      <c r="B4007" t="s">
        <v>12597</v>
      </c>
    </row>
    <row r="4008" spans="1:2" x14ac:dyDescent="0.25">
      <c r="A4008" t="s">
        <v>11620</v>
      </c>
      <c r="B4008" t="s">
        <v>12598</v>
      </c>
    </row>
    <row r="4009" spans="1:2" x14ac:dyDescent="0.25">
      <c r="A4009" t="s">
        <v>11622</v>
      </c>
      <c r="B4009" t="s">
        <v>12599</v>
      </c>
    </row>
    <row r="4010" spans="1:2" x14ac:dyDescent="0.25">
      <c r="A4010" t="s">
        <v>7009</v>
      </c>
      <c r="B4010" t="s">
        <v>12600</v>
      </c>
    </row>
    <row r="4011" spans="1:2" x14ac:dyDescent="0.25">
      <c r="A4011" t="s">
        <v>7011</v>
      </c>
      <c r="B4011" t="s">
        <v>12601</v>
      </c>
    </row>
    <row r="4012" spans="1:2" x14ac:dyDescent="0.25">
      <c r="A4012" t="s">
        <v>7013</v>
      </c>
      <c r="B4012" t="s">
        <v>12602</v>
      </c>
    </row>
    <row r="4013" spans="1:2" x14ac:dyDescent="0.25">
      <c r="A4013" t="s">
        <v>7015</v>
      </c>
      <c r="B4013" t="s">
        <v>12603</v>
      </c>
    </row>
    <row r="4014" spans="1:2" x14ac:dyDescent="0.25">
      <c r="A4014" t="s">
        <v>11628</v>
      </c>
      <c r="B4014" t="s">
        <v>12604</v>
      </c>
    </row>
    <row r="4015" spans="1:2" x14ac:dyDescent="0.25">
      <c r="A4015" t="s">
        <v>11630</v>
      </c>
      <c r="B4015" t="s">
        <v>12605</v>
      </c>
    </row>
    <row r="4016" spans="1:2" x14ac:dyDescent="0.25">
      <c r="A4016" t="s">
        <v>11632</v>
      </c>
      <c r="B4016" t="s">
        <v>12606</v>
      </c>
    </row>
    <row r="4017" spans="1:2" x14ac:dyDescent="0.25">
      <c r="A4017" t="s">
        <v>11634</v>
      </c>
      <c r="B4017" t="s">
        <v>12607</v>
      </c>
    </row>
    <row r="4018" spans="1:2" x14ac:dyDescent="0.25">
      <c r="A4018" t="s">
        <v>7017</v>
      </c>
      <c r="B4018" t="s">
        <v>12608</v>
      </c>
    </row>
    <row r="4019" spans="1:2" x14ac:dyDescent="0.25">
      <c r="A4019" t="s">
        <v>7019</v>
      </c>
      <c r="B4019" t="s">
        <v>12609</v>
      </c>
    </row>
    <row r="4020" spans="1:2" x14ac:dyDescent="0.25">
      <c r="A4020" t="s">
        <v>7021</v>
      </c>
      <c r="B4020" t="s">
        <v>12610</v>
      </c>
    </row>
    <row r="4021" spans="1:2" x14ac:dyDescent="0.25">
      <c r="A4021" t="s">
        <v>7023</v>
      </c>
      <c r="B4021" t="s">
        <v>12611</v>
      </c>
    </row>
    <row r="4022" spans="1:2" x14ac:dyDescent="0.25">
      <c r="A4022" t="s">
        <v>11640</v>
      </c>
      <c r="B4022" t="s">
        <v>12612</v>
      </c>
    </row>
    <row r="4023" spans="1:2" x14ac:dyDescent="0.25">
      <c r="A4023" t="s">
        <v>11642</v>
      </c>
      <c r="B4023" t="s">
        <v>12613</v>
      </c>
    </row>
    <row r="4024" spans="1:2" x14ac:dyDescent="0.25">
      <c r="A4024" t="s">
        <v>11644</v>
      </c>
      <c r="B4024" t="s">
        <v>12614</v>
      </c>
    </row>
    <row r="4025" spans="1:2" x14ac:dyDescent="0.25">
      <c r="A4025" t="s">
        <v>11646</v>
      </c>
      <c r="B4025" t="s">
        <v>12615</v>
      </c>
    </row>
    <row r="4026" spans="1:2" x14ac:dyDescent="0.25">
      <c r="A4026" t="s">
        <v>1481</v>
      </c>
      <c r="B4026" t="s">
        <v>12616</v>
      </c>
    </row>
    <row r="4027" spans="1:2" x14ac:dyDescent="0.25">
      <c r="A4027" t="s">
        <v>1483</v>
      </c>
      <c r="B4027" t="s">
        <v>12617</v>
      </c>
    </row>
    <row r="4028" spans="1:2" x14ac:dyDescent="0.25">
      <c r="A4028" t="s">
        <v>2856</v>
      </c>
      <c r="B4028" t="s">
        <v>12618</v>
      </c>
    </row>
    <row r="4029" spans="1:2" x14ac:dyDescent="0.25">
      <c r="A4029" t="s">
        <v>2859</v>
      </c>
      <c r="B4029" t="s">
        <v>12619</v>
      </c>
    </row>
    <row r="4030" spans="1:2" x14ac:dyDescent="0.25">
      <c r="A4030" t="s">
        <v>2626</v>
      </c>
      <c r="B4030" t="s">
        <v>12620</v>
      </c>
    </row>
    <row r="4031" spans="1:2" x14ac:dyDescent="0.25">
      <c r="A4031" t="s">
        <v>2628</v>
      </c>
      <c r="B4031" t="s">
        <v>12621</v>
      </c>
    </row>
    <row r="4032" spans="1:2" x14ac:dyDescent="0.25">
      <c r="A4032" t="s">
        <v>2863</v>
      </c>
      <c r="B4032" t="s">
        <v>12622</v>
      </c>
    </row>
    <row r="4033" spans="1:2" x14ac:dyDescent="0.25">
      <c r="A4033" t="s">
        <v>2865</v>
      </c>
      <c r="B4033" t="s">
        <v>12623</v>
      </c>
    </row>
    <row r="4034" spans="1:2" x14ac:dyDescent="0.25">
      <c r="A4034" t="s">
        <v>1043</v>
      </c>
      <c r="B4034" t="s">
        <v>12624</v>
      </c>
    </row>
    <row r="4035" spans="1:2" x14ac:dyDescent="0.25">
      <c r="A4035" t="s">
        <v>2631</v>
      </c>
      <c r="B4035" t="s">
        <v>12625</v>
      </c>
    </row>
    <row r="4036" spans="1:2" x14ac:dyDescent="0.25">
      <c r="A4036" t="s">
        <v>2870</v>
      </c>
      <c r="B4036" t="s">
        <v>12626</v>
      </c>
    </row>
    <row r="4037" spans="1:2" x14ac:dyDescent="0.25">
      <c r="A4037" t="s">
        <v>2872</v>
      </c>
      <c r="B4037" t="s">
        <v>12627</v>
      </c>
    </row>
    <row r="4038" spans="1:2" x14ac:dyDescent="0.25">
      <c r="A4038" t="s">
        <v>1485</v>
      </c>
      <c r="B4038" t="s">
        <v>12628</v>
      </c>
    </row>
    <row r="4039" spans="1:2" x14ac:dyDescent="0.25">
      <c r="A4039" t="s">
        <v>2634</v>
      </c>
      <c r="B4039" t="s">
        <v>12629</v>
      </c>
    </row>
    <row r="4040" spans="1:2" x14ac:dyDescent="0.25">
      <c r="A4040" t="s">
        <v>2876</v>
      </c>
      <c r="B4040" t="s">
        <v>12630</v>
      </c>
    </row>
    <row r="4041" spans="1:2" x14ac:dyDescent="0.25">
      <c r="A4041" t="s">
        <v>2878</v>
      </c>
      <c r="B4041" t="s">
        <v>12631</v>
      </c>
    </row>
    <row r="4042" spans="1:2" x14ac:dyDescent="0.25">
      <c r="A4042" t="s">
        <v>2636</v>
      </c>
      <c r="B4042" t="s">
        <v>12632</v>
      </c>
    </row>
    <row r="4043" spans="1:2" x14ac:dyDescent="0.25">
      <c r="A4043" t="s">
        <v>2638</v>
      </c>
      <c r="B4043" t="s">
        <v>12633</v>
      </c>
    </row>
    <row r="4044" spans="1:2" x14ac:dyDescent="0.25">
      <c r="A4044" t="s">
        <v>2884</v>
      </c>
      <c r="B4044" t="s">
        <v>12634</v>
      </c>
    </row>
    <row r="4045" spans="1:2" x14ac:dyDescent="0.25">
      <c r="A4045" t="s">
        <v>2887</v>
      </c>
      <c r="B4045" t="s">
        <v>12635</v>
      </c>
    </row>
    <row r="4046" spans="1:2" x14ac:dyDescent="0.25">
      <c r="A4046" t="s">
        <v>2640</v>
      </c>
      <c r="B4046" t="s">
        <v>12636</v>
      </c>
    </row>
    <row r="4047" spans="1:2" x14ac:dyDescent="0.25">
      <c r="A4047" t="s">
        <v>1045</v>
      </c>
      <c r="B4047" t="s">
        <v>12637</v>
      </c>
    </row>
    <row r="4048" spans="1:2" x14ac:dyDescent="0.25">
      <c r="A4048" t="s">
        <v>1048</v>
      </c>
      <c r="B4048" t="s">
        <v>12638</v>
      </c>
    </row>
    <row r="4049" spans="1:2" x14ac:dyDescent="0.25">
      <c r="A4049" t="s">
        <v>1050</v>
      </c>
      <c r="B4049" t="s">
        <v>12639</v>
      </c>
    </row>
    <row r="4050" spans="1:2" x14ac:dyDescent="0.25">
      <c r="A4050" t="s">
        <v>1052</v>
      </c>
      <c r="B4050" t="s">
        <v>12640</v>
      </c>
    </row>
    <row r="4051" spans="1:2" x14ac:dyDescent="0.25">
      <c r="A4051" t="s">
        <v>1054</v>
      </c>
      <c r="B4051" t="s">
        <v>12641</v>
      </c>
    </row>
    <row r="4052" spans="1:2" x14ac:dyDescent="0.25">
      <c r="A4052" t="s">
        <v>1056</v>
      </c>
      <c r="B4052" t="s">
        <v>12642</v>
      </c>
    </row>
    <row r="4053" spans="1:2" x14ac:dyDescent="0.25">
      <c r="A4053" t="s">
        <v>1058</v>
      </c>
      <c r="B4053" t="s">
        <v>12643</v>
      </c>
    </row>
    <row r="4054" spans="1:2" x14ac:dyDescent="0.25">
      <c r="A4054" t="s">
        <v>1060</v>
      </c>
      <c r="B4054" t="s">
        <v>12644</v>
      </c>
    </row>
    <row r="4055" spans="1:2" x14ac:dyDescent="0.25">
      <c r="A4055" t="s">
        <v>1062</v>
      </c>
      <c r="B4055" t="s">
        <v>12645</v>
      </c>
    </row>
    <row r="4056" spans="1:2" x14ac:dyDescent="0.25">
      <c r="A4056" t="s">
        <v>1065</v>
      </c>
      <c r="B4056" t="s">
        <v>12646</v>
      </c>
    </row>
    <row r="4057" spans="1:2" x14ac:dyDescent="0.25">
      <c r="A4057" t="s">
        <v>1067</v>
      </c>
      <c r="B4057" t="s">
        <v>12647</v>
      </c>
    </row>
    <row r="4058" spans="1:2" x14ac:dyDescent="0.25">
      <c r="A4058" t="s">
        <v>1069</v>
      </c>
      <c r="B4058" t="s">
        <v>12648</v>
      </c>
    </row>
    <row r="4059" spans="1:2" x14ac:dyDescent="0.25">
      <c r="A4059" t="s">
        <v>1071</v>
      </c>
      <c r="B4059" t="s">
        <v>12649</v>
      </c>
    </row>
    <row r="4060" spans="1:2" x14ac:dyDescent="0.25">
      <c r="A4060" t="s">
        <v>1073</v>
      </c>
      <c r="B4060" t="s">
        <v>12650</v>
      </c>
    </row>
    <row r="4061" spans="1:2" x14ac:dyDescent="0.25">
      <c r="A4061" t="s">
        <v>1075</v>
      </c>
      <c r="B4061" t="s">
        <v>12651</v>
      </c>
    </row>
    <row r="4062" spans="1:2" x14ac:dyDescent="0.25">
      <c r="A4062" t="s">
        <v>1077</v>
      </c>
      <c r="B4062" t="s">
        <v>12652</v>
      </c>
    </row>
    <row r="4063" spans="1:2" x14ac:dyDescent="0.25">
      <c r="A4063" t="s">
        <v>1079</v>
      </c>
      <c r="B4063" t="s">
        <v>12653</v>
      </c>
    </row>
    <row r="4064" spans="1:2" x14ac:dyDescent="0.25">
      <c r="A4064" t="s">
        <v>1081</v>
      </c>
      <c r="B4064" t="s">
        <v>12654</v>
      </c>
    </row>
    <row r="4065" spans="1:2" x14ac:dyDescent="0.25">
      <c r="A4065" t="s">
        <v>1083</v>
      </c>
      <c r="B4065" t="s">
        <v>12655</v>
      </c>
    </row>
    <row r="4066" spans="1:2" x14ac:dyDescent="0.25">
      <c r="A4066" t="s">
        <v>1085</v>
      </c>
      <c r="B4066" t="s">
        <v>12656</v>
      </c>
    </row>
    <row r="4067" spans="1:2" x14ac:dyDescent="0.25">
      <c r="A4067" t="s">
        <v>1087</v>
      </c>
      <c r="B4067" t="s">
        <v>12657</v>
      </c>
    </row>
    <row r="4068" spans="1:2" x14ac:dyDescent="0.25">
      <c r="A4068" t="s">
        <v>1089</v>
      </c>
      <c r="B4068" t="s">
        <v>12658</v>
      </c>
    </row>
    <row r="4069" spans="1:2" x14ac:dyDescent="0.25">
      <c r="A4069" t="s">
        <v>1091</v>
      </c>
      <c r="B4069" t="s">
        <v>12659</v>
      </c>
    </row>
    <row r="4070" spans="1:2" x14ac:dyDescent="0.25">
      <c r="A4070" t="s">
        <v>1093</v>
      </c>
      <c r="B4070" t="s">
        <v>12660</v>
      </c>
    </row>
    <row r="4071" spans="1:2" x14ac:dyDescent="0.25">
      <c r="A4071" t="s">
        <v>1095</v>
      </c>
      <c r="B4071" t="s">
        <v>12661</v>
      </c>
    </row>
    <row r="4072" spans="1:2" x14ac:dyDescent="0.25">
      <c r="A4072" t="s">
        <v>1097</v>
      </c>
      <c r="B4072" t="s">
        <v>12662</v>
      </c>
    </row>
    <row r="4073" spans="1:2" x14ac:dyDescent="0.25">
      <c r="A4073" t="s">
        <v>1099</v>
      </c>
      <c r="B4073" t="s">
        <v>12663</v>
      </c>
    </row>
    <row r="4074" spans="1:2" x14ac:dyDescent="0.25">
      <c r="A4074" t="s">
        <v>1101</v>
      </c>
      <c r="B4074" t="s">
        <v>12664</v>
      </c>
    </row>
    <row r="4075" spans="1:2" x14ac:dyDescent="0.25">
      <c r="A4075" t="s">
        <v>1103</v>
      </c>
      <c r="B4075" t="s">
        <v>12665</v>
      </c>
    </row>
    <row r="4076" spans="1:2" x14ac:dyDescent="0.25">
      <c r="A4076" t="s">
        <v>1105</v>
      </c>
      <c r="B4076" t="s">
        <v>12666</v>
      </c>
    </row>
    <row r="4077" spans="1:2" x14ac:dyDescent="0.25">
      <c r="A4077" t="s">
        <v>1107</v>
      </c>
      <c r="B4077" t="s">
        <v>12667</v>
      </c>
    </row>
    <row r="4078" spans="1:2" x14ac:dyDescent="0.25">
      <c r="A4078" t="s">
        <v>1109</v>
      </c>
      <c r="B4078" t="s">
        <v>12668</v>
      </c>
    </row>
    <row r="4079" spans="1:2" x14ac:dyDescent="0.25">
      <c r="A4079" t="s">
        <v>2658</v>
      </c>
      <c r="B4079" t="s">
        <v>12669</v>
      </c>
    </row>
    <row r="4080" spans="1:2" x14ac:dyDescent="0.25">
      <c r="A4080" t="s">
        <v>11702</v>
      </c>
      <c r="B4080" t="s">
        <v>12670</v>
      </c>
    </row>
    <row r="4081" spans="1:2" x14ac:dyDescent="0.25">
      <c r="A4081" t="s">
        <v>11704</v>
      </c>
      <c r="B4081" t="s">
        <v>12671</v>
      </c>
    </row>
    <row r="4082" spans="1:2" x14ac:dyDescent="0.25">
      <c r="A4082" t="s">
        <v>1111</v>
      </c>
      <c r="B4082" t="s">
        <v>12672</v>
      </c>
    </row>
    <row r="4083" spans="1:2" x14ac:dyDescent="0.25">
      <c r="A4083" t="s">
        <v>1113</v>
      </c>
      <c r="B4083" t="s">
        <v>12673</v>
      </c>
    </row>
    <row r="4084" spans="1:2" x14ac:dyDescent="0.25">
      <c r="A4084" t="s">
        <v>1115</v>
      </c>
      <c r="B4084" t="s">
        <v>12674</v>
      </c>
    </row>
    <row r="4085" spans="1:2" x14ac:dyDescent="0.25">
      <c r="A4085" t="s">
        <v>1117</v>
      </c>
      <c r="B4085" t="s">
        <v>12675</v>
      </c>
    </row>
    <row r="4086" spans="1:2" x14ac:dyDescent="0.25">
      <c r="A4086" t="s">
        <v>1119</v>
      </c>
      <c r="B4086" t="s">
        <v>12676</v>
      </c>
    </row>
    <row r="4087" spans="1:2" x14ac:dyDescent="0.25">
      <c r="A4087" t="s">
        <v>1121</v>
      </c>
      <c r="B4087" t="s">
        <v>12677</v>
      </c>
    </row>
    <row r="4088" spans="1:2" x14ac:dyDescent="0.25">
      <c r="A4088" t="s">
        <v>1123</v>
      </c>
      <c r="B4088" t="s">
        <v>12678</v>
      </c>
    </row>
    <row r="4089" spans="1:2" x14ac:dyDescent="0.25">
      <c r="A4089" t="s">
        <v>1125</v>
      </c>
      <c r="B4089" t="s">
        <v>12679</v>
      </c>
    </row>
    <row r="4090" spans="1:2" x14ac:dyDescent="0.25">
      <c r="A4090" t="s">
        <v>2660</v>
      </c>
      <c r="B4090" t="s">
        <v>12680</v>
      </c>
    </row>
    <row r="4091" spans="1:2" x14ac:dyDescent="0.25">
      <c r="A4091" t="s">
        <v>2912</v>
      </c>
      <c r="B4091" t="s">
        <v>12681</v>
      </c>
    </row>
    <row r="4092" spans="1:2" x14ac:dyDescent="0.25">
      <c r="A4092" t="s">
        <v>2914</v>
      </c>
      <c r="B4092" t="s">
        <v>12682</v>
      </c>
    </row>
    <row r="4093" spans="1:2" x14ac:dyDescent="0.25">
      <c r="A4093" t="s">
        <v>2916</v>
      </c>
      <c r="B4093" t="s">
        <v>12683</v>
      </c>
    </row>
    <row r="4094" spans="1:2" x14ac:dyDescent="0.25">
      <c r="A4094" t="s">
        <v>1497</v>
      </c>
      <c r="B4094" t="s">
        <v>12684</v>
      </c>
    </row>
    <row r="4095" spans="1:2" x14ac:dyDescent="0.25">
      <c r="A4095" t="s">
        <v>1499</v>
      </c>
      <c r="B4095" t="s">
        <v>12685</v>
      </c>
    </row>
    <row r="4096" spans="1:2" x14ac:dyDescent="0.25">
      <c r="A4096" t="s">
        <v>1501</v>
      </c>
      <c r="B4096" t="s">
        <v>12686</v>
      </c>
    </row>
    <row r="4097" spans="1:2" x14ac:dyDescent="0.25">
      <c r="A4097" t="s">
        <v>1504</v>
      </c>
      <c r="B4097" t="s">
        <v>12687</v>
      </c>
    </row>
    <row r="4098" spans="1:2" x14ac:dyDescent="0.25">
      <c r="A4098" t="s">
        <v>1127</v>
      </c>
      <c r="B4098" t="s">
        <v>12688</v>
      </c>
    </row>
    <row r="4099" spans="1:2" x14ac:dyDescent="0.25">
      <c r="A4099" t="s">
        <v>1131</v>
      </c>
      <c r="B4099" t="s">
        <v>12689</v>
      </c>
    </row>
    <row r="4100" spans="1:2" x14ac:dyDescent="0.25">
      <c r="A4100" t="s">
        <v>1133</v>
      </c>
      <c r="B4100" t="s">
        <v>12690</v>
      </c>
    </row>
    <row r="4101" spans="1:2" x14ac:dyDescent="0.25">
      <c r="A4101" t="s">
        <v>1136</v>
      </c>
      <c r="B4101" t="s">
        <v>12691</v>
      </c>
    </row>
    <row r="4102" spans="1:2" x14ac:dyDescent="0.25">
      <c r="A4102" t="s">
        <v>1139</v>
      </c>
      <c r="B4102" t="s">
        <v>12692</v>
      </c>
    </row>
    <row r="4103" spans="1:2" x14ac:dyDescent="0.25">
      <c r="A4103" t="s">
        <v>1141</v>
      </c>
      <c r="B4103" t="s">
        <v>12693</v>
      </c>
    </row>
    <row r="4104" spans="1:2" x14ac:dyDescent="0.25">
      <c r="A4104" t="s">
        <v>1144</v>
      </c>
      <c r="B4104" t="s">
        <v>12694</v>
      </c>
    </row>
    <row r="4105" spans="1:2" x14ac:dyDescent="0.25">
      <c r="A4105" t="s">
        <v>1514</v>
      </c>
      <c r="B4105" t="s">
        <v>12695</v>
      </c>
    </row>
    <row r="4106" spans="1:2" x14ac:dyDescent="0.25">
      <c r="A4106" t="s">
        <v>1516</v>
      </c>
      <c r="B4106" t="s">
        <v>12696</v>
      </c>
    </row>
    <row r="4107" spans="1:2" x14ac:dyDescent="0.25">
      <c r="A4107" t="s">
        <v>1519</v>
      </c>
      <c r="B4107" t="s">
        <v>12697</v>
      </c>
    </row>
    <row r="4108" spans="1:2" x14ac:dyDescent="0.25">
      <c r="A4108" t="s">
        <v>1521</v>
      </c>
      <c r="B4108" t="s">
        <v>12698</v>
      </c>
    </row>
    <row r="4109" spans="1:2" x14ac:dyDescent="0.25">
      <c r="A4109" t="s">
        <v>1523</v>
      </c>
      <c r="B4109" t="s">
        <v>12699</v>
      </c>
    </row>
    <row r="4110" spans="1:2" x14ac:dyDescent="0.25">
      <c r="A4110" t="s">
        <v>1526</v>
      </c>
      <c r="B4110" t="s">
        <v>12700</v>
      </c>
    </row>
    <row r="4111" spans="1:2" x14ac:dyDescent="0.25">
      <c r="A4111" t="s">
        <v>1528</v>
      </c>
      <c r="B4111" t="s">
        <v>12701</v>
      </c>
    </row>
    <row r="4112" spans="1:2" x14ac:dyDescent="0.25">
      <c r="A4112" t="s">
        <v>1531</v>
      </c>
      <c r="B4112" t="s">
        <v>12702</v>
      </c>
    </row>
    <row r="4113" spans="1:2" x14ac:dyDescent="0.25">
      <c r="A4113" t="s">
        <v>1533</v>
      </c>
      <c r="B4113" t="s">
        <v>12703</v>
      </c>
    </row>
    <row r="4114" spans="1:2" x14ac:dyDescent="0.25">
      <c r="A4114" t="s">
        <v>1146</v>
      </c>
      <c r="B4114" t="s">
        <v>12704</v>
      </c>
    </row>
    <row r="4115" spans="1:2" x14ac:dyDescent="0.25">
      <c r="A4115" t="s">
        <v>1150</v>
      </c>
      <c r="B4115" t="s">
        <v>12705</v>
      </c>
    </row>
    <row r="4116" spans="1:2" x14ac:dyDescent="0.25">
      <c r="A4116" t="s">
        <v>1539</v>
      </c>
      <c r="B4116" t="s">
        <v>12706</v>
      </c>
    </row>
    <row r="4117" spans="1:2" x14ac:dyDescent="0.25">
      <c r="A4117" t="s">
        <v>1152</v>
      </c>
      <c r="B4117" t="s">
        <v>12707</v>
      </c>
    </row>
    <row r="4118" spans="1:2" x14ac:dyDescent="0.25">
      <c r="A4118" t="s">
        <v>1155</v>
      </c>
      <c r="B4118" t="s">
        <v>12708</v>
      </c>
    </row>
    <row r="4119" spans="1:2" x14ac:dyDescent="0.25">
      <c r="A4119" t="s">
        <v>1157</v>
      </c>
      <c r="B4119" t="s">
        <v>12709</v>
      </c>
    </row>
    <row r="4120" spans="1:2" x14ac:dyDescent="0.25">
      <c r="A4120" t="s">
        <v>1160</v>
      </c>
      <c r="B4120" t="s">
        <v>12710</v>
      </c>
    </row>
    <row r="4121" spans="1:2" x14ac:dyDescent="0.25">
      <c r="A4121" t="s">
        <v>1162</v>
      </c>
      <c r="B4121" t="s">
        <v>12711</v>
      </c>
    </row>
    <row r="4122" spans="1:2" x14ac:dyDescent="0.25">
      <c r="A4122" t="s">
        <v>1164</v>
      </c>
      <c r="B4122" t="s">
        <v>12712</v>
      </c>
    </row>
    <row r="4123" spans="1:2" x14ac:dyDescent="0.25">
      <c r="A4123" t="s">
        <v>1167</v>
      </c>
      <c r="B4123" t="s">
        <v>12713</v>
      </c>
    </row>
    <row r="4124" spans="1:2" x14ac:dyDescent="0.25">
      <c r="A4124" t="s">
        <v>1169</v>
      </c>
      <c r="B4124" t="s">
        <v>12714</v>
      </c>
    </row>
    <row r="4125" spans="1:2" x14ac:dyDescent="0.25">
      <c r="A4125" t="s">
        <v>1171</v>
      </c>
      <c r="B4125" t="s">
        <v>12715</v>
      </c>
    </row>
    <row r="4126" spans="1:2" x14ac:dyDescent="0.25">
      <c r="A4126" t="s">
        <v>1173</v>
      </c>
      <c r="B4126" t="s">
        <v>12716</v>
      </c>
    </row>
    <row r="4127" spans="1:2" x14ac:dyDescent="0.25">
      <c r="A4127" t="s">
        <v>1175</v>
      </c>
      <c r="B4127" t="s">
        <v>12717</v>
      </c>
    </row>
    <row r="4128" spans="1:2" x14ac:dyDescent="0.25">
      <c r="A4128" t="s">
        <v>1177</v>
      </c>
      <c r="B4128" t="s">
        <v>12718</v>
      </c>
    </row>
    <row r="4129" spans="1:2" x14ac:dyDescent="0.25">
      <c r="A4129" t="s">
        <v>1179</v>
      </c>
      <c r="B4129" t="s">
        <v>12719</v>
      </c>
    </row>
    <row r="4130" spans="1:2" x14ac:dyDescent="0.25">
      <c r="A4130" t="s">
        <v>1181</v>
      </c>
      <c r="B4130" t="s">
        <v>12720</v>
      </c>
    </row>
    <row r="4131" spans="1:2" x14ac:dyDescent="0.25">
      <c r="A4131" t="s">
        <v>1184</v>
      </c>
      <c r="B4131" t="s">
        <v>12721</v>
      </c>
    </row>
    <row r="4132" spans="1:2" x14ac:dyDescent="0.25">
      <c r="A4132" t="s">
        <v>1186</v>
      </c>
      <c r="B4132" t="s">
        <v>12722</v>
      </c>
    </row>
    <row r="4133" spans="1:2" x14ac:dyDescent="0.25">
      <c r="A4133" t="s">
        <v>1189</v>
      </c>
      <c r="B4133" t="s">
        <v>12723</v>
      </c>
    </row>
    <row r="4134" spans="1:2" x14ac:dyDescent="0.25">
      <c r="A4134" t="s">
        <v>1191</v>
      </c>
      <c r="B4134" t="s">
        <v>12724</v>
      </c>
    </row>
    <row r="4135" spans="1:2" x14ac:dyDescent="0.25">
      <c r="A4135" t="s">
        <v>1193</v>
      </c>
      <c r="B4135" t="s">
        <v>12725</v>
      </c>
    </row>
    <row r="4136" spans="1:2" x14ac:dyDescent="0.25">
      <c r="A4136" t="s">
        <v>1195</v>
      </c>
      <c r="B4136" t="s">
        <v>12726</v>
      </c>
    </row>
    <row r="4137" spans="1:2" x14ac:dyDescent="0.25">
      <c r="A4137" t="s">
        <v>1197</v>
      </c>
      <c r="B4137" t="s">
        <v>12727</v>
      </c>
    </row>
    <row r="4138" spans="1:2" x14ac:dyDescent="0.25">
      <c r="A4138" t="s">
        <v>1199</v>
      </c>
      <c r="B4138" t="s">
        <v>12728</v>
      </c>
    </row>
    <row r="4139" spans="1:2" x14ac:dyDescent="0.25">
      <c r="A4139" t="s">
        <v>1201</v>
      </c>
      <c r="B4139" t="s">
        <v>12729</v>
      </c>
    </row>
    <row r="4140" spans="1:2" x14ac:dyDescent="0.25">
      <c r="A4140" t="s">
        <v>1203</v>
      </c>
      <c r="B4140" t="s">
        <v>12730</v>
      </c>
    </row>
    <row r="4141" spans="1:2" x14ac:dyDescent="0.25">
      <c r="A4141" t="s">
        <v>1205</v>
      </c>
      <c r="B4141" t="s">
        <v>12731</v>
      </c>
    </row>
    <row r="4142" spans="1:2" x14ac:dyDescent="0.25">
      <c r="A4142" t="s">
        <v>1207</v>
      </c>
      <c r="B4142" t="s">
        <v>12732</v>
      </c>
    </row>
    <row r="4143" spans="1:2" x14ac:dyDescent="0.25">
      <c r="A4143" t="s">
        <v>1210</v>
      </c>
      <c r="B4143" t="s">
        <v>12733</v>
      </c>
    </row>
    <row r="4144" spans="1:2" x14ac:dyDescent="0.25">
      <c r="A4144" t="s">
        <v>1212</v>
      </c>
      <c r="B4144" t="s">
        <v>12734</v>
      </c>
    </row>
    <row r="4145" spans="1:2" x14ac:dyDescent="0.25">
      <c r="A4145" t="s">
        <v>1214</v>
      </c>
      <c r="B4145" t="s">
        <v>12735</v>
      </c>
    </row>
    <row r="4146" spans="1:2" x14ac:dyDescent="0.25">
      <c r="A4146" t="s">
        <v>1217</v>
      </c>
      <c r="B4146" t="s">
        <v>12736</v>
      </c>
    </row>
    <row r="4147" spans="1:2" x14ac:dyDescent="0.25">
      <c r="A4147" t="s">
        <v>1219</v>
      </c>
      <c r="B4147" t="s">
        <v>12737</v>
      </c>
    </row>
    <row r="4148" spans="1:2" x14ac:dyDescent="0.25">
      <c r="A4148" t="s">
        <v>1221</v>
      </c>
      <c r="B4148" t="s">
        <v>12738</v>
      </c>
    </row>
    <row r="4149" spans="1:2" x14ac:dyDescent="0.25">
      <c r="A4149" t="s">
        <v>1224</v>
      </c>
      <c r="B4149" t="s">
        <v>12739</v>
      </c>
    </row>
    <row r="4150" spans="1:2" x14ac:dyDescent="0.25">
      <c r="A4150" t="s">
        <v>1227</v>
      </c>
      <c r="B4150" t="s">
        <v>12740</v>
      </c>
    </row>
    <row r="4151" spans="1:2" x14ac:dyDescent="0.25">
      <c r="A4151" t="s">
        <v>1229</v>
      </c>
      <c r="B4151" t="s">
        <v>12741</v>
      </c>
    </row>
    <row r="4152" spans="1:2" x14ac:dyDescent="0.25">
      <c r="A4152" t="s">
        <v>1231</v>
      </c>
      <c r="B4152" t="s">
        <v>12742</v>
      </c>
    </row>
    <row r="4153" spans="1:2" x14ac:dyDescent="0.25">
      <c r="A4153" t="s">
        <v>1233</v>
      </c>
      <c r="B4153" t="s">
        <v>12743</v>
      </c>
    </row>
    <row r="4154" spans="1:2" x14ac:dyDescent="0.25">
      <c r="A4154" t="s">
        <v>1236</v>
      </c>
      <c r="B4154" t="s">
        <v>12744</v>
      </c>
    </row>
    <row r="4155" spans="1:2" x14ac:dyDescent="0.25">
      <c r="A4155" t="s">
        <v>1238</v>
      </c>
      <c r="B4155" t="s">
        <v>12745</v>
      </c>
    </row>
    <row r="4156" spans="1:2" x14ac:dyDescent="0.25">
      <c r="A4156" t="s">
        <v>1241</v>
      </c>
      <c r="B4156" t="s">
        <v>12746</v>
      </c>
    </row>
    <row r="4157" spans="1:2" x14ac:dyDescent="0.25">
      <c r="A4157" t="s">
        <v>1243</v>
      </c>
      <c r="B4157" t="s">
        <v>12747</v>
      </c>
    </row>
    <row r="4158" spans="1:2" x14ac:dyDescent="0.25">
      <c r="A4158" t="s">
        <v>1246</v>
      </c>
      <c r="B4158" t="s">
        <v>12748</v>
      </c>
    </row>
    <row r="4159" spans="1:2" x14ac:dyDescent="0.25">
      <c r="A4159" t="s">
        <v>1248</v>
      </c>
      <c r="B4159" t="s">
        <v>12749</v>
      </c>
    </row>
    <row r="4160" spans="1:2" x14ac:dyDescent="0.25">
      <c r="A4160" t="s">
        <v>1251</v>
      </c>
      <c r="B4160" t="s">
        <v>12750</v>
      </c>
    </row>
    <row r="4161" spans="1:2" x14ac:dyDescent="0.25">
      <c r="A4161" t="s">
        <v>1253</v>
      </c>
      <c r="B4161" t="s">
        <v>12751</v>
      </c>
    </row>
    <row r="4162" spans="1:2" x14ac:dyDescent="0.25">
      <c r="A4162" t="s">
        <v>1256</v>
      </c>
      <c r="B4162" t="s">
        <v>12752</v>
      </c>
    </row>
    <row r="4163" spans="1:2" x14ac:dyDescent="0.25">
      <c r="A4163" t="s">
        <v>1259</v>
      </c>
      <c r="B4163" t="s">
        <v>12753</v>
      </c>
    </row>
    <row r="4164" spans="1:2" x14ac:dyDescent="0.25">
      <c r="A4164" t="s">
        <v>1261</v>
      </c>
      <c r="B4164" t="s">
        <v>12754</v>
      </c>
    </row>
    <row r="4165" spans="1:2" x14ac:dyDescent="0.25">
      <c r="A4165" t="s">
        <v>1263</v>
      </c>
      <c r="B4165" t="s">
        <v>12755</v>
      </c>
    </row>
    <row r="4166" spans="1:2" x14ac:dyDescent="0.25">
      <c r="A4166" t="s">
        <v>1594</v>
      </c>
      <c r="B4166" t="s">
        <v>12756</v>
      </c>
    </row>
    <row r="4167" spans="1:2" x14ac:dyDescent="0.25">
      <c r="A4167" t="s">
        <v>1596</v>
      </c>
      <c r="B4167" t="s">
        <v>12757</v>
      </c>
    </row>
    <row r="4168" spans="1:2" x14ac:dyDescent="0.25">
      <c r="A4168" t="s">
        <v>1598</v>
      </c>
      <c r="B4168" t="s">
        <v>12758</v>
      </c>
    </row>
    <row r="4169" spans="1:2" x14ac:dyDescent="0.25">
      <c r="A4169" t="s">
        <v>1600</v>
      </c>
      <c r="B4169" t="s">
        <v>12759</v>
      </c>
    </row>
    <row r="4170" spans="1:2" x14ac:dyDescent="0.25">
      <c r="A4170" t="s">
        <v>1602</v>
      </c>
      <c r="B4170" t="s">
        <v>12760</v>
      </c>
    </row>
    <row r="4171" spans="1:2" x14ac:dyDescent="0.25">
      <c r="A4171" t="s">
        <v>1604</v>
      </c>
      <c r="B4171" t="s">
        <v>12761</v>
      </c>
    </row>
    <row r="4172" spans="1:2" x14ac:dyDescent="0.25">
      <c r="A4172" t="s">
        <v>1606</v>
      </c>
      <c r="B4172" t="s">
        <v>12762</v>
      </c>
    </row>
    <row r="4173" spans="1:2" x14ac:dyDescent="0.25">
      <c r="A4173" t="s">
        <v>1608</v>
      </c>
      <c r="B4173" t="s">
        <v>12763</v>
      </c>
    </row>
    <row r="4174" spans="1:2" x14ac:dyDescent="0.25">
      <c r="A4174" t="s">
        <v>1610</v>
      </c>
      <c r="B4174" t="s">
        <v>12764</v>
      </c>
    </row>
    <row r="4175" spans="1:2" x14ac:dyDescent="0.25">
      <c r="A4175" t="s">
        <v>1612</v>
      </c>
      <c r="B4175" t="s">
        <v>12765</v>
      </c>
    </row>
    <row r="4176" spans="1:2" x14ac:dyDescent="0.25">
      <c r="A4176" t="s">
        <v>1614</v>
      </c>
      <c r="B4176" t="s">
        <v>12766</v>
      </c>
    </row>
    <row r="4177" spans="1:2" x14ac:dyDescent="0.25">
      <c r="A4177" t="s">
        <v>1616</v>
      </c>
      <c r="B4177" t="s">
        <v>12767</v>
      </c>
    </row>
    <row r="4178" spans="1:2" x14ac:dyDescent="0.25">
      <c r="A4178" t="s">
        <v>1618</v>
      </c>
      <c r="B4178" t="s">
        <v>12768</v>
      </c>
    </row>
    <row r="4179" spans="1:2" x14ac:dyDescent="0.25">
      <c r="A4179" t="s">
        <v>1620</v>
      </c>
      <c r="B4179" t="s">
        <v>12769</v>
      </c>
    </row>
    <row r="4180" spans="1:2" x14ac:dyDescent="0.25">
      <c r="A4180" t="s">
        <v>1622</v>
      </c>
      <c r="B4180" t="s">
        <v>12770</v>
      </c>
    </row>
    <row r="4181" spans="1:2" x14ac:dyDescent="0.25">
      <c r="A4181" t="s">
        <v>1624</v>
      </c>
      <c r="B4181" t="s">
        <v>12771</v>
      </c>
    </row>
    <row r="4182" spans="1:2" x14ac:dyDescent="0.25">
      <c r="A4182" t="s">
        <v>1626</v>
      </c>
      <c r="B4182" t="s">
        <v>12772</v>
      </c>
    </row>
    <row r="4183" spans="1:2" x14ac:dyDescent="0.25">
      <c r="A4183" t="s">
        <v>1628</v>
      </c>
      <c r="B4183" t="s">
        <v>12773</v>
      </c>
    </row>
    <row r="4184" spans="1:2" x14ac:dyDescent="0.25">
      <c r="A4184" t="s">
        <v>1631</v>
      </c>
      <c r="B4184" t="s">
        <v>12774</v>
      </c>
    </row>
    <row r="4185" spans="1:2" x14ac:dyDescent="0.25">
      <c r="A4185" t="s">
        <v>1633</v>
      </c>
      <c r="B4185" t="s">
        <v>12775</v>
      </c>
    </row>
    <row r="4186" spans="1:2" x14ac:dyDescent="0.25">
      <c r="A4186" t="s">
        <v>1635</v>
      </c>
      <c r="B4186" t="s">
        <v>12776</v>
      </c>
    </row>
    <row r="4187" spans="1:2" x14ac:dyDescent="0.25">
      <c r="A4187" t="s">
        <v>1637</v>
      </c>
      <c r="B4187" t="s">
        <v>12777</v>
      </c>
    </row>
    <row r="4188" spans="1:2" x14ac:dyDescent="0.25">
      <c r="A4188" t="s">
        <v>1639</v>
      </c>
      <c r="B4188" t="s">
        <v>12778</v>
      </c>
    </row>
    <row r="4189" spans="1:2" x14ac:dyDescent="0.25">
      <c r="A4189" t="s">
        <v>1641</v>
      </c>
      <c r="B4189" t="s">
        <v>12779</v>
      </c>
    </row>
    <row r="4190" spans="1:2" x14ac:dyDescent="0.25">
      <c r="A4190" t="s">
        <v>1643</v>
      </c>
      <c r="B4190" t="s">
        <v>12780</v>
      </c>
    </row>
    <row r="4191" spans="1:2" x14ac:dyDescent="0.25">
      <c r="A4191" t="s">
        <v>1645</v>
      </c>
      <c r="B4191" t="s">
        <v>12781</v>
      </c>
    </row>
    <row r="4192" spans="1:2" x14ac:dyDescent="0.25">
      <c r="A4192" t="s">
        <v>1647</v>
      </c>
      <c r="B4192" t="s">
        <v>12782</v>
      </c>
    </row>
    <row r="4193" spans="1:2" x14ac:dyDescent="0.25">
      <c r="A4193" t="s">
        <v>1650</v>
      </c>
      <c r="B4193" t="s">
        <v>12783</v>
      </c>
    </row>
    <row r="4194" spans="1:2" x14ac:dyDescent="0.25">
      <c r="A4194" t="s">
        <v>1652</v>
      </c>
      <c r="B4194" t="s">
        <v>12784</v>
      </c>
    </row>
    <row r="4195" spans="1:2" x14ac:dyDescent="0.25">
      <c r="A4195" t="s">
        <v>1654</v>
      </c>
      <c r="B4195" t="s">
        <v>12785</v>
      </c>
    </row>
    <row r="4196" spans="1:2" x14ac:dyDescent="0.25">
      <c r="A4196" t="s">
        <v>1656</v>
      </c>
      <c r="B4196" t="s">
        <v>12786</v>
      </c>
    </row>
    <row r="4197" spans="1:2" x14ac:dyDescent="0.25">
      <c r="A4197" t="s">
        <v>1658</v>
      </c>
      <c r="B4197" t="s">
        <v>12787</v>
      </c>
    </row>
    <row r="4198" spans="1:2" x14ac:dyDescent="0.25">
      <c r="A4198" t="s">
        <v>7070</v>
      </c>
      <c r="B4198" t="s">
        <v>12788</v>
      </c>
    </row>
    <row r="4199" spans="1:2" x14ac:dyDescent="0.25">
      <c r="A4199" t="s">
        <v>7072</v>
      </c>
      <c r="B4199" t="s">
        <v>12789</v>
      </c>
    </row>
    <row r="4200" spans="1:2" x14ac:dyDescent="0.25">
      <c r="A4200" t="s">
        <v>7074</v>
      </c>
      <c r="B4200" t="s">
        <v>12790</v>
      </c>
    </row>
    <row r="4201" spans="1:2" x14ac:dyDescent="0.25">
      <c r="A4201" t="s">
        <v>7076</v>
      </c>
      <c r="B4201" t="s">
        <v>12791</v>
      </c>
    </row>
    <row r="4202" spans="1:2" x14ac:dyDescent="0.25">
      <c r="A4202" t="s">
        <v>7078</v>
      </c>
      <c r="B4202" t="s">
        <v>12792</v>
      </c>
    </row>
    <row r="4203" spans="1:2" x14ac:dyDescent="0.25">
      <c r="A4203" t="s">
        <v>7080</v>
      </c>
      <c r="B4203" t="s">
        <v>12793</v>
      </c>
    </row>
    <row r="4204" spans="1:2" x14ac:dyDescent="0.25">
      <c r="A4204" t="s">
        <v>7082</v>
      </c>
      <c r="B4204" t="s">
        <v>12794</v>
      </c>
    </row>
    <row r="4205" spans="1:2" x14ac:dyDescent="0.25">
      <c r="A4205" t="s">
        <v>7084</v>
      </c>
      <c r="B4205" t="s">
        <v>12795</v>
      </c>
    </row>
    <row r="4206" spans="1:2" x14ac:dyDescent="0.25">
      <c r="A4206" t="s">
        <v>7086</v>
      </c>
      <c r="B4206" t="s">
        <v>12796</v>
      </c>
    </row>
    <row r="4207" spans="1:2" x14ac:dyDescent="0.25">
      <c r="A4207" t="s">
        <v>7088</v>
      </c>
      <c r="B4207" t="s">
        <v>12797</v>
      </c>
    </row>
    <row r="4208" spans="1:2" x14ac:dyDescent="0.25">
      <c r="A4208" t="s">
        <v>7090</v>
      </c>
      <c r="B4208" t="s">
        <v>12798</v>
      </c>
    </row>
    <row r="4209" spans="1:2" x14ac:dyDescent="0.25">
      <c r="A4209" t="s">
        <v>7092</v>
      </c>
      <c r="B4209" t="s">
        <v>12799</v>
      </c>
    </row>
    <row r="4210" spans="1:2" x14ac:dyDescent="0.25">
      <c r="A4210" t="s">
        <v>1660</v>
      </c>
      <c r="B4210" t="s">
        <v>12800</v>
      </c>
    </row>
    <row r="4211" spans="1:2" x14ac:dyDescent="0.25">
      <c r="A4211" t="s">
        <v>1662</v>
      </c>
      <c r="B4211" t="s">
        <v>12801</v>
      </c>
    </row>
    <row r="4212" spans="1:2" x14ac:dyDescent="0.25">
      <c r="A4212" t="s">
        <v>1664</v>
      </c>
      <c r="B4212" t="s">
        <v>12802</v>
      </c>
    </row>
    <row r="4213" spans="1:2" x14ac:dyDescent="0.25">
      <c r="A4213" t="s">
        <v>1666</v>
      </c>
      <c r="B4213" t="s">
        <v>12803</v>
      </c>
    </row>
    <row r="4214" spans="1:2" x14ac:dyDescent="0.25">
      <c r="A4214" t="s">
        <v>1668</v>
      </c>
      <c r="B4214" t="s">
        <v>12804</v>
      </c>
    </row>
    <row r="4215" spans="1:2" x14ac:dyDescent="0.25">
      <c r="A4215" t="s">
        <v>1670</v>
      </c>
      <c r="B4215" t="s">
        <v>12805</v>
      </c>
    </row>
    <row r="4216" spans="1:2" x14ac:dyDescent="0.25">
      <c r="A4216" t="s">
        <v>1672</v>
      </c>
      <c r="B4216" t="s">
        <v>12806</v>
      </c>
    </row>
    <row r="4217" spans="1:2" x14ac:dyDescent="0.25">
      <c r="A4217" t="s">
        <v>1674</v>
      </c>
      <c r="B4217" t="s">
        <v>12807</v>
      </c>
    </row>
    <row r="4218" spans="1:2" x14ac:dyDescent="0.25">
      <c r="A4218" t="s">
        <v>1676</v>
      </c>
      <c r="B4218" t="s">
        <v>12808</v>
      </c>
    </row>
    <row r="4219" spans="1:2" x14ac:dyDescent="0.25">
      <c r="A4219" t="s">
        <v>1678</v>
      </c>
      <c r="B4219" t="s">
        <v>12809</v>
      </c>
    </row>
    <row r="4220" spans="1:2" x14ac:dyDescent="0.25">
      <c r="A4220" t="s">
        <v>1680</v>
      </c>
      <c r="B4220" t="s">
        <v>12810</v>
      </c>
    </row>
    <row r="4221" spans="1:2" x14ac:dyDescent="0.25">
      <c r="A4221" t="s">
        <v>1682</v>
      </c>
      <c r="B4221" t="s">
        <v>12811</v>
      </c>
    </row>
    <row r="4222" spans="1:2" x14ac:dyDescent="0.25">
      <c r="A4222" t="s">
        <v>1684</v>
      </c>
      <c r="B4222" t="s">
        <v>12812</v>
      </c>
    </row>
    <row r="4223" spans="1:2" x14ac:dyDescent="0.25">
      <c r="A4223" t="s">
        <v>1686</v>
      </c>
      <c r="B4223" t="s">
        <v>12813</v>
      </c>
    </row>
    <row r="4224" spans="1:2" x14ac:dyDescent="0.25">
      <c r="A4224" t="s">
        <v>1688</v>
      </c>
      <c r="B4224" t="s">
        <v>12814</v>
      </c>
    </row>
    <row r="4225" spans="1:2" x14ac:dyDescent="0.25">
      <c r="A4225" t="s">
        <v>1690</v>
      </c>
      <c r="B4225" t="s">
        <v>12815</v>
      </c>
    </row>
    <row r="4226" spans="1:2" x14ac:dyDescent="0.25">
      <c r="A4226" t="s">
        <v>1692</v>
      </c>
      <c r="B4226" t="s">
        <v>12816</v>
      </c>
    </row>
    <row r="4227" spans="1:2" x14ac:dyDescent="0.25">
      <c r="A4227" t="s">
        <v>1694</v>
      </c>
      <c r="B4227" t="s">
        <v>12817</v>
      </c>
    </row>
    <row r="4228" spans="1:2" x14ac:dyDescent="0.25">
      <c r="A4228" t="s">
        <v>1696</v>
      </c>
      <c r="B4228" t="s">
        <v>12818</v>
      </c>
    </row>
    <row r="4229" spans="1:2" x14ac:dyDescent="0.25">
      <c r="A4229" t="s">
        <v>1698</v>
      </c>
      <c r="B4229" t="s">
        <v>12819</v>
      </c>
    </row>
    <row r="4230" spans="1:2" x14ac:dyDescent="0.25">
      <c r="A4230" t="s">
        <v>1700</v>
      </c>
      <c r="B4230" t="s">
        <v>12820</v>
      </c>
    </row>
    <row r="4231" spans="1:2" x14ac:dyDescent="0.25">
      <c r="A4231" t="s">
        <v>1702</v>
      </c>
      <c r="B4231" t="s">
        <v>12821</v>
      </c>
    </row>
    <row r="4232" spans="1:2" x14ac:dyDescent="0.25">
      <c r="A4232" t="s">
        <v>1704</v>
      </c>
      <c r="B4232" t="s">
        <v>12822</v>
      </c>
    </row>
    <row r="4233" spans="1:2" x14ac:dyDescent="0.25">
      <c r="A4233" t="s">
        <v>1706</v>
      </c>
      <c r="B4233" t="s">
        <v>12823</v>
      </c>
    </row>
    <row r="4234" spans="1:2" x14ac:dyDescent="0.25">
      <c r="A4234" t="s">
        <v>1708</v>
      </c>
      <c r="B4234" t="s">
        <v>12824</v>
      </c>
    </row>
    <row r="4235" spans="1:2" x14ac:dyDescent="0.25">
      <c r="A4235" t="s">
        <v>1710</v>
      </c>
      <c r="B4235" t="s">
        <v>12825</v>
      </c>
    </row>
    <row r="4236" spans="1:2" x14ac:dyDescent="0.25">
      <c r="A4236" t="s">
        <v>1712</v>
      </c>
      <c r="B4236" t="s">
        <v>12826</v>
      </c>
    </row>
    <row r="4237" spans="1:2" x14ac:dyDescent="0.25">
      <c r="A4237" t="s">
        <v>1714</v>
      </c>
      <c r="B4237" t="s">
        <v>12827</v>
      </c>
    </row>
    <row r="4238" spans="1:2" x14ac:dyDescent="0.25">
      <c r="A4238" t="s">
        <v>1716</v>
      </c>
      <c r="B4238" t="s">
        <v>12828</v>
      </c>
    </row>
    <row r="4239" spans="1:2" x14ac:dyDescent="0.25">
      <c r="A4239" t="s">
        <v>1718</v>
      </c>
      <c r="B4239" t="s">
        <v>12829</v>
      </c>
    </row>
    <row r="4240" spans="1:2" x14ac:dyDescent="0.25">
      <c r="A4240" t="s">
        <v>1720</v>
      </c>
      <c r="B4240" t="s">
        <v>12830</v>
      </c>
    </row>
    <row r="4241" spans="1:2" x14ac:dyDescent="0.25">
      <c r="A4241" t="s">
        <v>1722</v>
      </c>
      <c r="B4241" t="s">
        <v>12831</v>
      </c>
    </row>
    <row r="4242" spans="1:2" x14ac:dyDescent="0.25">
      <c r="A4242" t="s">
        <v>1724</v>
      </c>
      <c r="B4242" t="s">
        <v>12832</v>
      </c>
    </row>
    <row r="4243" spans="1:2" x14ac:dyDescent="0.25">
      <c r="A4243" t="s">
        <v>1726</v>
      </c>
      <c r="B4243" t="s">
        <v>12833</v>
      </c>
    </row>
    <row r="4244" spans="1:2" x14ac:dyDescent="0.25">
      <c r="A4244" t="s">
        <v>1728</v>
      </c>
      <c r="B4244" t="s">
        <v>12834</v>
      </c>
    </row>
    <row r="4245" spans="1:2" x14ac:dyDescent="0.25">
      <c r="A4245" t="s">
        <v>1730</v>
      </c>
      <c r="B4245" t="s">
        <v>12835</v>
      </c>
    </row>
    <row r="4246" spans="1:2" x14ac:dyDescent="0.25">
      <c r="A4246" t="s">
        <v>1732</v>
      </c>
      <c r="B4246" t="s">
        <v>12836</v>
      </c>
    </row>
    <row r="4247" spans="1:2" x14ac:dyDescent="0.25">
      <c r="A4247" t="s">
        <v>1734</v>
      </c>
      <c r="B4247" t="s">
        <v>12837</v>
      </c>
    </row>
    <row r="4248" spans="1:2" x14ac:dyDescent="0.25">
      <c r="A4248" t="s">
        <v>1736</v>
      </c>
      <c r="B4248" t="s">
        <v>12838</v>
      </c>
    </row>
    <row r="4249" spans="1:2" x14ac:dyDescent="0.25">
      <c r="A4249" t="s">
        <v>1738</v>
      </c>
      <c r="B4249" t="s">
        <v>12839</v>
      </c>
    </row>
    <row r="4250" spans="1:2" x14ac:dyDescent="0.25">
      <c r="A4250" t="s">
        <v>1740</v>
      </c>
      <c r="B4250" t="s">
        <v>12840</v>
      </c>
    </row>
    <row r="4251" spans="1:2" x14ac:dyDescent="0.25">
      <c r="A4251" t="s">
        <v>1742</v>
      </c>
      <c r="B4251" t="s">
        <v>12841</v>
      </c>
    </row>
    <row r="4252" spans="1:2" x14ac:dyDescent="0.25">
      <c r="A4252" t="s">
        <v>1744</v>
      </c>
      <c r="B4252" t="s">
        <v>12842</v>
      </c>
    </row>
    <row r="4253" spans="1:2" x14ac:dyDescent="0.25">
      <c r="A4253" t="s">
        <v>1746</v>
      </c>
      <c r="B4253" t="s">
        <v>12843</v>
      </c>
    </row>
    <row r="4254" spans="1:2" x14ac:dyDescent="0.25">
      <c r="A4254" t="s">
        <v>1748</v>
      </c>
      <c r="B4254" t="s">
        <v>12844</v>
      </c>
    </row>
    <row r="4255" spans="1:2" x14ac:dyDescent="0.25">
      <c r="A4255" t="s">
        <v>1750</v>
      </c>
      <c r="B4255" t="s">
        <v>12845</v>
      </c>
    </row>
    <row r="4256" spans="1:2" x14ac:dyDescent="0.25">
      <c r="A4256" t="s">
        <v>1752</v>
      </c>
      <c r="B4256" t="s">
        <v>12846</v>
      </c>
    </row>
    <row r="4257" spans="1:2" x14ac:dyDescent="0.25">
      <c r="A4257" t="s">
        <v>1754</v>
      </c>
      <c r="B4257" t="s">
        <v>12847</v>
      </c>
    </row>
    <row r="4258" spans="1:2" x14ac:dyDescent="0.25">
      <c r="A4258" t="s">
        <v>1756</v>
      </c>
      <c r="B4258" t="s">
        <v>12848</v>
      </c>
    </row>
    <row r="4259" spans="1:2" x14ac:dyDescent="0.25">
      <c r="A4259" t="s">
        <v>1758</v>
      </c>
      <c r="B4259" t="s">
        <v>12849</v>
      </c>
    </row>
    <row r="4260" spans="1:2" x14ac:dyDescent="0.25">
      <c r="A4260" t="s">
        <v>1760</v>
      </c>
      <c r="B4260" t="s">
        <v>12850</v>
      </c>
    </row>
    <row r="4261" spans="1:2" x14ac:dyDescent="0.25">
      <c r="A4261" t="s">
        <v>1762</v>
      </c>
      <c r="B4261" t="s">
        <v>12851</v>
      </c>
    </row>
    <row r="4262" spans="1:2" x14ac:dyDescent="0.25">
      <c r="A4262" t="s">
        <v>1764</v>
      </c>
      <c r="B4262" t="s">
        <v>12852</v>
      </c>
    </row>
    <row r="4263" spans="1:2" x14ac:dyDescent="0.25">
      <c r="A4263" t="s">
        <v>1766</v>
      </c>
      <c r="B4263" t="s">
        <v>12853</v>
      </c>
    </row>
    <row r="4264" spans="1:2" x14ac:dyDescent="0.25">
      <c r="A4264" t="s">
        <v>1768</v>
      </c>
      <c r="B4264" t="s">
        <v>12854</v>
      </c>
    </row>
    <row r="4265" spans="1:2" x14ac:dyDescent="0.25">
      <c r="A4265" t="s">
        <v>1770</v>
      </c>
      <c r="B4265" t="s">
        <v>12855</v>
      </c>
    </row>
    <row r="4266" spans="1:2" x14ac:dyDescent="0.25">
      <c r="A4266" t="s">
        <v>1772</v>
      </c>
      <c r="B4266" t="s">
        <v>12856</v>
      </c>
    </row>
    <row r="4267" spans="1:2" x14ac:dyDescent="0.25">
      <c r="A4267" t="s">
        <v>1774</v>
      </c>
      <c r="B4267" t="s">
        <v>12857</v>
      </c>
    </row>
    <row r="4268" spans="1:2" x14ac:dyDescent="0.25">
      <c r="A4268" t="s">
        <v>1776</v>
      </c>
      <c r="B4268" t="s">
        <v>12858</v>
      </c>
    </row>
    <row r="4269" spans="1:2" x14ac:dyDescent="0.25">
      <c r="A4269" t="s">
        <v>1778</v>
      </c>
      <c r="B4269" t="s">
        <v>12859</v>
      </c>
    </row>
    <row r="4270" spans="1:2" x14ac:dyDescent="0.25">
      <c r="A4270" t="s">
        <v>1780</v>
      </c>
      <c r="B4270" t="s">
        <v>12860</v>
      </c>
    </row>
    <row r="4271" spans="1:2" x14ac:dyDescent="0.25">
      <c r="A4271" t="s">
        <v>1782</v>
      </c>
      <c r="B4271" t="s">
        <v>12861</v>
      </c>
    </row>
    <row r="4272" spans="1:2" x14ac:dyDescent="0.25">
      <c r="A4272" t="s">
        <v>1784</v>
      </c>
      <c r="B4272" t="s">
        <v>12862</v>
      </c>
    </row>
    <row r="4273" spans="1:2" x14ac:dyDescent="0.25">
      <c r="A4273" t="s">
        <v>1786</v>
      </c>
      <c r="B4273" t="s">
        <v>12863</v>
      </c>
    </row>
    <row r="4274" spans="1:2" x14ac:dyDescent="0.25">
      <c r="A4274" t="s">
        <v>1788</v>
      </c>
      <c r="B4274" t="s">
        <v>12864</v>
      </c>
    </row>
    <row r="4275" spans="1:2" x14ac:dyDescent="0.25">
      <c r="A4275" t="s">
        <v>1790</v>
      </c>
      <c r="B4275" t="s">
        <v>12865</v>
      </c>
    </row>
    <row r="4276" spans="1:2" x14ac:dyDescent="0.25">
      <c r="A4276" t="s">
        <v>1792</v>
      </c>
      <c r="B4276" t="s">
        <v>12866</v>
      </c>
    </row>
    <row r="4277" spans="1:2" x14ac:dyDescent="0.25">
      <c r="A4277" t="s">
        <v>1794</v>
      </c>
      <c r="B4277" t="s">
        <v>12867</v>
      </c>
    </row>
    <row r="4278" spans="1:2" x14ac:dyDescent="0.25">
      <c r="A4278" t="s">
        <v>1796</v>
      </c>
      <c r="B4278" t="s">
        <v>12868</v>
      </c>
    </row>
    <row r="4279" spans="1:2" x14ac:dyDescent="0.25">
      <c r="A4279" t="s">
        <v>1798</v>
      </c>
      <c r="B4279" t="s">
        <v>12869</v>
      </c>
    </row>
    <row r="4280" spans="1:2" x14ac:dyDescent="0.25">
      <c r="A4280" t="s">
        <v>1800</v>
      </c>
      <c r="B4280" t="s">
        <v>12870</v>
      </c>
    </row>
    <row r="4281" spans="1:2" x14ac:dyDescent="0.25">
      <c r="A4281" t="s">
        <v>1802</v>
      </c>
      <c r="B4281" t="s">
        <v>12871</v>
      </c>
    </row>
    <row r="4282" spans="1:2" x14ac:dyDescent="0.25">
      <c r="A4282" t="s">
        <v>1804</v>
      </c>
      <c r="B4282" t="s">
        <v>12872</v>
      </c>
    </row>
    <row r="4283" spans="1:2" x14ac:dyDescent="0.25">
      <c r="A4283" t="s">
        <v>1806</v>
      </c>
      <c r="B4283" t="s">
        <v>12873</v>
      </c>
    </row>
    <row r="4284" spans="1:2" x14ac:dyDescent="0.25">
      <c r="A4284" t="s">
        <v>1808</v>
      </c>
      <c r="B4284" t="s">
        <v>12874</v>
      </c>
    </row>
    <row r="4285" spans="1:2" x14ac:dyDescent="0.25">
      <c r="A4285" t="s">
        <v>1810</v>
      </c>
      <c r="B4285" t="s">
        <v>12875</v>
      </c>
    </row>
    <row r="4286" spans="1:2" x14ac:dyDescent="0.25">
      <c r="A4286" t="s">
        <v>1812</v>
      </c>
      <c r="B4286" t="s">
        <v>12876</v>
      </c>
    </row>
    <row r="4287" spans="1:2" x14ac:dyDescent="0.25">
      <c r="A4287" t="s">
        <v>1814</v>
      </c>
      <c r="B4287" t="s">
        <v>12877</v>
      </c>
    </row>
    <row r="4288" spans="1:2" x14ac:dyDescent="0.25">
      <c r="A4288" t="s">
        <v>1816</v>
      </c>
      <c r="B4288" t="s">
        <v>12878</v>
      </c>
    </row>
    <row r="4289" spans="1:2" x14ac:dyDescent="0.25">
      <c r="A4289" t="s">
        <v>1818</v>
      </c>
      <c r="B4289" t="s">
        <v>12879</v>
      </c>
    </row>
    <row r="4290" spans="1:2" x14ac:dyDescent="0.25">
      <c r="A4290" t="s">
        <v>1820</v>
      </c>
      <c r="B4290" t="s">
        <v>12880</v>
      </c>
    </row>
    <row r="4291" spans="1:2" x14ac:dyDescent="0.25">
      <c r="A4291" t="s">
        <v>1822</v>
      </c>
      <c r="B4291" t="s">
        <v>12881</v>
      </c>
    </row>
    <row r="4292" spans="1:2" x14ac:dyDescent="0.25">
      <c r="A4292" t="s">
        <v>1824</v>
      </c>
      <c r="B4292" t="s">
        <v>12882</v>
      </c>
    </row>
    <row r="4293" spans="1:2" x14ac:dyDescent="0.25">
      <c r="A4293" t="s">
        <v>1826</v>
      </c>
      <c r="B4293" t="s">
        <v>12883</v>
      </c>
    </row>
    <row r="4294" spans="1:2" x14ac:dyDescent="0.25">
      <c r="A4294" t="s">
        <v>1828</v>
      </c>
      <c r="B4294" t="s">
        <v>12884</v>
      </c>
    </row>
    <row r="4295" spans="1:2" x14ac:dyDescent="0.25">
      <c r="A4295" t="s">
        <v>1830</v>
      </c>
      <c r="B4295" t="s">
        <v>12885</v>
      </c>
    </row>
    <row r="4296" spans="1:2" x14ac:dyDescent="0.25">
      <c r="A4296" t="s">
        <v>1832</v>
      </c>
      <c r="B4296" t="s">
        <v>12886</v>
      </c>
    </row>
    <row r="4297" spans="1:2" x14ac:dyDescent="0.25">
      <c r="A4297" t="s">
        <v>1834</v>
      </c>
      <c r="B4297" t="s">
        <v>12887</v>
      </c>
    </row>
    <row r="4298" spans="1:2" x14ac:dyDescent="0.25">
      <c r="A4298" t="s">
        <v>1836</v>
      </c>
      <c r="B4298" t="s">
        <v>12888</v>
      </c>
    </row>
    <row r="4299" spans="1:2" x14ac:dyDescent="0.25">
      <c r="A4299" t="s">
        <v>1838</v>
      </c>
      <c r="B4299" t="s">
        <v>12889</v>
      </c>
    </row>
    <row r="4300" spans="1:2" x14ac:dyDescent="0.25">
      <c r="A4300" t="s">
        <v>1840</v>
      </c>
      <c r="B4300" t="s">
        <v>12890</v>
      </c>
    </row>
    <row r="4301" spans="1:2" x14ac:dyDescent="0.25">
      <c r="A4301" t="s">
        <v>1842</v>
      </c>
      <c r="B4301" t="s">
        <v>12891</v>
      </c>
    </row>
    <row r="4302" spans="1:2" x14ac:dyDescent="0.25">
      <c r="A4302" t="s">
        <v>1844</v>
      </c>
      <c r="B4302" t="s">
        <v>12892</v>
      </c>
    </row>
    <row r="4303" spans="1:2" x14ac:dyDescent="0.25">
      <c r="A4303" t="s">
        <v>1846</v>
      </c>
      <c r="B4303" t="s">
        <v>12893</v>
      </c>
    </row>
    <row r="4304" spans="1:2" x14ac:dyDescent="0.25">
      <c r="A4304" t="s">
        <v>1848</v>
      </c>
      <c r="B4304" t="s">
        <v>12894</v>
      </c>
    </row>
    <row r="4305" spans="1:2" x14ac:dyDescent="0.25">
      <c r="A4305" t="s">
        <v>1850</v>
      </c>
      <c r="B4305" t="s">
        <v>12895</v>
      </c>
    </row>
    <row r="4306" spans="1:2" x14ac:dyDescent="0.25">
      <c r="A4306" t="s">
        <v>1852</v>
      </c>
      <c r="B4306" t="s">
        <v>12896</v>
      </c>
    </row>
    <row r="4307" spans="1:2" x14ac:dyDescent="0.25">
      <c r="A4307" t="s">
        <v>1854</v>
      </c>
      <c r="B4307" t="s">
        <v>12897</v>
      </c>
    </row>
    <row r="4308" spans="1:2" x14ac:dyDescent="0.25">
      <c r="A4308" t="s">
        <v>1856</v>
      </c>
      <c r="B4308" t="s">
        <v>12898</v>
      </c>
    </row>
    <row r="4309" spans="1:2" x14ac:dyDescent="0.25">
      <c r="A4309" t="s">
        <v>1858</v>
      </c>
      <c r="B4309" t="s">
        <v>12899</v>
      </c>
    </row>
    <row r="4310" spans="1:2" x14ac:dyDescent="0.25">
      <c r="A4310" t="s">
        <v>1860</v>
      </c>
      <c r="B4310" t="s">
        <v>12900</v>
      </c>
    </row>
    <row r="4311" spans="1:2" x14ac:dyDescent="0.25">
      <c r="A4311" t="s">
        <v>1862</v>
      </c>
      <c r="B4311" t="s">
        <v>12901</v>
      </c>
    </row>
    <row r="4312" spans="1:2" x14ac:dyDescent="0.25">
      <c r="A4312" t="s">
        <v>1864</v>
      </c>
      <c r="B4312" t="s">
        <v>12902</v>
      </c>
    </row>
    <row r="4313" spans="1:2" x14ac:dyDescent="0.25">
      <c r="A4313" t="s">
        <v>1866</v>
      </c>
      <c r="B4313" t="s">
        <v>12903</v>
      </c>
    </row>
    <row r="4314" spans="1:2" x14ac:dyDescent="0.25">
      <c r="A4314" t="s">
        <v>11882</v>
      </c>
      <c r="B4314" t="s">
        <v>12904</v>
      </c>
    </row>
    <row r="4315" spans="1:2" x14ac:dyDescent="0.25">
      <c r="A4315" t="s">
        <v>11884</v>
      </c>
      <c r="B4315" t="s">
        <v>12905</v>
      </c>
    </row>
    <row r="4316" spans="1:2" x14ac:dyDescent="0.25">
      <c r="A4316" t="s">
        <v>11886</v>
      </c>
      <c r="B4316" t="s">
        <v>12906</v>
      </c>
    </row>
    <row r="4317" spans="1:2" x14ac:dyDescent="0.25">
      <c r="A4317" t="s">
        <v>11888</v>
      </c>
      <c r="B4317" t="s">
        <v>12907</v>
      </c>
    </row>
    <row r="4318" spans="1:2" x14ac:dyDescent="0.25">
      <c r="A4318" t="s">
        <v>11890</v>
      </c>
      <c r="B4318" t="s">
        <v>12908</v>
      </c>
    </row>
    <row r="4319" spans="1:2" x14ac:dyDescent="0.25">
      <c r="A4319" t="s">
        <v>11892</v>
      </c>
      <c r="B4319" t="s">
        <v>12909</v>
      </c>
    </row>
    <row r="4320" spans="1:2" x14ac:dyDescent="0.25">
      <c r="A4320" t="s">
        <v>11894</v>
      </c>
      <c r="B4320" t="s">
        <v>12910</v>
      </c>
    </row>
    <row r="4321" spans="1:2" x14ac:dyDescent="0.25">
      <c r="A4321" t="s">
        <v>11896</v>
      </c>
      <c r="B4321" t="s">
        <v>12911</v>
      </c>
    </row>
    <row r="4322" spans="1:2" x14ac:dyDescent="0.25">
      <c r="A4322" t="s">
        <v>1868</v>
      </c>
      <c r="B4322" t="s">
        <v>12912</v>
      </c>
    </row>
    <row r="4323" spans="1:2" x14ac:dyDescent="0.25">
      <c r="A4323" t="s">
        <v>1870</v>
      </c>
      <c r="B4323" t="s">
        <v>12913</v>
      </c>
    </row>
    <row r="4324" spans="1:2" x14ac:dyDescent="0.25">
      <c r="A4324" t="s">
        <v>1872</v>
      </c>
      <c r="B4324" t="s">
        <v>12914</v>
      </c>
    </row>
    <row r="4325" spans="1:2" x14ac:dyDescent="0.25">
      <c r="A4325" t="s">
        <v>1874</v>
      </c>
      <c r="B4325" t="s">
        <v>12915</v>
      </c>
    </row>
    <row r="4326" spans="1:2" x14ac:dyDescent="0.25">
      <c r="A4326" t="s">
        <v>1877</v>
      </c>
      <c r="B4326" t="s">
        <v>12916</v>
      </c>
    </row>
    <row r="4327" spans="1:2" x14ac:dyDescent="0.25">
      <c r="A4327" t="s">
        <v>1879</v>
      </c>
      <c r="B4327" t="s">
        <v>12917</v>
      </c>
    </row>
    <row r="4328" spans="1:2" x14ac:dyDescent="0.25">
      <c r="A4328" t="s">
        <v>1881</v>
      </c>
      <c r="B4328" t="s">
        <v>12918</v>
      </c>
    </row>
    <row r="4329" spans="1:2" x14ac:dyDescent="0.25">
      <c r="A4329" t="s">
        <v>1883</v>
      </c>
      <c r="B4329" t="s">
        <v>12919</v>
      </c>
    </row>
    <row r="4330" spans="1:2" x14ac:dyDescent="0.25">
      <c r="A4330" t="s">
        <v>1885</v>
      </c>
      <c r="B4330" t="s">
        <v>12920</v>
      </c>
    </row>
    <row r="4331" spans="1:2" x14ac:dyDescent="0.25">
      <c r="A4331" t="s">
        <v>1887</v>
      </c>
      <c r="B4331" t="s">
        <v>12921</v>
      </c>
    </row>
    <row r="4332" spans="1:2" x14ac:dyDescent="0.25">
      <c r="A4332" t="s">
        <v>1889</v>
      </c>
      <c r="B4332" t="s">
        <v>12922</v>
      </c>
    </row>
    <row r="4333" spans="1:2" x14ac:dyDescent="0.25">
      <c r="A4333" t="s">
        <v>1891</v>
      </c>
      <c r="B4333" t="s">
        <v>12923</v>
      </c>
    </row>
    <row r="4334" spans="1:2" x14ac:dyDescent="0.25">
      <c r="A4334" t="s">
        <v>1893</v>
      </c>
      <c r="B4334" t="s">
        <v>12924</v>
      </c>
    </row>
    <row r="4335" spans="1:2" x14ac:dyDescent="0.25">
      <c r="A4335" t="s">
        <v>1895</v>
      </c>
      <c r="B4335" t="s">
        <v>12925</v>
      </c>
    </row>
    <row r="4336" spans="1:2" x14ac:dyDescent="0.25">
      <c r="A4336" t="s">
        <v>1897</v>
      </c>
      <c r="B4336" t="s">
        <v>12926</v>
      </c>
    </row>
    <row r="4337" spans="1:2" x14ac:dyDescent="0.25">
      <c r="A4337" t="s">
        <v>1899</v>
      </c>
      <c r="B4337" t="s">
        <v>12927</v>
      </c>
    </row>
    <row r="4338" spans="1:2" x14ac:dyDescent="0.25">
      <c r="A4338" t="s">
        <v>11914</v>
      </c>
      <c r="B4338" t="s">
        <v>12928</v>
      </c>
    </row>
    <row r="4339" spans="1:2" x14ac:dyDescent="0.25">
      <c r="A4339" t="s">
        <v>11916</v>
      </c>
      <c r="B4339" t="s">
        <v>12929</v>
      </c>
    </row>
    <row r="4340" spans="1:2" x14ac:dyDescent="0.25">
      <c r="A4340" t="s">
        <v>11918</v>
      </c>
      <c r="B4340" t="s">
        <v>12930</v>
      </c>
    </row>
    <row r="4341" spans="1:2" x14ac:dyDescent="0.25">
      <c r="A4341" t="s">
        <v>11920</v>
      </c>
      <c r="B4341" t="s">
        <v>12931</v>
      </c>
    </row>
    <row r="4342" spans="1:2" x14ac:dyDescent="0.25">
      <c r="A4342" t="s">
        <v>11922</v>
      </c>
      <c r="B4342" t="s">
        <v>12932</v>
      </c>
    </row>
    <row r="4343" spans="1:2" x14ac:dyDescent="0.25">
      <c r="A4343" t="s">
        <v>11924</v>
      </c>
      <c r="B4343" t="s">
        <v>12933</v>
      </c>
    </row>
    <row r="4344" spans="1:2" x14ac:dyDescent="0.25">
      <c r="A4344" t="s">
        <v>11926</v>
      </c>
      <c r="B4344" t="s">
        <v>12934</v>
      </c>
    </row>
    <row r="4345" spans="1:2" x14ac:dyDescent="0.25">
      <c r="A4345" t="s">
        <v>11928</v>
      </c>
      <c r="B4345" t="s">
        <v>12935</v>
      </c>
    </row>
    <row r="4346" spans="1:2" x14ac:dyDescent="0.25">
      <c r="A4346" t="s">
        <v>2706</v>
      </c>
      <c r="B4346" t="s">
        <v>12936</v>
      </c>
    </row>
    <row r="4347" spans="1:2" x14ac:dyDescent="0.25">
      <c r="A4347" t="s">
        <v>2708</v>
      </c>
      <c r="B4347" t="s">
        <v>12937</v>
      </c>
    </row>
    <row r="4348" spans="1:2" x14ac:dyDescent="0.25">
      <c r="A4348" t="s">
        <v>2710</v>
      </c>
      <c r="B4348" t="s">
        <v>12938</v>
      </c>
    </row>
    <row r="4349" spans="1:2" x14ac:dyDescent="0.25">
      <c r="A4349" t="s">
        <v>1902</v>
      </c>
      <c r="B4349" t="s">
        <v>12939</v>
      </c>
    </row>
    <row r="4350" spans="1:2" x14ac:dyDescent="0.25">
      <c r="A4350" t="s">
        <v>1905</v>
      </c>
      <c r="B4350" t="s">
        <v>12940</v>
      </c>
    </row>
    <row r="4351" spans="1:2" x14ac:dyDescent="0.25">
      <c r="A4351" t="s">
        <v>1908</v>
      </c>
      <c r="B4351" t="s">
        <v>12941</v>
      </c>
    </row>
    <row r="4352" spans="1:2" x14ac:dyDescent="0.25">
      <c r="A4352" t="s">
        <v>3002</v>
      </c>
      <c r="B4352" t="s">
        <v>12942</v>
      </c>
    </row>
    <row r="4353" spans="1:2" x14ac:dyDescent="0.25">
      <c r="A4353" t="s">
        <v>3004</v>
      </c>
      <c r="B4353" t="s">
        <v>12943</v>
      </c>
    </row>
    <row r="4354" spans="1:2" x14ac:dyDescent="0.25">
      <c r="A4354" t="s">
        <v>3006</v>
      </c>
      <c r="B4354" t="s">
        <v>12944</v>
      </c>
    </row>
    <row r="4355" spans="1:2" x14ac:dyDescent="0.25">
      <c r="A4355" t="s">
        <v>1910</v>
      </c>
      <c r="B4355" t="s">
        <v>12945</v>
      </c>
    </row>
    <row r="4356" spans="1:2" x14ac:dyDescent="0.25">
      <c r="A4356" t="s">
        <v>1913</v>
      </c>
      <c r="B4356" t="s">
        <v>12946</v>
      </c>
    </row>
    <row r="4357" spans="1:2" x14ac:dyDescent="0.25">
      <c r="A4357" t="s">
        <v>3010</v>
      </c>
      <c r="B4357" t="s">
        <v>12947</v>
      </c>
    </row>
    <row r="4358" spans="1:2" x14ac:dyDescent="0.25">
      <c r="A4358" t="s">
        <v>3012</v>
      </c>
      <c r="B4358" t="s">
        <v>12948</v>
      </c>
    </row>
    <row r="4359" spans="1:2" x14ac:dyDescent="0.25">
      <c r="A4359" t="s">
        <v>1916</v>
      </c>
      <c r="B4359" t="s">
        <v>12949</v>
      </c>
    </row>
    <row r="4360" spans="1:2" x14ac:dyDescent="0.25">
      <c r="A4360" t="s">
        <v>3015</v>
      </c>
      <c r="B4360" t="s">
        <v>12950</v>
      </c>
    </row>
    <row r="4361" spans="1:2" x14ac:dyDescent="0.25">
      <c r="A4361" t="s">
        <v>1919</v>
      </c>
      <c r="B4361" t="s">
        <v>12951</v>
      </c>
    </row>
    <row r="4362" spans="1:2" x14ac:dyDescent="0.25">
      <c r="A4362" t="s">
        <v>1922</v>
      </c>
      <c r="B4362" t="s">
        <v>12952</v>
      </c>
    </row>
    <row r="4363" spans="1:2" x14ac:dyDescent="0.25">
      <c r="A4363" t="s">
        <v>11947</v>
      </c>
      <c r="B4363" t="s">
        <v>12953</v>
      </c>
    </row>
    <row r="4364" spans="1:2" x14ac:dyDescent="0.25">
      <c r="A4364" t="s">
        <v>12954</v>
      </c>
      <c r="B4364" t="s">
        <v>12955</v>
      </c>
    </row>
    <row r="4365" spans="1:2" x14ac:dyDescent="0.25">
      <c r="A4365" t="s">
        <v>1924</v>
      </c>
      <c r="B4365" t="s">
        <v>12956</v>
      </c>
    </row>
    <row r="4366" spans="1:2" x14ac:dyDescent="0.25">
      <c r="A4366" t="s">
        <v>12957</v>
      </c>
      <c r="B4366" t="s">
        <v>12958</v>
      </c>
    </row>
    <row r="4367" spans="1:2" x14ac:dyDescent="0.25">
      <c r="A4367" t="s">
        <v>1927</v>
      </c>
      <c r="B4367" t="s">
        <v>12959</v>
      </c>
    </row>
    <row r="4368" spans="1:2" x14ac:dyDescent="0.25">
      <c r="A4368" t="s">
        <v>1930</v>
      </c>
      <c r="B4368" t="s">
        <v>12960</v>
      </c>
    </row>
    <row r="4369" spans="1:2" x14ac:dyDescent="0.25">
      <c r="A4369" t="s">
        <v>12961</v>
      </c>
      <c r="B4369" t="s">
        <v>12962</v>
      </c>
    </row>
    <row r="4370" spans="1:2" x14ac:dyDescent="0.25">
      <c r="A4370" t="s">
        <v>12963</v>
      </c>
      <c r="B4370" t="s">
        <v>12964</v>
      </c>
    </row>
    <row r="4371" spans="1:2" x14ac:dyDescent="0.25">
      <c r="A4371" t="s">
        <v>1933</v>
      </c>
      <c r="B4371" t="s">
        <v>12965</v>
      </c>
    </row>
    <row r="4372" spans="1:2" x14ac:dyDescent="0.25">
      <c r="A4372" t="s">
        <v>12966</v>
      </c>
      <c r="B4372" t="s">
        <v>12967</v>
      </c>
    </row>
    <row r="4373" spans="1:2" x14ac:dyDescent="0.25">
      <c r="A4373" t="s">
        <v>1936</v>
      </c>
      <c r="B4373" t="s">
        <v>12968</v>
      </c>
    </row>
    <row r="4374" spans="1:2" x14ac:dyDescent="0.25">
      <c r="A4374" t="s">
        <v>1939</v>
      </c>
      <c r="B4374" t="s">
        <v>12969</v>
      </c>
    </row>
    <row r="4375" spans="1:2" x14ac:dyDescent="0.25">
      <c r="A4375" t="s">
        <v>12970</v>
      </c>
      <c r="B4375" t="s">
        <v>12971</v>
      </c>
    </row>
    <row r="4376" spans="1:2" x14ac:dyDescent="0.25">
      <c r="A4376" t="s">
        <v>12972</v>
      </c>
      <c r="B4376" t="s">
        <v>12973</v>
      </c>
    </row>
    <row r="4377" spans="1:2" x14ac:dyDescent="0.25">
      <c r="A4377" t="s">
        <v>1941</v>
      </c>
      <c r="B4377" t="s">
        <v>12974</v>
      </c>
    </row>
    <row r="4378" spans="1:2" x14ac:dyDescent="0.25">
      <c r="A4378" t="s">
        <v>11949</v>
      </c>
      <c r="B4378" t="s">
        <v>12975</v>
      </c>
    </row>
    <row r="4379" spans="1:2" x14ac:dyDescent="0.25">
      <c r="A4379" t="s">
        <v>1943</v>
      </c>
      <c r="B4379" t="s">
        <v>12976</v>
      </c>
    </row>
    <row r="4380" spans="1:2" x14ac:dyDescent="0.25">
      <c r="A4380" t="s">
        <v>1945</v>
      </c>
      <c r="B4380" t="s">
        <v>12977</v>
      </c>
    </row>
    <row r="4381" spans="1:2" x14ac:dyDescent="0.25">
      <c r="A4381" t="s">
        <v>11953</v>
      </c>
      <c r="B4381" t="s">
        <v>12978</v>
      </c>
    </row>
    <row r="4382" spans="1:2" x14ac:dyDescent="0.25">
      <c r="A4382" t="s">
        <v>11955</v>
      </c>
      <c r="B4382" t="s">
        <v>12979</v>
      </c>
    </row>
    <row r="4383" spans="1:2" x14ac:dyDescent="0.25">
      <c r="A4383" t="s">
        <v>1947</v>
      </c>
      <c r="B4383" t="s">
        <v>12980</v>
      </c>
    </row>
    <row r="4384" spans="1:2" x14ac:dyDescent="0.25">
      <c r="A4384" t="s">
        <v>11958</v>
      </c>
      <c r="B4384" t="s">
        <v>12981</v>
      </c>
    </row>
    <row r="4385" spans="1:2" x14ac:dyDescent="0.25">
      <c r="A4385" t="s">
        <v>11960</v>
      </c>
      <c r="B4385" t="s">
        <v>12982</v>
      </c>
    </row>
    <row r="4386" spans="1:2" x14ac:dyDescent="0.25">
      <c r="A4386" t="s">
        <v>11962</v>
      </c>
      <c r="B4386" t="s">
        <v>12983</v>
      </c>
    </row>
    <row r="4387" spans="1:2" x14ac:dyDescent="0.25">
      <c r="A4387" t="s">
        <v>1950</v>
      </c>
      <c r="B4387" t="s">
        <v>12984</v>
      </c>
    </row>
    <row r="4388" spans="1:2" x14ac:dyDescent="0.25">
      <c r="A4388" t="s">
        <v>1952</v>
      </c>
      <c r="B4388" t="s">
        <v>12985</v>
      </c>
    </row>
    <row r="4389" spans="1:2" x14ac:dyDescent="0.25">
      <c r="A4389" t="s">
        <v>11966</v>
      </c>
      <c r="B4389" t="s">
        <v>12986</v>
      </c>
    </row>
    <row r="4390" spans="1:2" x14ac:dyDescent="0.25">
      <c r="A4390" t="s">
        <v>11968</v>
      </c>
      <c r="B4390" t="s">
        <v>12987</v>
      </c>
    </row>
    <row r="4391" spans="1:2" x14ac:dyDescent="0.25">
      <c r="A4391" t="s">
        <v>1954</v>
      </c>
      <c r="B4391" t="s">
        <v>12988</v>
      </c>
    </row>
    <row r="4392" spans="1:2" x14ac:dyDescent="0.25">
      <c r="A4392" t="s">
        <v>11971</v>
      </c>
      <c r="B4392" t="s">
        <v>12989</v>
      </c>
    </row>
    <row r="4393" spans="1:2" x14ac:dyDescent="0.25">
      <c r="A4393" t="s">
        <v>1956</v>
      </c>
      <c r="B4393" t="s">
        <v>12990</v>
      </c>
    </row>
    <row r="4394" spans="1:2" x14ac:dyDescent="0.25">
      <c r="A4394" t="s">
        <v>1958</v>
      </c>
      <c r="B4394" t="s">
        <v>12991</v>
      </c>
    </row>
    <row r="4395" spans="1:2" x14ac:dyDescent="0.25">
      <c r="A4395" t="s">
        <v>11975</v>
      </c>
      <c r="B4395" t="s">
        <v>12992</v>
      </c>
    </row>
    <row r="4396" spans="1:2" x14ac:dyDescent="0.25">
      <c r="A4396" t="s">
        <v>11977</v>
      </c>
      <c r="B4396" t="s">
        <v>12993</v>
      </c>
    </row>
    <row r="4397" spans="1:2" x14ac:dyDescent="0.25">
      <c r="A4397" t="s">
        <v>1960</v>
      </c>
      <c r="B4397" t="s">
        <v>12994</v>
      </c>
    </row>
    <row r="4398" spans="1:2" x14ac:dyDescent="0.25">
      <c r="A4398" t="s">
        <v>11980</v>
      </c>
      <c r="B4398" t="s">
        <v>12995</v>
      </c>
    </row>
    <row r="4399" spans="1:2" x14ac:dyDescent="0.25">
      <c r="A4399" t="s">
        <v>1962</v>
      </c>
      <c r="B4399" t="s">
        <v>12996</v>
      </c>
    </row>
    <row r="4400" spans="1:2" x14ac:dyDescent="0.25">
      <c r="A4400" t="s">
        <v>1966</v>
      </c>
      <c r="B4400" t="s">
        <v>12997</v>
      </c>
    </row>
    <row r="4401" spans="1:2" x14ac:dyDescent="0.25">
      <c r="A4401" t="s">
        <v>1970</v>
      </c>
      <c r="B4401" t="s">
        <v>12998</v>
      </c>
    </row>
    <row r="4402" spans="1:2" x14ac:dyDescent="0.25">
      <c r="A4402" t="s">
        <v>1973</v>
      </c>
      <c r="B4402" t="s">
        <v>12999</v>
      </c>
    </row>
    <row r="4403" spans="1:2" x14ac:dyDescent="0.25">
      <c r="A4403" t="s">
        <v>1975</v>
      </c>
      <c r="B4403" t="s">
        <v>13000</v>
      </c>
    </row>
    <row r="4404" spans="1:2" x14ac:dyDescent="0.25">
      <c r="A4404" t="s">
        <v>1978</v>
      </c>
      <c r="B4404" t="s">
        <v>13001</v>
      </c>
    </row>
    <row r="4405" spans="1:2" x14ac:dyDescent="0.25">
      <c r="A4405" t="s">
        <v>1980</v>
      </c>
      <c r="B4405" t="s">
        <v>13002</v>
      </c>
    </row>
    <row r="4406" spans="1:2" x14ac:dyDescent="0.25">
      <c r="A4406" t="s">
        <v>11989</v>
      </c>
      <c r="B4406" t="s">
        <v>13003</v>
      </c>
    </row>
    <row r="4407" spans="1:2" x14ac:dyDescent="0.25">
      <c r="A4407" t="s">
        <v>11991</v>
      </c>
      <c r="B4407" t="s">
        <v>13004</v>
      </c>
    </row>
    <row r="4408" spans="1:2" x14ac:dyDescent="0.25">
      <c r="A4408" t="s">
        <v>11993</v>
      </c>
      <c r="B4408" t="s">
        <v>13005</v>
      </c>
    </row>
    <row r="4409" spans="1:2" x14ac:dyDescent="0.25">
      <c r="A4409" t="s">
        <v>11995</v>
      </c>
      <c r="B4409" t="s">
        <v>13006</v>
      </c>
    </row>
    <row r="4410" spans="1:2" x14ac:dyDescent="0.25">
      <c r="A4410" t="s">
        <v>2715</v>
      </c>
      <c r="B4410" t="s">
        <v>13007</v>
      </c>
    </row>
    <row r="4411" spans="1:2" x14ac:dyDescent="0.25">
      <c r="A4411" t="s">
        <v>2717</v>
      </c>
      <c r="B4411" t="s">
        <v>13008</v>
      </c>
    </row>
    <row r="4412" spans="1:2" x14ac:dyDescent="0.25">
      <c r="A4412" t="s">
        <v>1982</v>
      </c>
      <c r="B4412" t="s">
        <v>13009</v>
      </c>
    </row>
    <row r="4413" spans="1:2" x14ac:dyDescent="0.25">
      <c r="A4413" t="s">
        <v>1984</v>
      </c>
      <c r="B4413" t="s">
        <v>13010</v>
      </c>
    </row>
    <row r="4414" spans="1:2" x14ac:dyDescent="0.25">
      <c r="A4414" t="s">
        <v>1986</v>
      </c>
      <c r="B4414" t="s">
        <v>13011</v>
      </c>
    </row>
    <row r="4415" spans="1:2" x14ac:dyDescent="0.25">
      <c r="A4415" t="s">
        <v>1988</v>
      </c>
      <c r="B4415" t="s">
        <v>13012</v>
      </c>
    </row>
    <row r="4416" spans="1:2" x14ac:dyDescent="0.25">
      <c r="A4416" t="s">
        <v>1991</v>
      </c>
      <c r="B4416" t="s">
        <v>13013</v>
      </c>
    </row>
    <row r="4417" spans="1:2" x14ac:dyDescent="0.25">
      <c r="A4417" t="s">
        <v>1993</v>
      </c>
      <c r="B4417" t="s">
        <v>13014</v>
      </c>
    </row>
    <row r="4418" spans="1:2" x14ac:dyDescent="0.25">
      <c r="A4418" t="s">
        <v>1995</v>
      </c>
      <c r="B4418" t="s">
        <v>13015</v>
      </c>
    </row>
    <row r="4419" spans="1:2" x14ac:dyDescent="0.25">
      <c r="A4419" t="s">
        <v>1997</v>
      </c>
      <c r="B4419" t="s">
        <v>13016</v>
      </c>
    </row>
    <row r="4420" spans="1:2" x14ac:dyDescent="0.25">
      <c r="A4420" t="s">
        <v>1999</v>
      </c>
      <c r="B4420" t="s">
        <v>13017</v>
      </c>
    </row>
    <row r="4421" spans="1:2" x14ac:dyDescent="0.25">
      <c r="A4421" t="s">
        <v>2001</v>
      </c>
      <c r="B4421" t="s">
        <v>13018</v>
      </c>
    </row>
    <row r="4422" spans="1:2" x14ac:dyDescent="0.25">
      <c r="A4422" t="s">
        <v>2003</v>
      </c>
      <c r="B4422" t="s">
        <v>13019</v>
      </c>
    </row>
    <row r="4423" spans="1:2" x14ac:dyDescent="0.25">
      <c r="A4423" t="s">
        <v>2006</v>
      </c>
      <c r="B4423" t="s">
        <v>13020</v>
      </c>
    </row>
    <row r="4424" spans="1:2" x14ac:dyDescent="0.25">
      <c r="A4424" t="s">
        <v>2008</v>
      </c>
      <c r="B4424" t="s">
        <v>13021</v>
      </c>
    </row>
    <row r="4425" spans="1:2" x14ac:dyDescent="0.25">
      <c r="A4425" t="s">
        <v>2010</v>
      </c>
      <c r="B4425" t="s">
        <v>13022</v>
      </c>
    </row>
    <row r="4426" spans="1:2" x14ac:dyDescent="0.25">
      <c r="A4426" t="s">
        <v>2012</v>
      </c>
      <c r="B4426" t="s">
        <v>13023</v>
      </c>
    </row>
    <row r="4427" spans="1:2" x14ac:dyDescent="0.25">
      <c r="A4427" t="s">
        <v>2014</v>
      </c>
      <c r="B4427" t="s">
        <v>13024</v>
      </c>
    </row>
    <row r="4428" spans="1:2" x14ac:dyDescent="0.25">
      <c r="A4428" t="s">
        <v>2016</v>
      </c>
      <c r="B4428" t="s">
        <v>13025</v>
      </c>
    </row>
    <row r="4429" spans="1:2" x14ac:dyDescent="0.25">
      <c r="A4429" t="s">
        <v>2018</v>
      </c>
      <c r="B4429" t="s">
        <v>13026</v>
      </c>
    </row>
    <row r="4430" spans="1:2" x14ac:dyDescent="0.25">
      <c r="A4430" t="s">
        <v>2020</v>
      </c>
      <c r="B4430" t="s">
        <v>13027</v>
      </c>
    </row>
    <row r="4431" spans="1:2" x14ac:dyDescent="0.25">
      <c r="A4431" t="s">
        <v>2023</v>
      </c>
      <c r="B4431" t="s">
        <v>13028</v>
      </c>
    </row>
    <row r="4432" spans="1:2" x14ac:dyDescent="0.25">
      <c r="A4432" t="s">
        <v>2025</v>
      </c>
      <c r="B4432" t="s">
        <v>13029</v>
      </c>
    </row>
    <row r="4433" spans="1:2" x14ac:dyDescent="0.25">
      <c r="A4433" t="s">
        <v>2028</v>
      </c>
      <c r="B4433" t="s">
        <v>13030</v>
      </c>
    </row>
    <row r="4434" spans="1:2" x14ac:dyDescent="0.25">
      <c r="A4434" t="s">
        <v>2030</v>
      </c>
      <c r="B4434" t="s">
        <v>13031</v>
      </c>
    </row>
    <row r="4435" spans="1:2" x14ac:dyDescent="0.25">
      <c r="A4435" t="s">
        <v>2032</v>
      </c>
      <c r="B4435" t="s">
        <v>13032</v>
      </c>
    </row>
    <row r="4436" spans="1:2" x14ac:dyDescent="0.25">
      <c r="A4436" t="s">
        <v>2034</v>
      </c>
      <c r="B4436" t="s">
        <v>13033</v>
      </c>
    </row>
    <row r="4437" spans="1:2" x14ac:dyDescent="0.25">
      <c r="A4437" t="s">
        <v>2036</v>
      </c>
      <c r="B4437" t="s">
        <v>13034</v>
      </c>
    </row>
    <row r="4438" spans="1:2" x14ac:dyDescent="0.25">
      <c r="A4438" t="s">
        <v>2038</v>
      </c>
      <c r="B4438" t="s">
        <v>13035</v>
      </c>
    </row>
    <row r="4439" spans="1:2" x14ac:dyDescent="0.25">
      <c r="A4439" t="s">
        <v>2040</v>
      </c>
      <c r="B4439" t="s">
        <v>13036</v>
      </c>
    </row>
    <row r="4440" spans="1:2" x14ac:dyDescent="0.25">
      <c r="A4440" t="s">
        <v>2042</v>
      </c>
      <c r="B4440" t="s">
        <v>13037</v>
      </c>
    </row>
    <row r="4441" spans="1:2" x14ac:dyDescent="0.25">
      <c r="A4441" t="s">
        <v>2044</v>
      </c>
      <c r="B4441" t="s">
        <v>13038</v>
      </c>
    </row>
    <row r="4442" spans="1:2" x14ac:dyDescent="0.25">
      <c r="A4442" t="s">
        <v>2046</v>
      </c>
      <c r="B4442" t="s">
        <v>13039</v>
      </c>
    </row>
    <row r="4443" spans="1:2" x14ac:dyDescent="0.25">
      <c r="A4443" t="s">
        <v>2048</v>
      </c>
      <c r="B4443" t="s">
        <v>13040</v>
      </c>
    </row>
    <row r="4444" spans="1:2" x14ac:dyDescent="0.25">
      <c r="A4444" t="s">
        <v>2050</v>
      </c>
      <c r="B4444" t="s">
        <v>13041</v>
      </c>
    </row>
    <row r="4445" spans="1:2" x14ac:dyDescent="0.25">
      <c r="A4445" t="s">
        <v>2052</v>
      </c>
      <c r="B4445" t="s">
        <v>13042</v>
      </c>
    </row>
    <row r="4446" spans="1:2" x14ac:dyDescent="0.25">
      <c r="A4446" t="s">
        <v>2056</v>
      </c>
      <c r="B4446" t="s">
        <v>13043</v>
      </c>
    </row>
    <row r="4447" spans="1:2" x14ac:dyDescent="0.25">
      <c r="A4447" t="s">
        <v>2058</v>
      </c>
      <c r="B4447" t="s">
        <v>13044</v>
      </c>
    </row>
    <row r="4448" spans="1:2" x14ac:dyDescent="0.25">
      <c r="A4448" t="s">
        <v>2060</v>
      </c>
      <c r="B4448" t="s">
        <v>13045</v>
      </c>
    </row>
    <row r="4449" spans="1:2" x14ac:dyDescent="0.25">
      <c r="A4449" t="s">
        <v>2062</v>
      </c>
      <c r="B4449" t="s">
        <v>13046</v>
      </c>
    </row>
    <row r="4450" spans="1:2" x14ac:dyDescent="0.25">
      <c r="A4450" t="s">
        <v>2064</v>
      </c>
      <c r="B4450" t="s">
        <v>13047</v>
      </c>
    </row>
    <row r="4451" spans="1:2" x14ac:dyDescent="0.25">
      <c r="A4451" t="s">
        <v>2066</v>
      </c>
      <c r="B4451" t="s">
        <v>13048</v>
      </c>
    </row>
    <row r="4452" spans="1:2" x14ac:dyDescent="0.25">
      <c r="A4452" t="s">
        <v>2068</v>
      </c>
      <c r="B4452" t="s">
        <v>13049</v>
      </c>
    </row>
    <row r="4453" spans="1:2" x14ac:dyDescent="0.25">
      <c r="A4453" t="s">
        <v>2070</v>
      </c>
      <c r="B4453" t="s">
        <v>13050</v>
      </c>
    </row>
    <row r="4454" spans="1:2" x14ac:dyDescent="0.25">
      <c r="A4454" t="s">
        <v>2072</v>
      </c>
      <c r="B4454" t="s">
        <v>13051</v>
      </c>
    </row>
    <row r="4455" spans="1:2" x14ac:dyDescent="0.25">
      <c r="A4455" t="s">
        <v>2074</v>
      </c>
      <c r="B4455" t="s">
        <v>13052</v>
      </c>
    </row>
    <row r="4456" spans="1:2" x14ac:dyDescent="0.25">
      <c r="A4456" t="s">
        <v>2076</v>
      </c>
      <c r="B4456" t="s">
        <v>13053</v>
      </c>
    </row>
    <row r="4457" spans="1:2" x14ac:dyDescent="0.25">
      <c r="A4457" t="s">
        <v>2078</v>
      </c>
      <c r="B4457" t="s">
        <v>13054</v>
      </c>
    </row>
    <row r="4458" spans="1:2" x14ac:dyDescent="0.25">
      <c r="A4458" t="s">
        <v>2080</v>
      </c>
      <c r="B4458" t="s">
        <v>13055</v>
      </c>
    </row>
    <row r="4459" spans="1:2" x14ac:dyDescent="0.25">
      <c r="A4459" t="s">
        <v>2082</v>
      </c>
      <c r="B4459" t="s">
        <v>13056</v>
      </c>
    </row>
    <row r="4460" spans="1:2" x14ac:dyDescent="0.25">
      <c r="A4460" t="s">
        <v>2084</v>
      </c>
      <c r="B4460" t="s">
        <v>13057</v>
      </c>
    </row>
    <row r="4461" spans="1:2" x14ac:dyDescent="0.25">
      <c r="A4461" t="s">
        <v>2087</v>
      </c>
      <c r="B4461" t="s">
        <v>13058</v>
      </c>
    </row>
    <row r="4462" spans="1:2" x14ac:dyDescent="0.25">
      <c r="A4462" t="s">
        <v>2089</v>
      </c>
      <c r="B4462" t="s">
        <v>13059</v>
      </c>
    </row>
    <row r="4463" spans="1:2" x14ac:dyDescent="0.25">
      <c r="A4463" t="s">
        <v>2091</v>
      </c>
      <c r="B4463" t="s">
        <v>13060</v>
      </c>
    </row>
    <row r="4464" spans="1:2" x14ac:dyDescent="0.25">
      <c r="A4464" t="s">
        <v>2093</v>
      </c>
      <c r="B4464" t="s">
        <v>13061</v>
      </c>
    </row>
    <row r="4465" spans="1:2" x14ac:dyDescent="0.25">
      <c r="A4465" t="s">
        <v>2095</v>
      </c>
      <c r="B4465" t="s">
        <v>13062</v>
      </c>
    </row>
    <row r="4466" spans="1:2" x14ac:dyDescent="0.25">
      <c r="A4466" t="s">
        <v>2097</v>
      </c>
      <c r="B4466" t="s">
        <v>13063</v>
      </c>
    </row>
    <row r="4467" spans="1:2" x14ac:dyDescent="0.25">
      <c r="A4467" t="s">
        <v>2099</v>
      </c>
      <c r="B4467" t="s">
        <v>13064</v>
      </c>
    </row>
    <row r="4468" spans="1:2" x14ac:dyDescent="0.25">
      <c r="A4468" t="s">
        <v>2101</v>
      </c>
      <c r="B4468" t="s">
        <v>13065</v>
      </c>
    </row>
    <row r="4469" spans="1:2" x14ac:dyDescent="0.25">
      <c r="A4469" t="s">
        <v>2103</v>
      </c>
      <c r="B4469" t="s">
        <v>13066</v>
      </c>
    </row>
    <row r="4470" spans="1:2" x14ac:dyDescent="0.25">
      <c r="A4470" t="s">
        <v>2105</v>
      </c>
      <c r="B4470" t="s">
        <v>13067</v>
      </c>
    </row>
    <row r="4471" spans="1:2" x14ac:dyDescent="0.25">
      <c r="A4471" t="s">
        <v>2107</v>
      </c>
      <c r="B4471" t="s">
        <v>13068</v>
      </c>
    </row>
    <row r="4472" spans="1:2" x14ac:dyDescent="0.25">
      <c r="A4472" t="s">
        <v>2109</v>
      </c>
      <c r="B4472" t="s">
        <v>13069</v>
      </c>
    </row>
    <row r="4473" spans="1:2" x14ac:dyDescent="0.25">
      <c r="A4473" t="s">
        <v>2111</v>
      </c>
      <c r="B4473" t="s">
        <v>13070</v>
      </c>
    </row>
    <row r="4474" spans="1:2" x14ac:dyDescent="0.25">
      <c r="A4474" t="s">
        <v>2113</v>
      </c>
      <c r="B4474" t="s">
        <v>13071</v>
      </c>
    </row>
    <row r="4475" spans="1:2" x14ac:dyDescent="0.25">
      <c r="A4475" t="s">
        <v>2115</v>
      </c>
      <c r="B4475" t="s">
        <v>13072</v>
      </c>
    </row>
    <row r="4476" spans="1:2" x14ac:dyDescent="0.25">
      <c r="A4476" t="s">
        <v>2118</v>
      </c>
      <c r="B4476" t="s">
        <v>13073</v>
      </c>
    </row>
    <row r="4477" spans="1:2" x14ac:dyDescent="0.25">
      <c r="A4477" t="s">
        <v>2120</v>
      </c>
      <c r="B4477" t="s">
        <v>13074</v>
      </c>
    </row>
    <row r="4478" spans="1:2" x14ac:dyDescent="0.25">
      <c r="A4478" t="s">
        <v>2122</v>
      </c>
      <c r="B4478" t="s">
        <v>13075</v>
      </c>
    </row>
    <row r="4479" spans="1:2" x14ac:dyDescent="0.25">
      <c r="A4479" t="s">
        <v>2124</v>
      </c>
      <c r="B4479" t="s">
        <v>13076</v>
      </c>
    </row>
    <row r="4480" spans="1:2" x14ac:dyDescent="0.25">
      <c r="A4480" t="s">
        <v>2126</v>
      </c>
      <c r="B4480" t="s">
        <v>13077</v>
      </c>
    </row>
    <row r="4481" spans="1:2" x14ac:dyDescent="0.25">
      <c r="A4481" t="s">
        <v>2128</v>
      </c>
      <c r="B4481" t="s">
        <v>13078</v>
      </c>
    </row>
    <row r="4482" spans="1:2" x14ac:dyDescent="0.25">
      <c r="A4482" t="s">
        <v>2130</v>
      </c>
      <c r="B4482" t="s">
        <v>13079</v>
      </c>
    </row>
    <row r="4483" spans="1:2" x14ac:dyDescent="0.25">
      <c r="A4483" t="s">
        <v>2132</v>
      </c>
      <c r="B4483" t="s">
        <v>13080</v>
      </c>
    </row>
    <row r="4484" spans="1:2" x14ac:dyDescent="0.25">
      <c r="A4484" t="s">
        <v>2134</v>
      </c>
      <c r="B4484" t="s">
        <v>13081</v>
      </c>
    </row>
    <row r="4485" spans="1:2" x14ac:dyDescent="0.25">
      <c r="A4485" t="s">
        <v>2136</v>
      </c>
      <c r="B4485" t="s">
        <v>13082</v>
      </c>
    </row>
    <row r="4486" spans="1:2" x14ac:dyDescent="0.25">
      <c r="A4486" t="s">
        <v>2138</v>
      </c>
      <c r="B4486" t="s">
        <v>13083</v>
      </c>
    </row>
    <row r="4487" spans="1:2" x14ac:dyDescent="0.25">
      <c r="A4487" t="s">
        <v>2140</v>
      </c>
      <c r="B4487" t="s">
        <v>13084</v>
      </c>
    </row>
    <row r="4488" spans="1:2" x14ac:dyDescent="0.25">
      <c r="A4488" t="s">
        <v>2142</v>
      </c>
      <c r="B4488" t="s">
        <v>13085</v>
      </c>
    </row>
    <row r="4489" spans="1:2" x14ac:dyDescent="0.25">
      <c r="A4489" t="s">
        <v>2144</v>
      </c>
      <c r="B4489" t="s">
        <v>13086</v>
      </c>
    </row>
    <row r="4490" spans="1:2" x14ac:dyDescent="0.25">
      <c r="A4490" t="s">
        <v>2146</v>
      </c>
      <c r="B4490" t="s">
        <v>13087</v>
      </c>
    </row>
    <row r="4491" spans="1:2" x14ac:dyDescent="0.25">
      <c r="A4491" t="s">
        <v>2148</v>
      </c>
      <c r="B4491" t="s">
        <v>13088</v>
      </c>
    </row>
    <row r="4492" spans="1:2" x14ac:dyDescent="0.25">
      <c r="A4492" t="s">
        <v>2150</v>
      </c>
      <c r="B4492" t="s">
        <v>13089</v>
      </c>
    </row>
    <row r="4493" spans="1:2" x14ac:dyDescent="0.25">
      <c r="A4493" t="s">
        <v>2152</v>
      </c>
      <c r="B4493" t="s">
        <v>13090</v>
      </c>
    </row>
    <row r="4494" spans="1:2" x14ac:dyDescent="0.25">
      <c r="A4494" t="s">
        <v>2154</v>
      </c>
      <c r="B4494" t="s">
        <v>13091</v>
      </c>
    </row>
    <row r="4495" spans="1:2" x14ac:dyDescent="0.25">
      <c r="A4495" t="s">
        <v>2156</v>
      </c>
      <c r="B4495" t="s">
        <v>13092</v>
      </c>
    </row>
    <row r="4496" spans="1:2" x14ac:dyDescent="0.25">
      <c r="A4496" t="s">
        <v>2158</v>
      </c>
      <c r="B4496" t="s">
        <v>13093</v>
      </c>
    </row>
    <row r="4497" spans="1:2" x14ac:dyDescent="0.25">
      <c r="A4497" t="s">
        <v>2160</v>
      </c>
      <c r="B4497" t="s">
        <v>13094</v>
      </c>
    </row>
    <row r="4498" spans="1:2" x14ac:dyDescent="0.25">
      <c r="A4498" t="s">
        <v>2162</v>
      </c>
      <c r="B4498" t="s">
        <v>13095</v>
      </c>
    </row>
    <row r="4499" spans="1:2" x14ac:dyDescent="0.25">
      <c r="A4499" t="s">
        <v>2164</v>
      </c>
      <c r="B4499" t="s">
        <v>13096</v>
      </c>
    </row>
    <row r="4500" spans="1:2" x14ac:dyDescent="0.25">
      <c r="A4500" t="s">
        <v>2166</v>
      </c>
      <c r="B4500" t="s">
        <v>13097</v>
      </c>
    </row>
    <row r="4501" spans="1:2" x14ac:dyDescent="0.25">
      <c r="A4501" t="s">
        <v>2168</v>
      </c>
      <c r="B4501" t="s">
        <v>13098</v>
      </c>
    </row>
    <row r="4502" spans="1:2" x14ac:dyDescent="0.25">
      <c r="A4502" t="s">
        <v>2170</v>
      </c>
      <c r="B4502" t="s">
        <v>13099</v>
      </c>
    </row>
    <row r="4503" spans="1:2" x14ac:dyDescent="0.25">
      <c r="A4503" t="s">
        <v>2172</v>
      </c>
      <c r="B4503" t="s">
        <v>13100</v>
      </c>
    </row>
    <row r="4504" spans="1:2" x14ac:dyDescent="0.25">
      <c r="A4504" t="s">
        <v>2174</v>
      </c>
      <c r="B4504" t="s">
        <v>13101</v>
      </c>
    </row>
    <row r="4505" spans="1:2" x14ac:dyDescent="0.25">
      <c r="A4505" t="s">
        <v>2176</v>
      </c>
      <c r="B4505" t="s">
        <v>13102</v>
      </c>
    </row>
    <row r="4506" spans="1:2" x14ac:dyDescent="0.25">
      <c r="A4506" t="s">
        <v>2179</v>
      </c>
      <c r="B4506" t="s">
        <v>13103</v>
      </c>
    </row>
    <row r="4507" spans="1:2" x14ac:dyDescent="0.25">
      <c r="A4507" t="s">
        <v>2181</v>
      </c>
      <c r="B4507" t="s">
        <v>13104</v>
      </c>
    </row>
    <row r="4508" spans="1:2" x14ac:dyDescent="0.25">
      <c r="A4508" t="s">
        <v>2183</v>
      </c>
      <c r="B4508" t="s">
        <v>13105</v>
      </c>
    </row>
    <row r="4509" spans="1:2" x14ac:dyDescent="0.25">
      <c r="A4509" t="s">
        <v>2185</v>
      </c>
      <c r="B4509" t="s">
        <v>13106</v>
      </c>
    </row>
    <row r="4510" spans="1:2" x14ac:dyDescent="0.25">
      <c r="A4510" t="s">
        <v>2187</v>
      </c>
      <c r="B4510" t="s">
        <v>13107</v>
      </c>
    </row>
    <row r="4511" spans="1:2" x14ac:dyDescent="0.25">
      <c r="A4511" t="s">
        <v>2189</v>
      </c>
      <c r="B4511" t="s">
        <v>13108</v>
      </c>
    </row>
    <row r="4512" spans="1:2" x14ac:dyDescent="0.25">
      <c r="A4512" t="s">
        <v>2191</v>
      </c>
      <c r="B4512" t="s">
        <v>13109</v>
      </c>
    </row>
    <row r="4513" spans="1:2" x14ac:dyDescent="0.25">
      <c r="A4513" t="s">
        <v>2193</v>
      </c>
      <c r="B4513" t="s">
        <v>13110</v>
      </c>
    </row>
    <row r="4514" spans="1:2" x14ac:dyDescent="0.25">
      <c r="A4514" t="s">
        <v>2195</v>
      </c>
      <c r="B4514" t="s">
        <v>13111</v>
      </c>
    </row>
    <row r="4515" spans="1:2" x14ac:dyDescent="0.25">
      <c r="A4515" t="s">
        <v>2197</v>
      </c>
      <c r="B4515" t="s">
        <v>13112</v>
      </c>
    </row>
    <row r="4516" spans="1:2" x14ac:dyDescent="0.25">
      <c r="A4516" t="s">
        <v>2199</v>
      </c>
      <c r="B4516" t="s">
        <v>13113</v>
      </c>
    </row>
    <row r="4517" spans="1:2" x14ac:dyDescent="0.25">
      <c r="A4517" t="s">
        <v>2201</v>
      </c>
      <c r="B4517" t="s">
        <v>13114</v>
      </c>
    </row>
    <row r="4518" spans="1:2" x14ac:dyDescent="0.25">
      <c r="A4518" t="s">
        <v>2203</v>
      </c>
      <c r="B4518" t="s">
        <v>13115</v>
      </c>
    </row>
    <row r="4519" spans="1:2" x14ac:dyDescent="0.25">
      <c r="A4519" t="s">
        <v>2205</v>
      </c>
      <c r="B4519" t="s">
        <v>13116</v>
      </c>
    </row>
    <row r="4520" spans="1:2" x14ac:dyDescent="0.25">
      <c r="A4520" t="s">
        <v>2207</v>
      </c>
      <c r="B4520" t="s">
        <v>13117</v>
      </c>
    </row>
    <row r="4521" spans="1:2" x14ac:dyDescent="0.25">
      <c r="A4521" t="s">
        <v>2210</v>
      </c>
      <c r="B4521" t="s">
        <v>13118</v>
      </c>
    </row>
    <row r="4522" spans="1:2" x14ac:dyDescent="0.25">
      <c r="A4522" t="s">
        <v>2212</v>
      </c>
      <c r="B4522" t="s">
        <v>13119</v>
      </c>
    </row>
    <row r="4523" spans="1:2" x14ac:dyDescent="0.25">
      <c r="A4523" t="s">
        <v>2214</v>
      </c>
      <c r="B4523" t="s">
        <v>13120</v>
      </c>
    </row>
    <row r="4524" spans="1:2" x14ac:dyDescent="0.25">
      <c r="A4524" t="s">
        <v>2216</v>
      </c>
      <c r="B4524" t="s">
        <v>13121</v>
      </c>
    </row>
    <row r="4525" spans="1:2" x14ac:dyDescent="0.25">
      <c r="A4525" t="s">
        <v>2218</v>
      </c>
      <c r="B4525" t="s">
        <v>13122</v>
      </c>
    </row>
    <row r="4526" spans="1:2" x14ac:dyDescent="0.25">
      <c r="A4526" t="s">
        <v>2220</v>
      </c>
      <c r="B4526" t="s">
        <v>13123</v>
      </c>
    </row>
    <row r="4527" spans="1:2" x14ac:dyDescent="0.25">
      <c r="A4527" t="s">
        <v>2222</v>
      </c>
      <c r="B4527" t="s">
        <v>13124</v>
      </c>
    </row>
    <row r="4528" spans="1:2" x14ac:dyDescent="0.25">
      <c r="A4528" t="s">
        <v>2224</v>
      </c>
      <c r="B4528" t="s">
        <v>13125</v>
      </c>
    </row>
    <row r="4529" spans="1:2" x14ac:dyDescent="0.25">
      <c r="A4529" t="s">
        <v>2226</v>
      </c>
      <c r="B4529" t="s">
        <v>13126</v>
      </c>
    </row>
    <row r="4530" spans="1:2" x14ac:dyDescent="0.25">
      <c r="A4530" t="s">
        <v>2228</v>
      </c>
      <c r="B4530" t="s">
        <v>13127</v>
      </c>
    </row>
    <row r="4531" spans="1:2" x14ac:dyDescent="0.25">
      <c r="A4531" t="s">
        <v>2230</v>
      </c>
      <c r="B4531" t="s">
        <v>13128</v>
      </c>
    </row>
    <row r="4532" spans="1:2" x14ac:dyDescent="0.25">
      <c r="A4532" t="s">
        <v>12023</v>
      </c>
      <c r="B4532" t="s">
        <v>13129</v>
      </c>
    </row>
    <row r="4533" spans="1:2" x14ac:dyDescent="0.25">
      <c r="A4533" t="s">
        <v>12025</v>
      </c>
      <c r="B4533" t="s">
        <v>13130</v>
      </c>
    </row>
    <row r="4534" spans="1:2" x14ac:dyDescent="0.25">
      <c r="A4534" t="s">
        <v>12027</v>
      </c>
      <c r="B4534" t="s">
        <v>13131</v>
      </c>
    </row>
    <row r="4535" spans="1:2" x14ac:dyDescent="0.25">
      <c r="A4535" t="s">
        <v>12029</v>
      </c>
      <c r="B4535" t="s">
        <v>13132</v>
      </c>
    </row>
    <row r="4536" spans="1:2" x14ac:dyDescent="0.25">
      <c r="A4536" t="s">
        <v>12031</v>
      </c>
      <c r="B4536" t="s">
        <v>13133</v>
      </c>
    </row>
    <row r="4537" spans="1:2" x14ac:dyDescent="0.25">
      <c r="A4537" t="s">
        <v>12033</v>
      </c>
      <c r="B4537" t="s">
        <v>13134</v>
      </c>
    </row>
    <row r="4538" spans="1:2" x14ac:dyDescent="0.25">
      <c r="A4538" t="s">
        <v>13135</v>
      </c>
      <c r="B4538" t="s">
        <v>13136</v>
      </c>
    </row>
    <row r="4539" spans="1:2" x14ac:dyDescent="0.25">
      <c r="A4539" t="s">
        <v>13137</v>
      </c>
      <c r="B4539" t="s">
        <v>13138</v>
      </c>
    </row>
    <row r="4540" spans="1:2" x14ac:dyDescent="0.25">
      <c r="A4540" t="s">
        <v>13139</v>
      </c>
      <c r="B4540" t="s">
        <v>13140</v>
      </c>
    </row>
    <row r="4541" spans="1:2" x14ac:dyDescent="0.25">
      <c r="A4541" t="s">
        <v>13141</v>
      </c>
      <c r="B4541" t="s">
        <v>13142</v>
      </c>
    </row>
    <row r="4542" spans="1:2" x14ac:dyDescent="0.25">
      <c r="A4542" t="s">
        <v>13143</v>
      </c>
      <c r="B4542" t="s">
        <v>13144</v>
      </c>
    </row>
    <row r="4543" spans="1:2" x14ac:dyDescent="0.25">
      <c r="A4543" t="s">
        <v>13145</v>
      </c>
      <c r="B4543" t="s">
        <v>13146</v>
      </c>
    </row>
    <row r="4544" spans="1:2" x14ac:dyDescent="0.25">
      <c r="A4544" t="s">
        <v>13147</v>
      </c>
      <c r="B4544" t="s">
        <v>13148</v>
      </c>
    </row>
    <row r="4545" spans="1:2" x14ac:dyDescent="0.25">
      <c r="A4545" t="s">
        <v>13149</v>
      </c>
      <c r="B4545" t="s">
        <v>13150</v>
      </c>
    </row>
    <row r="4546" spans="1:2" x14ac:dyDescent="0.25">
      <c r="A4546" t="s">
        <v>13151</v>
      </c>
      <c r="B4546" t="s">
        <v>13152</v>
      </c>
    </row>
    <row r="4547" spans="1:2" x14ac:dyDescent="0.25">
      <c r="A4547" t="s">
        <v>13153</v>
      </c>
      <c r="B4547" t="s">
        <v>13154</v>
      </c>
    </row>
    <row r="4548" spans="1:2" x14ac:dyDescent="0.25">
      <c r="A4548" t="s">
        <v>13155</v>
      </c>
      <c r="B4548" t="s">
        <v>13156</v>
      </c>
    </row>
    <row r="4549" spans="1:2" x14ac:dyDescent="0.25">
      <c r="A4549" t="s">
        <v>13157</v>
      </c>
      <c r="B4549" t="s">
        <v>13158</v>
      </c>
    </row>
    <row r="4550" spans="1:2" x14ac:dyDescent="0.25">
      <c r="A4550" t="s">
        <v>13159</v>
      </c>
      <c r="B4550" t="s">
        <v>13160</v>
      </c>
    </row>
    <row r="4551" spans="1:2" x14ac:dyDescent="0.25">
      <c r="A4551" t="s">
        <v>13161</v>
      </c>
      <c r="B4551" t="s">
        <v>13162</v>
      </c>
    </row>
    <row r="4552" spans="1:2" x14ac:dyDescent="0.25">
      <c r="A4552" t="s">
        <v>13163</v>
      </c>
      <c r="B4552" t="s">
        <v>13164</v>
      </c>
    </row>
    <row r="4553" spans="1:2" x14ac:dyDescent="0.25">
      <c r="A4553" t="s">
        <v>13165</v>
      </c>
      <c r="B4553" t="s">
        <v>13166</v>
      </c>
    </row>
    <row r="4554" spans="1:2" x14ac:dyDescent="0.25">
      <c r="A4554" t="s">
        <v>13167</v>
      </c>
      <c r="B4554" t="s">
        <v>13168</v>
      </c>
    </row>
    <row r="4555" spans="1:2" x14ac:dyDescent="0.25">
      <c r="A4555" t="s">
        <v>13169</v>
      </c>
      <c r="B4555" t="s">
        <v>13170</v>
      </c>
    </row>
    <row r="4556" spans="1:2" x14ac:dyDescent="0.25">
      <c r="A4556" t="s">
        <v>13171</v>
      </c>
      <c r="B4556" t="s">
        <v>13172</v>
      </c>
    </row>
    <row r="4557" spans="1:2" x14ac:dyDescent="0.25">
      <c r="A4557" t="s">
        <v>13173</v>
      </c>
      <c r="B4557" t="s">
        <v>13174</v>
      </c>
    </row>
    <row r="4558" spans="1:2" x14ac:dyDescent="0.25">
      <c r="A4558" t="s">
        <v>13175</v>
      </c>
      <c r="B4558" t="s">
        <v>13176</v>
      </c>
    </row>
    <row r="4559" spans="1:2" x14ac:dyDescent="0.25">
      <c r="A4559" t="s">
        <v>13177</v>
      </c>
      <c r="B4559" t="s">
        <v>13178</v>
      </c>
    </row>
    <row r="4560" spans="1:2" x14ac:dyDescent="0.25">
      <c r="A4560" t="s">
        <v>13179</v>
      </c>
      <c r="B4560" t="s">
        <v>13180</v>
      </c>
    </row>
    <row r="4561" spans="1:2" x14ac:dyDescent="0.25">
      <c r="A4561" t="s">
        <v>13181</v>
      </c>
      <c r="B4561" t="s">
        <v>13182</v>
      </c>
    </row>
    <row r="4562" spans="1:2" x14ac:dyDescent="0.25">
      <c r="A4562" t="s">
        <v>13183</v>
      </c>
      <c r="B4562" t="s">
        <v>13184</v>
      </c>
    </row>
    <row r="4563" spans="1:2" x14ac:dyDescent="0.25">
      <c r="A4563" t="s">
        <v>13185</v>
      </c>
      <c r="B4563" t="s">
        <v>13186</v>
      </c>
    </row>
    <row r="4564" spans="1:2" x14ac:dyDescent="0.25">
      <c r="A4564" t="s">
        <v>13187</v>
      </c>
      <c r="B4564" t="s">
        <v>13188</v>
      </c>
    </row>
    <row r="4565" spans="1:2" x14ac:dyDescent="0.25">
      <c r="A4565" t="s">
        <v>13189</v>
      </c>
      <c r="B4565" t="s">
        <v>13190</v>
      </c>
    </row>
    <row r="4566" spans="1:2" x14ac:dyDescent="0.25">
      <c r="A4566" t="s">
        <v>13191</v>
      </c>
      <c r="B4566" t="s">
        <v>13192</v>
      </c>
    </row>
    <row r="4567" spans="1:2" x14ac:dyDescent="0.25">
      <c r="A4567" t="s">
        <v>13193</v>
      </c>
      <c r="B4567" t="s">
        <v>13194</v>
      </c>
    </row>
    <row r="4568" spans="1:2" x14ac:dyDescent="0.25">
      <c r="A4568" t="s">
        <v>13195</v>
      </c>
      <c r="B4568" t="s">
        <v>13196</v>
      </c>
    </row>
    <row r="4569" spans="1:2" x14ac:dyDescent="0.25">
      <c r="A4569" t="s">
        <v>13197</v>
      </c>
      <c r="B4569" t="s">
        <v>13198</v>
      </c>
    </row>
    <row r="4570" spans="1:2" x14ac:dyDescent="0.25">
      <c r="A4570" t="s">
        <v>13199</v>
      </c>
      <c r="B4570" t="s">
        <v>13200</v>
      </c>
    </row>
    <row r="4571" spans="1:2" x14ac:dyDescent="0.25">
      <c r="A4571" t="s">
        <v>13201</v>
      </c>
      <c r="B4571" t="s">
        <v>13202</v>
      </c>
    </row>
    <row r="4572" spans="1:2" x14ac:dyDescent="0.25">
      <c r="A4572" t="s">
        <v>13203</v>
      </c>
      <c r="B4572" t="s">
        <v>13204</v>
      </c>
    </row>
    <row r="4573" spans="1:2" x14ac:dyDescent="0.25">
      <c r="A4573" t="s">
        <v>13205</v>
      </c>
      <c r="B4573" t="s">
        <v>13206</v>
      </c>
    </row>
    <row r="4574" spans="1:2" x14ac:dyDescent="0.25">
      <c r="A4574" t="s">
        <v>13207</v>
      </c>
      <c r="B4574" t="s">
        <v>13208</v>
      </c>
    </row>
    <row r="4575" spans="1:2" x14ac:dyDescent="0.25">
      <c r="A4575" t="s">
        <v>13209</v>
      </c>
      <c r="B4575" t="s">
        <v>13210</v>
      </c>
    </row>
    <row r="4576" spans="1:2" x14ac:dyDescent="0.25">
      <c r="A4576" t="s">
        <v>13211</v>
      </c>
      <c r="B4576" t="s">
        <v>13212</v>
      </c>
    </row>
    <row r="4577" spans="1:2" x14ac:dyDescent="0.25">
      <c r="A4577" t="s">
        <v>13213</v>
      </c>
      <c r="B4577" t="s">
        <v>13214</v>
      </c>
    </row>
    <row r="4578" spans="1:2" x14ac:dyDescent="0.25">
      <c r="A4578" t="s">
        <v>13215</v>
      </c>
      <c r="B4578" t="s">
        <v>13216</v>
      </c>
    </row>
    <row r="4579" spans="1:2" x14ac:dyDescent="0.25">
      <c r="A4579" t="s">
        <v>13217</v>
      </c>
      <c r="B4579" t="s">
        <v>13218</v>
      </c>
    </row>
    <row r="4580" spans="1:2" x14ac:dyDescent="0.25">
      <c r="A4580" t="s">
        <v>13219</v>
      </c>
      <c r="B4580" t="s">
        <v>13220</v>
      </c>
    </row>
    <row r="4581" spans="1:2" x14ac:dyDescent="0.25">
      <c r="A4581" t="s">
        <v>13221</v>
      </c>
      <c r="B4581" t="s">
        <v>13222</v>
      </c>
    </row>
    <row r="4582" spans="1:2" x14ac:dyDescent="0.25">
      <c r="A4582" t="s">
        <v>13223</v>
      </c>
      <c r="B4582" t="s">
        <v>13224</v>
      </c>
    </row>
    <row r="4583" spans="1:2" x14ac:dyDescent="0.25">
      <c r="A4583" t="s">
        <v>13225</v>
      </c>
      <c r="B4583" t="s">
        <v>13226</v>
      </c>
    </row>
    <row r="4584" spans="1:2" x14ac:dyDescent="0.25">
      <c r="A4584" t="s">
        <v>13227</v>
      </c>
      <c r="B4584" t="s">
        <v>13228</v>
      </c>
    </row>
    <row r="4585" spans="1:2" x14ac:dyDescent="0.25">
      <c r="A4585" t="s">
        <v>13229</v>
      </c>
      <c r="B4585" t="s">
        <v>13230</v>
      </c>
    </row>
    <row r="4586" spans="1:2" x14ac:dyDescent="0.25">
      <c r="A4586" t="s">
        <v>13231</v>
      </c>
      <c r="B4586" t="s">
        <v>13232</v>
      </c>
    </row>
    <row r="4587" spans="1:2" x14ac:dyDescent="0.25">
      <c r="A4587" t="s">
        <v>13233</v>
      </c>
      <c r="B4587" t="s">
        <v>13234</v>
      </c>
    </row>
    <row r="4588" spans="1:2" x14ac:dyDescent="0.25">
      <c r="A4588" t="s">
        <v>13235</v>
      </c>
      <c r="B4588" t="s">
        <v>13236</v>
      </c>
    </row>
    <row r="4589" spans="1:2" x14ac:dyDescent="0.25">
      <c r="A4589" t="s">
        <v>13237</v>
      </c>
      <c r="B4589" t="s">
        <v>13238</v>
      </c>
    </row>
    <row r="4590" spans="1:2" x14ac:dyDescent="0.25">
      <c r="A4590" t="s">
        <v>13239</v>
      </c>
      <c r="B4590" t="s">
        <v>13240</v>
      </c>
    </row>
    <row r="4591" spans="1:2" x14ac:dyDescent="0.25">
      <c r="A4591" t="s">
        <v>13241</v>
      </c>
      <c r="B4591" t="s">
        <v>13242</v>
      </c>
    </row>
    <row r="4592" spans="1:2" x14ac:dyDescent="0.25">
      <c r="A4592" t="s">
        <v>13243</v>
      </c>
      <c r="B4592" t="s">
        <v>13244</v>
      </c>
    </row>
    <row r="4593" spans="1:2" x14ac:dyDescent="0.25">
      <c r="A4593" t="s">
        <v>13245</v>
      </c>
      <c r="B4593" t="s">
        <v>13246</v>
      </c>
    </row>
    <row r="4594" spans="1:2" x14ac:dyDescent="0.25">
      <c r="A4594" t="s">
        <v>13247</v>
      </c>
      <c r="B4594" t="s">
        <v>13248</v>
      </c>
    </row>
    <row r="4595" spans="1:2" x14ac:dyDescent="0.25">
      <c r="A4595" t="s">
        <v>13249</v>
      </c>
      <c r="B4595" t="s">
        <v>13250</v>
      </c>
    </row>
    <row r="4596" spans="1:2" x14ac:dyDescent="0.25">
      <c r="A4596" t="s">
        <v>13251</v>
      </c>
      <c r="B4596" t="s">
        <v>13252</v>
      </c>
    </row>
    <row r="4597" spans="1:2" x14ac:dyDescent="0.25">
      <c r="A4597" t="s">
        <v>13253</v>
      </c>
      <c r="B4597" t="s">
        <v>13254</v>
      </c>
    </row>
    <row r="4598" spans="1:2" x14ac:dyDescent="0.25">
      <c r="A4598" t="s">
        <v>13255</v>
      </c>
      <c r="B4598" t="s">
        <v>13256</v>
      </c>
    </row>
    <row r="4599" spans="1:2" x14ac:dyDescent="0.25">
      <c r="A4599" t="s">
        <v>13257</v>
      </c>
      <c r="B4599" t="s">
        <v>13258</v>
      </c>
    </row>
    <row r="4600" spans="1:2" x14ac:dyDescent="0.25">
      <c r="A4600" t="s">
        <v>13259</v>
      </c>
      <c r="B4600" t="s">
        <v>13260</v>
      </c>
    </row>
    <row r="4601" spans="1:2" x14ac:dyDescent="0.25">
      <c r="A4601" t="s">
        <v>13261</v>
      </c>
      <c r="B4601" t="s">
        <v>13262</v>
      </c>
    </row>
    <row r="4602" spans="1:2" x14ac:dyDescent="0.25">
      <c r="A4602" t="s">
        <v>13263</v>
      </c>
      <c r="B4602" t="s">
        <v>13264</v>
      </c>
    </row>
    <row r="4603" spans="1:2" x14ac:dyDescent="0.25">
      <c r="A4603" t="s">
        <v>13265</v>
      </c>
      <c r="B4603" t="s">
        <v>13266</v>
      </c>
    </row>
    <row r="4604" spans="1:2" x14ac:dyDescent="0.25">
      <c r="A4604" t="s">
        <v>13267</v>
      </c>
      <c r="B4604" t="s">
        <v>13268</v>
      </c>
    </row>
    <row r="4605" spans="1:2" x14ac:dyDescent="0.25">
      <c r="A4605" t="s">
        <v>13269</v>
      </c>
      <c r="B4605" t="s">
        <v>13270</v>
      </c>
    </row>
    <row r="4606" spans="1:2" x14ac:dyDescent="0.25">
      <c r="A4606" t="s">
        <v>13271</v>
      </c>
      <c r="B4606" t="s">
        <v>13272</v>
      </c>
    </row>
    <row r="4607" spans="1:2" x14ac:dyDescent="0.25">
      <c r="A4607" t="s">
        <v>13273</v>
      </c>
      <c r="B4607" t="s">
        <v>13274</v>
      </c>
    </row>
    <row r="4608" spans="1:2" x14ac:dyDescent="0.25">
      <c r="A4608" t="s">
        <v>13275</v>
      </c>
      <c r="B4608" t="s">
        <v>13276</v>
      </c>
    </row>
    <row r="4609" spans="1:2" x14ac:dyDescent="0.25">
      <c r="A4609" t="s">
        <v>13277</v>
      </c>
      <c r="B4609" t="s">
        <v>13278</v>
      </c>
    </row>
    <row r="4610" spans="1:2" x14ac:dyDescent="0.25">
      <c r="A4610" t="s">
        <v>13279</v>
      </c>
      <c r="B4610" t="s">
        <v>13280</v>
      </c>
    </row>
    <row r="4611" spans="1:2" x14ac:dyDescent="0.25">
      <c r="A4611" t="s">
        <v>13281</v>
      </c>
      <c r="B4611" t="s">
        <v>13282</v>
      </c>
    </row>
    <row r="4612" spans="1:2" x14ac:dyDescent="0.25">
      <c r="A4612" t="s">
        <v>13283</v>
      </c>
      <c r="B4612" t="s">
        <v>13284</v>
      </c>
    </row>
    <row r="4613" spans="1:2" x14ac:dyDescent="0.25">
      <c r="A4613" t="s">
        <v>13285</v>
      </c>
      <c r="B4613" t="s">
        <v>13286</v>
      </c>
    </row>
    <row r="4614" spans="1:2" x14ac:dyDescent="0.25">
      <c r="A4614" t="s">
        <v>13287</v>
      </c>
      <c r="B4614" t="s">
        <v>13288</v>
      </c>
    </row>
    <row r="4615" spans="1:2" x14ac:dyDescent="0.25">
      <c r="A4615" t="s">
        <v>13289</v>
      </c>
      <c r="B4615" t="s">
        <v>13290</v>
      </c>
    </row>
    <row r="4616" spans="1:2" x14ac:dyDescent="0.25">
      <c r="A4616" t="s">
        <v>13291</v>
      </c>
      <c r="B4616" t="s">
        <v>13292</v>
      </c>
    </row>
    <row r="4617" spans="1:2" x14ac:dyDescent="0.25">
      <c r="A4617" t="s">
        <v>13293</v>
      </c>
      <c r="B4617" t="s">
        <v>13294</v>
      </c>
    </row>
    <row r="4618" spans="1:2" x14ac:dyDescent="0.25">
      <c r="A4618" t="s">
        <v>13295</v>
      </c>
      <c r="B4618" t="s">
        <v>13296</v>
      </c>
    </row>
    <row r="4619" spans="1:2" x14ac:dyDescent="0.25">
      <c r="A4619" t="s">
        <v>13297</v>
      </c>
      <c r="B4619" t="s">
        <v>13298</v>
      </c>
    </row>
    <row r="4620" spans="1:2" x14ac:dyDescent="0.25">
      <c r="A4620" t="s">
        <v>13299</v>
      </c>
      <c r="B4620" t="s">
        <v>13300</v>
      </c>
    </row>
    <row r="4621" spans="1:2" x14ac:dyDescent="0.25">
      <c r="A4621" t="s">
        <v>13301</v>
      </c>
      <c r="B4621" t="s">
        <v>13302</v>
      </c>
    </row>
    <row r="4622" spans="1:2" x14ac:dyDescent="0.25">
      <c r="A4622" t="s">
        <v>13303</v>
      </c>
      <c r="B4622" t="s">
        <v>13304</v>
      </c>
    </row>
    <row r="4623" spans="1:2" x14ac:dyDescent="0.25">
      <c r="A4623" t="s">
        <v>13305</v>
      </c>
      <c r="B4623" t="s">
        <v>13306</v>
      </c>
    </row>
    <row r="4624" spans="1:2" x14ac:dyDescent="0.25">
      <c r="A4624" t="s">
        <v>13307</v>
      </c>
      <c r="B4624" t="s">
        <v>13308</v>
      </c>
    </row>
    <row r="4625" spans="1:2" x14ac:dyDescent="0.25">
      <c r="A4625" t="s">
        <v>13309</v>
      </c>
      <c r="B4625" t="s">
        <v>13310</v>
      </c>
    </row>
    <row r="4626" spans="1:2" x14ac:dyDescent="0.25">
      <c r="A4626" t="s">
        <v>13311</v>
      </c>
      <c r="B4626" t="s">
        <v>13312</v>
      </c>
    </row>
    <row r="4627" spans="1:2" x14ac:dyDescent="0.25">
      <c r="A4627" t="s">
        <v>13313</v>
      </c>
      <c r="B4627" t="s">
        <v>13314</v>
      </c>
    </row>
    <row r="4628" spans="1:2" x14ac:dyDescent="0.25">
      <c r="A4628" t="s">
        <v>13315</v>
      </c>
      <c r="B4628" t="s">
        <v>13316</v>
      </c>
    </row>
    <row r="4629" spans="1:2" x14ac:dyDescent="0.25">
      <c r="A4629" t="s">
        <v>13317</v>
      </c>
      <c r="B4629" t="s">
        <v>13318</v>
      </c>
    </row>
    <row r="4630" spans="1:2" x14ac:dyDescent="0.25">
      <c r="A4630" t="s">
        <v>13319</v>
      </c>
      <c r="B4630" t="s">
        <v>13320</v>
      </c>
    </row>
    <row r="4631" spans="1:2" x14ac:dyDescent="0.25">
      <c r="A4631" t="s">
        <v>13321</v>
      </c>
      <c r="B4631" t="s">
        <v>13322</v>
      </c>
    </row>
    <row r="4632" spans="1:2" x14ac:dyDescent="0.25">
      <c r="A4632" t="s">
        <v>13323</v>
      </c>
      <c r="B4632" t="s">
        <v>13324</v>
      </c>
    </row>
    <row r="4633" spans="1:2" x14ac:dyDescent="0.25">
      <c r="A4633" t="s">
        <v>13325</v>
      </c>
      <c r="B4633" t="s">
        <v>13326</v>
      </c>
    </row>
    <row r="4634" spans="1:2" x14ac:dyDescent="0.25">
      <c r="A4634" t="s">
        <v>11750</v>
      </c>
      <c r="B4634" t="s">
        <v>13327</v>
      </c>
    </row>
    <row r="4635" spans="1:2" x14ac:dyDescent="0.25">
      <c r="A4635" t="s">
        <v>11752</v>
      </c>
      <c r="B4635" t="s">
        <v>13328</v>
      </c>
    </row>
    <row r="4636" spans="1:2" x14ac:dyDescent="0.25">
      <c r="A4636" t="s">
        <v>11754</v>
      </c>
      <c r="B4636" t="s">
        <v>13329</v>
      </c>
    </row>
    <row r="4637" spans="1:2" x14ac:dyDescent="0.25">
      <c r="A4637" t="s">
        <v>11756</v>
      </c>
      <c r="B4637" t="s">
        <v>13330</v>
      </c>
    </row>
    <row r="4638" spans="1:2" x14ac:dyDescent="0.25">
      <c r="A4638" t="s">
        <v>11758</v>
      </c>
      <c r="B4638" t="s">
        <v>13331</v>
      </c>
    </row>
    <row r="4639" spans="1:2" x14ac:dyDescent="0.25">
      <c r="A4639" t="s">
        <v>11760</v>
      </c>
      <c r="B4639" t="s">
        <v>13332</v>
      </c>
    </row>
    <row r="4640" spans="1:2" x14ac:dyDescent="0.25">
      <c r="A4640" t="s">
        <v>11762</v>
      </c>
      <c r="B4640" t="s">
        <v>13333</v>
      </c>
    </row>
    <row r="4641" spans="1:2" x14ac:dyDescent="0.25">
      <c r="A4641" t="s">
        <v>11764</v>
      </c>
      <c r="B4641" t="s">
        <v>13334</v>
      </c>
    </row>
    <row r="4642" spans="1:2" x14ac:dyDescent="0.25">
      <c r="A4642" t="s">
        <v>11766</v>
      </c>
      <c r="B4642" t="s">
        <v>13335</v>
      </c>
    </row>
    <row r="4643" spans="1:2" x14ac:dyDescent="0.25">
      <c r="A4643" t="s">
        <v>11768</v>
      </c>
      <c r="B4643" t="s">
        <v>13336</v>
      </c>
    </row>
    <row r="4644" spans="1:2" x14ac:dyDescent="0.25">
      <c r="A4644" t="s">
        <v>11770</v>
      </c>
      <c r="B4644" t="s">
        <v>13337</v>
      </c>
    </row>
    <row r="4645" spans="1:2" x14ac:dyDescent="0.25">
      <c r="A4645" t="s">
        <v>11772</v>
      </c>
      <c r="B4645" t="s">
        <v>13338</v>
      </c>
    </row>
    <row r="4646" spans="1:2" x14ac:dyDescent="0.25">
      <c r="A4646" t="s">
        <v>11774</v>
      </c>
      <c r="B4646" t="s">
        <v>13339</v>
      </c>
    </row>
    <row r="4647" spans="1:2" x14ac:dyDescent="0.25">
      <c r="A4647" t="s">
        <v>11776</v>
      </c>
      <c r="B4647" t="s">
        <v>13340</v>
      </c>
    </row>
    <row r="4648" spans="1:2" x14ac:dyDescent="0.25">
      <c r="A4648" t="s">
        <v>11778</v>
      </c>
      <c r="B4648" t="s">
        <v>13341</v>
      </c>
    </row>
    <row r="4649" spans="1:2" x14ac:dyDescent="0.25">
      <c r="A4649" t="s">
        <v>11780</v>
      </c>
      <c r="B4649" t="s">
        <v>13342</v>
      </c>
    </row>
    <row r="4650" spans="1:2" x14ac:dyDescent="0.25">
      <c r="A4650" t="s">
        <v>11782</v>
      </c>
      <c r="B4650" t="s">
        <v>13343</v>
      </c>
    </row>
    <row r="4651" spans="1:2" x14ac:dyDescent="0.25">
      <c r="A4651" t="s">
        <v>11784</v>
      </c>
      <c r="B4651" t="s">
        <v>13344</v>
      </c>
    </row>
    <row r="4652" spans="1:2" x14ac:dyDescent="0.25">
      <c r="A4652" t="s">
        <v>11786</v>
      </c>
      <c r="B4652" t="s">
        <v>13345</v>
      </c>
    </row>
    <row r="4653" spans="1:2" x14ac:dyDescent="0.25">
      <c r="A4653" t="s">
        <v>11788</v>
      </c>
      <c r="B4653" t="s">
        <v>13346</v>
      </c>
    </row>
    <row r="4654" spans="1:2" x14ac:dyDescent="0.25">
      <c r="A4654" t="s">
        <v>11790</v>
      </c>
      <c r="B4654" t="s">
        <v>13347</v>
      </c>
    </row>
    <row r="4655" spans="1:2" x14ac:dyDescent="0.25">
      <c r="A4655" t="s">
        <v>11792</v>
      </c>
      <c r="B4655" t="s">
        <v>13348</v>
      </c>
    </row>
    <row r="4656" spans="1:2" x14ac:dyDescent="0.25">
      <c r="A4656" t="s">
        <v>11794</v>
      </c>
      <c r="B4656" t="s">
        <v>13349</v>
      </c>
    </row>
    <row r="4657" spans="1:2" x14ac:dyDescent="0.25">
      <c r="A4657" t="s">
        <v>11796</v>
      </c>
      <c r="B4657" t="s">
        <v>13350</v>
      </c>
    </row>
    <row r="4658" spans="1:2" x14ac:dyDescent="0.25">
      <c r="A4658" t="s">
        <v>11798</v>
      </c>
      <c r="B4658" t="s">
        <v>13351</v>
      </c>
    </row>
    <row r="4659" spans="1:2" x14ac:dyDescent="0.25">
      <c r="A4659" t="s">
        <v>11800</v>
      </c>
      <c r="B4659" t="s">
        <v>13352</v>
      </c>
    </row>
    <row r="4660" spans="1:2" x14ac:dyDescent="0.25">
      <c r="A4660" t="s">
        <v>11802</v>
      </c>
      <c r="B4660" t="s">
        <v>13353</v>
      </c>
    </row>
    <row r="4661" spans="1:2" x14ac:dyDescent="0.25">
      <c r="A4661" t="s">
        <v>11804</v>
      </c>
      <c r="B4661" t="s">
        <v>13354</v>
      </c>
    </row>
    <row r="4662" spans="1:2" x14ac:dyDescent="0.25">
      <c r="A4662" t="s">
        <v>11806</v>
      </c>
      <c r="B4662" t="s">
        <v>13355</v>
      </c>
    </row>
    <row r="4663" spans="1:2" x14ac:dyDescent="0.25">
      <c r="A4663" t="s">
        <v>11808</v>
      </c>
      <c r="B4663" t="s">
        <v>13356</v>
      </c>
    </row>
    <row r="4664" spans="1:2" x14ac:dyDescent="0.25">
      <c r="A4664" t="s">
        <v>11810</v>
      </c>
      <c r="B4664" t="s">
        <v>13357</v>
      </c>
    </row>
    <row r="4665" spans="1:2" x14ac:dyDescent="0.25">
      <c r="A4665" t="s">
        <v>11812</v>
      </c>
      <c r="B4665" t="s">
        <v>13358</v>
      </c>
    </row>
    <row r="4666" spans="1:2" x14ac:dyDescent="0.25">
      <c r="A4666" t="s">
        <v>2233</v>
      </c>
      <c r="B4666" t="s">
        <v>13359</v>
      </c>
    </row>
    <row r="4667" spans="1:2" x14ac:dyDescent="0.25">
      <c r="A4667" t="s">
        <v>2298</v>
      </c>
      <c r="B4667" t="s">
        <v>13360</v>
      </c>
    </row>
    <row r="4668" spans="1:2" x14ac:dyDescent="0.25">
      <c r="A4668" t="s">
        <v>2300</v>
      </c>
      <c r="B4668" t="s">
        <v>13361</v>
      </c>
    </row>
    <row r="4669" spans="1:2" x14ac:dyDescent="0.25">
      <c r="A4669" t="s">
        <v>479</v>
      </c>
      <c r="B4669" t="s">
        <v>13362</v>
      </c>
    </row>
    <row r="4670" spans="1:2" x14ac:dyDescent="0.25">
      <c r="A4670" t="s">
        <v>483</v>
      </c>
      <c r="B4670" t="s">
        <v>13363</v>
      </c>
    </row>
    <row r="4671" spans="1:2" x14ac:dyDescent="0.25">
      <c r="A4671" t="s">
        <v>487</v>
      </c>
      <c r="B4671" t="s">
        <v>13364</v>
      </c>
    </row>
    <row r="4672" spans="1:2" x14ac:dyDescent="0.25">
      <c r="A4672" t="s">
        <v>2233</v>
      </c>
      <c r="B4672" t="s">
        <v>7176</v>
      </c>
    </row>
    <row r="4673" spans="1:2" x14ac:dyDescent="0.25">
      <c r="A4673" t="s">
        <v>2298</v>
      </c>
      <c r="B4673" t="s">
        <v>7178</v>
      </c>
    </row>
    <row r="4674" spans="1:2" x14ac:dyDescent="0.25">
      <c r="A4674" t="s">
        <v>2300</v>
      </c>
      <c r="B4674" t="s">
        <v>7179</v>
      </c>
    </row>
    <row r="4675" spans="1:2" x14ac:dyDescent="0.25">
      <c r="A4675" t="s">
        <v>479</v>
      </c>
      <c r="B4675" t="s">
        <v>7180</v>
      </c>
    </row>
    <row r="4676" spans="1:2" x14ac:dyDescent="0.25">
      <c r="A4676" t="s">
        <v>483</v>
      </c>
      <c r="B4676" t="s">
        <v>7181</v>
      </c>
    </row>
    <row r="4677" spans="1:2" x14ac:dyDescent="0.25">
      <c r="A4677" t="s">
        <v>487</v>
      </c>
      <c r="B4677" t="s">
        <v>7183</v>
      </c>
    </row>
    <row r="4678" spans="1:2" x14ac:dyDescent="0.25">
      <c r="A4678" t="s">
        <v>491</v>
      </c>
      <c r="B4678" t="s">
        <v>7184</v>
      </c>
    </row>
    <row r="4679" spans="1:2" x14ac:dyDescent="0.25">
      <c r="A4679" t="s">
        <v>494</v>
      </c>
      <c r="B4679" t="s">
        <v>7185</v>
      </c>
    </row>
    <row r="4680" spans="1:2" x14ac:dyDescent="0.25">
      <c r="A4680" t="s">
        <v>496</v>
      </c>
      <c r="B4680" t="s">
        <v>7186</v>
      </c>
    </row>
    <row r="4681" spans="1:2" x14ac:dyDescent="0.25">
      <c r="A4681" t="s">
        <v>1297</v>
      </c>
      <c r="B4681" t="s">
        <v>7188</v>
      </c>
    </row>
    <row r="4682" spans="1:2" x14ac:dyDescent="0.25">
      <c r="A4682" t="s">
        <v>1300</v>
      </c>
      <c r="B4682" t="s">
        <v>7189</v>
      </c>
    </row>
    <row r="4683" spans="1:2" x14ac:dyDescent="0.25">
      <c r="A4683" t="s">
        <v>1302</v>
      </c>
      <c r="B4683" t="s">
        <v>7191</v>
      </c>
    </row>
    <row r="4684" spans="1:2" x14ac:dyDescent="0.25">
      <c r="A4684" t="s">
        <v>1304</v>
      </c>
      <c r="B4684" t="s">
        <v>7192</v>
      </c>
    </row>
    <row r="4685" spans="1:2" x14ac:dyDescent="0.25">
      <c r="A4685" t="s">
        <v>1307</v>
      </c>
      <c r="B4685" t="s">
        <v>7194</v>
      </c>
    </row>
    <row r="4686" spans="1:2" x14ac:dyDescent="0.25">
      <c r="A4686" t="s">
        <v>1309</v>
      </c>
      <c r="B4686" t="s">
        <v>7195</v>
      </c>
    </row>
    <row r="4687" spans="1:2" x14ac:dyDescent="0.25">
      <c r="A4687" t="s">
        <v>2311</v>
      </c>
      <c r="B4687" t="s">
        <v>7197</v>
      </c>
    </row>
    <row r="4688" spans="1:2" x14ac:dyDescent="0.25">
      <c r="A4688" t="s">
        <v>498</v>
      </c>
      <c r="B4688" t="s">
        <v>7198</v>
      </c>
    </row>
    <row r="4689" spans="1:2" x14ac:dyDescent="0.25">
      <c r="A4689" t="s">
        <v>500</v>
      </c>
      <c r="B4689" t="s">
        <v>7200</v>
      </c>
    </row>
    <row r="4690" spans="1:2" x14ac:dyDescent="0.25">
      <c r="A4690" t="s">
        <v>2239</v>
      </c>
      <c r="B4690" t="s">
        <v>7201</v>
      </c>
    </row>
    <row r="4691" spans="1:2" x14ac:dyDescent="0.25">
      <c r="A4691" t="s">
        <v>1316</v>
      </c>
      <c r="B4691" t="s">
        <v>7202</v>
      </c>
    </row>
    <row r="4692" spans="1:2" x14ac:dyDescent="0.25">
      <c r="A4692" t="s">
        <v>502</v>
      </c>
      <c r="B4692" t="s">
        <v>7203</v>
      </c>
    </row>
    <row r="4693" spans="1:2" x14ac:dyDescent="0.25">
      <c r="A4693" t="s">
        <v>506</v>
      </c>
      <c r="B4693" t="s">
        <v>7205</v>
      </c>
    </row>
    <row r="4694" spans="1:2" x14ac:dyDescent="0.25">
      <c r="A4694" t="s">
        <v>510</v>
      </c>
      <c r="B4694" t="s">
        <v>7206</v>
      </c>
    </row>
    <row r="4695" spans="1:2" x14ac:dyDescent="0.25">
      <c r="A4695" t="s">
        <v>514</v>
      </c>
      <c r="B4695" t="s">
        <v>7208</v>
      </c>
    </row>
    <row r="4696" spans="1:2" x14ac:dyDescent="0.25">
      <c r="A4696" t="s">
        <v>518</v>
      </c>
      <c r="B4696" t="s">
        <v>7209</v>
      </c>
    </row>
    <row r="4697" spans="1:2" x14ac:dyDescent="0.25">
      <c r="A4697" t="s">
        <v>521</v>
      </c>
      <c r="B4697" t="s">
        <v>7210</v>
      </c>
    </row>
    <row r="4698" spans="1:2" x14ac:dyDescent="0.25">
      <c r="A4698" t="s">
        <v>523</v>
      </c>
      <c r="B4698" t="s">
        <v>7211</v>
      </c>
    </row>
    <row r="4699" spans="1:2" x14ac:dyDescent="0.25">
      <c r="A4699" t="s">
        <v>525</v>
      </c>
      <c r="B4699" t="s">
        <v>7212</v>
      </c>
    </row>
    <row r="4700" spans="1:2" x14ac:dyDescent="0.25">
      <c r="A4700" t="s">
        <v>527</v>
      </c>
      <c r="B4700" t="s">
        <v>7213</v>
      </c>
    </row>
    <row r="4701" spans="1:2" x14ac:dyDescent="0.25">
      <c r="A4701" t="s">
        <v>529</v>
      </c>
      <c r="B4701" t="s">
        <v>7214</v>
      </c>
    </row>
    <row r="4702" spans="1:2" x14ac:dyDescent="0.25">
      <c r="A4702" t="s">
        <v>531</v>
      </c>
      <c r="B4702" t="s">
        <v>7215</v>
      </c>
    </row>
    <row r="4703" spans="1:2" x14ac:dyDescent="0.25">
      <c r="A4703" t="s">
        <v>533</v>
      </c>
      <c r="B4703" t="s">
        <v>7216</v>
      </c>
    </row>
    <row r="4704" spans="1:2" x14ac:dyDescent="0.25">
      <c r="A4704" t="s">
        <v>535</v>
      </c>
      <c r="B4704" t="s">
        <v>7217</v>
      </c>
    </row>
    <row r="4705" spans="1:2" x14ac:dyDescent="0.25">
      <c r="A4705" t="s">
        <v>537</v>
      </c>
      <c r="B4705" t="s">
        <v>7218</v>
      </c>
    </row>
    <row r="4706" spans="1:2" x14ac:dyDescent="0.25">
      <c r="A4706" t="s">
        <v>540</v>
      </c>
      <c r="B4706" t="s">
        <v>7219</v>
      </c>
    </row>
    <row r="4707" spans="1:2" x14ac:dyDescent="0.25">
      <c r="A4707" t="s">
        <v>542</v>
      </c>
      <c r="B4707" t="s">
        <v>7220</v>
      </c>
    </row>
    <row r="4708" spans="1:2" x14ac:dyDescent="0.25">
      <c r="A4708" t="s">
        <v>544</v>
      </c>
      <c r="B4708" t="s">
        <v>7221</v>
      </c>
    </row>
    <row r="4709" spans="1:2" x14ac:dyDescent="0.25">
      <c r="A4709" t="s">
        <v>1337</v>
      </c>
      <c r="B4709" t="s">
        <v>7222</v>
      </c>
    </row>
    <row r="4710" spans="1:2" x14ac:dyDescent="0.25">
      <c r="A4710" t="s">
        <v>548</v>
      </c>
      <c r="B4710" t="s">
        <v>7223</v>
      </c>
    </row>
    <row r="4711" spans="1:2" x14ac:dyDescent="0.25">
      <c r="A4711" t="s">
        <v>3177</v>
      </c>
      <c r="B4711" t="s">
        <v>7224</v>
      </c>
    </row>
    <row r="4712" spans="1:2" x14ac:dyDescent="0.25">
      <c r="A4712" t="s">
        <v>1339</v>
      </c>
      <c r="B4712" t="s">
        <v>7225</v>
      </c>
    </row>
    <row r="4713" spans="1:2" x14ac:dyDescent="0.25">
      <c r="A4713" t="s">
        <v>1341</v>
      </c>
      <c r="B4713" t="s">
        <v>7228</v>
      </c>
    </row>
    <row r="4714" spans="1:2" x14ac:dyDescent="0.25">
      <c r="A4714" t="s">
        <v>1343</v>
      </c>
      <c r="B4714" t="s">
        <v>7231</v>
      </c>
    </row>
    <row r="4715" spans="1:2" x14ac:dyDescent="0.25">
      <c r="A4715" t="s">
        <v>6134</v>
      </c>
      <c r="B4715" t="s">
        <v>7233</v>
      </c>
    </row>
    <row r="4716" spans="1:2" x14ac:dyDescent="0.25">
      <c r="A4716" t="s">
        <v>550</v>
      </c>
      <c r="B4716" t="s">
        <v>7235</v>
      </c>
    </row>
    <row r="4717" spans="1:2" x14ac:dyDescent="0.25">
      <c r="A4717" t="s">
        <v>553</v>
      </c>
      <c r="B4717" t="s">
        <v>7236</v>
      </c>
    </row>
    <row r="4718" spans="1:2" x14ac:dyDescent="0.25">
      <c r="A4718" t="s">
        <v>555</v>
      </c>
      <c r="B4718" t="s">
        <v>7237</v>
      </c>
    </row>
    <row r="4719" spans="1:2" x14ac:dyDescent="0.25">
      <c r="A4719" t="s">
        <v>558</v>
      </c>
      <c r="B4719" t="s">
        <v>7238</v>
      </c>
    </row>
    <row r="4720" spans="1:2" x14ac:dyDescent="0.25">
      <c r="A4720" t="s">
        <v>561</v>
      </c>
      <c r="B4720" t="s">
        <v>7239</v>
      </c>
    </row>
    <row r="4721" spans="1:2" x14ac:dyDescent="0.25">
      <c r="A4721" t="s">
        <v>2416</v>
      </c>
      <c r="B4721" t="s">
        <v>7241</v>
      </c>
    </row>
    <row r="4722" spans="1:2" x14ac:dyDescent="0.25">
      <c r="A4722" t="s">
        <v>1345</v>
      </c>
      <c r="B4722" t="s">
        <v>7242</v>
      </c>
    </row>
    <row r="4723" spans="1:2" x14ac:dyDescent="0.25">
      <c r="A4723" t="s">
        <v>1347</v>
      </c>
      <c r="B4723" t="s">
        <v>7243</v>
      </c>
    </row>
    <row r="4724" spans="1:2" x14ac:dyDescent="0.25">
      <c r="A4724" t="s">
        <v>1349</v>
      </c>
      <c r="B4724" t="s">
        <v>7244</v>
      </c>
    </row>
    <row r="4725" spans="1:2" x14ac:dyDescent="0.25">
      <c r="A4725" t="s">
        <v>2252</v>
      </c>
      <c r="B4725" t="s">
        <v>7246</v>
      </c>
    </row>
    <row r="4726" spans="1:2" x14ac:dyDescent="0.25">
      <c r="A4726" t="s">
        <v>2254</v>
      </c>
      <c r="B4726" t="s">
        <v>7247</v>
      </c>
    </row>
    <row r="4727" spans="1:2" x14ac:dyDescent="0.25">
      <c r="A4727" t="s">
        <v>2256</v>
      </c>
      <c r="B4727" t="s">
        <v>7248</v>
      </c>
    </row>
    <row r="4728" spans="1:2" x14ac:dyDescent="0.25">
      <c r="A4728" t="s">
        <v>565</v>
      </c>
      <c r="B4728" t="s">
        <v>7249</v>
      </c>
    </row>
    <row r="4729" spans="1:2" x14ac:dyDescent="0.25">
      <c r="A4729" t="s">
        <v>567</v>
      </c>
      <c r="B4729" t="s">
        <v>7250</v>
      </c>
    </row>
    <row r="4730" spans="1:2" x14ac:dyDescent="0.25">
      <c r="A4730" t="s">
        <v>570</v>
      </c>
      <c r="B4730" t="s">
        <v>7251</v>
      </c>
    </row>
    <row r="4731" spans="1:2" x14ac:dyDescent="0.25">
      <c r="A4731" t="s">
        <v>574</v>
      </c>
      <c r="B4731" t="s">
        <v>7252</v>
      </c>
    </row>
    <row r="4732" spans="1:2" x14ac:dyDescent="0.25">
      <c r="A4732" t="s">
        <v>3118</v>
      </c>
      <c r="B4732" t="s">
        <v>7253</v>
      </c>
    </row>
    <row r="4733" spans="1:2" x14ac:dyDescent="0.25">
      <c r="A4733" t="s">
        <v>3120</v>
      </c>
      <c r="B4733" t="s">
        <v>7254</v>
      </c>
    </row>
    <row r="4734" spans="1:2" x14ac:dyDescent="0.25">
      <c r="A4734" t="s">
        <v>7255</v>
      </c>
      <c r="B4734" t="s">
        <v>7256</v>
      </c>
    </row>
    <row r="4735" spans="1:2" x14ac:dyDescent="0.25">
      <c r="A4735" t="s">
        <v>1351</v>
      </c>
      <c r="B4735" t="s">
        <v>7257</v>
      </c>
    </row>
    <row r="4736" spans="1:2" x14ac:dyDescent="0.25">
      <c r="A4736" t="s">
        <v>577</v>
      </c>
      <c r="B4736" t="s">
        <v>7258</v>
      </c>
    </row>
    <row r="4737" spans="1:2" x14ac:dyDescent="0.25">
      <c r="A4737" t="s">
        <v>580</v>
      </c>
      <c r="B4737" t="s">
        <v>7259</v>
      </c>
    </row>
    <row r="4738" spans="1:2" x14ac:dyDescent="0.25">
      <c r="A4738" t="s">
        <v>582</v>
      </c>
      <c r="B4738" t="s">
        <v>7260</v>
      </c>
    </row>
    <row r="4739" spans="1:2" x14ac:dyDescent="0.25">
      <c r="A4739" t="s">
        <v>2233</v>
      </c>
      <c r="B4739" t="s">
        <v>13365</v>
      </c>
    </row>
    <row r="4740" spans="1:2" x14ac:dyDescent="0.25">
      <c r="A4740" t="s">
        <v>2298</v>
      </c>
      <c r="B4740" t="s">
        <v>7115</v>
      </c>
    </row>
    <row r="4741" spans="1:2" x14ac:dyDescent="0.25">
      <c r="A4741" t="s">
        <v>2300</v>
      </c>
      <c r="B4741" t="s">
        <v>7116</v>
      </c>
    </row>
    <row r="4742" spans="1:2" x14ac:dyDescent="0.25">
      <c r="A4742" t="s">
        <v>483</v>
      </c>
      <c r="B4742" t="s">
        <v>7118</v>
      </c>
    </row>
    <row r="4743" spans="1:2" x14ac:dyDescent="0.25">
      <c r="A4743" t="s">
        <v>487</v>
      </c>
      <c r="B4743" t="s">
        <v>7119</v>
      </c>
    </row>
    <row r="4744" spans="1:2" x14ac:dyDescent="0.25">
      <c r="A4744" t="s">
        <v>491</v>
      </c>
      <c r="B4744" t="s">
        <v>7120</v>
      </c>
    </row>
    <row r="4745" spans="1:2" x14ac:dyDescent="0.25">
      <c r="A4745" t="s">
        <v>494</v>
      </c>
      <c r="B4745" t="s">
        <v>7121</v>
      </c>
    </row>
    <row r="4746" spans="1:2" x14ac:dyDescent="0.25">
      <c r="A4746" t="s">
        <v>496</v>
      </c>
      <c r="B4746" t="s">
        <v>7123</v>
      </c>
    </row>
    <row r="4747" spans="1:2" x14ac:dyDescent="0.25">
      <c r="A4747" t="s">
        <v>1297</v>
      </c>
      <c r="B4747" t="s">
        <v>7125</v>
      </c>
    </row>
    <row r="4748" spans="1:2" x14ac:dyDescent="0.25">
      <c r="A4748" t="s">
        <v>1300</v>
      </c>
      <c r="B4748" t="s">
        <v>7126</v>
      </c>
    </row>
    <row r="4749" spans="1:2" x14ac:dyDescent="0.25">
      <c r="A4749" t="s">
        <v>1302</v>
      </c>
      <c r="B4749" t="s">
        <v>7127</v>
      </c>
    </row>
    <row r="4750" spans="1:2" x14ac:dyDescent="0.25">
      <c r="A4750" t="s">
        <v>1304</v>
      </c>
      <c r="B4750" t="s">
        <v>7128</v>
      </c>
    </row>
    <row r="4751" spans="1:2" x14ac:dyDescent="0.25">
      <c r="A4751" t="s">
        <v>1307</v>
      </c>
      <c r="B4751" t="s">
        <v>7129</v>
      </c>
    </row>
    <row r="4752" spans="1:2" x14ac:dyDescent="0.25">
      <c r="A4752" t="s">
        <v>1309</v>
      </c>
      <c r="B4752" t="s">
        <v>7130</v>
      </c>
    </row>
    <row r="4753" spans="1:2" x14ac:dyDescent="0.25">
      <c r="A4753" t="s">
        <v>2311</v>
      </c>
      <c r="B4753" t="s">
        <v>7131</v>
      </c>
    </row>
    <row r="4754" spans="1:2" x14ac:dyDescent="0.25">
      <c r="A4754" t="s">
        <v>498</v>
      </c>
      <c r="B4754" t="s">
        <v>7132</v>
      </c>
    </row>
    <row r="4755" spans="1:2" x14ac:dyDescent="0.25">
      <c r="A4755" t="s">
        <v>500</v>
      </c>
      <c r="B4755" t="s">
        <v>7133</v>
      </c>
    </row>
    <row r="4756" spans="1:2" x14ac:dyDescent="0.25">
      <c r="A4756" t="s">
        <v>2239</v>
      </c>
      <c r="B4756" t="s">
        <v>7134</v>
      </c>
    </row>
    <row r="4757" spans="1:2" x14ac:dyDescent="0.25">
      <c r="A4757" t="s">
        <v>1316</v>
      </c>
      <c r="B4757" t="s">
        <v>7135</v>
      </c>
    </row>
    <row r="4758" spans="1:2" x14ac:dyDescent="0.25">
      <c r="A4758" t="s">
        <v>502</v>
      </c>
      <c r="B4758" t="s">
        <v>7136</v>
      </c>
    </row>
    <row r="4759" spans="1:2" x14ac:dyDescent="0.25">
      <c r="A4759" t="s">
        <v>506</v>
      </c>
      <c r="B4759" t="s">
        <v>7137</v>
      </c>
    </row>
    <row r="4760" spans="1:2" x14ac:dyDescent="0.25">
      <c r="A4760" t="s">
        <v>510</v>
      </c>
      <c r="B4760" t="s">
        <v>7138</v>
      </c>
    </row>
    <row r="4761" spans="1:2" x14ac:dyDescent="0.25">
      <c r="A4761" t="s">
        <v>514</v>
      </c>
      <c r="B4761" t="s">
        <v>7139</v>
      </c>
    </row>
    <row r="4762" spans="1:2" x14ac:dyDescent="0.25">
      <c r="A4762" t="s">
        <v>518</v>
      </c>
      <c r="B4762" t="s">
        <v>7140</v>
      </c>
    </row>
    <row r="4763" spans="1:2" x14ac:dyDescent="0.25">
      <c r="A4763" t="s">
        <v>521</v>
      </c>
      <c r="B4763" t="s">
        <v>7141</v>
      </c>
    </row>
    <row r="4764" spans="1:2" x14ac:dyDescent="0.25">
      <c r="A4764" t="s">
        <v>523</v>
      </c>
      <c r="B4764" t="s">
        <v>7142</v>
      </c>
    </row>
    <row r="4765" spans="1:2" x14ac:dyDescent="0.25">
      <c r="A4765" t="s">
        <v>525</v>
      </c>
      <c r="B4765" t="s">
        <v>7143</v>
      </c>
    </row>
    <row r="4766" spans="1:2" x14ac:dyDescent="0.25">
      <c r="A4766" t="s">
        <v>527</v>
      </c>
      <c r="B4766" t="s">
        <v>7144</v>
      </c>
    </row>
    <row r="4767" spans="1:2" x14ac:dyDescent="0.25">
      <c r="A4767" t="s">
        <v>529</v>
      </c>
      <c r="B4767" t="s">
        <v>7145</v>
      </c>
    </row>
    <row r="4768" spans="1:2" x14ac:dyDescent="0.25">
      <c r="A4768" t="s">
        <v>531</v>
      </c>
      <c r="B4768" t="s">
        <v>7146</v>
      </c>
    </row>
    <row r="4769" spans="1:2" x14ac:dyDescent="0.25">
      <c r="A4769" t="s">
        <v>533</v>
      </c>
      <c r="B4769" t="s">
        <v>7147</v>
      </c>
    </row>
    <row r="4770" spans="1:2" x14ac:dyDescent="0.25">
      <c r="A4770" t="s">
        <v>535</v>
      </c>
      <c r="B4770" t="s">
        <v>7148</v>
      </c>
    </row>
    <row r="4771" spans="1:2" x14ac:dyDescent="0.25">
      <c r="A4771" t="s">
        <v>537</v>
      </c>
      <c r="B4771" t="s">
        <v>7149</v>
      </c>
    </row>
    <row r="4772" spans="1:2" x14ac:dyDescent="0.25">
      <c r="A4772" t="s">
        <v>540</v>
      </c>
      <c r="B4772" t="s">
        <v>7150</v>
      </c>
    </row>
    <row r="4773" spans="1:2" x14ac:dyDescent="0.25">
      <c r="A4773" t="s">
        <v>542</v>
      </c>
      <c r="B4773" t="s">
        <v>7151</v>
      </c>
    </row>
    <row r="4774" spans="1:2" x14ac:dyDescent="0.25">
      <c r="A4774" t="s">
        <v>544</v>
      </c>
      <c r="B4774" t="s">
        <v>7152</v>
      </c>
    </row>
    <row r="4775" spans="1:2" x14ac:dyDescent="0.25">
      <c r="A4775" t="s">
        <v>1337</v>
      </c>
      <c r="B4775" t="s">
        <v>7153</v>
      </c>
    </row>
    <row r="4776" spans="1:2" x14ac:dyDescent="0.25">
      <c r="A4776" t="s">
        <v>548</v>
      </c>
      <c r="B4776" t="s">
        <v>7154</v>
      </c>
    </row>
    <row r="4777" spans="1:2" x14ac:dyDescent="0.25">
      <c r="A4777" t="s">
        <v>3177</v>
      </c>
      <c r="B4777" t="s">
        <v>7155</v>
      </c>
    </row>
    <row r="4778" spans="1:2" x14ac:dyDescent="0.25">
      <c r="A4778" t="s">
        <v>1339</v>
      </c>
      <c r="B4778" t="s">
        <v>7156</v>
      </c>
    </row>
    <row r="4779" spans="1:2" x14ac:dyDescent="0.25">
      <c r="A4779" t="s">
        <v>1341</v>
      </c>
      <c r="B4779" t="s">
        <v>7157</v>
      </c>
    </row>
    <row r="4780" spans="1:2" x14ac:dyDescent="0.25">
      <c r="A4780" t="s">
        <v>1343</v>
      </c>
      <c r="B4780" t="s">
        <v>7158</v>
      </c>
    </row>
    <row r="4781" spans="1:2" x14ac:dyDescent="0.25">
      <c r="A4781" t="s">
        <v>6134</v>
      </c>
      <c r="B4781" t="s">
        <v>7159</v>
      </c>
    </row>
    <row r="4782" spans="1:2" x14ac:dyDescent="0.25">
      <c r="A4782" t="s">
        <v>550</v>
      </c>
      <c r="B4782" t="s">
        <v>7160</v>
      </c>
    </row>
    <row r="4783" spans="1:2" x14ac:dyDescent="0.25">
      <c r="A4783" t="s">
        <v>553</v>
      </c>
      <c r="B4783" t="s">
        <v>7161</v>
      </c>
    </row>
    <row r="4784" spans="1:2" x14ac:dyDescent="0.25">
      <c r="A4784" t="s">
        <v>555</v>
      </c>
      <c r="B4784" t="s">
        <v>7162</v>
      </c>
    </row>
    <row r="4785" spans="1:2" x14ac:dyDescent="0.25">
      <c r="A4785" t="s">
        <v>558</v>
      </c>
      <c r="B4785" t="s">
        <v>7163</v>
      </c>
    </row>
    <row r="4786" spans="1:2" x14ac:dyDescent="0.25">
      <c r="A4786" t="s">
        <v>561</v>
      </c>
      <c r="B4786" t="s">
        <v>7164</v>
      </c>
    </row>
    <row r="4787" spans="1:2" x14ac:dyDescent="0.25">
      <c r="A4787" t="s">
        <v>2416</v>
      </c>
      <c r="B4787" t="s">
        <v>7165</v>
      </c>
    </row>
    <row r="4788" spans="1:2" x14ac:dyDescent="0.25">
      <c r="A4788" t="s">
        <v>1345</v>
      </c>
      <c r="B4788" t="s">
        <v>295</v>
      </c>
    </row>
    <row r="4789" spans="1:2" x14ac:dyDescent="0.25">
      <c r="A4789" t="s">
        <v>1347</v>
      </c>
      <c r="B4789" t="s">
        <v>7166</v>
      </c>
    </row>
    <row r="4790" spans="1:2" x14ac:dyDescent="0.25">
      <c r="A4790" t="s">
        <v>1349</v>
      </c>
      <c r="B4790" t="s">
        <v>7167</v>
      </c>
    </row>
    <row r="4791" spans="1:2" x14ac:dyDescent="0.25">
      <c r="A4791" t="s">
        <v>2252</v>
      </c>
      <c r="B4791" t="s">
        <v>7168</v>
      </c>
    </row>
    <row r="4792" spans="1:2" x14ac:dyDescent="0.25">
      <c r="A4792" t="s">
        <v>2254</v>
      </c>
      <c r="B4792" t="s">
        <v>7169</v>
      </c>
    </row>
    <row r="4793" spans="1:2" x14ac:dyDescent="0.25">
      <c r="A4793" t="s">
        <v>2256</v>
      </c>
      <c r="B4793" t="s">
        <v>7170</v>
      </c>
    </row>
    <row r="4794" spans="1:2" x14ac:dyDescent="0.25">
      <c r="A4794" t="s">
        <v>565</v>
      </c>
      <c r="B4794" t="s">
        <v>7171</v>
      </c>
    </row>
    <row r="4795" spans="1:2" x14ac:dyDescent="0.25">
      <c r="A4795" t="s">
        <v>567</v>
      </c>
      <c r="B4795" t="s">
        <v>7172</v>
      </c>
    </row>
    <row r="4796" spans="1:2" x14ac:dyDescent="0.25">
      <c r="A4796" t="s">
        <v>570</v>
      </c>
      <c r="B4796" t="s">
        <v>7173</v>
      </c>
    </row>
    <row r="4797" spans="1:2" x14ac:dyDescent="0.25">
      <c r="A4797" t="s">
        <v>574</v>
      </c>
      <c r="B4797" t="s">
        <v>7174</v>
      </c>
    </row>
    <row r="4798" spans="1:2" x14ac:dyDescent="0.25">
      <c r="A4798" t="s">
        <v>3118</v>
      </c>
      <c r="B4798" t="s">
        <v>7175</v>
      </c>
    </row>
    <row r="4799" spans="1:2" x14ac:dyDescent="0.25">
      <c r="A4799" t="s">
        <v>2233</v>
      </c>
      <c r="B4799" t="s">
        <v>7113</v>
      </c>
    </row>
    <row r="4800" spans="1:2" x14ac:dyDescent="0.25">
      <c r="A4800" t="s">
        <v>479</v>
      </c>
      <c r="B4800" t="s">
        <v>7117</v>
      </c>
    </row>
    <row r="4801" spans="1:2" x14ac:dyDescent="0.25">
      <c r="A4801" t="s">
        <v>2233</v>
      </c>
      <c r="B4801" t="s">
        <v>3243</v>
      </c>
    </row>
    <row r="4802" spans="1:2" x14ac:dyDescent="0.25">
      <c r="A4802" t="s">
        <v>2298</v>
      </c>
      <c r="B4802" t="s">
        <v>3245</v>
      </c>
    </row>
    <row r="4803" spans="1:2" x14ac:dyDescent="0.25">
      <c r="A4803" t="s">
        <v>2300</v>
      </c>
      <c r="B4803" t="s">
        <v>3247</v>
      </c>
    </row>
    <row r="4804" spans="1:2" x14ac:dyDescent="0.25">
      <c r="A4804" t="s">
        <v>483</v>
      </c>
      <c r="B4804" t="s">
        <v>3248</v>
      </c>
    </row>
    <row r="4805" spans="1:2" x14ac:dyDescent="0.25">
      <c r="A4805" t="s">
        <v>491</v>
      </c>
      <c r="B4805" t="s">
        <v>3249</v>
      </c>
    </row>
    <row r="4806" spans="1:2" x14ac:dyDescent="0.25">
      <c r="A4806" t="s">
        <v>496</v>
      </c>
      <c r="B4806" t="s">
        <v>3250</v>
      </c>
    </row>
    <row r="4807" spans="1:2" x14ac:dyDescent="0.25">
      <c r="A4807" t="s">
        <v>1297</v>
      </c>
      <c r="B4807" t="s">
        <v>3251</v>
      </c>
    </row>
    <row r="4808" spans="1:2" x14ac:dyDescent="0.25">
      <c r="A4808" t="s">
        <v>1300</v>
      </c>
      <c r="B4808" t="s">
        <v>3252</v>
      </c>
    </row>
    <row r="4809" spans="1:2" x14ac:dyDescent="0.25">
      <c r="A4809" t="s">
        <v>1302</v>
      </c>
      <c r="B4809" t="s">
        <v>3253</v>
      </c>
    </row>
    <row r="4810" spans="1:2" x14ac:dyDescent="0.25">
      <c r="A4810" t="s">
        <v>1304</v>
      </c>
      <c r="B4810" t="s">
        <v>3254</v>
      </c>
    </row>
    <row r="4811" spans="1:2" x14ac:dyDescent="0.25">
      <c r="A4811" t="s">
        <v>1307</v>
      </c>
      <c r="B4811" t="s">
        <v>3255</v>
      </c>
    </row>
    <row r="4812" spans="1:2" x14ac:dyDescent="0.25">
      <c r="A4812" t="s">
        <v>1309</v>
      </c>
      <c r="B4812" t="s">
        <v>3256</v>
      </c>
    </row>
    <row r="4813" spans="1:2" x14ac:dyDescent="0.25">
      <c r="A4813" t="s">
        <v>2311</v>
      </c>
      <c r="B4813" t="s">
        <v>3257</v>
      </c>
    </row>
    <row r="4814" spans="1:2" x14ac:dyDescent="0.25">
      <c r="A4814" t="s">
        <v>676</v>
      </c>
      <c r="B4814" t="s">
        <v>3258</v>
      </c>
    </row>
    <row r="4815" spans="1:2" x14ac:dyDescent="0.25">
      <c r="A4815" t="s">
        <v>678</v>
      </c>
      <c r="B4815" t="s">
        <v>3260</v>
      </c>
    </row>
    <row r="4816" spans="1:2" x14ac:dyDescent="0.25">
      <c r="A4816" t="s">
        <v>681</v>
      </c>
      <c r="B4816" t="s">
        <v>3261</v>
      </c>
    </row>
    <row r="4817" spans="1:2" x14ac:dyDescent="0.25">
      <c r="A4817" t="s">
        <v>2538</v>
      </c>
      <c r="B4817" t="s">
        <v>3262</v>
      </c>
    </row>
    <row r="4818" spans="1:2" x14ac:dyDescent="0.25">
      <c r="A4818" t="s">
        <v>858</v>
      </c>
      <c r="B4818" t="s">
        <v>3263</v>
      </c>
    </row>
    <row r="4819" spans="1:2" x14ac:dyDescent="0.25">
      <c r="A4819" t="s">
        <v>860</v>
      </c>
      <c r="B4819" t="s">
        <v>3265</v>
      </c>
    </row>
    <row r="4820" spans="1:2" x14ac:dyDescent="0.25">
      <c r="A4820" t="s">
        <v>2350</v>
      </c>
      <c r="B4820" t="s">
        <v>3266</v>
      </c>
    </row>
    <row r="4821" spans="1:2" x14ac:dyDescent="0.25">
      <c r="A4821" t="s">
        <v>2352</v>
      </c>
      <c r="B4821" t="s">
        <v>3267</v>
      </c>
    </row>
    <row r="4822" spans="1:2" x14ac:dyDescent="0.25">
      <c r="A4822" t="s">
        <v>1236</v>
      </c>
      <c r="B4822" t="s">
        <v>3268</v>
      </c>
    </row>
    <row r="4823" spans="1:2" x14ac:dyDescent="0.25">
      <c r="A4823" t="s">
        <v>1238</v>
      </c>
      <c r="B4823" t="s">
        <v>3270</v>
      </c>
    </row>
    <row r="4824" spans="1:2" x14ac:dyDescent="0.25">
      <c r="A4824" t="s">
        <v>1635</v>
      </c>
      <c r="B4824" t="s">
        <v>3271</v>
      </c>
    </row>
    <row r="4825" spans="1:2" x14ac:dyDescent="0.25">
      <c r="A4825" t="s">
        <v>1637</v>
      </c>
      <c r="B4825" t="s">
        <v>3272</v>
      </c>
    </row>
    <row r="4826" spans="1:2" x14ac:dyDescent="0.25">
      <c r="A4826" t="s">
        <v>1639</v>
      </c>
      <c r="B4826" t="s">
        <v>3273</v>
      </c>
    </row>
    <row r="4827" spans="1:2" x14ac:dyDescent="0.25">
      <c r="A4827" t="s">
        <v>1641</v>
      </c>
      <c r="B4827" t="s">
        <v>3274</v>
      </c>
    </row>
    <row r="4828" spans="1:2" x14ac:dyDescent="0.25">
      <c r="A4828" t="s">
        <v>1643</v>
      </c>
      <c r="B4828" t="s">
        <v>3275</v>
      </c>
    </row>
    <row r="4829" spans="1:2" x14ac:dyDescent="0.25">
      <c r="A4829" t="s">
        <v>1645</v>
      </c>
      <c r="B4829" t="s">
        <v>3276</v>
      </c>
    </row>
    <row r="4830" spans="1:2" x14ac:dyDescent="0.25">
      <c r="A4830" t="s">
        <v>1676</v>
      </c>
      <c r="B4830" t="s">
        <v>3277</v>
      </c>
    </row>
    <row r="4831" spans="1:2" x14ac:dyDescent="0.25">
      <c r="A4831" t="s">
        <v>1678</v>
      </c>
      <c r="B4831" t="s">
        <v>3278</v>
      </c>
    </row>
    <row r="4832" spans="1:2" x14ac:dyDescent="0.25">
      <c r="A4832" t="s">
        <v>1680</v>
      </c>
      <c r="B4832" t="s">
        <v>3279</v>
      </c>
    </row>
    <row r="4833" spans="1:2" x14ac:dyDescent="0.25">
      <c r="A4833" t="s">
        <v>1682</v>
      </c>
      <c r="B4833" t="s">
        <v>3280</v>
      </c>
    </row>
    <row r="4834" spans="1:2" x14ac:dyDescent="0.25">
      <c r="A4834" t="s">
        <v>1684</v>
      </c>
      <c r="B4834" t="s">
        <v>3281</v>
      </c>
    </row>
    <row r="4835" spans="1:2" x14ac:dyDescent="0.25">
      <c r="A4835" t="s">
        <v>1686</v>
      </c>
      <c r="B4835" t="s">
        <v>3282</v>
      </c>
    </row>
    <row r="4836" spans="1:2" x14ac:dyDescent="0.25">
      <c r="A4836" t="s">
        <v>1688</v>
      </c>
      <c r="B4836" t="s">
        <v>3283</v>
      </c>
    </row>
    <row r="4837" spans="1:2" x14ac:dyDescent="0.25">
      <c r="A4837" t="s">
        <v>1690</v>
      </c>
      <c r="B4837" t="s">
        <v>3284</v>
      </c>
    </row>
    <row r="4838" spans="1:2" x14ac:dyDescent="0.25">
      <c r="A4838" t="s">
        <v>2715</v>
      </c>
      <c r="B4838" t="s">
        <v>3285</v>
      </c>
    </row>
    <row r="4839" spans="1:2" x14ac:dyDescent="0.25">
      <c r="A4839" t="s">
        <v>2717</v>
      </c>
      <c r="B4839" t="s">
        <v>3287</v>
      </c>
    </row>
    <row r="4840" spans="1:2" x14ac:dyDescent="0.25">
      <c r="A4840" t="s">
        <v>2046</v>
      </c>
      <c r="B4840" t="s">
        <v>3288</v>
      </c>
    </row>
    <row r="4841" spans="1:2" x14ac:dyDescent="0.25">
      <c r="A4841" t="s">
        <v>2050</v>
      </c>
      <c r="B4841" t="s">
        <v>3289</v>
      </c>
    </row>
    <row r="4842" spans="1:2" x14ac:dyDescent="0.25">
      <c r="A4842" t="s">
        <v>2056</v>
      </c>
      <c r="B4842" t="s">
        <v>3290</v>
      </c>
    </row>
    <row r="4843" spans="1:2" x14ac:dyDescent="0.25">
      <c r="A4843" t="s">
        <v>2113</v>
      </c>
      <c r="B4843" t="s">
        <v>3291</v>
      </c>
    </row>
    <row r="4844" spans="1:2" x14ac:dyDescent="0.25">
      <c r="A4844" t="s">
        <v>2115</v>
      </c>
      <c r="B4844" t="s">
        <v>3292</v>
      </c>
    </row>
    <row r="4845" spans="1:2" x14ac:dyDescent="0.25">
      <c r="A4845" t="s">
        <v>2118</v>
      </c>
      <c r="B4845" t="s">
        <v>3293</v>
      </c>
    </row>
    <row r="4846" spans="1:2" x14ac:dyDescent="0.25">
      <c r="A4846" t="s">
        <v>2120</v>
      </c>
      <c r="B4846" t="s">
        <v>3294</v>
      </c>
    </row>
    <row r="4847" spans="1:2" x14ac:dyDescent="0.25">
      <c r="A4847" t="s">
        <v>2122</v>
      </c>
      <c r="B4847" t="s">
        <v>3295</v>
      </c>
    </row>
    <row r="4848" spans="1:2" x14ac:dyDescent="0.25">
      <c r="A4848" t="s">
        <v>2263</v>
      </c>
      <c r="B4848" t="s">
        <v>3296</v>
      </c>
    </row>
    <row r="4849" spans="1:2" x14ac:dyDescent="0.25">
      <c r="A4849" t="s">
        <v>3298</v>
      </c>
      <c r="B4849" t="s">
        <v>3299</v>
      </c>
    </row>
    <row r="4850" spans="1:2" x14ac:dyDescent="0.25">
      <c r="A4850" t="s">
        <v>3300</v>
      </c>
      <c r="B4850" t="s">
        <v>3301</v>
      </c>
    </row>
    <row r="4851" spans="1:2" x14ac:dyDescent="0.25">
      <c r="A4851" t="s">
        <v>3302</v>
      </c>
      <c r="B4851" t="s">
        <v>3303</v>
      </c>
    </row>
    <row r="4852" spans="1:2" x14ac:dyDescent="0.25">
      <c r="A4852" t="s">
        <v>3304</v>
      </c>
      <c r="B4852" t="s">
        <v>3305</v>
      </c>
    </row>
    <row r="4853" spans="1:2" x14ac:dyDescent="0.25">
      <c r="A4853" t="s">
        <v>3306</v>
      </c>
      <c r="B4853" t="s">
        <v>3307</v>
      </c>
    </row>
    <row r="4854" spans="1:2" x14ac:dyDescent="0.25">
      <c r="A4854" t="s">
        <v>3308</v>
      </c>
      <c r="B4854" t="s">
        <v>3309</v>
      </c>
    </row>
    <row r="4855" spans="1:2" x14ac:dyDescent="0.25">
      <c r="A4855" t="s">
        <v>3310</v>
      </c>
      <c r="B4855" t="s">
        <v>3311</v>
      </c>
    </row>
    <row r="4856" spans="1:2" x14ac:dyDescent="0.25">
      <c r="A4856" t="s">
        <v>3312</v>
      </c>
      <c r="B4856" t="s">
        <v>3313</v>
      </c>
    </row>
    <row r="4857" spans="1:2" x14ac:dyDescent="0.25">
      <c r="A4857" t="s">
        <v>3314</v>
      </c>
      <c r="B4857" t="s">
        <v>3315</v>
      </c>
    </row>
    <row r="4858" spans="1:2" x14ac:dyDescent="0.25">
      <c r="A4858" t="s">
        <v>3316</v>
      </c>
      <c r="B4858" t="s">
        <v>3317</v>
      </c>
    </row>
    <row r="4859" spans="1:2" x14ac:dyDescent="0.25">
      <c r="A4859" t="s">
        <v>3318</v>
      </c>
      <c r="B4859" t="s">
        <v>3319</v>
      </c>
    </row>
    <row r="4860" spans="1:2" x14ac:dyDescent="0.25">
      <c r="A4860" t="s">
        <v>3320</v>
      </c>
      <c r="B4860" t="s">
        <v>3321</v>
      </c>
    </row>
    <row r="4861" spans="1:2" x14ac:dyDescent="0.25">
      <c r="A4861" t="s">
        <v>3322</v>
      </c>
      <c r="B4861" t="s">
        <v>3323</v>
      </c>
    </row>
    <row r="4862" spans="1:2" x14ac:dyDescent="0.25">
      <c r="A4862" t="s">
        <v>3324</v>
      </c>
      <c r="B4862" t="s">
        <v>3325</v>
      </c>
    </row>
    <row r="4863" spans="1:2" x14ac:dyDescent="0.25">
      <c r="A4863" t="s">
        <v>3326</v>
      </c>
      <c r="B4863" t="s">
        <v>3327</v>
      </c>
    </row>
    <row r="4864" spans="1:2" x14ac:dyDescent="0.25">
      <c r="A4864" t="s">
        <v>3328</v>
      </c>
      <c r="B4864" t="s">
        <v>3329</v>
      </c>
    </row>
    <row r="4865" spans="1:2" x14ac:dyDescent="0.25">
      <c r="A4865" t="s">
        <v>3330</v>
      </c>
      <c r="B4865" t="s">
        <v>3331</v>
      </c>
    </row>
    <row r="4866" spans="1:2" x14ac:dyDescent="0.25">
      <c r="A4866" t="s">
        <v>3332</v>
      </c>
      <c r="B4866" t="s">
        <v>3333</v>
      </c>
    </row>
    <row r="4867" spans="1:2" x14ac:dyDescent="0.25">
      <c r="A4867" t="s">
        <v>3334</v>
      </c>
      <c r="B4867" t="s">
        <v>3335</v>
      </c>
    </row>
    <row r="4868" spans="1:2" x14ac:dyDescent="0.25">
      <c r="A4868" t="s">
        <v>3336</v>
      </c>
      <c r="B4868" t="s">
        <v>3337</v>
      </c>
    </row>
    <row r="4869" spans="1:2" x14ac:dyDescent="0.25">
      <c r="A4869" t="s">
        <v>3338</v>
      </c>
      <c r="B4869" t="s">
        <v>3339</v>
      </c>
    </row>
    <row r="4870" spans="1:2" x14ac:dyDescent="0.25">
      <c r="A4870" t="s">
        <v>3340</v>
      </c>
      <c r="B4870" t="s">
        <v>3341</v>
      </c>
    </row>
    <row r="4871" spans="1:2" x14ac:dyDescent="0.25">
      <c r="A4871" t="s">
        <v>3342</v>
      </c>
      <c r="B4871" t="s">
        <v>3343</v>
      </c>
    </row>
    <row r="4872" spans="1:2" x14ac:dyDescent="0.25">
      <c r="A4872" t="s">
        <v>3344</v>
      </c>
      <c r="B4872" t="s">
        <v>3345</v>
      </c>
    </row>
    <row r="4873" spans="1:2" x14ac:dyDescent="0.25">
      <c r="A4873" t="s">
        <v>3346</v>
      </c>
      <c r="B4873" t="s">
        <v>3347</v>
      </c>
    </row>
    <row r="4874" spans="1:2" x14ac:dyDescent="0.25">
      <c r="A4874" t="s">
        <v>3348</v>
      </c>
      <c r="B4874" t="s">
        <v>3349</v>
      </c>
    </row>
    <row r="4875" spans="1:2" x14ac:dyDescent="0.25">
      <c r="A4875" t="s">
        <v>3350</v>
      </c>
      <c r="B4875" t="s">
        <v>3351</v>
      </c>
    </row>
    <row r="4876" spans="1:2" x14ac:dyDescent="0.25">
      <c r="A4876" t="s">
        <v>3353</v>
      </c>
      <c r="B4876" t="s">
        <v>3354</v>
      </c>
    </row>
    <row r="4877" spans="1:2" x14ac:dyDescent="0.25">
      <c r="A4877" t="s">
        <v>3355</v>
      </c>
      <c r="B4877" t="s">
        <v>3356</v>
      </c>
    </row>
    <row r="4878" spans="1:2" x14ac:dyDescent="0.25">
      <c r="A4878" t="s">
        <v>3357</v>
      </c>
      <c r="B4878" t="s">
        <v>3358</v>
      </c>
    </row>
    <row r="4879" spans="1:2" x14ac:dyDescent="0.25">
      <c r="A4879" t="s">
        <v>3359</v>
      </c>
      <c r="B4879" t="s">
        <v>3360</v>
      </c>
    </row>
    <row r="4880" spans="1:2" x14ac:dyDescent="0.25">
      <c r="A4880" t="s">
        <v>3361</v>
      </c>
      <c r="B4880" t="s">
        <v>3362</v>
      </c>
    </row>
    <row r="4881" spans="1:2" x14ac:dyDescent="0.25">
      <c r="A4881" t="s">
        <v>3363</v>
      </c>
      <c r="B4881" t="s">
        <v>3364</v>
      </c>
    </row>
    <row r="4882" spans="1:2" x14ac:dyDescent="0.25">
      <c r="A4882" t="s">
        <v>3365</v>
      </c>
      <c r="B4882" t="s">
        <v>3366</v>
      </c>
    </row>
    <row r="4883" spans="1:2" x14ac:dyDescent="0.25">
      <c r="A4883" t="s">
        <v>3367</v>
      </c>
      <c r="B4883" t="s">
        <v>3368</v>
      </c>
    </row>
    <row r="4884" spans="1:2" x14ac:dyDescent="0.25">
      <c r="A4884" t="s">
        <v>3369</v>
      </c>
      <c r="B4884" t="s">
        <v>3370</v>
      </c>
    </row>
    <row r="4885" spans="1:2" x14ac:dyDescent="0.25">
      <c r="A4885" t="s">
        <v>3371</v>
      </c>
      <c r="B4885" t="s">
        <v>3372</v>
      </c>
    </row>
    <row r="4886" spans="1:2" x14ac:dyDescent="0.25">
      <c r="A4886" t="s">
        <v>3373</v>
      </c>
      <c r="B4886" t="s">
        <v>3374</v>
      </c>
    </row>
    <row r="4887" spans="1:2" x14ac:dyDescent="0.25">
      <c r="A4887" t="s">
        <v>3375</v>
      </c>
      <c r="B4887" t="s">
        <v>3376</v>
      </c>
    </row>
    <row r="4888" spans="1:2" x14ac:dyDescent="0.25">
      <c r="A4888" t="s">
        <v>3377</v>
      </c>
      <c r="B4888" t="s">
        <v>3378</v>
      </c>
    </row>
    <row r="4889" spans="1:2" x14ac:dyDescent="0.25">
      <c r="A4889" t="s">
        <v>3379</v>
      </c>
      <c r="B4889" t="s">
        <v>3380</v>
      </c>
    </row>
    <row r="4890" spans="1:2" x14ac:dyDescent="0.25">
      <c r="A4890" t="s">
        <v>3381</v>
      </c>
      <c r="B4890" t="s">
        <v>3382</v>
      </c>
    </row>
    <row r="4891" spans="1:2" x14ac:dyDescent="0.25">
      <c r="A4891" t="s">
        <v>3383</v>
      </c>
      <c r="B4891" t="s">
        <v>3384</v>
      </c>
    </row>
    <row r="4892" spans="1:2" x14ac:dyDescent="0.25">
      <c r="A4892" t="s">
        <v>3385</v>
      </c>
      <c r="B4892" t="s">
        <v>3386</v>
      </c>
    </row>
    <row r="4893" spans="1:2" x14ac:dyDescent="0.25">
      <c r="A4893" t="s">
        <v>3387</v>
      </c>
      <c r="B4893" t="s">
        <v>3388</v>
      </c>
    </row>
    <row r="4894" spans="1:2" x14ac:dyDescent="0.25">
      <c r="A4894" t="s">
        <v>3389</v>
      </c>
      <c r="B4894" t="s">
        <v>3390</v>
      </c>
    </row>
    <row r="4895" spans="1:2" x14ac:dyDescent="0.25">
      <c r="A4895" t="s">
        <v>3391</v>
      </c>
      <c r="B4895" t="s">
        <v>3392</v>
      </c>
    </row>
    <row r="4896" spans="1:2" x14ac:dyDescent="0.25">
      <c r="A4896" t="s">
        <v>3393</v>
      </c>
      <c r="B4896" t="s">
        <v>3394</v>
      </c>
    </row>
    <row r="4897" spans="1:2" x14ac:dyDescent="0.25">
      <c r="A4897" t="s">
        <v>3395</v>
      </c>
      <c r="B4897" t="s">
        <v>3396</v>
      </c>
    </row>
    <row r="4898" spans="1:2" x14ac:dyDescent="0.25">
      <c r="A4898" t="s">
        <v>3397</v>
      </c>
      <c r="B4898" t="s">
        <v>3398</v>
      </c>
    </row>
    <row r="4899" spans="1:2" x14ac:dyDescent="0.25">
      <c r="A4899" t="s">
        <v>3399</v>
      </c>
      <c r="B4899" t="s">
        <v>3400</v>
      </c>
    </row>
    <row r="4900" spans="1:2" x14ac:dyDescent="0.25">
      <c r="A4900" t="s">
        <v>3401</v>
      </c>
      <c r="B4900" t="s">
        <v>3402</v>
      </c>
    </row>
    <row r="4901" spans="1:2" x14ac:dyDescent="0.25">
      <c r="A4901" t="s">
        <v>3403</v>
      </c>
      <c r="B4901" t="s">
        <v>3404</v>
      </c>
    </row>
    <row r="4902" spans="1:2" x14ac:dyDescent="0.25">
      <c r="A4902" t="s">
        <v>3405</v>
      </c>
      <c r="B4902" t="s">
        <v>3406</v>
      </c>
    </row>
    <row r="4903" spans="1:2" x14ac:dyDescent="0.25">
      <c r="A4903" t="s">
        <v>3408</v>
      </c>
      <c r="B4903" t="s">
        <v>3409</v>
      </c>
    </row>
    <row r="4904" spans="1:2" x14ac:dyDescent="0.25">
      <c r="A4904" t="s">
        <v>3410</v>
      </c>
      <c r="B4904" t="s">
        <v>3411</v>
      </c>
    </row>
    <row r="4905" spans="1:2" x14ac:dyDescent="0.25">
      <c r="A4905" t="s">
        <v>3412</v>
      </c>
      <c r="B4905" t="s">
        <v>3413</v>
      </c>
    </row>
    <row r="4906" spans="1:2" x14ac:dyDescent="0.25">
      <c r="A4906" t="s">
        <v>3414</v>
      </c>
      <c r="B4906" t="s">
        <v>3415</v>
      </c>
    </row>
    <row r="4907" spans="1:2" x14ac:dyDescent="0.25">
      <c r="A4907" t="s">
        <v>3416</v>
      </c>
      <c r="B4907" t="s">
        <v>3417</v>
      </c>
    </row>
    <row r="4908" spans="1:2" x14ac:dyDescent="0.25">
      <c r="A4908" t="s">
        <v>3418</v>
      </c>
      <c r="B4908" t="s">
        <v>3419</v>
      </c>
    </row>
    <row r="4909" spans="1:2" x14ac:dyDescent="0.25">
      <c r="A4909" t="s">
        <v>3420</v>
      </c>
      <c r="B4909" t="s">
        <v>3421</v>
      </c>
    </row>
    <row r="4910" spans="1:2" x14ac:dyDescent="0.25">
      <c r="A4910" t="s">
        <v>3422</v>
      </c>
      <c r="B4910" t="s">
        <v>3423</v>
      </c>
    </row>
    <row r="4911" spans="1:2" x14ac:dyDescent="0.25">
      <c r="A4911" t="s">
        <v>3424</v>
      </c>
      <c r="B4911" t="s">
        <v>3425</v>
      </c>
    </row>
    <row r="4912" spans="1:2" x14ac:dyDescent="0.25">
      <c r="A4912" t="s">
        <v>3426</v>
      </c>
      <c r="B4912" t="s">
        <v>3427</v>
      </c>
    </row>
    <row r="4913" spans="1:2" x14ac:dyDescent="0.25">
      <c r="A4913" t="s">
        <v>3428</v>
      </c>
      <c r="B4913" t="s">
        <v>3429</v>
      </c>
    </row>
    <row r="4914" spans="1:2" x14ac:dyDescent="0.25">
      <c r="A4914" t="s">
        <v>3430</v>
      </c>
      <c r="B4914" t="s">
        <v>3431</v>
      </c>
    </row>
    <row r="4915" spans="1:2" x14ac:dyDescent="0.25">
      <c r="A4915" t="s">
        <v>3432</v>
      </c>
      <c r="B4915" t="s">
        <v>3433</v>
      </c>
    </row>
    <row r="4916" spans="1:2" x14ac:dyDescent="0.25">
      <c r="A4916" t="s">
        <v>3434</v>
      </c>
      <c r="B4916" t="s">
        <v>3435</v>
      </c>
    </row>
    <row r="4917" spans="1:2" x14ac:dyDescent="0.25">
      <c r="A4917" t="s">
        <v>3436</v>
      </c>
      <c r="B4917" t="s">
        <v>3437</v>
      </c>
    </row>
    <row r="4918" spans="1:2" x14ac:dyDescent="0.25">
      <c r="A4918" t="s">
        <v>3438</v>
      </c>
      <c r="B4918" t="s">
        <v>3439</v>
      </c>
    </row>
    <row r="4919" spans="1:2" x14ac:dyDescent="0.25">
      <c r="A4919" t="s">
        <v>3440</v>
      </c>
      <c r="B4919" t="s">
        <v>3441</v>
      </c>
    </row>
    <row r="4920" spans="1:2" x14ac:dyDescent="0.25">
      <c r="A4920" t="s">
        <v>3442</v>
      </c>
      <c r="B4920" t="s">
        <v>3443</v>
      </c>
    </row>
    <row r="4921" spans="1:2" x14ac:dyDescent="0.25">
      <c r="A4921" t="s">
        <v>3444</v>
      </c>
      <c r="B4921" t="s">
        <v>3445</v>
      </c>
    </row>
    <row r="4922" spans="1:2" x14ac:dyDescent="0.25">
      <c r="A4922" t="s">
        <v>3446</v>
      </c>
      <c r="B4922" t="s">
        <v>3447</v>
      </c>
    </row>
    <row r="4923" spans="1:2" x14ac:dyDescent="0.25">
      <c r="A4923" t="s">
        <v>3448</v>
      </c>
      <c r="B4923" t="s">
        <v>3449</v>
      </c>
    </row>
    <row r="4924" spans="1:2" x14ac:dyDescent="0.25">
      <c r="A4924" t="s">
        <v>3450</v>
      </c>
      <c r="B4924" t="s">
        <v>3451</v>
      </c>
    </row>
    <row r="4925" spans="1:2" x14ac:dyDescent="0.25">
      <c r="A4925" t="s">
        <v>3452</v>
      </c>
      <c r="B4925" t="s">
        <v>3453</v>
      </c>
    </row>
    <row r="4926" spans="1:2" x14ac:dyDescent="0.25">
      <c r="A4926" t="s">
        <v>3454</v>
      </c>
      <c r="B4926" t="s">
        <v>3455</v>
      </c>
    </row>
    <row r="4927" spans="1:2" x14ac:dyDescent="0.25">
      <c r="A4927" t="s">
        <v>3456</v>
      </c>
      <c r="B4927" t="s">
        <v>3457</v>
      </c>
    </row>
    <row r="4928" spans="1:2" x14ac:dyDescent="0.25">
      <c r="A4928" t="s">
        <v>3458</v>
      </c>
      <c r="B4928" t="s">
        <v>3459</v>
      </c>
    </row>
    <row r="4929" spans="1:2" x14ac:dyDescent="0.25">
      <c r="A4929" t="s">
        <v>3460</v>
      </c>
      <c r="B4929" t="s">
        <v>3461</v>
      </c>
    </row>
    <row r="4930" spans="1:2" x14ac:dyDescent="0.25">
      <c r="A4930" t="s">
        <v>3463</v>
      </c>
      <c r="B4930" t="s">
        <v>3464</v>
      </c>
    </row>
    <row r="4931" spans="1:2" x14ac:dyDescent="0.25">
      <c r="A4931" t="s">
        <v>3465</v>
      </c>
      <c r="B4931" t="s">
        <v>3466</v>
      </c>
    </row>
    <row r="4932" spans="1:2" x14ac:dyDescent="0.25">
      <c r="A4932" t="s">
        <v>3467</v>
      </c>
      <c r="B4932" t="s">
        <v>3468</v>
      </c>
    </row>
    <row r="4933" spans="1:2" x14ac:dyDescent="0.25">
      <c r="A4933" t="s">
        <v>3469</v>
      </c>
      <c r="B4933" t="s">
        <v>3470</v>
      </c>
    </row>
    <row r="4934" spans="1:2" x14ac:dyDescent="0.25">
      <c r="A4934" t="s">
        <v>3471</v>
      </c>
      <c r="B4934" t="s">
        <v>3472</v>
      </c>
    </row>
    <row r="4935" spans="1:2" x14ac:dyDescent="0.25">
      <c r="A4935" t="s">
        <v>3473</v>
      </c>
      <c r="B4935" t="s">
        <v>3474</v>
      </c>
    </row>
    <row r="4936" spans="1:2" x14ac:dyDescent="0.25">
      <c r="A4936" t="s">
        <v>3475</v>
      </c>
      <c r="B4936" t="s">
        <v>3476</v>
      </c>
    </row>
    <row r="4937" spans="1:2" x14ac:dyDescent="0.25">
      <c r="A4937" t="s">
        <v>3477</v>
      </c>
      <c r="B4937" t="s">
        <v>3478</v>
      </c>
    </row>
    <row r="4938" spans="1:2" x14ac:dyDescent="0.25">
      <c r="A4938" t="s">
        <v>3479</v>
      </c>
      <c r="B4938" t="s">
        <v>3480</v>
      </c>
    </row>
    <row r="4939" spans="1:2" x14ac:dyDescent="0.25">
      <c r="A4939" t="s">
        <v>3481</v>
      </c>
      <c r="B4939" t="s">
        <v>3482</v>
      </c>
    </row>
    <row r="4940" spans="1:2" x14ac:dyDescent="0.25">
      <c r="A4940" t="s">
        <v>3483</v>
      </c>
      <c r="B4940" t="s">
        <v>3484</v>
      </c>
    </row>
    <row r="4941" spans="1:2" x14ac:dyDescent="0.25">
      <c r="A4941" t="s">
        <v>3485</v>
      </c>
      <c r="B4941" t="s">
        <v>3486</v>
      </c>
    </row>
    <row r="4942" spans="1:2" x14ac:dyDescent="0.25">
      <c r="A4942" t="s">
        <v>3487</v>
      </c>
      <c r="B4942" t="s">
        <v>3488</v>
      </c>
    </row>
    <row r="4943" spans="1:2" x14ac:dyDescent="0.25">
      <c r="A4943" t="s">
        <v>3489</v>
      </c>
      <c r="B4943" t="s">
        <v>3490</v>
      </c>
    </row>
    <row r="4944" spans="1:2" x14ac:dyDescent="0.25">
      <c r="A4944" t="s">
        <v>3491</v>
      </c>
      <c r="B4944" t="s">
        <v>3492</v>
      </c>
    </row>
    <row r="4945" spans="1:2" x14ac:dyDescent="0.25">
      <c r="A4945" t="s">
        <v>3493</v>
      </c>
      <c r="B4945" t="s">
        <v>3494</v>
      </c>
    </row>
    <row r="4946" spans="1:2" x14ac:dyDescent="0.25">
      <c r="A4946" t="s">
        <v>3495</v>
      </c>
      <c r="B4946" t="s">
        <v>3496</v>
      </c>
    </row>
    <row r="4947" spans="1:2" x14ac:dyDescent="0.25">
      <c r="A4947" t="s">
        <v>3497</v>
      </c>
      <c r="B4947" t="s">
        <v>3498</v>
      </c>
    </row>
    <row r="4948" spans="1:2" x14ac:dyDescent="0.25">
      <c r="A4948" t="s">
        <v>3499</v>
      </c>
      <c r="B4948" t="s">
        <v>3500</v>
      </c>
    </row>
    <row r="4949" spans="1:2" x14ac:dyDescent="0.25">
      <c r="A4949" t="s">
        <v>3501</v>
      </c>
      <c r="B4949" t="s">
        <v>3502</v>
      </c>
    </row>
    <row r="4950" spans="1:2" x14ac:dyDescent="0.25">
      <c r="A4950" t="s">
        <v>3503</v>
      </c>
      <c r="B4950" t="s">
        <v>3504</v>
      </c>
    </row>
    <row r="4951" spans="1:2" x14ac:dyDescent="0.25">
      <c r="A4951" t="s">
        <v>3505</v>
      </c>
      <c r="B4951" t="s">
        <v>3506</v>
      </c>
    </row>
    <row r="4952" spans="1:2" x14ac:dyDescent="0.25">
      <c r="A4952" t="s">
        <v>3507</v>
      </c>
      <c r="B4952" t="s">
        <v>3508</v>
      </c>
    </row>
    <row r="4953" spans="1:2" x14ac:dyDescent="0.25">
      <c r="A4953" t="s">
        <v>3509</v>
      </c>
      <c r="B4953" t="s">
        <v>3510</v>
      </c>
    </row>
    <row r="4954" spans="1:2" x14ac:dyDescent="0.25">
      <c r="A4954" t="s">
        <v>3511</v>
      </c>
      <c r="B4954" t="s">
        <v>3512</v>
      </c>
    </row>
    <row r="4955" spans="1:2" x14ac:dyDescent="0.25">
      <c r="A4955" t="s">
        <v>3513</v>
      </c>
      <c r="B4955" t="s">
        <v>3514</v>
      </c>
    </row>
    <row r="4956" spans="1:2" x14ac:dyDescent="0.25">
      <c r="A4956" t="s">
        <v>3515</v>
      </c>
      <c r="B4956" t="s">
        <v>3516</v>
      </c>
    </row>
    <row r="4957" spans="1:2" x14ac:dyDescent="0.25">
      <c r="A4957" t="s">
        <v>3518</v>
      </c>
      <c r="B4957" t="s">
        <v>3519</v>
      </c>
    </row>
    <row r="4958" spans="1:2" x14ac:dyDescent="0.25">
      <c r="A4958" t="s">
        <v>3520</v>
      </c>
      <c r="B4958" t="s">
        <v>3521</v>
      </c>
    </row>
    <row r="4959" spans="1:2" x14ac:dyDescent="0.25">
      <c r="A4959" t="s">
        <v>3522</v>
      </c>
      <c r="B4959" t="s">
        <v>3523</v>
      </c>
    </row>
    <row r="4960" spans="1:2" x14ac:dyDescent="0.25">
      <c r="A4960" t="s">
        <v>3524</v>
      </c>
      <c r="B4960" t="s">
        <v>3525</v>
      </c>
    </row>
    <row r="4961" spans="1:2" x14ac:dyDescent="0.25">
      <c r="A4961" t="s">
        <v>3526</v>
      </c>
      <c r="B4961" t="s">
        <v>3527</v>
      </c>
    </row>
    <row r="4962" spans="1:2" x14ac:dyDescent="0.25">
      <c r="A4962" t="s">
        <v>3528</v>
      </c>
      <c r="B4962" t="s">
        <v>3529</v>
      </c>
    </row>
    <row r="4963" spans="1:2" x14ac:dyDescent="0.25">
      <c r="A4963" t="s">
        <v>3530</v>
      </c>
      <c r="B4963" t="s">
        <v>3531</v>
      </c>
    </row>
    <row r="4964" spans="1:2" x14ac:dyDescent="0.25">
      <c r="A4964" t="s">
        <v>3532</v>
      </c>
      <c r="B4964" t="s">
        <v>3533</v>
      </c>
    </row>
    <row r="4965" spans="1:2" x14ac:dyDescent="0.25">
      <c r="A4965" t="s">
        <v>3534</v>
      </c>
      <c r="B4965" t="s">
        <v>3535</v>
      </c>
    </row>
    <row r="4966" spans="1:2" x14ac:dyDescent="0.25">
      <c r="A4966" t="s">
        <v>3536</v>
      </c>
      <c r="B4966" t="s">
        <v>3537</v>
      </c>
    </row>
    <row r="4967" spans="1:2" x14ac:dyDescent="0.25">
      <c r="A4967" t="s">
        <v>3538</v>
      </c>
      <c r="B4967" t="s">
        <v>3539</v>
      </c>
    </row>
    <row r="4968" spans="1:2" x14ac:dyDescent="0.25">
      <c r="A4968" t="s">
        <v>3540</v>
      </c>
      <c r="B4968" t="s">
        <v>3541</v>
      </c>
    </row>
    <row r="4969" spans="1:2" x14ac:dyDescent="0.25">
      <c r="A4969" t="s">
        <v>3542</v>
      </c>
      <c r="B4969" t="s">
        <v>3543</v>
      </c>
    </row>
    <row r="4970" spans="1:2" x14ac:dyDescent="0.25">
      <c r="A4970" t="s">
        <v>3544</v>
      </c>
      <c r="B4970" t="s">
        <v>3545</v>
      </c>
    </row>
    <row r="4971" spans="1:2" x14ac:dyDescent="0.25">
      <c r="A4971" t="s">
        <v>3546</v>
      </c>
      <c r="B4971" t="s">
        <v>3547</v>
      </c>
    </row>
    <row r="4972" spans="1:2" x14ac:dyDescent="0.25">
      <c r="A4972" t="s">
        <v>3548</v>
      </c>
      <c r="B4972" t="s">
        <v>3549</v>
      </c>
    </row>
    <row r="4973" spans="1:2" x14ac:dyDescent="0.25">
      <c r="A4973" t="s">
        <v>3550</v>
      </c>
      <c r="B4973" t="s">
        <v>3551</v>
      </c>
    </row>
    <row r="4974" spans="1:2" x14ac:dyDescent="0.25">
      <c r="A4974" t="s">
        <v>3552</v>
      </c>
      <c r="B4974" t="s">
        <v>3553</v>
      </c>
    </row>
    <row r="4975" spans="1:2" x14ac:dyDescent="0.25">
      <c r="A4975" t="s">
        <v>3554</v>
      </c>
      <c r="B4975" t="s">
        <v>3555</v>
      </c>
    </row>
    <row r="4976" spans="1:2" x14ac:dyDescent="0.25">
      <c r="A4976" t="s">
        <v>3556</v>
      </c>
      <c r="B4976" t="s">
        <v>3557</v>
      </c>
    </row>
    <row r="4977" spans="1:2" x14ac:dyDescent="0.25">
      <c r="A4977" t="s">
        <v>3558</v>
      </c>
      <c r="B4977" t="s">
        <v>3559</v>
      </c>
    </row>
    <row r="4978" spans="1:2" x14ac:dyDescent="0.25">
      <c r="A4978" t="s">
        <v>3560</v>
      </c>
      <c r="B4978" t="s">
        <v>3561</v>
      </c>
    </row>
    <row r="4979" spans="1:2" x14ac:dyDescent="0.25">
      <c r="A4979" t="s">
        <v>3562</v>
      </c>
      <c r="B4979" t="s">
        <v>3563</v>
      </c>
    </row>
    <row r="4980" spans="1:2" x14ac:dyDescent="0.25">
      <c r="A4980" t="s">
        <v>3564</v>
      </c>
      <c r="B4980" t="s">
        <v>3565</v>
      </c>
    </row>
    <row r="4981" spans="1:2" x14ac:dyDescent="0.25">
      <c r="A4981" t="s">
        <v>3566</v>
      </c>
      <c r="B4981" t="s">
        <v>3567</v>
      </c>
    </row>
    <row r="4982" spans="1:2" x14ac:dyDescent="0.25">
      <c r="A4982" t="s">
        <v>3568</v>
      </c>
      <c r="B4982" t="s">
        <v>3569</v>
      </c>
    </row>
    <row r="4983" spans="1:2" x14ac:dyDescent="0.25">
      <c r="A4983" t="s">
        <v>3570</v>
      </c>
      <c r="B4983" t="s">
        <v>3571</v>
      </c>
    </row>
    <row r="4984" spans="1:2" x14ac:dyDescent="0.25">
      <c r="A4984" t="s">
        <v>3572</v>
      </c>
      <c r="B4984" t="s">
        <v>3573</v>
      </c>
    </row>
    <row r="4985" spans="1:2" x14ac:dyDescent="0.25">
      <c r="A4985" t="s">
        <v>3574</v>
      </c>
      <c r="B4985" t="s">
        <v>3575</v>
      </c>
    </row>
    <row r="4986" spans="1:2" x14ac:dyDescent="0.25">
      <c r="A4986" t="s">
        <v>3576</v>
      </c>
      <c r="B4986" t="s">
        <v>3577</v>
      </c>
    </row>
    <row r="4987" spans="1:2" x14ac:dyDescent="0.25">
      <c r="A4987" t="s">
        <v>3578</v>
      </c>
      <c r="B4987" t="s">
        <v>3579</v>
      </c>
    </row>
    <row r="4988" spans="1:2" x14ac:dyDescent="0.25">
      <c r="A4988" t="s">
        <v>3580</v>
      </c>
      <c r="B4988" t="s">
        <v>3581</v>
      </c>
    </row>
    <row r="4989" spans="1:2" x14ac:dyDescent="0.25">
      <c r="A4989" t="s">
        <v>3582</v>
      </c>
      <c r="B4989" t="s">
        <v>3583</v>
      </c>
    </row>
    <row r="4990" spans="1:2" x14ac:dyDescent="0.25">
      <c r="A4990" t="s">
        <v>3584</v>
      </c>
      <c r="B4990" t="s">
        <v>3585</v>
      </c>
    </row>
    <row r="4991" spans="1:2" x14ac:dyDescent="0.25">
      <c r="A4991" t="s">
        <v>3586</v>
      </c>
      <c r="B4991" t="s">
        <v>3587</v>
      </c>
    </row>
    <row r="4992" spans="1:2" x14ac:dyDescent="0.25">
      <c r="A4992" t="s">
        <v>3588</v>
      </c>
      <c r="B4992" t="s">
        <v>3589</v>
      </c>
    </row>
    <row r="4993" spans="1:2" x14ac:dyDescent="0.25">
      <c r="A4993" t="s">
        <v>3590</v>
      </c>
      <c r="B4993" t="s">
        <v>3591</v>
      </c>
    </row>
    <row r="4994" spans="1:2" x14ac:dyDescent="0.25">
      <c r="A4994" t="s">
        <v>3592</v>
      </c>
      <c r="B4994" t="s">
        <v>3593</v>
      </c>
    </row>
    <row r="4995" spans="1:2" x14ac:dyDescent="0.25">
      <c r="A4995" t="s">
        <v>3594</v>
      </c>
      <c r="B4995" t="s">
        <v>3595</v>
      </c>
    </row>
    <row r="4996" spans="1:2" x14ac:dyDescent="0.25">
      <c r="A4996" t="s">
        <v>3596</v>
      </c>
      <c r="B4996" t="s">
        <v>3597</v>
      </c>
    </row>
    <row r="4997" spans="1:2" x14ac:dyDescent="0.25">
      <c r="A4997" t="s">
        <v>3598</v>
      </c>
      <c r="B4997" t="s">
        <v>3599</v>
      </c>
    </row>
    <row r="4998" spans="1:2" x14ac:dyDescent="0.25">
      <c r="A4998" t="s">
        <v>3600</v>
      </c>
      <c r="B4998" t="s">
        <v>3601</v>
      </c>
    </row>
    <row r="4999" spans="1:2" x14ac:dyDescent="0.25">
      <c r="A4999" t="s">
        <v>3602</v>
      </c>
      <c r="B4999" t="s">
        <v>3603</v>
      </c>
    </row>
    <row r="5000" spans="1:2" x14ac:dyDescent="0.25">
      <c r="A5000" t="s">
        <v>3604</v>
      </c>
      <c r="B5000" t="s">
        <v>3605</v>
      </c>
    </row>
    <row r="5001" spans="1:2" x14ac:dyDescent="0.25">
      <c r="A5001" t="s">
        <v>3606</v>
      </c>
      <c r="B5001" t="s">
        <v>3607</v>
      </c>
    </row>
    <row r="5002" spans="1:2" x14ac:dyDescent="0.25">
      <c r="A5002" t="s">
        <v>3608</v>
      </c>
      <c r="B5002" t="s">
        <v>3609</v>
      </c>
    </row>
    <row r="5003" spans="1:2" x14ac:dyDescent="0.25">
      <c r="A5003" t="s">
        <v>3610</v>
      </c>
      <c r="B5003" t="s">
        <v>3611</v>
      </c>
    </row>
    <row r="5004" spans="1:2" x14ac:dyDescent="0.25">
      <c r="A5004" t="s">
        <v>3612</v>
      </c>
      <c r="B5004" t="s">
        <v>3613</v>
      </c>
    </row>
    <row r="5005" spans="1:2" x14ac:dyDescent="0.25">
      <c r="A5005" t="s">
        <v>3614</v>
      </c>
      <c r="B5005" t="s">
        <v>3615</v>
      </c>
    </row>
    <row r="5006" spans="1:2" x14ac:dyDescent="0.25">
      <c r="A5006" t="s">
        <v>3616</v>
      </c>
      <c r="B5006" t="s">
        <v>3617</v>
      </c>
    </row>
    <row r="5007" spans="1:2" x14ac:dyDescent="0.25">
      <c r="A5007" t="s">
        <v>3618</v>
      </c>
      <c r="B5007" t="s">
        <v>3619</v>
      </c>
    </row>
    <row r="5008" spans="1:2" x14ac:dyDescent="0.25">
      <c r="A5008" t="s">
        <v>3620</v>
      </c>
      <c r="B5008" t="s">
        <v>3621</v>
      </c>
    </row>
    <row r="5009" spans="1:2" x14ac:dyDescent="0.25">
      <c r="A5009" t="s">
        <v>3622</v>
      </c>
      <c r="B5009" t="s">
        <v>3623</v>
      </c>
    </row>
    <row r="5010" spans="1:2" x14ac:dyDescent="0.25">
      <c r="A5010" t="s">
        <v>3624</v>
      </c>
      <c r="B5010" t="s">
        <v>3625</v>
      </c>
    </row>
    <row r="5011" spans="1:2" x14ac:dyDescent="0.25">
      <c r="A5011" t="s">
        <v>3627</v>
      </c>
      <c r="B5011" t="s">
        <v>3628</v>
      </c>
    </row>
    <row r="5012" spans="1:2" x14ac:dyDescent="0.25">
      <c r="A5012" t="s">
        <v>3629</v>
      </c>
      <c r="B5012" t="s">
        <v>3630</v>
      </c>
    </row>
    <row r="5013" spans="1:2" x14ac:dyDescent="0.25">
      <c r="A5013" t="s">
        <v>3631</v>
      </c>
      <c r="B5013" t="s">
        <v>3632</v>
      </c>
    </row>
    <row r="5014" spans="1:2" x14ac:dyDescent="0.25">
      <c r="A5014" t="s">
        <v>3633</v>
      </c>
      <c r="B5014" t="s">
        <v>3634</v>
      </c>
    </row>
    <row r="5015" spans="1:2" x14ac:dyDescent="0.25">
      <c r="A5015" t="s">
        <v>3635</v>
      </c>
      <c r="B5015" t="s">
        <v>3636</v>
      </c>
    </row>
    <row r="5016" spans="1:2" x14ac:dyDescent="0.25">
      <c r="A5016" t="s">
        <v>3637</v>
      </c>
      <c r="B5016" t="s">
        <v>3638</v>
      </c>
    </row>
    <row r="5017" spans="1:2" x14ac:dyDescent="0.25">
      <c r="A5017" t="s">
        <v>3639</v>
      </c>
      <c r="B5017" t="s">
        <v>3640</v>
      </c>
    </row>
    <row r="5018" spans="1:2" x14ac:dyDescent="0.25">
      <c r="A5018" t="s">
        <v>3641</v>
      </c>
      <c r="B5018" t="s">
        <v>3642</v>
      </c>
    </row>
    <row r="5019" spans="1:2" x14ac:dyDescent="0.25">
      <c r="A5019" t="s">
        <v>3643</v>
      </c>
      <c r="B5019" t="s">
        <v>3644</v>
      </c>
    </row>
    <row r="5020" spans="1:2" x14ac:dyDescent="0.25">
      <c r="A5020" t="s">
        <v>3645</v>
      </c>
      <c r="B5020" t="s">
        <v>3646</v>
      </c>
    </row>
    <row r="5021" spans="1:2" x14ac:dyDescent="0.25">
      <c r="A5021" t="s">
        <v>3647</v>
      </c>
      <c r="B5021" t="s">
        <v>3648</v>
      </c>
    </row>
    <row r="5022" spans="1:2" x14ac:dyDescent="0.25">
      <c r="A5022" t="s">
        <v>3649</v>
      </c>
      <c r="B5022" t="s">
        <v>3650</v>
      </c>
    </row>
    <row r="5023" spans="1:2" x14ac:dyDescent="0.25">
      <c r="A5023" t="s">
        <v>3651</v>
      </c>
      <c r="B5023" t="s">
        <v>3652</v>
      </c>
    </row>
    <row r="5024" spans="1:2" x14ac:dyDescent="0.25">
      <c r="A5024" t="s">
        <v>3653</v>
      </c>
      <c r="B5024" t="s">
        <v>3654</v>
      </c>
    </row>
    <row r="5025" spans="1:2" x14ac:dyDescent="0.25">
      <c r="A5025" t="s">
        <v>3655</v>
      </c>
      <c r="B5025" t="s">
        <v>3656</v>
      </c>
    </row>
    <row r="5026" spans="1:2" x14ac:dyDescent="0.25">
      <c r="A5026" t="s">
        <v>3657</v>
      </c>
      <c r="B5026" t="s">
        <v>3658</v>
      </c>
    </row>
    <row r="5027" spans="1:2" x14ac:dyDescent="0.25">
      <c r="A5027" t="s">
        <v>3659</v>
      </c>
      <c r="B5027" t="s">
        <v>3660</v>
      </c>
    </row>
    <row r="5028" spans="1:2" x14ac:dyDescent="0.25">
      <c r="A5028" t="s">
        <v>3661</v>
      </c>
      <c r="B5028" t="s">
        <v>3662</v>
      </c>
    </row>
    <row r="5029" spans="1:2" x14ac:dyDescent="0.25">
      <c r="A5029" t="s">
        <v>3663</v>
      </c>
      <c r="B5029" t="s">
        <v>3664</v>
      </c>
    </row>
    <row r="5030" spans="1:2" x14ac:dyDescent="0.25">
      <c r="A5030" t="s">
        <v>3665</v>
      </c>
      <c r="B5030" t="s">
        <v>3666</v>
      </c>
    </row>
    <row r="5031" spans="1:2" x14ac:dyDescent="0.25">
      <c r="A5031" t="s">
        <v>3667</v>
      </c>
      <c r="B5031" t="s">
        <v>3668</v>
      </c>
    </row>
    <row r="5032" spans="1:2" x14ac:dyDescent="0.25">
      <c r="A5032" t="s">
        <v>3669</v>
      </c>
      <c r="B5032" t="s">
        <v>3670</v>
      </c>
    </row>
    <row r="5033" spans="1:2" x14ac:dyDescent="0.25">
      <c r="A5033" t="s">
        <v>3671</v>
      </c>
      <c r="B5033" t="s">
        <v>3672</v>
      </c>
    </row>
    <row r="5034" spans="1:2" x14ac:dyDescent="0.25">
      <c r="A5034" t="s">
        <v>3673</v>
      </c>
      <c r="B5034" t="s">
        <v>3674</v>
      </c>
    </row>
    <row r="5035" spans="1:2" x14ac:dyDescent="0.25">
      <c r="A5035" t="s">
        <v>3675</v>
      </c>
      <c r="B5035" t="s">
        <v>3676</v>
      </c>
    </row>
    <row r="5036" spans="1:2" x14ac:dyDescent="0.25">
      <c r="A5036" t="s">
        <v>3677</v>
      </c>
      <c r="B5036" t="s">
        <v>3678</v>
      </c>
    </row>
    <row r="5037" spans="1:2" x14ac:dyDescent="0.25">
      <c r="A5037" t="s">
        <v>3679</v>
      </c>
      <c r="B5037" t="s">
        <v>3680</v>
      </c>
    </row>
    <row r="5038" spans="1:2" x14ac:dyDescent="0.25">
      <c r="A5038" t="s">
        <v>3682</v>
      </c>
      <c r="B5038" t="s">
        <v>3683</v>
      </c>
    </row>
    <row r="5039" spans="1:2" x14ac:dyDescent="0.25">
      <c r="A5039" t="s">
        <v>3684</v>
      </c>
      <c r="B5039" t="s">
        <v>3685</v>
      </c>
    </row>
    <row r="5040" spans="1:2" x14ac:dyDescent="0.25">
      <c r="A5040" t="s">
        <v>3686</v>
      </c>
      <c r="B5040" t="s">
        <v>3687</v>
      </c>
    </row>
    <row r="5041" spans="1:2" x14ac:dyDescent="0.25">
      <c r="A5041" t="s">
        <v>3688</v>
      </c>
      <c r="B5041" t="s">
        <v>3689</v>
      </c>
    </row>
    <row r="5042" spans="1:2" x14ac:dyDescent="0.25">
      <c r="A5042" t="s">
        <v>3690</v>
      </c>
      <c r="B5042" t="s">
        <v>3691</v>
      </c>
    </row>
    <row r="5043" spans="1:2" x14ac:dyDescent="0.25">
      <c r="A5043" t="s">
        <v>3692</v>
      </c>
      <c r="B5043" t="s">
        <v>3693</v>
      </c>
    </row>
    <row r="5044" spans="1:2" x14ac:dyDescent="0.25">
      <c r="A5044" t="s">
        <v>3694</v>
      </c>
      <c r="B5044" t="s">
        <v>3695</v>
      </c>
    </row>
    <row r="5045" spans="1:2" x14ac:dyDescent="0.25">
      <c r="A5045" t="s">
        <v>3696</v>
      </c>
      <c r="B5045" t="s">
        <v>3697</v>
      </c>
    </row>
    <row r="5046" spans="1:2" x14ac:dyDescent="0.25">
      <c r="A5046" t="s">
        <v>3698</v>
      </c>
      <c r="B5046" t="s">
        <v>3699</v>
      </c>
    </row>
    <row r="5047" spans="1:2" x14ac:dyDescent="0.25">
      <c r="A5047" t="s">
        <v>3700</v>
      </c>
      <c r="B5047" t="s">
        <v>3701</v>
      </c>
    </row>
    <row r="5048" spans="1:2" x14ac:dyDescent="0.25">
      <c r="A5048" t="s">
        <v>3702</v>
      </c>
      <c r="B5048" t="s">
        <v>3703</v>
      </c>
    </row>
    <row r="5049" spans="1:2" x14ac:dyDescent="0.25">
      <c r="A5049" t="s">
        <v>3704</v>
      </c>
      <c r="B5049" t="s">
        <v>3705</v>
      </c>
    </row>
    <row r="5050" spans="1:2" x14ac:dyDescent="0.25">
      <c r="A5050" t="s">
        <v>3706</v>
      </c>
      <c r="B5050" t="s">
        <v>3707</v>
      </c>
    </row>
    <row r="5051" spans="1:2" x14ac:dyDescent="0.25">
      <c r="A5051" t="s">
        <v>3708</v>
      </c>
      <c r="B5051" t="s">
        <v>3709</v>
      </c>
    </row>
    <row r="5052" spans="1:2" x14ac:dyDescent="0.25">
      <c r="A5052" t="s">
        <v>3710</v>
      </c>
      <c r="B5052" t="s">
        <v>3711</v>
      </c>
    </row>
    <row r="5053" spans="1:2" x14ac:dyDescent="0.25">
      <c r="A5053" t="s">
        <v>3712</v>
      </c>
      <c r="B5053" t="s">
        <v>3713</v>
      </c>
    </row>
    <row r="5054" spans="1:2" x14ac:dyDescent="0.25">
      <c r="A5054" t="s">
        <v>3714</v>
      </c>
      <c r="B5054" t="s">
        <v>3715</v>
      </c>
    </row>
    <row r="5055" spans="1:2" x14ac:dyDescent="0.25">
      <c r="A5055" t="s">
        <v>3716</v>
      </c>
      <c r="B5055" t="s">
        <v>3717</v>
      </c>
    </row>
    <row r="5056" spans="1:2" x14ac:dyDescent="0.25">
      <c r="A5056" t="s">
        <v>3718</v>
      </c>
      <c r="B5056" t="s">
        <v>3719</v>
      </c>
    </row>
    <row r="5057" spans="1:2" x14ac:dyDescent="0.25">
      <c r="A5057" t="s">
        <v>3720</v>
      </c>
      <c r="B5057" t="s">
        <v>3721</v>
      </c>
    </row>
    <row r="5058" spans="1:2" x14ac:dyDescent="0.25">
      <c r="A5058" t="s">
        <v>3722</v>
      </c>
      <c r="B5058" t="s">
        <v>3723</v>
      </c>
    </row>
    <row r="5059" spans="1:2" x14ac:dyDescent="0.25">
      <c r="A5059" t="s">
        <v>3724</v>
      </c>
      <c r="B5059" t="s">
        <v>3725</v>
      </c>
    </row>
    <row r="5060" spans="1:2" x14ac:dyDescent="0.25">
      <c r="A5060" t="s">
        <v>3726</v>
      </c>
      <c r="B5060" t="s">
        <v>3727</v>
      </c>
    </row>
    <row r="5061" spans="1:2" x14ac:dyDescent="0.25">
      <c r="A5061" t="s">
        <v>3728</v>
      </c>
      <c r="B5061" t="s">
        <v>3729</v>
      </c>
    </row>
    <row r="5062" spans="1:2" x14ac:dyDescent="0.25">
      <c r="A5062" t="s">
        <v>3730</v>
      </c>
      <c r="B5062" t="s">
        <v>3731</v>
      </c>
    </row>
    <row r="5063" spans="1:2" x14ac:dyDescent="0.25">
      <c r="A5063" t="s">
        <v>3732</v>
      </c>
      <c r="B5063" t="s">
        <v>3733</v>
      </c>
    </row>
    <row r="5064" spans="1:2" x14ac:dyDescent="0.25">
      <c r="A5064" t="s">
        <v>3734</v>
      </c>
      <c r="B5064" t="s">
        <v>3735</v>
      </c>
    </row>
    <row r="5065" spans="1:2" x14ac:dyDescent="0.25">
      <c r="A5065" t="s">
        <v>3737</v>
      </c>
      <c r="B5065" t="s">
        <v>3738</v>
      </c>
    </row>
    <row r="5066" spans="1:2" x14ac:dyDescent="0.25">
      <c r="A5066" t="s">
        <v>3739</v>
      </c>
      <c r="B5066" t="s">
        <v>3740</v>
      </c>
    </row>
    <row r="5067" spans="1:2" x14ac:dyDescent="0.25">
      <c r="A5067" t="s">
        <v>3741</v>
      </c>
      <c r="B5067" t="s">
        <v>3742</v>
      </c>
    </row>
    <row r="5068" spans="1:2" x14ac:dyDescent="0.25">
      <c r="A5068" t="s">
        <v>3743</v>
      </c>
      <c r="B5068" t="s">
        <v>3744</v>
      </c>
    </row>
    <row r="5069" spans="1:2" x14ac:dyDescent="0.25">
      <c r="A5069" t="s">
        <v>3745</v>
      </c>
      <c r="B5069" t="s">
        <v>3746</v>
      </c>
    </row>
    <row r="5070" spans="1:2" x14ac:dyDescent="0.25">
      <c r="A5070" t="s">
        <v>3747</v>
      </c>
      <c r="B5070" t="s">
        <v>3748</v>
      </c>
    </row>
    <row r="5071" spans="1:2" x14ac:dyDescent="0.25">
      <c r="A5071" t="s">
        <v>3749</v>
      </c>
      <c r="B5071" t="s">
        <v>3750</v>
      </c>
    </row>
    <row r="5072" spans="1:2" x14ac:dyDescent="0.25">
      <c r="A5072" t="s">
        <v>3751</v>
      </c>
      <c r="B5072" t="s">
        <v>3752</v>
      </c>
    </row>
    <row r="5073" spans="1:2" x14ac:dyDescent="0.25">
      <c r="A5073" t="s">
        <v>3753</v>
      </c>
      <c r="B5073" t="s">
        <v>3754</v>
      </c>
    </row>
    <row r="5074" spans="1:2" x14ac:dyDescent="0.25">
      <c r="A5074" t="s">
        <v>3755</v>
      </c>
      <c r="B5074" t="s">
        <v>3756</v>
      </c>
    </row>
    <row r="5075" spans="1:2" x14ac:dyDescent="0.25">
      <c r="A5075" t="s">
        <v>3757</v>
      </c>
      <c r="B5075" t="s">
        <v>3758</v>
      </c>
    </row>
    <row r="5076" spans="1:2" x14ac:dyDescent="0.25">
      <c r="A5076" t="s">
        <v>3759</v>
      </c>
      <c r="B5076" t="s">
        <v>3760</v>
      </c>
    </row>
    <row r="5077" spans="1:2" x14ac:dyDescent="0.25">
      <c r="A5077" t="s">
        <v>3761</v>
      </c>
      <c r="B5077" t="s">
        <v>3762</v>
      </c>
    </row>
    <row r="5078" spans="1:2" x14ac:dyDescent="0.25">
      <c r="A5078" t="s">
        <v>3763</v>
      </c>
      <c r="B5078" t="s">
        <v>3764</v>
      </c>
    </row>
    <row r="5079" spans="1:2" x14ac:dyDescent="0.25">
      <c r="A5079" t="s">
        <v>3765</v>
      </c>
      <c r="B5079" t="s">
        <v>3766</v>
      </c>
    </row>
    <row r="5080" spans="1:2" x14ac:dyDescent="0.25">
      <c r="A5080" t="s">
        <v>3767</v>
      </c>
      <c r="B5080" t="s">
        <v>3768</v>
      </c>
    </row>
    <row r="5081" spans="1:2" x14ac:dyDescent="0.25">
      <c r="A5081" t="s">
        <v>3769</v>
      </c>
      <c r="B5081" t="s">
        <v>3770</v>
      </c>
    </row>
    <row r="5082" spans="1:2" x14ac:dyDescent="0.25">
      <c r="A5082" t="s">
        <v>3771</v>
      </c>
      <c r="B5082" t="s">
        <v>3772</v>
      </c>
    </row>
    <row r="5083" spans="1:2" x14ac:dyDescent="0.25">
      <c r="A5083" t="s">
        <v>3773</v>
      </c>
      <c r="B5083" t="s">
        <v>3774</v>
      </c>
    </row>
    <row r="5084" spans="1:2" x14ac:dyDescent="0.25">
      <c r="A5084" t="s">
        <v>3775</v>
      </c>
      <c r="B5084" t="s">
        <v>3776</v>
      </c>
    </row>
    <row r="5085" spans="1:2" x14ac:dyDescent="0.25">
      <c r="A5085" t="s">
        <v>3777</v>
      </c>
      <c r="B5085" t="s">
        <v>3778</v>
      </c>
    </row>
    <row r="5086" spans="1:2" x14ac:dyDescent="0.25">
      <c r="A5086" t="s">
        <v>3779</v>
      </c>
      <c r="B5086" t="s">
        <v>3780</v>
      </c>
    </row>
    <row r="5087" spans="1:2" x14ac:dyDescent="0.25">
      <c r="A5087" t="s">
        <v>3781</v>
      </c>
      <c r="B5087" t="s">
        <v>3782</v>
      </c>
    </row>
    <row r="5088" spans="1:2" x14ac:dyDescent="0.25">
      <c r="A5088" t="s">
        <v>3783</v>
      </c>
      <c r="B5088" t="s">
        <v>3784</v>
      </c>
    </row>
    <row r="5089" spans="1:2" x14ac:dyDescent="0.25">
      <c r="A5089" t="s">
        <v>3785</v>
      </c>
      <c r="B5089" t="s">
        <v>3786</v>
      </c>
    </row>
    <row r="5090" spans="1:2" x14ac:dyDescent="0.25">
      <c r="A5090" t="s">
        <v>3787</v>
      </c>
      <c r="B5090" t="s">
        <v>3788</v>
      </c>
    </row>
    <row r="5091" spans="1:2" x14ac:dyDescent="0.25">
      <c r="A5091" t="s">
        <v>3789</v>
      </c>
      <c r="B5091" t="s">
        <v>3790</v>
      </c>
    </row>
    <row r="5092" spans="1:2" x14ac:dyDescent="0.25">
      <c r="A5092" t="s">
        <v>3791</v>
      </c>
      <c r="B5092" t="s">
        <v>3792</v>
      </c>
    </row>
    <row r="5093" spans="1:2" x14ac:dyDescent="0.25">
      <c r="A5093" t="s">
        <v>3793</v>
      </c>
      <c r="B5093" t="s">
        <v>3794</v>
      </c>
    </row>
    <row r="5094" spans="1:2" x14ac:dyDescent="0.25">
      <c r="A5094" t="s">
        <v>3795</v>
      </c>
      <c r="B5094" t="s">
        <v>3796</v>
      </c>
    </row>
    <row r="5095" spans="1:2" x14ac:dyDescent="0.25">
      <c r="A5095" t="s">
        <v>3797</v>
      </c>
      <c r="B5095" t="s">
        <v>3798</v>
      </c>
    </row>
    <row r="5096" spans="1:2" x14ac:dyDescent="0.25">
      <c r="A5096" t="s">
        <v>3799</v>
      </c>
      <c r="B5096" t="s">
        <v>3800</v>
      </c>
    </row>
    <row r="5097" spans="1:2" x14ac:dyDescent="0.25">
      <c r="A5097" t="s">
        <v>3801</v>
      </c>
      <c r="B5097" t="s">
        <v>3802</v>
      </c>
    </row>
    <row r="5098" spans="1:2" x14ac:dyDescent="0.25">
      <c r="A5098" t="s">
        <v>3803</v>
      </c>
      <c r="B5098" t="s">
        <v>3804</v>
      </c>
    </row>
    <row r="5099" spans="1:2" x14ac:dyDescent="0.25">
      <c r="A5099" t="s">
        <v>3805</v>
      </c>
      <c r="B5099" t="s">
        <v>3806</v>
      </c>
    </row>
    <row r="5100" spans="1:2" x14ac:dyDescent="0.25">
      <c r="A5100" t="s">
        <v>3807</v>
      </c>
      <c r="B5100" t="s">
        <v>3808</v>
      </c>
    </row>
    <row r="5101" spans="1:2" x14ac:dyDescent="0.25">
      <c r="A5101" t="s">
        <v>3809</v>
      </c>
      <c r="B5101" t="s">
        <v>3810</v>
      </c>
    </row>
    <row r="5102" spans="1:2" x14ac:dyDescent="0.25">
      <c r="A5102" t="s">
        <v>3811</v>
      </c>
      <c r="B5102" t="s">
        <v>3812</v>
      </c>
    </row>
    <row r="5103" spans="1:2" x14ac:dyDescent="0.25">
      <c r="A5103" t="s">
        <v>3813</v>
      </c>
      <c r="B5103" t="s">
        <v>3814</v>
      </c>
    </row>
    <row r="5104" spans="1:2" x14ac:dyDescent="0.25">
      <c r="A5104" t="s">
        <v>3815</v>
      </c>
      <c r="B5104" t="s">
        <v>3816</v>
      </c>
    </row>
    <row r="5105" spans="1:2" x14ac:dyDescent="0.25">
      <c r="A5105" t="s">
        <v>3817</v>
      </c>
      <c r="B5105" t="s">
        <v>3818</v>
      </c>
    </row>
    <row r="5106" spans="1:2" x14ac:dyDescent="0.25">
      <c r="A5106" t="s">
        <v>3819</v>
      </c>
      <c r="B5106" t="s">
        <v>3820</v>
      </c>
    </row>
    <row r="5107" spans="1:2" x14ac:dyDescent="0.25">
      <c r="A5107" t="s">
        <v>3821</v>
      </c>
      <c r="B5107" t="s">
        <v>3822</v>
      </c>
    </row>
    <row r="5108" spans="1:2" x14ac:dyDescent="0.25">
      <c r="A5108" t="s">
        <v>3823</v>
      </c>
      <c r="B5108" t="s">
        <v>3824</v>
      </c>
    </row>
    <row r="5109" spans="1:2" x14ac:dyDescent="0.25">
      <c r="A5109" t="s">
        <v>3825</v>
      </c>
      <c r="B5109" t="s">
        <v>3826</v>
      </c>
    </row>
    <row r="5110" spans="1:2" x14ac:dyDescent="0.25">
      <c r="A5110" t="s">
        <v>3827</v>
      </c>
      <c r="B5110" t="s">
        <v>3828</v>
      </c>
    </row>
    <row r="5111" spans="1:2" x14ac:dyDescent="0.25">
      <c r="A5111" t="s">
        <v>3829</v>
      </c>
      <c r="B5111" t="s">
        <v>3830</v>
      </c>
    </row>
    <row r="5112" spans="1:2" x14ac:dyDescent="0.25">
      <c r="A5112" t="s">
        <v>3831</v>
      </c>
      <c r="B5112" t="s">
        <v>3832</v>
      </c>
    </row>
    <row r="5113" spans="1:2" x14ac:dyDescent="0.25">
      <c r="A5113" t="s">
        <v>3833</v>
      </c>
      <c r="B5113" t="s">
        <v>3834</v>
      </c>
    </row>
    <row r="5114" spans="1:2" x14ac:dyDescent="0.25">
      <c r="A5114" t="s">
        <v>3835</v>
      </c>
      <c r="B5114" t="s">
        <v>3836</v>
      </c>
    </row>
    <row r="5115" spans="1:2" x14ac:dyDescent="0.25">
      <c r="A5115" t="s">
        <v>3837</v>
      </c>
      <c r="B5115" t="s">
        <v>3838</v>
      </c>
    </row>
    <row r="5116" spans="1:2" x14ac:dyDescent="0.25">
      <c r="A5116" t="s">
        <v>3839</v>
      </c>
      <c r="B5116" t="s">
        <v>3840</v>
      </c>
    </row>
    <row r="5117" spans="1:2" x14ac:dyDescent="0.25">
      <c r="A5117" t="s">
        <v>3841</v>
      </c>
      <c r="B5117" t="s">
        <v>3842</v>
      </c>
    </row>
    <row r="5118" spans="1:2" x14ac:dyDescent="0.25">
      <c r="A5118" t="s">
        <v>3843</v>
      </c>
      <c r="B5118" t="s">
        <v>3844</v>
      </c>
    </row>
    <row r="5119" spans="1:2" x14ac:dyDescent="0.25">
      <c r="A5119" t="s">
        <v>3846</v>
      </c>
      <c r="B5119" t="s">
        <v>3847</v>
      </c>
    </row>
    <row r="5120" spans="1:2" x14ac:dyDescent="0.25">
      <c r="A5120" t="s">
        <v>3848</v>
      </c>
      <c r="B5120" t="s">
        <v>3849</v>
      </c>
    </row>
    <row r="5121" spans="1:2" x14ac:dyDescent="0.25">
      <c r="A5121" t="s">
        <v>3850</v>
      </c>
      <c r="B5121" t="s">
        <v>3851</v>
      </c>
    </row>
    <row r="5122" spans="1:2" x14ac:dyDescent="0.25">
      <c r="A5122" t="s">
        <v>3852</v>
      </c>
      <c r="B5122" t="s">
        <v>3853</v>
      </c>
    </row>
    <row r="5123" spans="1:2" x14ac:dyDescent="0.25">
      <c r="A5123" t="s">
        <v>3854</v>
      </c>
      <c r="B5123" t="s">
        <v>3855</v>
      </c>
    </row>
    <row r="5124" spans="1:2" x14ac:dyDescent="0.25">
      <c r="A5124" t="s">
        <v>3856</v>
      </c>
      <c r="B5124" t="s">
        <v>3857</v>
      </c>
    </row>
    <row r="5125" spans="1:2" x14ac:dyDescent="0.25">
      <c r="A5125" t="s">
        <v>3858</v>
      </c>
      <c r="B5125" t="s">
        <v>3859</v>
      </c>
    </row>
    <row r="5126" spans="1:2" x14ac:dyDescent="0.25">
      <c r="A5126" t="s">
        <v>3860</v>
      </c>
      <c r="B5126" t="s">
        <v>3861</v>
      </c>
    </row>
    <row r="5127" spans="1:2" x14ac:dyDescent="0.25">
      <c r="A5127" t="s">
        <v>3862</v>
      </c>
      <c r="B5127" t="s">
        <v>3863</v>
      </c>
    </row>
    <row r="5128" spans="1:2" x14ac:dyDescent="0.25">
      <c r="A5128" t="s">
        <v>3864</v>
      </c>
      <c r="B5128" t="s">
        <v>3865</v>
      </c>
    </row>
    <row r="5129" spans="1:2" x14ac:dyDescent="0.25">
      <c r="A5129" t="s">
        <v>3866</v>
      </c>
      <c r="B5129" t="s">
        <v>3867</v>
      </c>
    </row>
    <row r="5130" spans="1:2" x14ac:dyDescent="0.25">
      <c r="A5130" t="s">
        <v>3868</v>
      </c>
      <c r="B5130" t="s">
        <v>3869</v>
      </c>
    </row>
    <row r="5131" spans="1:2" x14ac:dyDescent="0.25">
      <c r="A5131" t="s">
        <v>3870</v>
      </c>
      <c r="B5131" t="s">
        <v>3871</v>
      </c>
    </row>
    <row r="5132" spans="1:2" x14ac:dyDescent="0.25">
      <c r="A5132" t="s">
        <v>3872</v>
      </c>
      <c r="B5132" t="s">
        <v>3873</v>
      </c>
    </row>
    <row r="5133" spans="1:2" x14ac:dyDescent="0.25">
      <c r="A5133" t="s">
        <v>3874</v>
      </c>
      <c r="B5133" t="s">
        <v>3875</v>
      </c>
    </row>
    <row r="5134" spans="1:2" x14ac:dyDescent="0.25">
      <c r="A5134" t="s">
        <v>3876</v>
      </c>
      <c r="B5134" t="s">
        <v>3877</v>
      </c>
    </row>
    <row r="5135" spans="1:2" x14ac:dyDescent="0.25">
      <c r="A5135" t="s">
        <v>3878</v>
      </c>
      <c r="B5135" t="s">
        <v>3879</v>
      </c>
    </row>
    <row r="5136" spans="1:2" x14ac:dyDescent="0.25">
      <c r="A5136" t="s">
        <v>3880</v>
      </c>
      <c r="B5136" t="s">
        <v>3881</v>
      </c>
    </row>
    <row r="5137" spans="1:2" x14ac:dyDescent="0.25">
      <c r="A5137" t="s">
        <v>3882</v>
      </c>
      <c r="B5137" t="s">
        <v>3883</v>
      </c>
    </row>
    <row r="5138" spans="1:2" x14ac:dyDescent="0.25">
      <c r="A5138" t="s">
        <v>3884</v>
      </c>
      <c r="B5138" t="s">
        <v>3885</v>
      </c>
    </row>
    <row r="5139" spans="1:2" x14ac:dyDescent="0.25">
      <c r="A5139" t="s">
        <v>3886</v>
      </c>
      <c r="B5139" t="s">
        <v>3887</v>
      </c>
    </row>
    <row r="5140" spans="1:2" x14ac:dyDescent="0.25">
      <c r="A5140" t="s">
        <v>3888</v>
      </c>
      <c r="B5140" t="s">
        <v>3889</v>
      </c>
    </row>
    <row r="5141" spans="1:2" x14ac:dyDescent="0.25">
      <c r="A5141" t="s">
        <v>3890</v>
      </c>
      <c r="B5141" t="s">
        <v>3891</v>
      </c>
    </row>
    <row r="5142" spans="1:2" x14ac:dyDescent="0.25">
      <c r="A5142" t="s">
        <v>3892</v>
      </c>
      <c r="B5142" t="s">
        <v>3893</v>
      </c>
    </row>
    <row r="5143" spans="1:2" x14ac:dyDescent="0.25">
      <c r="A5143" t="s">
        <v>3894</v>
      </c>
      <c r="B5143" t="s">
        <v>3895</v>
      </c>
    </row>
    <row r="5144" spans="1:2" x14ac:dyDescent="0.25">
      <c r="A5144" t="s">
        <v>3896</v>
      </c>
      <c r="B5144" t="s">
        <v>3897</v>
      </c>
    </row>
    <row r="5145" spans="1:2" x14ac:dyDescent="0.25">
      <c r="A5145" t="s">
        <v>3898</v>
      </c>
      <c r="B5145" t="s">
        <v>3899</v>
      </c>
    </row>
    <row r="5146" spans="1:2" x14ac:dyDescent="0.25">
      <c r="A5146" t="s">
        <v>3901</v>
      </c>
      <c r="B5146" t="s">
        <v>3902</v>
      </c>
    </row>
    <row r="5147" spans="1:2" x14ac:dyDescent="0.25">
      <c r="A5147" t="s">
        <v>3903</v>
      </c>
      <c r="B5147" t="s">
        <v>3904</v>
      </c>
    </row>
    <row r="5148" spans="1:2" x14ac:dyDescent="0.25">
      <c r="A5148" t="s">
        <v>3905</v>
      </c>
      <c r="B5148" t="s">
        <v>3906</v>
      </c>
    </row>
    <row r="5149" spans="1:2" x14ac:dyDescent="0.25">
      <c r="A5149" t="s">
        <v>3907</v>
      </c>
      <c r="B5149" t="s">
        <v>3908</v>
      </c>
    </row>
    <row r="5150" spans="1:2" x14ac:dyDescent="0.25">
      <c r="A5150" t="s">
        <v>3909</v>
      </c>
      <c r="B5150" t="s">
        <v>3910</v>
      </c>
    </row>
    <row r="5151" spans="1:2" x14ac:dyDescent="0.25">
      <c r="A5151" t="s">
        <v>3911</v>
      </c>
      <c r="B5151" t="s">
        <v>3912</v>
      </c>
    </row>
    <row r="5152" spans="1:2" x14ac:dyDescent="0.25">
      <c r="A5152" t="s">
        <v>3913</v>
      </c>
      <c r="B5152" t="s">
        <v>3914</v>
      </c>
    </row>
    <row r="5153" spans="1:2" x14ac:dyDescent="0.25">
      <c r="A5153" t="s">
        <v>3915</v>
      </c>
      <c r="B5153" t="s">
        <v>3916</v>
      </c>
    </row>
    <row r="5154" spans="1:2" x14ac:dyDescent="0.25">
      <c r="A5154" t="s">
        <v>3917</v>
      </c>
      <c r="B5154" t="s">
        <v>3918</v>
      </c>
    </row>
    <row r="5155" spans="1:2" x14ac:dyDescent="0.25">
      <c r="A5155" t="s">
        <v>3919</v>
      </c>
      <c r="B5155" t="s">
        <v>3920</v>
      </c>
    </row>
    <row r="5156" spans="1:2" x14ac:dyDescent="0.25">
      <c r="A5156" t="s">
        <v>3921</v>
      </c>
      <c r="B5156" t="s">
        <v>3922</v>
      </c>
    </row>
    <row r="5157" spans="1:2" x14ac:dyDescent="0.25">
      <c r="A5157" t="s">
        <v>3923</v>
      </c>
      <c r="B5157" t="s">
        <v>3924</v>
      </c>
    </row>
    <row r="5158" spans="1:2" x14ac:dyDescent="0.25">
      <c r="A5158" t="s">
        <v>3925</v>
      </c>
      <c r="B5158" t="s">
        <v>3926</v>
      </c>
    </row>
    <row r="5159" spans="1:2" x14ac:dyDescent="0.25">
      <c r="A5159" t="s">
        <v>3927</v>
      </c>
      <c r="B5159" t="s">
        <v>3928</v>
      </c>
    </row>
    <row r="5160" spans="1:2" x14ac:dyDescent="0.25">
      <c r="A5160" t="s">
        <v>3929</v>
      </c>
      <c r="B5160" t="s">
        <v>3930</v>
      </c>
    </row>
    <row r="5161" spans="1:2" x14ac:dyDescent="0.25">
      <c r="A5161" t="s">
        <v>3931</v>
      </c>
      <c r="B5161" t="s">
        <v>3932</v>
      </c>
    </row>
    <row r="5162" spans="1:2" x14ac:dyDescent="0.25">
      <c r="A5162" t="s">
        <v>3933</v>
      </c>
      <c r="B5162" t="s">
        <v>3934</v>
      </c>
    </row>
    <row r="5163" spans="1:2" x14ac:dyDescent="0.25">
      <c r="A5163" t="s">
        <v>3935</v>
      </c>
      <c r="B5163" t="s">
        <v>3936</v>
      </c>
    </row>
    <row r="5164" spans="1:2" x14ac:dyDescent="0.25">
      <c r="A5164" t="s">
        <v>3937</v>
      </c>
      <c r="B5164" t="s">
        <v>3938</v>
      </c>
    </row>
    <row r="5165" spans="1:2" x14ac:dyDescent="0.25">
      <c r="A5165" t="s">
        <v>3939</v>
      </c>
      <c r="B5165" t="s">
        <v>3940</v>
      </c>
    </row>
    <row r="5166" spans="1:2" x14ac:dyDescent="0.25">
      <c r="A5166" t="s">
        <v>3941</v>
      </c>
      <c r="B5166" t="s">
        <v>3942</v>
      </c>
    </row>
    <row r="5167" spans="1:2" x14ac:dyDescent="0.25">
      <c r="A5167" t="s">
        <v>3943</v>
      </c>
      <c r="B5167" t="s">
        <v>3944</v>
      </c>
    </row>
    <row r="5168" spans="1:2" x14ac:dyDescent="0.25">
      <c r="A5168" t="s">
        <v>3945</v>
      </c>
      <c r="B5168" t="s">
        <v>3946</v>
      </c>
    </row>
    <row r="5169" spans="1:2" x14ac:dyDescent="0.25">
      <c r="A5169" t="s">
        <v>3947</v>
      </c>
      <c r="B5169" t="s">
        <v>3948</v>
      </c>
    </row>
    <row r="5170" spans="1:2" x14ac:dyDescent="0.25">
      <c r="A5170" t="s">
        <v>3949</v>
      </c>
      <c r="B5170" t="s">
        <v>3950</v>
      </c>
    </row>
    <row r="5171" spans="1:2" x14ac:dyDescent="0.25">
      <c r="A5171" t="s">
        <v>3951</v>
      </c>
      <c r="B5171" t="s">
        <v>3952</v>
      </c>
    </row>
    <row r="5172" spans="1:2" x14ac:dyDescent="0.25">
      <c r="A5172" t="s">
        <v>3953</v>
      </c>
      <c r="B5172" t="s">
        <v>3954</v>
      </c>
    </row>
    <row r="5173" spans="1:2" x14ac:dyDescent="0.25">
      <c r="A5173" t="s">
        <v>3956</v>
      </c>
      <c r="B5173" t="s">
        <v>3957</v>
      </c>
    </row>
    <row r="5174" spans="1:2" x14ac:dyDescent="0.25">
      <c r="A5174" t="s">
        <v>3958</v>
      </c>
      <c r="B5174" t="s">
        <v>3959</v>
      </c>
    </row>
    <row r="5175" spans="1:2" x14ac:dyDescent="0.25">
      <c r="A5175" t="s">
        <v>3960</v>
      </c>
      <c r="B5175" t="s">
        <v>3961</v>
      </c>
    </row>
    <row r="5176" spans="1:2" x14ac:dyDescent="0.25">
      <c r="A5176" t="s">
        <v>3962</v>
      </c>
      <c r="B5176" t="s">
        <v>3963</v>
      </c>
    </row>
    <row r="5177" spans="1:2" x14ac:dyDescent="0.25">
      <c r="A5177" t="s">
        <v>3964</v>
      </c>
      <c r="B5177" t="s">
        <v>3965</v>
      </c>
    </row>
    <row r="5178" spans="1:2" x14ac:dyDescent="0.25">
      <c r="A5178" t="s">
        <v>3966</v>
      </c>
      <c r="B5178" t="s">
        <v>3967</v>
      </c>
    </row>
    <row r="5179" spans="1:2" x14ac:dyDescent="0.25">
      <c r="A5179" t="s">
        <v>3968</v>
      </c>
      <c r="B5179" t="s">
        <v>3969</v>
      </c>
    </row>
    <row r="5180" spans="1:2" x14ac:dyDescent="0.25">
      <c r="A5180" t="s">
        <v>3970</v>
      </c>
      <c r="B5180" t="s">
        <v>3971</v>
      </c>
    </row>
    <row r="5181" spans="1:2" x14ac:dyDescent="0.25">
      <c r="A5181" t="s">
        <v>3972</v>
      </c>
      <c r="B5181" t="s">
        <v>3973</v>
      </c>
    </row>
    <row r="5182" spans="1:2" x14ac:dyDescent="0.25">
      <c r="A5182" t="s">
        <v>3974</v>
      </c>
      <c r="B5182" t="s">
        <v>3975</v>
      </c>
    </row>
    <row r="5183" spans="1:2" x14ac:dyDescent="0.25">
      <c r="A5183" t="s">
        <v>3976</v>
      </c>
      <c r="B5183" t="s">
        <v>3977</v>
      </c>
    </row>
    <row r="5184" spans="1:2" x14ac:dyDescent="0.25">
      <c r="A5184" t="s">
        <v>3978</v>
      </c>
      <c r="B5184" t="s">
        <v>3979</v>
      </c>
    </row>
    <row r="5185" spans="1:2" x14ac:dyDescent="0.25">
      <c r="A5185" t="s">
        <v>3980</v>
      </c>
      <c r="B5185" t="s">
        <v>3981</v>
      </c>
    </row>
    <row r="5186" spans="1:2" x14ac:dyDescent="0.25">
      <c r="A5186" t="s">
        <v>3982</v>
      </c>
      <c r="B5186" t="s">
        <v>3983</v>
      </c>
    </row>
    <row r="5187" spans="1:2" x14ac:dyDescent="0.25">
      <c r="A5187" t="s">
        <v>3984</v>
      </c>
      <c r="B5187" t="s">
        <v>3985</v>
      </c>
    </row>
    <row r="5188" spans="1:2" x14ac:dyDescent="0.25">
      <c r="A5188" t="s">
        <v>3986</v>
      </c>
      <c r="B5188" t="s">
        <v>3987</v>
      </c>
    </row>
    <row r="5189" spans="1:2" x14ac:dyDescent="0.25">
      <c r="A5189" t="s">
        <v>3988</v>
      </c>
      <c r="B5189" t="s">
        <v>3989</v>
      </c>
    </row>
    <row r="5190" spans="1:2" x14ac:dyDescent="0.25">
      <c r="A5190" t="s">
        <v>3990</v>
      </c>
      <c r="B5190" t="s">
        <v>3991</v>
      </c>
    </row>
    <row r="5191" spans="1:2" x14ac:dyDescent="0.25">
      <c r="A5191" t="s">
        <v>3992</v>
      </c>
      <c r="B5191" t="s">
        <v>3993</v>
      </c>
    </row>
    <row r="5192" spans="1:2" x14ac:dyDescent="0.25">
      <c r="A5192" t="s">
        <v>3994</v>
      </c>
      <c r="B5192" t="s">
        <v>3995</v>
      </c>
    </row>
    <row r="5193" spans="1:2" x14ac:dyDescent="0.25">
      <c r="A5193" t="s">
        <v>3996</v>
      </c>
      <c r="B5193" t="s">
        <v>3997</v>
      </c>
    </row>
    <row r="5194" spans="1:2" x14ac:dyDescent="0.25">
      <c r="A5194" t="s">
        <v>3998</v>
      </c>
      <c r="B5194" t="s">
        <v>3999</v>
      </c>
    </row>
    <row r="5195" spans="1:2" x14ac:dyDescent="0.25">
      <c r="A5195" t="s">
        <v>4000</v>
      </c>
      <c r="B5195" t="s">
        <v>4001</v>
      </c>
    </row>
    <row r="5196" spans="1:2" x14ac:dyDescent="0.25">
      <c r="A5196" t="s">
        <v>4002</v>
      </c>
      <c r="B5196" t="s">
        <v>4003</v>
      </c>
    </row>
    <row r="5197" spans="1:2" x14ac:dyDescent="0.25">
      <c r="A5197" t="s">
        <v>4004</v>
      </c>
      <c r="B5197" t="s">
        <v>4005</v>
      </c>
    </row>
    <row r="5198" spans="1:2" x14ac:dyDescent="0.25">
      <c r="A5198" t="s">
        <v>4006</v>
      </c>
      <c r="B5198" t="s">
        <v>4007</v>
      </c>
    </row>
    <row r="5199" spans="1:2" x14ac:dyDescent="0.25">
      <c r="A5199" t="s">
        <v>4008</v>
      </c>
      <c r="B5199" t="s">
        <v>4009</v>
      </c>
    </row>
    <row r="5200" spans="1:2" x14ac:dyDescent="0.25">
      <c r="A5200" t="s">
        <v>4010</v>
      </c>
      <c r="B5200" t="s">
        <v>4011</v>
      </c>
    </row>
    <row r="5201" spans="1:2" x14ac:dyDescent="0.25">
      <c r="A5201" t="s">
        <v>4012</v>
      </c>
      <c r="B5201" t="s">
        <v>4013</v>
      </c>
    </row>
    <row r="5202" spans="1:2" x14ac:dyDescent="0.25">
      <c r="A5202" t="s">
        <v>4014</v>
      </c>
      <c r="B5202" t="s">
        <v>4015</v>
      </c>
    </row>
    <row r="5203" spans="1:2" x14ac:dyDescent="0.25">
      <c r="A5203" t="s">
        <v>4016</v>
      </c>
      <c r="B5203" t="s">
        <v>4017</v>
      </c>
    </row>
    <row r="5204" spans="1:2" x14ac:dyDescent="0.25">
      <c r="A5204" t="s">
        <v>4018</v>
      </c>
      <c r="B5204" t="s">
        <v>4019</v>
      </c>
    </row>
    <row r="5205" spans="1:2" x14ac:dyDescent="0.25">
      <c r="A5205" t="s">
        <v>4020</v>
      </c>
      <c r="B5205" t="s">
        <v>4021</v>
      </c>
    </row>
    <row r="5206" spans="1:2" x14ac:dyDescent="0.25">
      <c r="A5206" t="s">
        <v>4022</v>
      </c>
      <c r="B5206" t="s">
        <v>4023</v>
      </c>
    </row>
    <row r="5207" spans="1:2" x14ac:dyDescent="0.25">
      <c r="A5207" t="s">
        <v>4024</v>
      </c>
      <c r="B5207" t="s">
        <v>4025</v>
      </c>
    </row>
    <row r="5208" spans="1:2" x14ac:dyDescent="0.25">
      <c r="A5208" t="s">
        <v>4026</v>
      </c>
      <c r="B5208" t="s">
        <v>4027</v>
      </c>
    </row>
    <row r="5209" spans="1:2" x14ac:dyDescent="0.25">
      <c r="A5209" t="s">
        <v>4028</v>
      </c>
      <c r="B5209" t="s">
        <v>4029</v>
      </c>
    </row>
    <row r="5210" spans="1:2" x14ac:dyDescent="0.25">
      <c r="A5210" t="s">
        <v>4030</v>
      </c>
      <c r="B5210" t="s">
        <v>4031</v>
      </c>
    </row>
    <row r="5211" spans="1:2" x14ac:dyDescent="0.25">
      <c r="A5211" t="s">
        <v>4032</v>
      </c>
      <c r="B5211" t="s">
        <v>4033</v>
      </c>
    </row>
    <row r="5212" spans="1:2" x14ac:dyDescent="0.25">
      <c r="A5212" t="s">
        <v>4034</v>
      </c>
      <c r="B5212" t="s">
        <v>4035</v>
      </c>
    </row>
    <row r="5213" spans="1:2" x14ac:dyDescent="0.25">
      <c r="A5213" t="s">
        <v>4036</v>
      </c>
      <c r="B5213" t="s">
        <v>4037</v>
      </c>
    </row>
    <row r="5214" spans="1:2" x14ac:dyDescent="0.25">
      <c r="A5214" t="s">
        <v>4038</v>
      </c>
      <c r="B5214" t="s">
        <v>4039</v>
      </c>
    </row>
    <row r="5215" spans="1:2" x14ac:dyDescent="0.25">
      <c r="A5215" t="s">
        <v>4040</v>
      </c>
      <c r="B5215" t="s">
        <v>4041</v>
      </c>
    </row>
    <row r="5216" spans="1:2" x14ac:dyDescent="0.25">
      <c r="A5216" t="s">
        <v>4042</v>
      </c>
      <c r="B5216" t="s">
        <v>4043</v>
      </c>
    </row>
    <row r="5217" spans="1:2" x14ac:dyDescent="0.25">
      <c r="A5217" t="s">
        <v>4044</v>
      </c>
      <c r="B5217" t="s">
        <v>4045</v>
      </c>
    </row>
    <row r="5218" spans="1:2" x14ac:dyDescent="0.25">
      <c r="A5218" t="s">
        <v>4046</v>
      </c>
      <c r="B5218" t="s">
        <v>4047</v>
      </c>
    </row>
    <row r="5219" spans="1:2" x14ac:dyDescent="0.25">
      <c r="A5219" t="s">
        <v>4048</v>
      </c>
      <c r="B5219" t="s">
        <v>4049</v>
      </c>
    </row>
    <row r="5220" spans="1:2" x14ac:dyDescent="0.25">
      <c r="A5220" t="s">
        <v>4050</v>
      </c>
      <c r="B5220" t="s">
        <v>4051</v>
      </c>
    </row>
    <row r="5221" spans="1:2" x14ac:dyDescent="0.25">
      <c r="A5221" t="s">
        <v>4052</v>
      </c>
      <c r="B5221" t="s">
        <v>4053</v>
      </c>
    </row>
    <row r="5222" spans="1:2" x14ac:dyDescent="0.25">
      <c r="A5222" t="s">
        <v>4054</v>
      </c>
      <c r="B5222" t="s">
        <v>4055</v>
      </c>
    </row>
    <row r="5223" spans="1:2" x14ac:dyDescent="0.25">
      <c r="A5223" t="s">
        <v>4056</v>
      </c>
      <c r="B5223" t="s">
        <v>4057</v>
      </c>
    </row>
    <row r="5224" spans="1:2" x14ac:dyDescent="0.25">
      <c r="A5224" t="s">
        <v>4058</v>
      </c>
      <c r="B5224" t="s">
        <v>4059</v>
      </c>
    </row>
    <row r="5225" spans="1:2" x14ac:dyDescent="0.25">
      <c r="A5225" t="s">
        <v>4060</v>
      </c>
      <c r="B5225" t="s">
        <v>4061</v>
      </c>
    </row>
    <row r="5226" spans="1:2" x14ac:dyDescent="0.25">
      <c r="A5226" t="s">
        <v>4062</v>
      </c>
      <c r="B5226" t="s">
        <v>4063</v>
      </c>
    </row>
    <row r="5227" spans="1:2" x14ac:dyDescent="0.25">
      <c r="A5227" t="s">
        <v>4064</v>
      </c>
      <c r="B5227" t="s">
        <v>4065</v>
      </c>
    </row>
    <row r="5228" spans="1:2" x14ac:dyDescent="0.25">
      <c r="A5228" t="s">
        <v>4066</v>
      </c>
      <c r="B5228" t="s">
        <v>4067</v>
      </c>
    </row>
    <row r="5229" spans="1:2" x14ac:dyDescent="0.25">
      <c r="A5229" t="s">
        <v>4068</v>
      </c>
      <c r="B5229" t="s">
        <v>4069</v>
      </c>
    </row>
    <row r="5230" spans="1:2" x14ac:dyDescent="0.25">
      <c r="A5230" t="s">
        <v>4070</v>
      </c>
      <c r="B5230" t="s">
        <v>4071</v>
      </c>
    </row>
    <row r="5231" spans="1:2" x14ac:dyDescent="0.25">
      <c r="A5231" t="s">
        <v>4072</v>
      </c>
      <c r="B5231" t="s">
        <v>4073</v>
      </c>
    </row>
    <row r="5232" spans="1:2" x14ac:dyDescent="0.25">
      <c r="A5232" t="s">
        <v>4074</v>
      </c>
      <c r="B5232" t="s">
        <v>4075</v>
      </c>
    </row>
    <row r="5233" spans="1:2" x14ac:dyDescent="0.25">
      <c r="A5233" t="s">
        <v>4076</v>
      </c>
      <c r="B5233" t="s">
        <v>4077</v>
      </c>
    </row>
    <row r="5234" spans="1:2" x14ac:dyDescent="0.25">
      <c r="A5234" t="s">
        <v>4078</v>
      </c>
      <c r="B5234" t="s">
        <v>4079</v>
      </c>
    </row>
    <row r="5235" spans="1:2" x14ac:dyDescent="0.25">
      <c r="A5235" t="s">
        <v>4080</v>
      </c>
      <c r="B5235" t="s">
        <v>4081</v>
      </c>
    </row>
    <row r="5236" spans="1:2" x14ac:dyDescent="0.25">
      <c r="A5236" t="s">
        <v>4082</v>
      </c>
      <c r="B5236" t="s">
        <v>4083</v>
      </c>
    </row>
    <row r="5237" spans="1:2" x14ac:dyDescent="0.25">
      <c r="A5237" t="s">
        <v>4084</v>
      </c>
      <c r="B5237" t="s">
        <v>4085</v>
      </c>
    </row>
    <row r="5238" spans="1:2" x14ac:dyDescent="0.25">
      <c r="A5238" t="s">
        <v>4086</v>
      </c>
      <c r="B5238" t="s">
        <v>4087</v>
      </c>
    </row>
    <row r="5239" spans="1:2" x14ac:dyDescent="0.25">
      <c r="A5239" t="s">
        <v>4088</v>
      </c>
      <c r="B5239" t="s">
        <v>4089</v>
      </c>
    </row>
    <row r="5240" spans="1:2" x14ac:dyDescent="0.25">
      <c r="A5240" t="s">
        <v>4091</v>
      </c>
      <c r="B5240" t="s">
        <v>4092</v>
      </c>
    </row>
    <row r="5241" spans="1:2" x14ac:dyDescent="0.25">
      <c r="A5241" t="s">
        <v>4093</v>
      </c>
      <c r="B5241" t="s">
        <v>4094</v>
      </c>
    </row>
    <row r="5242" spans="1:2" x14ac:dyDescent="0.25">
      <c r="A5242" t="s">
        <v>4095</v>
      </c>
      <c r="B5242" t="s">
        <v>4096</v>
      </c>
    </row>
    <row r="5243" spans="1:2" x14ac:dyDescent="0.25">
      <c r="A5243" t="s">
        <v>4097</v>
      </c>
      <c r="B5243" t="s">
        <v>4098</v>
      </c>
    </row>
    <row r="5244" spans="1:2" x14ac:dyDescent="0.25">
      <c r="A5244" t="s">
        <v>4099</v>
      </c>
      <c r="B5244" t="s">
        <v>4100</v>
      </c>
    </row>
    <row r="5245" spans="1:2" x14ac:dyDescent="0.25">
      <c r="A5245" t="s">
        <v>4101</v>
      </c>
      <c r="B5245" t="s">
        <v>4102</v>
      </c>
    </row>
    <row r="5246" spans="1:2" x14ac:dyDescent="0.25">
      <c r="A5246" t="s">
        <v>4103</v>
      </c>
      <c r="B5246" t="s">
        <v>4104</v>
      </c>
    </row>
    <row r="5247" spans="1:2" x14ac:dyDescent="0.25">
      <c r="A5247" t="s">
        <v>4105</v>
      </c>
      <c r="B5247" t="s">
        <v>4106</v>
      </c>
    </row>
    <row r="5248" spans="1:2" x14ac:dyDescent="0.25">
      <c r="A5248" t="s">
        <v>4107</v>
      </c>
      <c r="B5248" t="s">
        <v>4108</v>
      </c>
    </row>
    <row r="5249" spans="1:2" x14ac:dyDescent="0.25">
      <c r="A5249" t="s">
        <v>4109</v>
      </c>
      <c r="B5249" t="s">
        <v>4110</v>
      </c>
    </row>
    <row r="5250" spans="1:2" x14ac:dyDescent="0.25">
      <c r="A5250" t="s">
        <v>4111</v>
      </c>
      <c r="B5250" t="s">
        <v>4112</v>
      </c>
    </row>
    <row r="5251" spans="1:2" x14ac:dyDescent="0.25">
      <c r="A5251" t="s">
        <v>4113</v>
      </c>
      <c r="B5251" t="s">
        <v>4114</v>
      </c>
    </row>
    <row r="5252" spans="1:2" x14ac:dyDescent="0.25">
      <c r="A5252" t="s">
        <v>4115</v>
      </c>
      <c r="B5252" t="s">
        <v>4116</v>
      </c>
    </row>
    <row r="5253" spans="1:2" x14ac:dyDescent="0.25">
      <c r="A5253" t="s">
        <v>4117</v>
      </c>
      <c r="B5253" t="s">
        <v>4118</v>
      </c>
    </row>
    <row r="5254" spans="1:2" x14ac:dyDescent="0.25">
      <c r="A5254" t="s">
        <v>4119</v>
      </c>
      <c r="B5254" t="s">
        <v>4120</v>
      </c>
    </row>
    <row r="5255" spans="1:2" x14ac:dyDescent="0.25">
      <c r="A5255" t="s">
        <v>4121</v>
      </c>
      <c r="B5255" t="s">
        <v>4122</v>
      </c>
    </row>
    <row r="5256" spans="1:2" x14ac:dyDescent="0.25">
      <c r="A5256" t="s">
        <v>4123</v>
      </c>
      <c r="B5256" t="s">
        <v>4124</v>
      </c>
    </row>
    <row r="5257" spans="1:2" x14ac:dyDescent="0.25">
      <c r="A5257" t="s">
        <v>4125</v>
      </c>
      <c r="B5257" t="s">
        <v>4126</v>
      </c>
    </row>
    <row r="5258" spans="1:2" x14ac:dyDescent="0.25">
      <c r="A5258" t="s">
        <v>4127</v>
      </c>
      <c r="B5258" t="s">
        <v>4128</v>
      </c>
    </row>
    <row r="5259" spans="1:2" x14ac:dyDescent="0.25">
      <c r="A5259" t="s">
        <v>4129</v>
      </c>
      <c r="B5259" t="s">
        <v>4130</v>
      </c>
    </row>
    <row r="5260" spans="1:2" x14ac:dyDescent="0.25">
      <c r="A5260" t="s">
        <v>4131</v>
      </c>
      <c r="B5260" t="s">
        <v>4132</v>
      </c>
    </row>
    <row r="5261" spans="1:2" x14ac:dyDescent="0.25">
      <c r="A5261" t="s">
        <v>4133</v>
      </c>
      <c r="B5261" t="s">
        <v>4134</v>
      </c>
    </row>
    <row r="5262" spans="1:2" x14ac:dyDescent="0.25">
      <c r="A5262" t="s">
        <v>4135</v>
      </c>
      <c r="B5262" t="s">
        <v>4136</v>
      </c>
    </row>
    <row r="5263" spans="1:2" x14ac:dyDescent="0.25">
      <c r="A5263" t="s">
        <v>4137</v>
      </c>
      <c r="B5263" t="s">
        <v>4138</v>
      </c>
    </row>
    <row r="5264" spans="1:2" x14ac:dyDescent="0.25">
      <c r="A5264" t="s">
        <v>4139</v>
      </c>
      <c r="B5264" t="s">
        <v>4140</v>
      </c>
    </row>
    <row r="5265" spans="1:2" x14ac:dyDescent="0.25">
      <c r="A5265" t="s">
        <v>4141</v>
      </c>
      <c r="B5265" t="s">
        <v>4142</v>
      </c>
    </row>
    <row r="5266" spans="1:2" x14ac:dyDescent="0.25">
      <c r="A5266" t="s">
        <v>4143</v>
      </c>
      <c r="B5266" t="s">
        <v>4144</v>
      </c>
    </row>
    <row r="5267" spans="1:2" x14ac:dyDescent="0.25">
      <c r="A5267" t="s">
        <v>4145</v>
      </c>
      <c r="B5267" t="s">
        <v>4146</v>
      </c>
    </row>
    <row r="5268" spans="1:2" x14ac:dyDescent="0.25">
      <c r="A5268" t="s">
        <v>4147</v>
      </c>
      <c r="B5268" t="s">
        <v>4148</v>
      </c>
    </row>
    <row r="5269" spans="1:2" x14ac:dyDescent="0.25">
      <c r="A5269" t="s">
        <v>4149</v>
      </c>
      <c r="B5269" t="s">
        <v>4150</v>
      </c>
    </row>
    <row r="5270" spans="1:2" x14ac:dyDescent="0.25">
      <c r="A5270" t="s">
        <v>4151</v>
      </c>
      <c r="B5270" t="s">
        <v>4152</v>
      </c>
    </row>
    <row r="5271" spans="1:2" x14ac:dyDescent="0.25">
      <c r="A5271" t="s">
        <v>4153</v>
      </c>
      <c r="B5271" t="s">
        <v>4154</v>
      </c>
    </row>
    <row r="5272" spans="1:2" x14ac:dyDescent="0.25">
      <c r="A5272" t="s">
        <v>4155</v>
      </c>
      <c r="B5272" t="s">
        <v>4156</v>
      </c>
    </row>
    <row r="5273" spans="1:2" x14ac:dyDescent="0.25">
      <c r="A5273" t="s">
        <v>4157</v>
      </c>
      <c r="B5273" t="s">
        <v>4158</v>
      </c>
    </row>
    <row r="5274" spans="1:2" x14ac:dyDescent="0.25">
      <c r="A5274" t="s">
        <v>4159</v>
      </c>
      <c r="B5274" t="s">
        <v>4160</v>
      </c>
    </row>
    <row r="5275" spans="1:2" x14ac:dyDescent="0.25">
      <c r="A5275" t="s">
        <v>4161</v>
      </c>
      <c r="B5275" t="s">
        <v>4162</v>
      </c>
    </row>
    <row r="5276" spans="1:2" x14ac:dyDescent="0.25">
      <c r="A5276" t="s">
        <v>4163</v>
      </c>
      <c r="B5276" t="s">
        <v>4164</v>
      </c>
    </row>
    <row r="5277" spans="1:2" x14ac:dyDescent="0.25">
      <c r="A5277" t="s">
        <v>4165</v>
      </c>
      <c r="B5277" t="s">
        <v>4166</v>
      </c>
    </row>
    <row r="5278" spans="1:2" x14ac:dyDescent="0.25">
      <c r="A5278" t="s">
        <v>4167</v>
      </c>
      <c r="B5278" t="s">
        <v>4168</v>
      </c>
    </row>
    <row r="5279" spans="1:2" x14ac:dyDescent="0.25">
      <c r="A5279" t="s">
        <v>4169</v>
      </c>
      <c r="B5279" t="s">
        <v>4170</v>
      </c>
    </row>
    <row r="5280" spans="1:2" x14ac:dyDescent="0.25">
      <c r="A5280" t="s">
        <v>4171</v>
      </c>
      <c r="B5280" t="s">
        <v>4172</v>
      </c>
    </row>
    <row r="5281" spans="1:2" x14ac:dyDescent="0.25">
      <c r="A5281" t="s">
        <v>4173</v>
      </c>
      <c r="B5281" t="s">
        <v>4174</v>
      </c>
    </row>
    <row r="5282" spans="1:2" x14ac:dyDescent="0.25">
      <c r="A5282" t="s">
        <v>4175</v>
      </c>
      <c r="B5282" t="s">
        <v>4176</v>
      </c>
    </row>
    <row r="5283" spans="1:2" x14ac:dyDescent="0.25">
      <c r="A5283" t="s">
        <v>4177</v>
      </c>
      <c r="B5283" t="s">
        <v>4178</v>
      </c>
    </row>
    <row r="5284" spans="1:2" x14ac:dyDescent="0.25">
      <c r="A5284" t="s">
        <v>4179</v>
      </c>
      <c r="B5284" t="s">
        <v>4180</v>
      </c>
    </row>
    <row r="5285" spans="1:2" x14ac:dyDescent="0.25">
      <c r="A5285" t="s">
        <v>4181</v>
      </c>
      <c r="B5285" t="s">
        <v>4182</v>
      </c>
    </row>
    <row r="5286" spans="1:2" x14ac:dyDescent="0.25">
      <c r="A5286" t="s">
        <v>4183</v>
      </c>
      <c r="B5286" t="s">
        <v>4184</v>
      </c>
    </row>
    <row r="5287" spans="1:2" x14ac:dyDescent="0.25">
      <c r="A5287" t="s">
        <v>4185</v>
      </c>
      <c r="B5287" t="s">
        <v>4186</v>
      </c>
    </row>
    <row r="5288" spans="1:2" x14ac:dyDescent="0.25">
      <c r="A5288" t="s">
        <v>4187</v>
      </c>
      <c r="B5288" t="s">
        <v>4188</v>
      </c>
    </row>
    <row r="5289" spans="1:2" x14ac:dyDescent="0.25">
      <c r="A5289" t="s">
        <v>4189</v>
      </c>
      <c r="B5289" t="s">
        <v>4190</v>
      </c>
    </row>
    <row r="5290" spans="1:2" x14ac:dyDescent="0.25">
      <c r="A5290" t="s">
        <v>4191</v>
      </c>
      <c r="B5290" t="s">
        <v>4192</v>
      </c>
    </row>
    <row r="5291" spans="1:2" x14ac:dyDescent="0.25">
      <c r="A5291" t="s">
        <v>4193</v>
      </c>
      <c r="B5291" t="s">
        <v>4194</v>
      </c>
    </row>
    <row r="5292" spans="1:2" x14ac:dyDescent="0.25">
      <c r="A5292" t="s">
        <v>4195</v>
      </c>
      <c r="B5292" t="s">
        <v>4196</v>
      </c>
    </row>
    <row r="5293" spans="1:2" x14ac:dyDescent="0.25">
      <c r="A5293" t="s">
        <v>4197</v>
      </c>
      <c r="B5293" t="s">
        <v>4198</v>
      </c>
    </row>
    <row r="5294" spans="1:2" x14ac:dyDescent="0.25">
      <c r="A5294" t="s">
        <v>4199</v>
      </c>
      <c r="B5294" t="s">
        <v>4200</v>
      </c>
    </row>
    <row r="5295" spans="1:2" x14ac:dyDescent="0.25">
      <c r="A5295" t="s">
        <v>4201</v>
      </c>
      <c r="B5295" t="s">
        <v>4202</v>
      </c>
    </row>
    <row r="5296" spans="1:2" x14ac:dyDescent="0.25">
      <c r="A5296" t="s">
        <v>4203</v>
      </c>
      <c r="B5296" t="s">
        <v>4204</v>
      </c>
    </row>
    <row r="5297" spans="1:2" x14ac:dyDescent="0.25">
      <c r="A5297" t="s">
        <v>4205</v>
      </c>
      <c r="B5297" t="s">
        <v>4206</v>
      </c>
    </row>
    <row r="5298" spans="1:2" x14ac:dyDescent="0.25">
      <c r="A5298" t="s">
        <v>3149</v>
      </c>
      <c r="B5298" t="s">
        <v>4207</v>
      </c>
    </row>
    <row r="5299" spans="1:2" x14ac:dyDescent="0.25">
      <c r="A5299" t="s">
        <v>4209</v>
      </c>
      <c r="B5299" t="s">
        <v>4210</v>
      </c>
    </row>
    <row r="5300" spans="1:2" x14ac:dyDescent="0.25">
      <c r="A5300" t="s">
        <v>4211</v>
      </c>
      <c r="B5300" t="s">
        <v>4212</v>
      </c>
    </row>
    <row r="5301" spans="1:2" x14ac:dyDescent="0.25">
      <c r="A5301" t="s">
        <v>4213</v>
      </c>
      <c r="B5301" t="s">
        <v>4214</v>
      </c>
    </row>
    <row r="5302" spans="1:2" x14ac:dyDescent="0.25">
      <c r="A5302" t="s">
        <v>4215</v>
      </c>
      <c r="B5302" t="s">
        <v>4216</v>
      </c>
    </row>
    <row r="5303" spans="1:2" x14ac:dyDescent="0.25">
      <c r="A5303" t="s">
        <v>4217</v>
      </c>
      <c r="B5303" t="s">
        <v>4218</v>
      </c>
    </row>
    <row r="5304" spans="1:2" x14ac:dyDescent="0.25">
      <c r="A5304" t="s">
        <v>4219</v>
      </c>
      <c r="B5304" t="s">
        <v>4220</v>
      </c>
    </row>
    <row r="5305" spans="1:2" x14ac:dyDescent="0.25">
      <c r="A5305" t="s">
        <v>4221</v>
      </c>
      <c r="B5305" t="s">
        <v>4222</v>
      </c>
    </row>
    <row r="5306" spans="1:2" x14ac:dyDescent="0.25">
      <c r="A5306" t="s">
        <v>4223</v>
      </c>
      <c r="B5306" t="s">
        <v>4224</v>
      </c>
    </row>
    <row r="5307" spans="1:2" x14ac:dyDescent="0.25">
      <c r="A5307" t="s">
        <v>4225</v>
      </c>
      <c r="B5307" t="s">
        <v>4226</v>
      </c>
    </row>
    <row r="5308" spans="1:2" x14ac:dyDescent="0.25">
      <c r="A5308" t="s">
        <v>4227</v>
      </c>
      <c r="B5308" t="s">
        <v>4228</v>
      </c>
    </row>
    <row r="5309" spans="1:2" x14ac:dyDescent="0.25">
      <c r="A5309" t="s">
        <v>4229</v>
      </c>
      <c r="B5309" t="s">
        <v>4230</v>
      </c>
    </row>
    <row r="5310" spans="1:2" x14ac:dyDescent="0.25">
      <c r="A5310" t="s">
        <v>4231</v>
      </c>
      <c r="B5310" t="s">
        <v>4232</v>
      </c>
    </row>
    <row r="5311" spans="1:2" x14ac:dyDescent="0.25">
      <c r="A5311" t="s">
        <v>4233</v>
      </c>
      <c r="B5311" t="s">
        <v>4234</v>
      </c>
    </row>
    <row r="5312" spans="1:2" x14ac:dyDescent="0.25">
      <c r="A5312" t="s">
        <v>4235</v>
      </c>
      <c r="B5312" t="s">
        <v>4236</v>
      </c>
    </row>
    <row r="5313" spans="1:2" x14ac:dyDescent="0.25">
      <c r="A5313" t="s">
        <v>4237</v>
      </c>
      <c r="B5313" t="s">
        <v>4238</v>
      </c>
    </row>
    <row r="5314" spans="1:2" x14ac:dyDescent="0.25">
      <c r="A5314" t="s">
        <v>4239</v>
      </c>
      <c r="B5314" t="s">
        <v>4240</v>
      </c>
    </row>
    <row r="5315" spans="1:2" x14ac:dyDescent="0.25">
      <c r="A5315" t="s">
        <v>4241</v>
      </c>
      <c r="B5315" t="s">
        <v>4242</v>
      </c>
    </row>
    <row r="5316" spans="1:2" x14ac:dyDescent="0.25">
      <c r="A5316" t="s">
        <v>4243</v>
      </c>
      <c r="B5316" t="s">
        <v>4244</v>
      </c>
    </row>
    <row r="5317" spans="1:2" x14ac:dyDescent="0.25">
      <c r="A5317" t="s">
        <v>4245</v>
      </c>
      <c r="B5317" t="s">
        <v>4246</v>
      </c>
    </row>
    <row r="5318" spans="1:2" x14ac:dyDescent="0.25">
      <c r="A5318" t="s">
        <v>4247</v>
      </c>
      <c r="B5318" t="s">
        <v>4248</v>
      </c>
    </row>
    <row r="5319" spans="1:2" x14ac:dyDescent="0.25">
      <c r="A5319" t="s">
        <v>4249</v>
      </c>
      <c r="B5319" t="s">
        <v>4250</v>
      </c>
    </row>
    <row r="5320" spans="1:2" x14ac:dyDescent="0.25">
      <c r="A5320" t="s">
        <v>4251</v>
      </c>
      <c r="B5320" t="s">
        <v>4252</v>
      </c>
    </row>
    <row r="5321" spans="1:2" x14ac:dyDescent="0.25">
      <c r="A5321" t="s">
        <v>4253</v>
      </c>
      <c r="B5321" t="s">
        <v>4254</v>
      </c>
    </row>
    <row r="5322" spans="1:2" x14ac:dyDescent="0.25">
      <c r="A5322" t="s">
        <v>4255</v>
      </c>
      <c r="B5322" t="s">
        <v>4256</v>
      </c>
    </row>
    <row r="5323" spans="1:2" x14ac:dyDescent="0.25">
      <c r="A5323" t="s">
        <v>4257</v>
      </c>
      <c r="B5323" t="s">
        <v>4258</v>
      </c>
    </row>
    <row r="5324" spans="1:2" x14ac:dyDescent="0.25">
      <c r="A5324" t="s">
        <v>4259</v>
      </c>
      <c r="B5324" t="s">
        <v>4260</v>
      </c>
    </row>
    <row r="5325" spans="1:2" x14ac:dyDescent="0.25">
      <c r="A5325" t="s">
        <v>4261</v>
      </c>
      <c r="B5325" t="s">
        <v>4262</v>
      </c>
    </row>
    <row r="5326" spans="1:2" x14ac:dyDescent="0.25">
      <c r="A5326" t="s">
        <v>4263</v>
      </c>
      <c r="B5326" t="s">
        <v>4264</v>
      </c>
    </row>
    <row r="5327" spans="1:2" x14ac:dyDescent="0.25">
      <c r="A5327" t="s">
        <v>4265</v>
      </c>
      <c r="B5327" t="s">
        <v>4266</v>
      </c>
    </row>
    <row r="5328" spans="1:2" x14ac:dyDescent="0.25">
      <c r="A5328" t="s">
        <v>4267</v>
      </c>
      <c r="B5328" t="s">
        <v>4268</v>
      </c>
    </row>
    <row r="5329" spans="1:2" x14ac:dyDescent="0.25">
      <c r="A5329" t="s">
        <v>4269</v>
      </c>
      <c r="B5329" t="s">
        <v>4270</v>
      </c>
    </row>
    <row r="5330" spans="1:2" x14ac:dyDescent="0.25">
      <c r="A5330" t="s">
        <v>4271</v>
      </c>
      <c r="B5330" t="s">
        <v>4272</v>
      </c>
    </row>
    <row r="5331" spans="1:2" x14ac:dyDescent="0.25">
      <c r="A5331" t="s">
        <v>4273</v>
      </c>
      <c r="B5331" t="s">
        <v>4274</v>
      </c>
    </row>
    <row r="5332" spans="1:2" x14ac:dyDescent="0.25">
      <c r="A5332" t="s">
        <v>4275</v>
      </c>
      <c r="B5332" t="s">
        <v>4276</v>
      </c>
    </row>
    <row r="5333" spans="1:2" x14ac:dyDescent="0.25">
      <c r="A5333" t="s">
        <v>4277</v>
      </c>
      <c r="B5333" t="s">
        <v>4278</v>
      </c>
    </row>
    <row r="5334" spans="1:2" x14ac:dyDescent="0.25">
      <c r="A5334" t="s">
        <v>4279</v>
      </c>
      <c r="B5334" t="s">
        <v>4280</v>
      </c>
    </row>
    <row r="5335" spans="1:2" x14ac:dyDescent="0.25">
      <c r="A5335" t="s">
        <v>4281</v>
      </c>
      <c r="B5335" t="s">
        <v>4282</v>
      </c>
    </row>
    <row r="5336" spans="1:2" x14ac:dyDescent="0.25">
      <c r="A5336" t="s">
        <v>4283</v>
      </c>
      <c r="B5336" t="s">
        <v>4284</v>
      </c>
    </row>
    <row r="5337" spans="1:2" x14ac:dyDescent="0.25">
      <c r="A5337" t="s">
        <v>4285</v>
      </c>
      <c r="B5337" t="s">
        <v>4286</v>
      </c>
    </row>
    <row r="5338" spans="1:2" x14ac:dyDescent="0.25">
      <c r="A5338" t="s">
        <v>4287</v>
      </c>
      <c r="B5338" t="s">
        <v>4288</v>
      </c>
    </row>
    <row r="5339" spans="1:2" x14ac:dyDescent="0.25">
      <c r="A5339" t="s">
        <v>4289</v>
      </c>
      <c r="B5339" t="s">
        <v>4290</v>
      </c>
    </row>
    <row r="5340" spans="1:2" x14ac:dyDescent="0.25">
      <c r="A5340" t="s">
        <v>4291</v>
      </c>
      <c r="B5340" t="s">
        <v>4292</v>
      </c>
    </row>
    <row r="5341" spans="1:2" x14ac:dyDescent="0.25">
      <c r="A5341" t="s">
        <v>4293</v>
      </c>
      <c r="B5341" t="s">
        <v>4294</v>
      </c>
    </row>
    <row r="5342" spans="1:2" x14ac:dyDescent="0.25">
      <c r="A5342" t="s">
        <v>4295</v>
      </c>
      <c r="B5342" t="s">
        <v>4296</v>
      </c>
    </row>
    <row r="5343" spans="1:2" x14ac:dyDescent="0.25">
      <c r="A5343" t="s">
        <v>4297</v>
      </c>
      <c r="B5343" t="s">
        <v>4298</v>
      </c>
    </row>
    <row r="5344" spans="1:2" x14ac:dyDescent="0.25">
      <c r="A5344" t="s">
        <v>4299</v>
      </c>
      <c r="B5344" t="s">
        <v>4300</v>
      </c>
    </row>
    <row r="5345" spans="1:2" x14ac:dyDescent="0.25">
      <c r="A5345" t="s">
        <v>4301</v>
      </c>
      <c r="B5345" t="s">
        <v>4302</v>
      </c>
    </row>
    <row r="5346" spans="1:2" x14ac:dyDescent="0.25">
      <c r="A5346" t="s">
        <v>4303</v>
      </c>
      <c r="B5346" t="s">
        <v>4304</v>
      </c>
    </row>
    <row r="5347" spans="1:2" x14ac:dyDescent="0.25">
      <c r="A5347" t="s">
        <v>4305</v>
      </c>
      <c r="B5347" t="s">
        <v>4306</v>
      </c>
    </row>
    <row r="5348" spans="1:2" x14ac:dyDescent="0.25">
      <c r="A5348" t="s">
        <v>4307</v>
      </c>
      <c r="B5348" t="s">
        <v>4308</v>
      </c>
    </row>
    <row r="5349" spans="1:2" x14ac:dyDescent="0.25">
      <c r="A5349" t="s">
        <v>4309</v>
      </c>
      <c r="B5349" t="s">
        <v>4310</v>
      </c>
    </row>
    <row r="5350" spans="1:2" x14ac:dyDescent="0.25">
      <c r="A5350" t="s">
        <v>4311</v>
      </c>
      <c r="B5350" t="s">
        <v>4312</v>
      </c>
    </row>
    <row r="5351" spans="1:2" x14ac:dyDescent="0.25">
      <c r="A5351" t="s">
        <v>4313</v>
      </c>
      <c r="B5351" t="s">
        <v>4314</v>
      </c>
    </row>
    <row r="5352" spans="1:2" x14ac:dyDescent="0.25">
      <c r="A5352" t="s">
        <v>4315</v>
      </c>
      <c r="B5352" t="s">
        <v>4316</v>
      </c>
    </row>
    <row r="5353" spans="1:2" x14ac:dyDescent="0.25">
      <c r="A5353" t="s">
        <v>4317</v>
      </c>
      <c r="B5353" t="s">
        <v>4318</v>
      </c>
    </row>
    <row r="5354" spans="1:2" x14ac:dyDescent="0.25">
      <c r="A5354" t="s">
        <v>4319</v>
      </c>
      <c r="B5354" t="s">
        <v>4320</v>
      </c>
    </row>
    <row r="5355" spans="1:2" x14ac:dyDescent="0.25">
      <c r="A5355" t="s">
        <v>4321</v>
      </c>
      <c r="B5355" t="s">
        <v>4322</v>
      </c>
    </row>
    <row r="5356" spans="1:2" x14ac:dyDescent="0.25">
      <c r="A5356" t="s">
        <v>4323</v>
      </c>
      <c r="B5356" t="s">
        <v>4324</v>
      </c>
    </row>
    <row r="5357" spans="1:2" x14ac:dyDescent="0.25">
      <c r="A5357" t="s">
        <v>4325</v>
      </c>
      <c r="B5357" t="s">
        <v>4326</v>
      </c>
    </row>
    <row r="5358" spans="1:2" x14ac:dyDescent="0.25">
      <c r="A5358" t="s">
        <v>4327</v>
      </c>
      <c r="B5358" t="s">
        <v>4328</v>
      </c>
    </row>
    <row r="5359" spans="1:2" x14ac:dyDescent="0.25">
      <c r="A5359" t="s">
        <v>4329</v>
      </c>
      <c r="B5359" t="s">
        <v>4330</v>
      </c>
    </row>
    <row r="5360" spans="1:2" x14ac:dyDescent="0.25">
      <c r="A5360" t="s">
        <v>4331</v>
      </c>
      <c r="B5360" t="s">
        <v>4332</v>
      </c>
    </row>
    <row r="5361" spans="1:2" x14ac:dyDescent="0.25">
      <c r="A5361" t="s">
        <v>4333</v>
      </c>
      <c r="B5361" t="s">
        <v>4334</v>
      </c>
    </row>
    <row r="5362" spans="1:2" x14ac:dyDescent="0.25">
      <c r="A5362" t="s">
        <v>4335</v>
      </c>
      <c r="B5362" t="s">
        <v>4336</v>
      </c>
    </row>
    <row r="5363" spans="1:2" x14ac:dyDescent="0.25">
      <c r="A5363" t="s">
        <v>4337</v>
      </c>
      <c r="B5363" t="s">
        <v>4338</v>
      </c>
    </row>
    <row r="5364" spans="1:2" x14ac:dyDescent="0.25">
      <c r="A5364" t="s">
        <v>4339</v>
      </c>
      <c r="B5364" t="s">
        <v>4340</v>
      </c>
    </row>
    <row r="5365" spans="1:2" x14ac:dyDescent="0.25">
      <c r="A5365" t="s">
        <v>4341</v>
      </c>
      <c r="B5365" t="s">
        <v>4342</v>
      </c>
    </row>
    <row r="5366" spans="1:2" x14ac:dyDescent="0.25">
      <c r="A5366" t="s">
        <v>4343</v>
      </c>
      <c r="B5366" t="s">
        <v>4344</v>
      </c>
    </row>
    <row r="5367" spans="1:2" x14ac:dyDescent="0.25">
      <c r="A5367" t="s">
        <v>4345</v>
      </c>
      <c r="B5367" t="s">
        <v>4346</v>
      </c>
    </row>
    <row r="5368" spans="1:2" x14ac:dyDescent="0.25">
      <c r="A5368" t="s">
        <v>4347</v>
      </c>
      <c r="B5368" t="s">
        <v>4348</v>
      </c>
    </row>
    <row r="5369" spans="1:2" x14ac:dyDescent="0.25">
      <c r="A5369" t="s">
        <v>4349</v>
      </c>
      <c r="B5369" t="s">
        <v>4350</v>
      </c>
    </row>
    <row r="5370" spans="1:2" x14ac:dyDescent="0.25">
      <c r="A5370" t="s">
        <v>4351</v>
      </c>
      <c r="B5370" t="s">
        <v>4352</v>
      </c>
    </row>
    <row r="5371" spans="1:2" x14ac:dyDescent="0.25">
      <c r="A5371" t="s">
        <v>4353</v>
      </c>
      <c r="B5371" t="s">
        <v>4354</v>
      </c>
    </row>
    <row r="5372" spans="1:2" x14ac:dyDescent="0.25">
      <c r="A5372" t="s">
        <v>4355</v>
      </c>
      <c r="B5372" t="s">
        <v>4356</v>
      </c>
    </row>
    <row r="5373" spans="1:2" x14ac:dyDescent="0.25">
      <c r="A5373" t="s">
        <v>4357</v>
      </c>
      <c r="B5373" t="s">
        <v>4358</v>
      </c>
    </row>
    <row r="5374" spans="1:2" x14ac:dyDescent="0.25">
      <c r="A5374" t="s">
        <v>4359</v>
      </c>
      <c r="B5374" t="s">
        <v>4360</v>
      </c>
    </row>
    <row r="5375" spans="1:2" x14ac:dyDescent="0.25">
      <c r="A5375" t="s">
        <v>4361</v>
      </c>
      <c r="B5375" t="s">
        <v>4362</v>
      </c>
    </row>
    <row r="5376" spans="1:2" x14ac:dyDescent="0.25">
      <c r="A5376" t="s">
        <v>4363</v>
      </c>
      <c r="B5376" t="s">
        <v>4364</v>
      </c>
    </row>
    <row r="5377" spans="1:2" x14ac:dyDescent="0.25">
      <c r="A5377" t="s">
        <v>4365</v>
      </c>
      <c r="B5377" t="s">
        <v>4366</v>
      </c>
    </row>
    <row r="5378" spans="1:2" x14ac:dyDescent="0.25">
      <c r="A5378" t="s">
        <v>4367</v>
      </c>
      <c r="B5378" t="s">
        <v>4368</v>
      </c>
    </row>
    <row r="5379" spans="1:2" x14ac:dyDescent="0.25">
      <c r="A5379" t="s">
        <v>4369</v>
      </c>
      <c r="B5379" t="s">
        <v>4370</v>
      </c>
    </row>
    <row r="5380" spans="1:2" x14ac:dyDescent="0.25">
      <c r="A5380" t="s">
        <v>4371</v>
      </c>
      <c r="B5380" t="s">
        <v>4372</v>
      </c>
    </row>
    <row r="5381" spans="1:2" x14ac:dyDescent="0.25">
      <c r="A5381" t="s">
        <v>4373</v>
      </c>
      <c r="B5381" t="s">
        <v>4374</v>
      </c>
    </row>
    <row r="5382" spans="1:2" x14ac:dyDescent="0.25">
      <c r="A5382" t="s">
        <v>4375</v>
      </c>
      <c r="B5382" t="s">
        <v>4376</v>
      </c>
    </row>
    <row r="5383" spans="1:2" x14ac:dyDescent="0.25">
      <c r="A5383" t="s">
        <v>4377</v>
      </c>
      <c r="B5383" t="s">
        <v>4378</v>
      </c>
    </row>
    <row r="5384" spans="1:2" x14ac:dyDescent="0.25">
      <c r="A5384" t="s">
        <v>4379</v>
      </c>
      <c r="B5384" t="s">
        <v>4380</v>
      </c>
    </row>
    <row r="5385" spans="1:2" x14ac:dyDescent="0.25">
      <c r="A5385" t="s">
        <v>4381</v>
      </c>
      <c r="B5385" t="s">
        <v>4382</v>
      </c>
    </row>
    <row r="5386" spans="1:2" x14ac:dyDescent="0.25">
      <c r="A5386" t="s">
        <v>4383</v>
      </c>
      <c r="B5386" t="s">
        <v>4384</v>
      </c>
    </row>
    <row r="5387" spans="1:2" x14ac:dyDescent="0.25">
      <c r="A5387" t="s">
        <v>4385</v>
      </c>
      <c r="B5387" t="s">
        <v>4386</v>
      </c>
    </row>
    <row r="5388" spans="1:2" x14ac:dyDescent="0.25">
      <c r="A5388" t="s">
        <v>4387</v>
      </c>
      <c r="B5388" t="s">
        <v>4388</v>
      </c>
    </row>
    <row r="5389" spans="1:2" x14ac:dyDescent="0.25">
      <c r="A5389" t="s">
        <v>4389</v>
      </c>
      <c r="B5389" t="s">
        <v>4390</v>
      </c>
    </row>
    <row r="5390" spans="1:2" x14ac:dyDescent="0.25">
      <c r="A5390" t="s">
        <v>4391</v>
      </c>
      <c r="B5390" t="s">
        <v>4392</v>
      </c>
    </row>
    <row r="5391" spans="1:2" x14ac:dyDescent="0.25">
      <c r="A5391" t="s">
        <v>4393</v>
      </c>
      <c r="B5391" t="s">
        <v>4394</v>
      </c>
    </row>
    <row r="5392" spans="1:2" x14ac:dyDescent="0.25">
      <c r="A5392" t="s">
        <v>4395</v>
      </c>
      <c r="B5392" t="s">
        <v>4396</v>
      </c>
    </row>
    <row r="5393" spans="1:2" x14ac:dyDescent="0.25">
      <c r="A5393" t="s">
        <v>4397</v>
      </c>
      <c r="B5393" t="s">
        <v>4398</v>
      </c>
    </row>
    <row r="5394" spans="1:2" x14ac:dyDescent="0.25">
      <c r="A5394" t="s">
        <v>4399</v>
      </c>
      <c r="B5394" t="s">
        <v>4400</v>
      </c>
    </row>
    <row r="5395" spans="1:2" x14ac:dyDescent="0.25">
      <c r="A5395" t="s">
        <v>4401</v>
      </c>
      <c r="B5395" t="s">
        <v>4402</v>
      </c>
    </row>
    <row r="5396" spans="1:2" x14ac:dyDescent="0.25">
      <c r="A5396" t="s">
        <v>4403</v>
      </c>
      <c r="B5396" t="s">
        <v>4404</v>
      </c>
    </row>
    <row r="5397" spans="1:2" x14ac:dyDescent="0.25">
      <c r="A5397" t="s">
        <v>4405</v>
      </c>
      <c r="B5397" t="s">
        <v>4406</v>
      </c>
    </row>
    <row r="5398" spans="1:2" x14ac:dyDescent="0.25">
      <c r="A5398" t="s">
        <v>4407</v>
      </c>
      <c r="B5398" t="s">
        <v>4408</v>
      </c>
    </row>
    <row r="5399" spans="1:2" x14ac:dyDescent="0.25">
      <c r="A5399" t="s">
        <v>4409</v>
      </c>
      <c r="B5399" t="s">
        <v>4410</v>
      </c>
    </row>
    <row r="5400" spans="1:2" x14ac:dyDescent="0.25">
      <c r="A5400" t="s">
        <v>4411</v>
      </c>
      <c r="B5400" t="s">
        <v>4412</v>
      </c>
    </row>
    <row r="5401" spans="1:2" x14ac:dyDescent="0.25">
      <c r="A5401" t="s">
        <v>4413</v>
      </c>
      <c r="B5401" t="s">
        <v>4414</v>
      </c>
    </row>
    <row r="5402" spans="1:2" x14ac:dyDescent="0.25">
      <c r="A5402" t="s">
        <v>4415</v>
      </c>
      <c r="B5402" t="s">
        <v>4416</v>
      </c>
    </row>
    <row r="5403" spans="1:2" x14ac:dyDescent="0.25">
      <c r="A5403" t="s">
        <v>4417</v>
      </c>
      <c r="B5403" t="s">
        <v>4418</v>
      </c>
    </row>
    <row r="5404" spans="1:2" x14ac:dyDescent="0.25">
      <c r="A5404" t="s">
        <v>4419</v>
      </c>
      <c r="B5404" t="s">
        <v>4420</v>
      </c>
    </row>
    <row r="5405" spans="1:2" x14ac:dyDescent="0.25">
      <c r="A5405" t="s">
        <v>4421</v>
      </c>
      <c r="B5405" t="s">
        <v>4422</v>
      </c>
    </row>
    <row r="5406" spans="1:2" x14ac:dyDescent="0.25">
      <c r="A5406" t="s">
        <v>4423</v>
      </c>
      <c r="B5406" t="s">
        <v>4424</v>
      </c>
    </row>
    <row r="5407" spans="1:2" x14ac:dyDescent="0.25">
      <c r="A5407" t="s">
        <v>4425</v>
      </c>
      <c r="B5407" t="s">
        <v>4426</v>
      </c>
    </row>
    <row r="5408" spans="1:2" x14ac:dyDescent="0.25">
      <c r="A5408" t="s">
        <v>4427</v>
      </c>
      <c r="B5408" t="s">
        <v>4428</v>
      </c>
    </row>
    <row r="5409" spans="1:2" x14ac:dyDescent="0.25">
      <c r="A5409" t="s">
        <v>4429</v>
      </c>
      <c r="B5409" t="s">
        <v>4430</v>
      </c>
    </row>
    <row r="5410" spans="1:2" x14ac:dyDescent="0.25">
      <c r="A5410" t="s">
        <v>4431</v>
      </c>
      <c r="B5410" t="s">
        <v>4432</v>
      </c>
    </row>
    <row r="5411" spans="1:2" x14ac:dyDescent="0.25">
      <c r="A5411" t="s">
        <v>4433</v>
      </c>
      <c r="B5411" t="s">
        <v>4434</v>
      </c>
    </row>
    <row r="5412" spans="1:2" x14ac:dyDescent="0.25">
      <c r="A5412" t="s">
        <v>4435</v>
      </c>
      <c r="B5412" t="s">
        <v>4436</v>
      </c>
    </row>
    <row r="5413" spans="1:2" x14ac:dyDescent="0.25">
      <c r="A5413" t="s">
        <v>4437</v>
      </c>
      <c r="B5413" t="s">
        <v>4438</v>
      </c>
    </row>
    <row r="5414" spans="1:2" x14ac:dyDescent="0.25">
      <c r="A5414" t="s">
        <v>4439</v>
      </c>
      <c r="B5414" t="s">
        <v>4440</v>
      </c>
    </row>
    <row r="5415" spans="1:2" x14ac:dyDescent="0.25">
      <c r="A5415" t="s">
        <v>4441</v>
      </c>
      <c r="B5415" t="s">
        <v>4442</v>
      </c>
    </row>
    <row r="5416" spans="1:2" x14ac:dyDescent="0.25">
      <c r="A5416" t="s">
        <v>4443</v>
      </c>
      <c r="B5416" t="s">
        <v>4444</v>
      </c>
    </row>
    <row r="5417" spans="1:2" x14ac:dyDescent="0.25">
      <c r="A5417" t="s">
        <v>4445</v>
      </c>
      <c r="B5417" t="s">
        <v>4446</v>
      </c>
    </row>
    <row r="5418" spans="1:2" x14ac:dyDescent="0.25">
      <c r="A5418" t="s">
        <v>4447</v>
      </c>
      <c r="B5418" t="s">
        <v>4448</v>
      </c>
    </row>
    <row r="5419" spans="1:2" x14ac:dyDescent="0.25">
      <c r="A5419" t="s">
        <v>4449</v>
      </c>
      <c r="B5419" t="s">
        <v>4450</v>
      </c>
    </row>
    <row r="5420" spans="1:2" x14ac:dyDescent="0.25">
      <c r="A5420" t="s">
        <v>4451</v>
      </c>
      <c r="B5420" t="s">
        <v>4452</v>
      </c>
    </row>
    <row r="5421" spans="1:2" x14ac:dyDescent="0.25">
      <c r="A5421" t="s">
        <v>4453</v>
      </c>
      <c r="B5421" t="s">
        <v>4454</v>
      </c>
    </row>
    <row r="5422" spans="1:2" x14ac:dyDescent="0.25">
      <c r="A5422" t="s">
        <v>4455</v>
      </c>
      <c r="B5422" t="s">
        <v>4456</v>
      </c>
    </row>
    <row r="5423" spans="1:2" x14ac:dyDescent="0.25">
      <c r="A5423" t="s">
        <v>4457</v>
      </c>
      <c r="B5423" t="s">
        <v>4458</v>
      </c>
    </row>
    <row r="5424" spans="1:2" x14ac:dyDescent="0.25">
      <c r="A5424" t="s">
        <v>4459</v>
      </c>
      <c r="B5424" t="s">
        <v>4460</v>
      </c>
    </row>
    <row r="5425" spans="1:2" x14ac:dyDescent="0.25">
      <c r="A5425" t="s">
        <v>4461</v>
      </c>
      <c r="B5425" t="s">
        <v>4462</v>
      </c>
    </row>
    <row r="5426" spans="1:2" x14ac:dyDescent="0.25">
      <c r="A5426" t="s">
        <v>4463</v>
      </c>
      <c r="B5426" t="s">
        <v>4464</v>
      </c>
    </row>
    <row r="5427" spans="1:2" x14ac:dyDescent="0.25">
      <c r="A5427" t="s">
        <v>4465</v>
      </c>
      <c r="B5427" t="s">
        <v>4466</v>
      </c>
    </row>
    <row r="5428" spans="1:2" x14ac:dyDescent="0.25">
      <c r="A5428" t="s">
        <v>4467</v>
      </c>
      <c r="B5428" t="s">
        <v>4468</v>
      </c>
    </row>
    <row r="5429" spans="1:2" x14ac:dyDescent="0.25">
      <c r="A5429" t="s">
        <v>4469</v>
      </c>
      <c r="B5429" t="s">
        <v>4470</v>
      </c>
    </row>
    <row r="5430" spans="1:2" x14ac:dyDescent="0.25">
      <c r="A5430" t="s">
        <v>4471</v>
      </c>
      <c r="B5430" t="s">
        <v>4472</v>
      </c>
    </row>
    <row r="5431" spans="1:2" x14ac:dyDescent="0.25">
      <c r="A5431" t="s">
        <v>4473</v>
      </c>
      <c r="B5431" t="s">
        <v>4474</v>
      </c>
    </row>
    <row r="5432" spans="1:2" x14ac:dyDescent="0.25">
      <c r="A5432" t="s">
        <v>4475</v>
      </c>
      <c r="B5432" t="s">
        <v>4476</v>
      </c>
    </row>
    <row r="5433" spans="1:2" x14ac:dyDescent="0.25">
      <c r="A5433" t="s">
        <v>4477</v>
      </c>
      <c r="B5433" t="s">
        <v>4478</v>
      </c>
    </row>
    <row r="5434" spans="1:2" x14ac:dyDescent="0.25">
      <c r="A5434" t="s">
        <v>4479</v>
      </c>
      <c r="B5434" t="s">
        <v>4480</v>
      </c>
    </row>
    <row r="5435" spans="1:2" x14ac:dyDescent="0.25">
      <c r="A5435" t="s">
        <v>4481</v>
      </c>
      <c r="B5435" t="s">
        <v>4482</v>
      </c>
    </row>
    <row r="5436" spans="1:2" x14ac:dyDescent="0.25">
      <c r="A5436" t="s">
        <v>4483</v>
      </c>
      <c r="B5436" t="s">
        <v>4484</v>
      </c>
    </row>
    <row r="5437" spans="1:2" x14ac:dyDescent="0.25">
      <c r="A5437" t="s">
        <v>4485</v>
      </c>
      <c r="B5437" t="s">
        <v>4486</v>
      </c>
    </row>
    <row r="5438" spans="1:2" x14ac:dyDescent="0.25">
      <c r="A5438" t="s">
        <v>4487</v>
      </c>
      <c r="B5438" t="s">
        <v>4488</v>
      </c>
    </row>
    <row r="5439" spans="1:2" x14ac:dyDescent="0.25">
      <c r="A5439" t="s">
        <v>4489</v>
      </c>
      <c r="B5439" t="s">
        <v>4490</v>
      </c>
    </row>
    <row r="5440" spans="1:2" x14ac:dyDescent="0.25">
      <c r="A5440" t="s">
        <v>4491</v>
      </c>
      <c r="B5440" t="s">
        <v>4492</v>
      </c>
    </row>
    <row r="5441" spans="1:2" x14ac:dyDescent="0.25">
      <c r="A5441" t="s">
        <v>4493</v>
      </c>
      <c r="B5441" t="s">
        <v>4494</v>
      </c>
    </row>
    <row r="5442" spans="1:2" x14ac:dyDescent="0.25">
      <c r="A5442" t="s">
        <v>4495</v>
      </c>
      <c r="B5442" t="s">
        <v>4496</v>
      </c>
    </row>
    <row r="5443" spans="1:2" x14ac:dyDescent="0.25">
      <c r="A5443" t="s">
        <v>4497</v>
      </c>
      <c r="B5443" t="s">
        <v>4498</v>
      </c>
    </row>
    <row r="5444" spans="1:2" x14ac:dyDescent="0.25">
      <c r="A5444" t="s">
        <v>4499</v>
      </c>
      <c r="B5444" t="s">
        <v>4500</v>
      </c>
    </row>
    <row r="5445" spans="1:2" x14ac:dyDescent="0.25">
      <c r="A5445" t="s">
        <v>4501</v>
      </c>
      <c r="B5445" t="s">
        <v>4502</v>
      </c>
    </row>
    <row r="5446" spans="1:2" x14ac:dyDescent="0.25">
      <c r="A5446" t="s">
        <v>4503</v>
      </c>
      <c r="B5446" t="s">
        <v>4504</v>
      </c>
    </row>
    <row r="5447" spans="1:2" x14ac:dyDescent="0.25">
      <c r="A5447" t="s">
        <v>4505</v>
      </c>
      <c r="B5447" t="s">
        <v>4506</v>
      </c>
    </row>
    <row r="5448" spans="1:2" x14ac:dyDescent="0.25">
      <c r="A5448" t="s">
        <v>4507</v>
      </c>
      <c r="B5448" t="s">
        <v>4508</v>
      </c>
    </row>
    <row r="5449" spans="1:2" x14ac:dyDescent="0.25">
      <c r="A5449" t="s">
        <v>4509</v>
      </c>
      <c r="B5449" t="s">
        <v>4510</v>
      </c>
    </row>
    <row r="5450" spans="1:2" x14ac:dyDescent="0.25">
      <c r="A5450" t="s">
        <v>4511</v>
      </c>
      <c r="B5450" t="s">
        <v>4512</v>
      </c>
    </row>
    <row r="5451" spans="1:2" x14ac:dyDescent="0.25">
      <c r="A5451" t="s">
        <v>4513</v>
      </c>
      <c r="B5451" t="s">
        <v>4514</v>
      </c>
    </row>
    <row r="5452" spans="1:2" x14ac:dyDescent="0.25">
      <c r="A5452" t="s">
        <v>4515</v>
      </c>
      <c r="B5452" t="s">
        <v>4516</v>
      </c>
    </row>
    <row r="5453" spans="1:2" x14ac:dyDescent="0.25">
      <c r="A5453" t="s">
        <v>4517</v>
      </c>
      <c r="B5453" t="s">
        <v>4518</v>
      </c>
    </row>
    <row r="5454" spans="1:2" x14ac:dyDescent="0.25">
      <c r="A5454" t="s">
        <v>4519</v>
      </c>
      <c r="B5454" t="s">
        <v>4520</v>
      </c>
    </row>
    <row r="5455" spans="1:2" x14ac:dyDescent="0.25">
      <c r="A5455" t="s">
        <v>4521</v>
      </c>
      <c r="B5455" t="s">
        <v>4522</v>
      </c>
    </row>
    <row r="5456" spans="1:2" x14ac:dyDescent="0.25">
      <c r="A5456" t="s">
        <v>4523</v>
      </c>
      <c r="B5456" t="s">
        <v>4524</v>
      </c>
    </row>
    <row r="5457" spans="1:2" x14ac:dyDescent="0.25">
      <c r="A5457" t="s">
        <v>4525</v>
      </c>
      <c r="B5457" t="s">
        <v>4526</v>
      </c>
    </row>
    <row r="5458" spans="1:2" x14ac:dyDescent="0.25">
      <c r="A5458" t="s">
        <v>4527</v>
      </c>
      <c r="B5458" t="s">
        <v>4528</v>
      </c>
    </row>
    <row r="5459" spans="1:2" x14ac:dyDescent="0.25">
      <c r="A5459" t="s">
        <v>4529</v>
      </c>
      <c r="B5459" t="s">
        <v>4530</v>
      </c>
    </row>
    <row r="5460" spans="1:2" x14ac:dyDescent="0.25">
      <c r="A5460" t="s">
        <v>4531</v>
      </c>
      <c r="B5460" t="s">
        <v>4532</v>
      </c>
    </row>
    <row r="5461" spans="1:2" x14ac:dyDescent="0.25">
      <c r="A5461" t="s">
        <v>4533</v>
      </c>
      <c r="B5461" t="s">
        <v>4534</v>
      </c>
    </row>
    <row r="5462" spans="1:2" x14ac:dyDescent="0.25">
      <c r="A5462" t="s">
        <v>4535</v>
      </c>
      <c r="B5462" t="s">
        <v>4536</v>
      </c>
    </row>
    <row r="5463" spans="1:2" x14ac:dyDescent="0.25">
      <c r="A5463" t="s">
        <v>4537</v>
      </c>
      <c r="B5463" t="s">
        <v>4538</v>
      </c>
    </row>
    <row r="5464" spans="1:2" x14ac:dyDescent="0.25">
      <c r="A5464" t="s">
        <v>4539</v>
      </c>
      <c r="B5464" t="s">
        <v>4540</v>
      </c>
    </row>
    <row r="5465" spans="1:2" x14ac:dyDescent="0.25">
      <c r="A5465" t="s">
        <v>4541</v>
      </c>
      <c r="B5465" t="s">
        <v>4542</v>
      </c>
    </row>
    <row r="5466" spans="1:2" x14ac:dyDescent="0.25">
      <c r="A5466" t="s">
        <v>4543</v>
      </c>
      <c r="B5466" t="s">
        <v>4544</v>
      </c>
    </row>
    <row r="5467" spans="1:2" x14ac:dyDescent="0.25">
      <c r="A5467" t="s">
        <v>4545</v>
      </c>
      <c r="B5467" t="s">
        <v>4546</v>
      </c>
    </row>
    <row r="5468" spans="1:2" x14ac:dyDescent="0.25">
      <c r="A5468" t="s">
        <v>4547</v>
      </c>
      <c r="B5468" t="s">
        <v>4548</v>
      </c>
    </row>
    <row r="5469" spans="1:2" x14ac:dyDescent="0.25">
      <c r="A5469" t="s">
        <v>4549</v>
      </c>
      <c r="B5469" t="s">
        <v>4550</v>
      </c>
    </row>
    <row r="5470" spans="1:2" x14ac:dyDescent="0.25">
      <c r="A5470" t="s">
        <v>4551</v>
      </c>
      <c r="B5470" t="s">
        <v>4552</v>
      </c>
    </row>
    <row r="5471" spans="1:2" x14ac:dyDescent="0.25">
      <c r="A5471" t="s">
        <v>4553</v>
      </c>
      <c r="B5471" t="s">
        <v>4554</v>
      </c>
    </row>
    <row r="5472" spans="1:2" x14ac:dyDescent="0.25">
      <c r="A5472" t="s">
        <v>4555</v>
      </c>
      <c r="B5472" t="s">
        <v>4556</v>
      </c>
    </row>
    <row r="5473" spans="1:2" x14ac:dyDescent="0.25">
      <c r="A5473" t="s">
        <v>4557</v>
      </c>
      <c r="B5473" t="s">
        <v>4558</v>
      </c>
    </row>
    <row r="5474" spans="1:2" x14ac:dyDescent="0.25">
      <c r="A5474" t="s">
        <v>4559</v>
      </c>
      <c r="B5474" t="s">
        <v>4560</v>
      </c>
    </row>
    <row r="5475" spans="1:2" x14ac:dyDescent="0.25">
      <c r="A5475" t="s">
        <v>4561</v>
      </c>
      <c r="B5475" t="s">
        <v>4562</v>
      </c>
    </row>
    <row r="5476" spans="1:2" x14ac:dyDescent="0.25">
      <c r="A5476" t="s">
        <v>4563</v>
      </c>
      <c r="B5476" t="s">
        <v>4564</v>
      </c>
    </row>
    <row r="5477" spans="1:2" x14ac:dyDescent="0.25">
      <c r="A5477" t="s">
        <v>4565</v>
      </c>
      <c r="B5477" t="s">
        <v>4566</v>
      </c>
    </row>
    <row r="5478" spans="1:2" x14ac:dyDescent="0.25">
      <c r="A5478" t="s">
        <v>4567</v>
      </c>
      <c r="B5478" t="s">
        <v>4568</v>
      </c>
    </row>
    <row r="5479" spans="1:2" x14ac:dyDescent="0.25">
      <c r="A5479" t="s">
        <v>4569</v>
      </c>
      <c r="B5479" t="s">
        <v>4570</v>
      </c>
    </row>
    <row r="5480" spans="1:2" x14ac:dyDescent="0.25">
      <c r="A5480" t="s">
        <v>4571</v>
      </c>
      <c r="B5480" t="s">
        <v>4572</v>
      </c>
    </row>
    <row r="5481" spans="1:2" x14ac:dyDescent="0.25">
      <c r="A5481" t="s">
        <v>4573</v>
      </c>
      <c r="B5481" t="s">
        <v>4574</v>
      </c>
    </row>
    <row r="5482" spans="1:2" x14ac:dyDescent="0.25">
      <c r="A5482" t="s">
        <v>4575</v>
      </c>
      <c r="B5482" t="s">
        <v>4576</v>
      </c>
    </row>
    <row r="5483" spans="1:2" x14ac:dyDescent="0.25">
      <c r="A5483" t="s">
        <v>4577</v>
      </c>
      <c r="B5483" t="s">
        <v>4578</v>
      </c>
    </row>
    <row r="5484" spans="1:2" x14ac:dyDescent="0.25">
      <c r="A5484" t="s">
        <v>4579</v>
      </c>
      <c r="B5484" t="s">
        <v>4580</v>
      </c>
    </row>
    <row r="5485" spans="1:2" x14ac:dyDescent="0.25">
      <c r="A5485" t="s">
        <v>4581</v>
      </c>
      <c r="B5485" t="s">
        <v>4582</v>
      </c>
    </row>
    <row r="5486" spans="1:2" x14ac:dyDescent="0.25">
      <c r="A5486" t="s">
        <v>4583</v>
      </c>
      <c r="B5486" t="s">
        <v>4584</v>
      </c>
    </row>
    <row r="5487" spans="1:2" x14ac:dyDescent="0.25">
      <c r="A5487" t="s">
        <v>4585</v>
      </c>
      <c r="B5487" t="s">
        <v>4586</v>
      </c>
    </row>
    <row r="5488" spans="1:2" x14ac:dyDescent="0.25">
      <c r="A5488" t="s">
        <v>4587</v>
      </c>
      <c r="B5488" t="s">
        <v>4588</v>
      </c>
    </row>
    <row r="5489" spans="1:2" x14ac:dyDescent="0.25">
      <c r="A5489" t="s">
        <v>4589</v>
      </c>
      <c r="B5489" t="s">
        <v>4590</v>
      </c>
    </row>
    <row r="5490" spans="1:2" x14ac:dyDescent="0.25">
      <c r="A5490" t="s">
        <v>4591</v>
      </c>
      <c r="B5490" t="s">
        <v>4592</v>
      </c>
    </row>
    <row r="5491" spans="1:2" x14ac:dyDescent="0.25">
      <c r="A5491" t="s">
        <v>4593</v>
      </c>
      <c r="B5491" t="s">
        <v>4594</v>
      </c>
    </row>
    <row r="5492" spans="1:2" x14ac:dyDescent="0.25">
      <c r="A5492" t="s">
        <v>4595</v>
      </c>
      <c r="B5492" t="s">
        <v>4596</v>
      </c>
    </row>
    <row r="5493" spans="1:2" x14ac:dyDescent="0.25">
      <c r="A5493" t="s">
        <v>4598</v>
      </c>
      <c r="B5493" t="s">
        <v>4599</v>
      </c>
    </row>
    <row r="5494" spans="1:2" x14ac:dyDescent="0.25">
      <c r="A5494" t="s">
        <v>4600</v>
      </c>
      <c r="B5494" t="s">
        <v>4601</v>
      </c>
    </row>
    <row r="5495" spans="1:2" x14ac:dyDescent="0.25">
      <c r="A5495" t="s">
        <v>4602</v>
      </c>
      <c r="B5495" t="s">
        <v>4603</v>
      </c>
    </row>
    <row r="5496" spans="1:2" x14ac:dyDescent="0.25">
      <c r="A5496" t="s">
        <v>4604</v>
      </c>
      <c r="B5496" t="s">
        <v>4605</v>
      </c>
    </row>
    <row r="5497" spans="1:2" x14ac:dyDescent="0.25">
      <c r="A5497" t="s">
        <v>4606</v>
      </c>
      <c r="B5497" t="s">
        <v>4607</v>
      </c>
    </row>
    <row r="5498" spans="1:2" x14ac:dyDescent="0.25">
      <c r="A5498" t="s">
        <v>4608</v>
      </c>
      <c r="B5498" t="s">
        <v>4609</v>
      </c>
    </row>
    <row r="5499" spans="1:2" x14ac:dyDescent="0.25">
      <c r="A5499" t="s">
        <v>4610</v>
      </c>
      <c r="B5499" t="s">
        <v>4611</v>
      </c>
    </row>
    <row r="5500" spans="1:2" x14ac:dyDescent="0.25">
      <c r="A5500" t="s">
        <v>4612</v>
      </c>
      <c r="B5500" t="s">
        <v>4613</v>
      </c>
    </row>
    <row r="5501" spans="1:2" x14ac:dyDescent="0.25">
      <c r="A5501" t="s">
        <v>4614</v>
      </c>
      <c r="B5501" t="s">
        <v>4615</v>
      </c>
    </row>
    <row r="5502" spans="1:2" x14ac:dyDescent="0.25">
      <c r="A5502" t="s">
        <v>4616</v>
      </c>
      <c r="B5502" t="s">
        <v>4617</v>
      </c>
    </row>
    <row r="5503" spans="1:2" x14ac:dyDescent="0.25">
      <c r="A5503" t="s">
        <v>4618</v>
      </c>
      <c r="B5503" t="s">
        <v>4619</v>
      </c>
    </row>
    <row r="5504" spans="1:2" x14ac:dyDescent="0.25">
      <c r="A5504" t="s">
        <v>4620</v>
      </c>
      <c r="B5504" t="s">
        <v>4621</v>
      </c>
    </row>
    <row r="5505" spans="1:2" x14ac:dyDescent="0.25">
      <c r="A5505" t="s">
        <v>4622</v>
      </c>
      <c r="B5505" t="s">
        <v>4623</v>
      </c>
    </row>
    <row r="5506" spans="1:2" x14ac:dyDescent="0.25">
      <c r="A5506" t="s">
        <v>4624</v>
      </c>
      <c r="B5506" t="s">
        <v>4625</v>
      </c>
    </row>
    <row r="5507" spans="1:2" x14ac:dyDescent="0.25">
      <c r="A5507" t="s">
        <v>4626</v>
      </c>
      <c r="B5507" t="s">
        <v>4627</v>
      </c>
    </row>
    <row r="5508" spans="1:2" x14ac:dyDescent="0.25">
      <c r="A5508" t="s">
        <v>4628</v>
      </c>
      <c r="B5508" t="s">
        <v>4629</v>
      </c>
    </row>
    <row r="5509" spans="1:2" x14ac:dyDescent="0.25">
      <c r="A5509" t="s">
        <v>4630</v>
      </c>
      <c r="B5509" t="s">
        <v>4631</v>
      </c>
    </row>
    <row r="5510" spans="1:2" x14ac:dyDescent="0.25">
      <c r="A5510" t="s">
        <v>4632</v>
      </c>
      <c r="B5510" t="s">
        <v>4633</v>
      </c>
    </row>
    <row r="5511" spans="1:2" x14ac:dyDescent="0.25">
      <c r="A5511" t="s">
        <v>4634</v>
      </c>
      <c r="B5511" t="s">
        <v>4635</v>
      </c>
    </row>
    <row r="5512" spans="1:2" x14ac:dyDescent="0.25">
      <c r="A5512" t="s">
        <v>4637</v>
      </c>
      <c r="B5512" t="s">
        <v>4638</v>
      </c>
    </row>
    <row r="5513" spans="1:2" x14ac:dyDescent="0.25">
      <c r="A5513" t="s">
        <v>4639</v>
      </c>
      <c r="B5513" t="s">
        <v>4640</v>
      </c>
    </row>
    <row r="5514" spans="1:2" x14ac:dyDescent="0.25">
      <c r="A5514" t="s">
        <v>4641</v>
      </c>
      <c r="B5514" t="s">
        <v>4642</v>
      </c>
    </row>
    <row r="5515" spans="1:2" x14ac:dyDescent="0.25">
      <c r="A5515" t="s">
        <v>4643</v>
      </c>
      <c r="B5515" t="s">
        <v>4644</v>
      </c>
    </row>
    <row r="5516" spans="1:2" x14ac:dyDescent="0.25">
      <c r="A5516" t="s">
        <v>4645</v>
      </c>
      <c r="B5516" t="s">
        <v>4646</v>
      </c>
    </row>
    <row r="5517" spans="1:2" x14ac:dyDescent="0.25">
      <c r="A5517" t="s">
        <v>4647</v>
      </c>
      <c r="B5517" t="s">
        <v>4648</v>
      </c>
    </row>
    <row r="5518" spans="1:2" x14ac:dyDescent="0.25">
      <c r="A5518" t="s">
        <v>4649</v>
      </c>
      <c r="B5518" t="s">
        <v>4650</v>
      </c>
    </row>
    <row r="5519" spans="1:2" x14ac:dyDescent="0.25">
      <c r="A5519" t="s">
        <v>4651</v>
      </c>
      <c r="B5519" t="s">
        <v>4652</v>
      </c>
    </row>
    <row r="5520" spans="1:2" x14ac:dyDescent="0.25">
      <c r="A5520" t="s">
        <v>4653</v>
      </c>
      <c r="B5520" t="s">
        <v>4654</v>
      </c>
    </row>
    <row r="5521" spans="1:2" x14ac:dyDescent="0.25">
      <c r="A5521" t="s">
        <v>4655</v>
      </c>
      <c r="B5521" t="s">
        <v>4656</v>
      </c>
    </row>
    <row r="5522" spans="1:2" x14ac:dyDescent="0.25">
      <c r="A5522" t="s">
        <v>4657</v>
      </c>
      <c r="B5522" t="s">
        <v>4658</v>
      </c>
    </row>
    <row r="5523" spans="1:2" x14ac:dyDescent="0.25">
      <c r="A5523" t="s">
        <v>4660</v>
      </c>
      <c r="B5523" t="s">
        <v>4661</v>
      </c>
    </row>
    <row r="5524" spans="1:2" x14ac:dyDescent="0.25">
      <c r="A5524" t="s">
        <v>4662</v>
      </c>
      <c r="B5524" t="s">
        <v>4663</v>
      </c>
    </row>
    <row r="5525" spans="1:2" x14ac:dyDescent="0.25">
      <c r="A5525" t="s">
        <v>4664</v>
      </c>
      <c r="B5525" t="s">
        <v>4665</v>
      </c>
    </row>
    <row r="5526" spans="1:2" x14ac:dyDescent="0.25">
      <c r="A5526" t="s">
        <v>4666</v>
      </c>
      <c r="B5526" t="s">
        <v>4667</v>
      </c>
    </row>
    <row r="5527" spans="1:2" x14ac:dyDescent="0.25">
      <c r="A5527" t="s">
        <v>4668</v>
      </c>
      <c r="B5527" t="s">
        <v>4669</v>
      </c>
    </row>
    <row r="5528" spans="1:2" x14ac:dyDescent="0.25">
      <c r="A5528" t="s">
        <v>4670</v>
      </c>
      <c r="B5528" t="s">
        <v>4671</v>
      </c>
    </row>
    <row r="5529" spans="1:2" x14ac:dyDescent="0.25">
      <c r="A5529" t="s">
        <v>4672</v>
      </c>
      <c r="B5529" t="s">
        <v>4673</v>
      </c>
    </row>
    <row r="5530" spans="1:2" x14ac:dyDescent="0.25">
      <c r="A5530" t="s">
        <v>4674</v>
      </c>
      <c r="B5530" t="s">
        <v>4675</v>
      </c>
    </row>
    <row r="5531" spans="1:2" x14ac:dyDescent="0.25">
      <c r="A5531" t="s">
        <v>4677</v>
      </c>
      <c r="B5531" t="s">
        <v>4678</v>
      </c>
    </row>
    <row r="5532" spans="1:2" x14ac:dyDescent="0.25">
      <c r="A5532" t="s">
        <v>4679</v>
      </c>
      <c r="B5532" t="s">
        <v>4680</v>
      </c>
    </row>
    <row r="5533" spans="1:2" x14ac:dyDescent="0.25">
      <c r="A5533" t="s">
        <v>4681</v>
      </c>
      <c r="B5533" t="s">
        <v>4682</v>
      </c>
    </row>
    <row r="5534" spans="1:2" x14ac:dyDescent="0.25">
      <c r="A5534" t="s">
        <v>4683</v>
      </c>
      <c r="B5534" t="s">
        <v>4684</v>
      </c>
    </row>
    <row r="5535" spans="1:2" x14ac:dyDescent="0.25">
      <c r="A5535" t="s">
        <v>4685</v>
      </c>
      <c r="B5535" t="s">
        <v>4686</v>
      </c>
    </row>
    <row r="5536" spans="1:2" x14ac:dyDescent="0.25">
      <c r="A5536" t="s">
        <v>4687</v>
      </c>
      <c r="B5536" t="s">
        <v>4688</v>
      </c>
    </row>
    <row r="5537" spans="1:2" x14ac:dyDescent="0.25">
      <c r="A5537" t="s">
        <v>4689</v>
      </c>
      <c r="B5537" t="s">
        <v>4690</v>
      </c>
    </row>
    <row r="5538" spans="1:2" x14ac:dyDescent="0.25">
      <c r="A5538" t="s">
        <v>4691</v>
      </c>
      <c r="B5538" t="s">
        <v>4692</v>
      </c>
    </row>
    <row r="5539" spans="1:2" x14ac:dyDescent="0.25">
      <c r="A5539" t="s">
        <v>4693</v>
      </c>
      <c r="B5539" t="s">
        <v>4694</v>
      </c>
    </row>
    <row r="5540" spans="1:2" x14ac:dyDescent="0.25">
      <c r="A5540" t="s">
        <v>4695</v>
      </c>
      <c r="B5540" t="s">
        <v>4696</v>
      </c>
    </row>
    <row r="5541" spans="1:2" x14ac:dyDescent="0.25">
      <c r="A5541" t="s">
        <v>4697</v>
      </c>
      <c r="B5541" t="s">
        <v>4698</v>
      </c>
    </row>
    <row r="5542" spans="1:2" x14ac:dyDescent="0.25">
      <c r="A5542" t="s">
        <v>4700</v>
      </c>
      <c r="B5542" t="s">
        <v>4701</v>
      </c>
    </row>
    <row r="5543" spans="1:2" x14ac:dyDescent="0.25">
      <c r="A5543" t="s">
        <v>4702</v>
      </c>
      <c r="B5543" t="s">
        <v>4703</v>
      </c>
    </row>
    <row r="5544" spans="1:2" x14ac:dyDescent="0.25">
      <c r="A5544" t="s">
        <v>4704</v>
      </c>
      <c r="B5544" t="s">
        <v>4705</v>
      </c>
    </row>
    <row r="5545" spans="1:2" x14ac:dyDescent="0.25">
      <c r="A5545" t="s">
        <v>4706</v>
      </c>
      <c r="B5545" t="s">
        <v>4707</v>
      </c>
    </row>
    <row r="5546" spans="1:2" x14ac:dyDescent="0.25">
      <c r="A5546" t="s">
        <v>4708</v>
      </c>
      <c r="B5546" t="s">
        <v>4709</v>
      </c>
    </row>
    <row r="5547" spans="1:2" x14ac:dyDescent="0.25">
      <c r="A5547" t="s">
        <v>4710</v>
      </c>
      <c r="B5547" t="s">
        <v>4711</v>
      </c>
    </row>
    <row r="5548" spans="1:2" x14ac:dyDescent="0.25">
      <c r="A5548" t="s">
        <v>4712</v>
      </c>
      <c r="B5548" t="s">
        <v>4713</v>
      </c>
    </row>
    <row r="5549" spans="1:2" x14ac:dyDescent="0.25">
      <c r="A5549" t="s">
        <v>4714</v>
      </c>
      <c r="B5549" t="s">
        <v>4715</v>
      </c>
    </row>
    <row r="5550" spans="1:2" x14ac:dyDescent="0.25">
      <c r="A5550" t="s">
        <v>4716</v>
      </c>
      <c r="B5550" t="s">
        <v>4717</v>
      </c>
    </row>
    <row r="5551" spans="1:2" x14ac:dyDescent="0.25">
      <c r="A5551" t="s">
        <v>4718</v>
      </c>
      <c r="B5551" t="s">
        <v>4719</v>
      </c>
    </row>
    <row r="5552" spans="1:2" x14ac:dyDescent="0.25">
      <c r="A5552" t="s">
        <v>4720</v>
      </c>
      <c r="B5552" t="s">
        <v>4721</v>
      </c>
    </row>
    <row r="5553" spans="1:2" x14ac:dyDescent="0.25">
      <c r="A5553" t="s">
        <v>4722</v>
      </c>
      <c r="B5553" t="s">
        <v>4723</v>
      </c>
    </row>
    <row r="5554" spans="1:2" x14ac:dyDescent="0.25">
      <c r="A5554" t="s">
        <v>4724</v>
      </c>
      <c r="B5554" t="s">
        <v>4725</v>
      </c>
    </row>
    <row r="5555" spans="1:2" x14ac:dyDescent="0.25">
      <c r="A5555" t="s">
        <v>4726</v>
      </c>
      <c r="B5555" t="s">
        <v>4727</v>
      </c>
    </row>
    <row r="5556" spans="1:2" x14ac:dyDescent="0.25">
      <c r="A5556" t="s">
        <v>4728</v>
      </c>
      <c r="B5556" t="s">
        <v>4729</v>
      </c>
    </row>
    <row r="5557" spans="1:2" x14ac:dyDescent="0.25">
      <c r="A5557" t="s">
        <v>4730</v>
      </c>
      <c r="B5557" t="s">
        <v>4731</v>
      </c>
    </row>
    <row r="5558" spans="1:2" x14ac:dyDescent="0.25">
      <c r="A5558" t="s">
        <v>13366</v>
      </c>
      <c r="B5558" t="s">
        <v>13367</v>
      </c>
    </row>
    <row r="5559" spans="1:2" x14ac:dyDescent="0.25">
      <c r="A5559" t="s">
        <v>4732</v>
      </c>
      <c r="B5559" t="s">
        <v>4733</v>
      </c>
    </row>
    <row r="5560" spans="1:2" x14ac:dyDescent="0.25">
      <c r="A5560" t="s">
        <v>13368</v>
      </c>
      <c r="B5560" t="s">
        <v>13369</v>
      </c>
    </row>
    <row r="5561" spans="1:2" x14ac:dyDescent="0.25">
      <c r="A5561" t="s">
        <v>4734</v>
      </c>
      <c r="B5561" t="s">
        <v>4735</v>
      </c>
    </row>
    <row r="5562" spans="1:2" x14ac:dyDescent="0.25">
      <c r="A5562" t="s">
        <v>13370</v>
      </c>
      <c r="B5562" t="s">
        <v>13371</v>
      </c>
    </row>
    <row r="5563" spans="1:2" x14ac:dyDescent="0.25">
      <c r="A5563" t="s">
        <v>4736</v>
      </c>
      <c r="B5563" t="s">
        <v>4737</v>
      </c>
    </row>
    <row r="5564" spans="1:2" x14ac:dyDescent="0.25">
      <c r="A5564" t="s">
        <v>13372</v>
      </c>
      <c r="B5564" t="s">
        <v>13373</v>
      </c>
    </row>
    <row r="5565" spans="1:2" x14ac:dyDescent="0.25">
      <c r="A5565" t="s">
        <v>4738</v>
      </c>
      <c r="B5565" t="s">
        <v>4739</v>
      </c>
    </row>
    <row r="5566" spans="1:2" x14ac:dyDescent="0.25">
      <c r="A5566" t="s">
        <v>13374</v>
      </c>
      <c r="B5566" t="s">
        <v>13375</v>
      </c>
    </row>
    <row r="5567" spans="1:2" x14ac:dyDescent="0.25">
      <c r="A5567" t="s">
        <v>4740</v>
      </c>
      <c r="B5567" t="s">
        <v>4741</v>
      </c>
    </row>
    <row r="5568" spans="1:2" x14ac:dyDescent="0.25">
      <c r="A5568" t="s">
        <v>13376</v>
      </c>
      <c r="B5568" t="s">
        <v>13377</v>
      </c>
    </row>
    <row r="5569" spans="1:2" x14ac:dyDescent="0.25">
      <c r="A5569" t="s">
        <v>4742</v>
      </c>
      <c r="B5569" t="s">
        <v>4743</v>
      </c>
    </row>
    <row r="5570" spans="1:2" x14ac:dyDescent="0.25">
      <c r="A5570" t="s">
        <v>13378</v>
      </c>
      <c r="B5570" t="s">
        <v>13379</v>
      </c>
    </row>
    <row r="5571" spans="1:2" x14ac:dyDescent="0.25">
      <c r="A5571" t="s">
        <v>4744</v>
      </c>
      <c r="B5571" t="s">
        <v>4745</v>
      </c>
    </row>
    <row r="5572" spans="1:2" x14ac:dyDescent="0.25">
      <c r="A5572" t="s">
        <v>13380</v>
      </c>
      <c r="B5572" t="s">
        <v>13381</v>
      </c>
    </row>
    <row r="5573" spans="1:2" x14ac:dyDescent="0.25">
      <c r="A5573" t="s">
        <v>4746</v>
      </c>
      <c r="B5573" t="s">
        <v>4747</v>
      </c>
    </row>
    <row r="5574" spans="1:2" x14ac:dyDescent="0.25">
      <c r="A5574" t="s">
        <v>4748</v>
      </c>
      <c r="B5574" t="s">
        <v>4749</v>
      </c>
    </row>
    <row r="5575" spans="1:2" x14ac:dyDescent="0.25">
      <c r="A5575" t="s">
        <v>4750</v>
      </c>
      <c r="B5575" t="s">
        <v>4751</v>
      </c>
    </row>
    <row r="5576" spans="1:2" x14ac:dyDescent="0.25">
      <c r="A5576" t="s">
        <v>4752</v>
      </c>
      <c r="B5576" t="s">
        <v>4753</v>
      </c>
    </row>
    <row r="5577" spans="1:2" x14ac:dyDescent="0.25">
      <c r="A5577" t="s">
        <v>4754</v>
      </c>
      <c r="B5577" t="s">
        <v>4755</v>
      </c>
    </row>
    <row r="5578" spans="1:2" x14ac:dyDescent="0.25">
      <c r="A5578" t="s">
        <v>4756</v>
      </c>
      <c r="B5578" t="s">
        <v>4757</v>
      </c>
    </row>
    <row r="5579" spans="1:2" x14ac:dyDescent="0.25">
      <c r="A5579" t="s">
        <v>4758</v>
      </c>
      <c r="B5579" t="s">
        <v>4759</v>
      </c>
    </row>
    <row r="5580" spans="1:2" x14ac:dyDescent="0.25">
      <c r="A5580" t="s">
        <v>4760</v>
      </c>
      <c r="B5580" t="s">
        <v>4761</v>
      </c>
    </row>
    <row r="5581" spans="1:2" x14ac:dyDescent="0.25">
      <c r="A5581" t="s">
        <v>4762</v>
      </c>
      <c r="B5581" t="s">
        <v>4763</v>
      </c>
    </row>
    <row r="5582" spans="1:2" x14ac:dyDescent="0.25">
      <c r="A5582" t="s">
        <v>4764</v>
      </c>
      <c r="B5582" t="s">
        <v>4765</v>
      </c>
    </row>
    <row r="5583" spans="1:2" x14ac:dyDescent="0.25">
      <c r="A5583" t="s">
        <v>4766</v>
      </c>
      <c r="B5583" t="s">
        <v>4767</v>
      </c>
    </row>
    <row r="5584" spans="1:2" x14ac:dyDescent="0.25">
      <c r="A5584" t="s">
        <v>4768</v>
      </c>
      <c r="B5584" t="s">
        <v>4769</v>
      </c>
    </row>
    <row r="5585" spans="1:2" x14ac:dyDescent="0.25">
      <c r="A5585" t="s">
        <v>4770</v>
      </c>
      <c r="B5585" t="s">
        <v>4771</v>
      </c>
    </row>
    <row r="5586" spans="1:2" x14ac:dyDescent="0.25">
      <c r="A5586" t="s">
        <v>4772</v>
      </c>
      <c r="B5586" t="s">
        <v>4773</v>
      </c>
    </row>
    <row r="5587" spans="1:2" x14ac:dyDescent="0.25">
      <c r="A5587" t="s">
        <v>4774</v>
      </c>
      <c r="B5587" t="s">
        <v>4775</v>
      </c>
    </row>
    <row r="5588" spans="1:2" x14ac:dyDescent="0.25">
      <c r="A5588" t="s">
        <v>4776</v>
      </c>
      <c r="B5588" t="s">
        <v>4777</v>
      </c>
    </row>
    <row r="5589" spans="1:2" x14ac:dyDescent="0.25">
      <c r="A5589" t="s">
        <v>4778</v>
      </c>
      <c r="B5589" t="s">
        <v>4779</v>
      </c>
    </row>
    <row r="5590" spans="1:2" x14ac:dyDescent="0.25">
      <c r="A5590" t="s">
        <v>4780</v>
      </c>
      <c r="B5590" t="s">
        <v>4781</v>
      </c>
    </row>
    <row r="5591" spans="1:2" x14ac:dyDescent="0.25">
      <c r="A5591" t="s">
        <v>4782</v>
      </c>
      <c r="B5591" t="s">
        <v>4783</v>
      </c>
    </row>
    <row r="5592" spans="1:2" x14ac:dyDescent="0.25">
      <c r="A5592" t="s">
        <v>4784</v>
      </c>
      <c r="B5592" t="s">
        <v>4785</v>
      </c>
    </row>
    <row r="5593" spans="1:2" x14ac:dyDescent="0.25">
      <c r="A5593" t="s">
        <v>4786</v>
      </c>
      <c r="B5593" t="s">
        <v>4787</v>
      </c>
    </row>
    <row r="5594" spans="1:2" x14ac:dyDescent="0.25">
      <c r="A5594" t="s">
        <v>4788</v>
      </c>
      <c r="B5594" t="s">
        <v>4789</v>
      </c>
    </row>
    <row r="5595" spans="1:2" x14ac:dyDescent="0.25">
      <c r="A5595" t="s">
        <v>4790</v>
      </c>
      <c r="B5595" t="s">
        <v>4791</v>
      </c>
    </row>
    <row r="5596" spans="1:2" x14ac:dyDescent="0.25">
      <c r="A5596" t="s">
        <v>4792</v>
      </c>
      <c r="B5596" t="s">
        <v>4793</v>
      </c>
    </row>
    <row r="5597" spans="1:2" x14ac:dyDescent="0.25">
      <c r="A5597" t="s">
        <v>4794</v>
      </c>
      <c r="B5597" t="s">
        <v>4795</v>
      </c>
    </row>
    <row r="5598" spans="1:2" x14ac:dyDescent="0.25">
      <c r="A5598" t="s">
        <v>4796</v>
      </c>
      <c r="B5598" t="s">
        <v>4797</v>
      </c>
    </row>
    <row r="5599" spans="1:2" x14ac:dyDescent="0.25">
      <c r="A5599" t="s">
        <v>4798</v>
      </c>
      <c r="B5599" t="s">
        <v>4799</v>
      </c>
    </row>
    <row r="5600" spans="1:2" x14ac:dyDescent="0.25">
      <c r="A5600" t="s">
        <v>4800</v>
      </c>
      <c r="B5600" t="s">
        <v>4801</v>
      </c>
    </row>
    <row r="5601" spans="1:2" x14ac:dyDescent="0.25">
      <c r="A5601" t="s">
        <v>13382</v>
      </c>
      <c r="B5601" t="s">
        <v>13383</v>
      </c>
    </row>
    <row r="5602" spans="1:2" x14ac:dyDescent="0.25">
      <c r="A5602" t="s">
        <v>4802</v>
      </c>
      <c r="B5602" t="s">
        <v>4803</v>
      </c>
    </row>
    <row r="5603" spans="1:2" x14ac:dyDescent="0.25">
      <c r="A5603" t="s">
        <v>13384</v>
      </c>
      <c r="B5603" t="s">
        <v>13385</v>
      </c>
    </row>
    <row r="5604" spans="1:2" x14ac:dyDescent="0.25">
      <c r="A5604" t="s">
        <v>4804</v>
      </c>
      <c r="B5604" t="s">
        <v>4805</v>
      </c>
    </row>
    <row r="5605" spans="1:2" x14ac:dyDescent="0.25">
      <c r="A5605" t="s">
        <v>13386</v>
      </c>
      <c r="B5605" t="s">
        <v>13387</v>
      </c>
    </row>
    <row r="5606" spans="1:2" x14ac:dyDescent="0.25">
      <c r="A5606" t="s">
        <v>4806</v>
      </c>
      <c r="B5606" t="s">
        <v>4807</v>
      </c>
    </row>
    <row r="5607" spans="1:2" x14ac:dyDescent="0.25">
      <c r="A5607" t="s">
        <v>13388</v>
      </c>
      <c r="B5607" t="s">
        <v>13389</v>
      </c>
    </row>
    <row r="5608" spans="1:2" x14ac:dyDescent="0.25">
      <c r="A5608" t="s">
        <v>4808</v>
      </c>
      <c r="B5608" t="s">
        <v>4809</v>
      </c>
    </row>
    <row r="5609" spans="1:2" x14ac:dyDescent="0.25">
      <c r="A5609" t="s">
        <v>13390</v>
      </c>
      <c r="B5609" t="s">
        <v>13391</v>
      </c>
    </row>
    <row r="5610" spans="1:2" x14ac:dyDescent="0.25">
      <c r="A5610" t="s">
        <v>4810</v>
      </c>
      <c r="B5610" t="s">
        <v>4811</v>
      </c>
    </row>
    <row r="5611" spans="1:2" x14ac:dyDescent="0.25">
      <c r="A5611" t="s">
        <v>13392</v>
      </c>
      <c r="B5611" t="s">
        <v>13393</v>
      </c>
    </row>
    <row r="5612" spans="1:2" x14ac:dyDescent="0.25">
      <c r="A5612" t="s">
        <v>4812</v>
      </c>
      <c r="B5612" t="s">
        <v>4813</v>
      </c>
    </row>
    <row r="5613" spans="1:2" x14ac:dyDescent="0.25">
      <c r="A5613" t="s">
        <v>13394</v>
      </c>
      <c r="B5613" t="s">
        <v>13395</v>
      </c>
    </row>
    <row r="5614" spans="1:2" x14ac:dyDescent="0.25">
      <c r="A5614" t="s">
        <v>4814</v>
      </c>
      <c r="B5614" t="s">
        <v>4815</v>
      </c>
    </row>
    <row r="5615" spans="1:2" x14ac:dyDescent="0.25">
      <c r="A5615" t="s">
        <v>13396</v>
      </c>
      <c r="B5615" t="s">
        <v>13397</v>
      </c>
    </row>
    <row r="5616" spans="1:2" x14ac:dyDescent="0.25">
      <c r="A5616" t="s">
        <v>4816</v>
      </c>
      <c r="B5616" t="s">
        <v>4817</v>
      </c>
    </row>
    <row r="5617" spans="1:2" x14ac:dyDescent="0.25">
      <c r="A5617" t="s">
        <v>4819</v>
      </c>
      <c r="B5617" t="s">
        <v>4820</v>
      </c>
    </row>
    <row r="5618" spans="1:2" x14ac:dyDescent="0.25">
      <c r="A5618" t="s">
        <v>4821</v>
      </c>
      <c r="B5618" t="s">
        <v>4822</v>
      </c>
    </row>
    <row r="5619" spans="1:2" x14ac:dyDescent="0.25">
      <c r="A5619" t="s">
        <v>4823</v>
      </c>
      <c r="B5619" t="s">
        <v>4824</v>
      </c>
    </row>
    <row r="5620" spans="1:2" x14ac:dyDescent="0.25">
      <c r="A5620" t="s">
        <v>4825</v>
      </c>
      <c r="B5620" t="s">
        <v>4826</v>
      </c>
    </row>
    <row r="5621" spans="1:2" x14ac:dyDescent="0.25">
      <c r="A5621" t="s">
        <v>4827</v>
      </c>
      <c r="B5621" t="s">
        <v>4828</v>
      </c>
    </row>
    <row r="5622" spans="1:2" x14ac:dyDescent="0.25">
      <c r="A5622" t="s">
        <v>4829</v>
      </c>
      <c r="B5622" t="s">
        <v>4830</v>
      </c>
    </row>
    <row r="5623" spans="1:2" x14ac:dyDescent="0.25">
      <c r="A5623" t="s">
        <v>4831</v>
      </c>
      <c r="B5623" t="s">
        <v>4832</v>
      </c>
    </row>
    <row r="5624" spans="1:2" x14ac:dyDescent="0.25">
      <c r="A5624" t="s">
        <v>4833</v>
      </c>
      <c r="B5624" t="s">
        <v>4834</v>
      </c>
    </row>
    <row r="5625" spans="1:2" x14ac:dyDescent="0.25">
      <c r="A5625" t="s">
        <v>4835</v>
      </c>
      <c r="B5625" t="s">
        <v>4836</v>
      </c>
    </row>
    <row r="5626" spans="1:2" x14ac:dyDescent="0.25">
      <c r="A5626" t="s">
        <v>4837</v>
      </c>
      <c r="B5626" t="s">
        <v>4838</v>
      </c>
    </row>
    <row r="5627" spans="1:2" x14ac:dyDescent="0.25">
      <c r="A5627" t="s">
        <v>4839</v>
      </c>
      <c r="B5627" t="s">
        <v>4840</v>
      </c>
    </row>
    <row r="5628" spans="1:2" x14ac:dyDescent="0.25">
      <c r="A5628" t="s">
        <v>4841</v>
      </c>
      <c r="B5628" t="s">
        <v>4842</v>
      </c>
    </row>
    <row r="5629" spans="1:2" x14ac:dyDescent="0.25">
      <c r="A5629" t="s">
        <v>4843</v>
      </c>
      <c r="B5629" t="s">
        <v>4844</v>
      </c>
    </row>
    <row r="5630" spans="1:2" x14ac:dyDescent="0.25">
      <c r="A5630" t="s">
        <v>4845</v>
      </c>
      <c r="B5630" t="s">
        <v>4846</v>
      </c>
    </row>
    <row r="5631" spans="1:2" x14ac:dyDescent="0.25">
      <c r="A5631" t="s">
        <v>4847</v>
      </c>
      <c r="B5631" t="s">
        <v>4848</v>
      </c>
    </row>
    <row r="5632" spans="1:2" x14ac:dyDescent="0.25">
      <c r="A5632" t="s">
        <v>4849</v>
      </c>
      <c r="B5632" t="s">
        <v>4850</v>
      </c>
    </row>
    <row r="5633" spans="1:2" x14ac:dyDescent="0.25">
      <c r="A5633" t="s">
        <v>4851</v>
      </c>
      <c r="B5633" t="s">
        <v>4852</v>
      </c>
    </row>
    <row r="5634" spans="1:2" x14ac:dyDescent="0.25">
      <c r="A5634" t="s">
        <v>4853</v>
      </c>
      <c r="B5634" t="s">
        <v>4854</v>
      </c>
    </row>
    <row r="5635" spans="1:2" x14ac:dyDescent="0.25">
      <c r="A5635" t="s">
        <v>4855</v>
      </c>
      <c r="B5635" t="s">
        <v>4856</v>
      </c>
    </row>
    <row r="5636" spans="1:2" x14ac:dyDescent="0.25">
      <c r="A5636" t="s">
        <v>4857</v>
      </c>
      <c r="B5636" t="s">
        <v>4858</v>
      </c>
    </row>
    <row r="5637" spans="1:2" x14ac:dyDescent="0.25">
      <c r="A5637" t="s">
        <v>4859</v>
      </c>
      <c r="B5637" t="s">
        <v>4860</v>
      </c>
    </row>
    <row r="5638" spans="1:2" x14ac:dyDescent="0.25">
      <c r="A5638" t="s">
        <v>4861</v>
      </c>
      <c r="B5638" t="s">
        <v>4862</v>
      </c>
    </row>
    <row r="5639" spans="1:2" x14ac:dyDescent="0.25">
      <c r="A5639" t="s">
        <v>4863</v>
      </c>
      <c r="B5639" t="s">
        <v>4864</v>
      </c>
    </row>
    <row r="5640" spans="1:2" x14ac:dyDescent="0.25">
      <c r="A5640" t="s">
        <v>4865</v>
      </c>
      <c r="B5640" t="s">
        <v>4866</v>
      </c>
    </row>
    <row r="5641" spans="1:2" x14ac:dyDescent="0.25">
      <c r="A5641" t="s">
        <v>4867</v>
      </c>
      <c r="B5641" t="s">
        <v>4868</v>
      </c>
    </row>
    <row r="5642" spans="1:2" x14ac:dyDescent="0.25">
      <c r="A5642" t="s">
        <v>4869</v>
      </c>
      <c r="B5642" t="s">
        <v>4870</v>
      </c>
    </row>
    <row r="5643" spans="1:2" x14ac:dyDescent="0.25">
      <c r="A5643" t="s">
        <v>4871</v>
      </c>
      <c r="B5643" t="s">
        <v>4872</v>
      </c>
    </row>
    <row r="5644" spans="1:2" x14ac:dyDescent="0.25">
      <c r="A5644" t="s">
        <v>4873</v>
      </c>
      <c r="B5644" t="s">
        <v>4874</v>
      </c>
    </row>
    <row r="5645" spans="1:2" x14ac:dyDescent="0.25">
      <c r="A5645" t="s">
        <v>4875</v>
      </c>
      <c r="B5645" t="s">
        <v>4876</v>
      </c>
    </row>
    <row r="5646" spans="1:2" x14ac:dyDescent="0.25">
      <c r="A5646" t="s">
        <v>4877</v>
      </c>
      <c r="B5646" t="s">
        <v>4878</v>
      </c>
    </row>
    <row r="5647" spans="1:2" x14ac:dyDescent="0.25">
      <c r="A5647" t="s">
        <v>4879</v>
      </c>
      <c r="B5647" t="s">
        <v>4880</v>
      </c>
    </row>
    <row r="5648" spans="1:2" x14ac:dyDescent="0.25">
      <c r="A5648" t="s">
        <v>4881</v>
      </c>
      <c r="B5648" t="s">
        <v>4882</v>
      </c>
    </row>
    <row r="5649" spans="1:2" x14ac:dyDescent="0.25">
      <c r="A5649" t="s">
        <v>4883</v>
      </c>
      <c r="B5649" t="s">
        <v>4884</v>
      </c>
    </row>
    <row r="5650" spans="1:2" x14ac:dyDescent="0.25">
      <c r="A5650" t="s">
        <v>4885</v>
      </c>
      <c r="B5650" t="s">
        <v>4886</v>
      </c>
    </row>
    <row r="5651" spans="1:2" x14ac:dyDescent="0.25">
      <c r="A5651" t="s">
        <v>4887</v>
      </c>
      <c r="B5651" t="s">
        <v>4888</v>
      </c>
    </row>
    <row r="5652" spans="1:2" x14ac:dyDescent="0.25">
      <c r="A5652" t="s">
        <v>4889</v>
      </c>
      <c r="B5652" t="s">
        <v>4890</v>
      </c>
    </row>
    <row r="5653" spans="1:2" x14ac:dyDescent="0.25">
      <c r="A5653" t="s">
        <v>4891</v>
      </c>
      <c r="B5653" t="s">
        <v>4892</v>
      </c>
    </row>
    <row r="5654" spans="1:2" x14ac:dyDescent="0.25">
      <c r="A5654" t="s">
        <v>4893</v>
      </c>
      <c r="B5654" t="s">
        <v>4894</v>
      </c>
    </row>
    <row r="5655" spans="1:2" x14ac:dyDescent="0.25">
      <c r="A5655" t="s">
        <v>4895</v>
      </c>
      <c r="B5655" t="s">
        <v>4896</v>
      </c>
    </row>
    <row r="5656" spans="1:2" x14ac:dyDescent="0.25">
      <c r="A5656" t="s">
        <v>4897</v>
      </c>
      <c r="B5656" t="s">
        <v>4898</v>
      </c>
    </row>
    <row r="5657" spans="1:2" x14ac:dyDescent="0.25">
      <c r="A5657" t="s">
        <v>4899</v>
      </c>
      <c r="B5657" t="s">
        <v>4900</v>
      </c>
    </row>
    <row r="5658" spans="1:2" x14ac:dyDescent="0.25">
      <c r="A5658" t="s">
        <v>2737</v>
      </c>
      <c r="B5658" t="s">
        <v>4901</v>
      </c>
    </row>
    <row r="5659" spans="1:2" x14ac:dyDescent="0.25">
      <c r="A5659" t="s">
        <v>4903</v>
      </c>
      <c r="B5659" t="s">
        <v>4904</v>
      </c>
    </row>
    <row r="5660" spans="1:2" x14ac:dyDescent="0.25">
      <c r="A5660" t="s">
        <v>4905</v>
      </c>
      <c r="B5660" t="s">
        <v>4906</v>
      </c>
    </row>
    <row r="5661" spans="1:2" x14ac:dyDescent="0.25">
      <c r="A5661" t="s">
        <v>4908</v>
      </c>
      <c r="B5661" t="s">
        <v>4909</v>
      </c>
    </row>
    <row r="5662" spans="1:2" x14ac:dyDescent="0.25">
      <c r="A5662" t="s">
        <v>4911</v>
      </c>
      <c r="B5662" t="s">
        <v>4912</v>
      </c>
    </row>
    <row r="5663" spans="1:2" x14ac:dyDescent="0.25">
      <c r="A5663" t="s">
        <v>4913</v>
      </c>
      <c r="B5663" t="s">
        <v>4914</v>
      </c>
    </row>
    <row r="5664" spans="1:2" x14ac:dyDescent="0.25">
      <c r="A5664" t="s">
        <v>4915</v>
      </c>
      <c r="B5664" t="s">
        <v>4916</v>
      </c>
    </row>
    <row r="5665" spans="1:2" x14ac:dyDescent="0.25">
      <c r="A5665" t="s">
        <v>4917</v>
      </c>
      <c r="B5665" t="s">
        <v>4918</v>
      </c>
    </row>
    <row r="5666" spans="1:2" x14ac:dyDescent="0.25">
      <c r="A5666" t="s">
        <v>4919</v>
      </c>
      <c r="B5666" t="s">
        <v>4920</v>
      </c>
    </row>
    <row r="5667" spans="1:2" x14ac:dyDescent="0.25">
      <c r="A5667" t="s">
        <v>4921</v>
      </c>
      <c r="B5667" t="s">
        <v>4922</v>
      </c>
    </row>
    <row r="5668" spans="1:2" x14ac:dyDescent="0.25">
      <c r="A5668" t="s">
        <v>4924</v>
      </c>
      <c r="B5668" t="s">
        <v>4925</v>
      </c>
    </row>
    <row r="5669" spans="1:2" x14ac:dyDescent="0.25">
      <c r="A5669" t="s">
        <v>4926</v>
      </c>
      <c r="B5669" t="s">
        <v>4927</v>
      </c>
    </row>
    <row r="5670" spans="1:2" x14ac:dyDescent="0.25">
      <c r="A5670" t="s">
        <v>4929</v>
      </c>
      <c r="B5670" t="s">
        <v>4930</v>
      </c>
    </row>
    <row r="5671" spans="1:2" x14ac:dyDescent="0.25">
      <c r="A5671" t="s">
        <v>4932</v>
      </c>
      <c r="B5671" t="s">
        <v>4933</v>
      </c>
    </row>
    <row r="5672" spans="1:2" x14ac:dyDescent="0.25">
      <c r="A5672" t="s">
        <v>4934</v>
      </c>
      <c r="B5672" t="s">
        <v>4935</v>
      </c>
    </row>
    <row r="5673" spans="1:2" x14ac:dyDescent="0.25">
      <c r="A5673" t="s">
        <v>4936</v>
      </c>
      <c r="B5673" t="s">
        <v>4937</v>
      </c>
    </row>
    <row r="5674" spans="1:2" x14ac:dyDescent="0.25">
      <c r="A5674" t="s">
        <v>4938</v>
      </c>
      <c r="B5674" t="s">
        <v>4939</v>
      </c>
    </row>
    <row r="5675" spans="1:2" x14ac:dyDescent="0.25">
      <c r="A5675" t="s">
        <v>4940</v>
      </c>
      <c r="B5675" t="s">
        <v>4941</v>
      </c>
    </row>
    <row r="5676" spans="1:2" x14ac:dyDescent="0.25">
      <c r="A5676" t="s">
        <v>4942</v>
      </c>
      <c r="B5676" t="s">
        <v>4943</v>
      </c>
    </row>
    <row r="5677" spans="1:2" x14ac:dyDescent="0.25">
      <c r="A5677" t="s">
        <v>3169</v>
      </c>
      <c r="B5677" t="s">
        <v>4945</v>
      </c>
    </row>
    <row r="5678" spans="1:2" x14ac:dyDescent="0.25">
      <c r="A5678" t="s">
        <v>4946</v>
      </c>
      <c r="B5678" t="s">
        <v>4947</v>
      </c>
    </row>
    <row r="5679" spans="1:2" x14ac:dyDescent="0.25">
      <c r="A5679" t="s">
        <v>4948</v>
      </c>
      <c r="B5679" t="s">
        <v>4949</v>
      </c>
    </row>
    <row r="5680" spans="1:2" x14ac:dyDescent="0.25">
      <c r="A5680" t="s">
        <v>4950</v>
      </c>
      <c r="B5680" t="s">
        <v>4951</v>
      </c>
    </row>
    <row r="5681" spans="1:2" x14ac:dyDescent="0.25">
      <c r="A5681" t="s">
        <v>4952</v>
      </c>
      <c r="B5681" t="s">
        <v>4953</v>
      </c>
    </row>
    <row r="5682" spans="1:2" x14ac:dyDescent="0.25">
      <c r="A5682" t="s">
        <v>4954</v>
      </c>
      <c r="B5682" t="s">
        <v>4955</v>
      </c>
    </row>
    <row r="5683" spans="1:2" x14ac:dyDescent="0.25">
      <c r="A5683" t="s">
        <v>4956</v>
      </c>
      <c r="B5683" t="s">
        <v>4957</v>
      </c>
    </row>
    <row r="5684" spans="1:2" x14ac:dyDescent="0.25">
      <c r="A5684" t="s">
        <v>4958</v>
      </c>
      <c r="B5684" t="s">
        <v>4959</v>
      </c>
    </row>
    <row r="5685" spans="1:2" x14ac:dyDescent="0.25">
      <c r="A5685" t="s">
        <v>4960</v>
      </c>
      <c r="B5685" t="s">
        <v>4961</v>
      </c>
    </row>
    <row r="5686" spans="1:2" x14ac:dyDescent="0.25">
      <c r="A5686" t="s">
        <v>4963</v>
      </c>
      <c r="B5686" t="s">
        <v>4964</v>
      </c>
    </row>
    <row r="5687" spans="1:2" x14ac:dyDescent="0.25">
      <c r="A5687" t="s">
        <v>4965</v>
      </c>
      <c r="B5687" t="s">
        <v>4966</v>
      </c>
    </row>
    <row r="5688" spans="1:2" x14ac:dyDescent="0.25">
      <c r="A5688" t="s">
        <v>4967</v>
      </c>
      <c r="B5688" t="s">
        <v>4968</v>
      </c>
    </row>
    <row r="5689" spans="1:2" x14ac:dyDescent="0.25">
      <c r="A5689" t="s">
        <v>4970</v>
      </c>
      <c r="B5689" t="s">
        <v>4971</v>
      </c>
    </row>
    <row r="5690" spans="1:2" x14ac:dyDescent="0.25">
      <c r="A5690" t="s">
        <v>4972</v>
      </c>
      <c r="B5690" t="s">
        <v>4973</v>
      </c>
    </row>
    <row r="5691" spans="1:2" x14ac:dyDescent="0.25">
      <c r="A5691" t="s">
        <v>4974</v>
      </c>
      <c r="B5691" t="s">
        <v>4975</v>
      </c>
    </row>
    <row r="5692" spans="1:2" x14ac:dyDescent="0.25">
      <c r="A5692" t="s">
        <v>4976</v>
      </c>
      <c r="B5692" t="s">
        <v>4977</v>
      </c>
    </row>
    <row r="5693" spans="1:2" x14ac:dyDescent="0.25">
      <c r="A5693" t="s">
        <v>4978</v>
      </c>
      <c r="B5693" t="s">
        <v>4979</v>
      </c>
    </row>
    <row r="5694" spans="1:2" x14ac:dyDescent="0.25">
      <c r="A5694" t="s">
        <v>4980</v>
      </c>
      <c r="B5694" t="s">
        <v>4981</v>
      </c>
    </row>
    <row r="5695" spans="1:2" x14ac:dyDescent="0.25">
      <c r="A5695" t="s">
        <v>4982</v>
      </c>
      <c r="B5695" t="s">
        <v>4983</v>
      </c>
    </row>
    <row r="5696" spans="1:2" x14ac:dyDescent="0.25">
      <c r="A5696" t="s">
        <v>4984</v>
      </c>
      <c r="B5696" t="s">
        <v>4985</v>
      </c>
    </row>
    <row r="5697" spans="1:2" x14ac:dyDescent="0.25">
      <c r="A5697" t="s">
        <v>4986</v>
      </c>
      <c r="B5697" t="s">
        <v>4987</v>
      </c>
    </row>
    <row r="5698" spans="1:2" x14ac:dyDescent="0.25">
      <c r="A5698" t="s">
        <v>4988</v>
      </c>
      <c r="B5698" t="s">
        <v>4989</v>
      </c>
    </row>
    <row r="5699" spans="1:2" x14ac:dyDescent="0.25">
      <c r="A5699" t="s">
        <v>4990</v>
      </c>
      <c r="B5699" t="s">
        <v>4991</v>
      </c>
    </row>
    <row r="5700" spans="1:2" x14ac:dyDescent="0.25">
      <c r="A5700" t="s">
        <v>4992</v>
      </c>
      <c r="B5700" t="s">
        <v>4993</v>
      </c>
    </row>
    <row r="5701" spans="1:2" x14ac:dyDescent="0.25">
      <c r="A5701" t="s">
        <v>4994</v>
      </c>
      <c r="B5701" t="s">
        <v>4995</v>
      </c>
    </row>
    <row r="5702" spans="1:2" x14ac:dyDescent="0.25">
      <c r="A5702" t="s">
        <v>4996</v>
      </c>
      <c r="B5702" t="s">
        <v>4997</v>
      </c>
    </row>
    <row r="5703" spans="1:2" x14ac:dyDescent="0.25">
      <c r="A5703" t="s">
        <v>4998</v>
      </c>
      <c r="B5703" t="s">
        <v>4999</v>
      </c>
    </row>
    <row r="5704" spans="1:2" x14ac:dyDescent="0.25">
      <c r="A5704" t="s">
        <v>5001</v>
      </c>
      <c r="B5704" t="s">
        <v>5002</v>
      </c>
    </row>
    <row r="5705" spans="1:2" x14ac:dyDescent="0.25">
      <c r="A5705" t="s">
        <v>5003</v>
      </c>
      <c r="B5705" t="s">
        <v>5004</v>
      </c>
    </row>
    <row r="5706" spans="1:2" x14ac:dyDescent="0.25">
      <c r="A5706" t="s">
        <v>5005</v>
      </c>
      <c r="B5706" t="s">
        <v>5006</v>
      </c>
    </row>
    <row r="5707" spans="1:2" x14ac:dyDescent="0.25">
      <c r="A5707" t="s">
        <v>5007</v>
      </c>
      <c r="B5707" t="s">
        <v>5008</v>
      </c>
    </row>
    <row r="5708" spans="1:2" x14ac:dyDescent="0.25">
      <c r="A5708" t="s">
        <v>5009</v>
      </c>
      <c r="B5708" t="s">
        <v>5010</v>
      </c>
    </row>
    <row r="5709" spans="1:2" x14ac:dyDescent="0.25">
      <c r="A5709" t="s">
        <v>5011</v>
      </c>
      <c r="B5709" t="s">
        <v>5012</v>
      </c>
    </row>
    <row r="5710" spans="1:2" x14ac:dyDescent="0.25">
      <c r="A5710" t="s">
        <v>5013</v>
      </c>
      <c r="B5710" t="s">
        <v>5014</v>
      </c>
    </row>
    <row r="5711" spans="1:2" x14ac:dyDescent="0.25">
      <c r="A5711" t="s">
        <v>5015</v>
      </c>
      <c r="B5711" t="s">
        <v>5016</v>
      </c>
    </row>
    <row r="5712" spans="1:2" x14ac:dyDescent="0.25">
      <c r="A5712" t="s">
        <v>5017</v>
      </c>
      <c r="B5712" t="s">
        <v>5018</v>
      </c>
    </row>
    <row r="5713" spans="1:2" x14ac:dyDescent="0.25">
      <c r="A5713" t="s">
        <v>5019</v>
      </c>
      <c r="B5713" t="s">
        <v>5020</v>
      </c>
    </row>
    <row r="5714" spans="1:2" x14ac:dyDescent="0.25">
      <c r="A5714" t="s">
        <v>5021</v>
      </c>
      <c r="B5714" t="s">
        <v>5022</v>
      </c>
    </row>
    <row r="5715" spans="1:2" x14ac:dyDescent="0.25">
      <c r="A5715" t="s">
        <v>5023</v>
      </c>
      <c r="B5715" t="s">
        <v>5024</v>
      </c>
    </row>
    <row r="5716" spans="1:2" x14ac:dyDescent="0.25">
      <c r="A5716" t="s">
        <v>5025</v>
      </c>
      <c r="B5716" t="s">
        <v>5026</v>
      </c>
    </row>
    <row r="5717" spans="1:2" x14ac:dyDescent="0.25">
      <c r="A5717" t="s">
        <v>5027</v>
      </c>
      <c r="B5717" t="s">
        <v>5028</v>
      </c>
    </row>
    <row r="5718" spans="1:2" x14ac:dyDescent="0.25">
      <c r="A5718" t="s">
        <v>5029</v>
      </c>
      <c r="B5718" t="s">
        <v>5030</v>
      </c>
    </row>
    <row r="5719" spans="1:2" x14ac:dyDescent="0.25">
      <c r="A5719" t="s">
        <v>5031</v>
      </c>
      <c r="B5719" t="s">
        <v>5032</v>
      </c>
    </row>
    <row r="5720" spans="1:2" x14ac:dyDescent="0.25">
      <c r="A5720" t="s">
        <v>5033</v>
      </c>
      <c r="B5720" t="s">
        <v>5034</v>
      </c>
    </row>
    <row r="5721" spans="1:2" x14ac:dyDescent="0.25">
      <c r="A5721" t="s">
        <v>5035</v>
      </c>
      <c r="B5721" t="s">
        <v>5036</v>
      </c>
    </row>
    <row r="5722" spans="1:2" x14ac:dyDescent="0.25">
      <c r="A5722" t="s">
        <v>5038</v>
      </c>
      <c r="B5722" t="s">
        <v>5039</v>
      </c>
    </row>
    <row r="5723" spans="1:2" x14ac:dyDescent="0.25">
      <c r="A5723" t="s">
        <v>5040</v>
      </c>
      <c r="B5723" t="s">
        <v>5041</v>
      </c>
    </row>
    <row r="5724" spans="1:2" x14ac:dyDescent="0.25">
      <c r="A5724" t="s">
        <v>5042</v>
      </c>
      <c r="B5724" t="s">
        <v>5043</v>
      </c>
    </row>
    <row r="5725" spans="1:2" x14ac:dyDescent="0.25">
      <c r="A5725" t="s">
        <v>5045</v>
      </c>
      <c r="B5725" t="s">
        <v>5046</v>
      </c>
    </row>
    <row r="5726" spans="1:2" x14ac:dyDescent="0.25">
      <c r="A5726" t="s">
        <v>5047</v>
      </c>
      <c r="B5726" t="s">
        <v>5048</v>
      </c>
    </row>
    <row r="5727" spans="1:2" x14ac:dyDescent="0.25">
      <c r="A5727" t="s">
        <v>5049</v>
      </c>
      <c r="B5727" t="s">
        <v>5050</v>
      </c>
    </row>
    <row r="5728" spans="1:2" x14ac:dyDescent="0.25">
      <c r="A5728" t="s">
        <v>5051</v>
      </c>
      <c r="B5728" t="s">
        <v>5052</v>
      </c>
    </row>
    <row r="5729" spans="1:2" x14ac:dyDescent="0.25">
      <c r="A5729" t="s">
        <v>5053</v>
      </c>
      <c r="B5729" t="s">
        <v>5054</v>
      </c>
    </row>
    <row r="5730" spans="1:2" x14ac:dyDescent="0.25">
      <c r="A5730" t="s">
        <v>5055</v>
      </c>
      <c r="B5730" t="s">
        <v>5056</v>
      </c>
    </row>
    <row r="5731" spans="1:2" x14ac:dyDescent="0.25">
      <c r="A5731" t="s">
        <v>5058</v>
      </c>
      <c r="B5731" t="s">
        <v>5059</v>
      </c>
    </row>
    <row r="5732" spans="1:2" x14ac:dyDescent="0.25">
      <c r="A5732" t="s">
        <v>5060</v>
      </c>
      <c r="B5732" t="s">
        <v>5061</v>
      </c>
    </row>
    <row r="5733" spans="1:2" x14ac:dyDescent="0.25">
      <c r="A5733" t="s">
        <v>5062</v>
      </c>
      <c r="B5733" t="s">
        <v>5063</v>
      </c>
    </row>
    <row r="5734" spans="1:2" x14ac:dyDescent="0.25">
      <c r="A5734" t="s">
        <v>5064</v>
      </c>
      <c r="B5734" t="s">
        <v>5065</v>
      </c>
    </row>
    <row r="5735" spans="1:2" x14ac:dyDescent="0.25">
      <c r="A5735" t="s">
        <v>5066</v>
      </c>
      <c r="B5735" t="s">
        <v>5067</v>
      </c>
    </row>
    <row r="5736" spans="1:2" x14ac:dyDescent="0.25">
      <c r="A5736" t="s">
        <v>5068</v>
      </c>
      <c r="B5736" t="s">
        <v>5069</v>
      </c>
    </row>
    <row r="5737" spans="1:2" x14ac:dyDescent="0.25">
      <c r="A5737" t="s">
        <v>5070</v>
      </c>
      <c r="B5737" t="s">
        <v>5071</v>
      </c>
    </row>
    <row r="5738" spans="1:2" x14ac:dyDescent="0.25">
      <c r="A5738" t="s">
        <v>5072</v>
      </c>
      <c r="B5738" t="s">
        <v>5073</v>
      </c>
    </row>
    <row r="5739" spans="1:2" x14ac:dyDescent="0.25">
      <c r="A5739" t="s">
        <v>5074</v>
      </c>
      <c r="B5739" t="s">
        <v>5075</v>
      </c>
    </row>
    <row r="5740" spans="1:2" x14ac:dyDescent="0.25">
      <c r="A5740" t="s">
        <v>5077</v>
      </c>
      <c r="B5740" t="s">
        <v>5078</v>
      </c>
    </row>
    <row r="5741" spans="1:2" x14ac:dyDescent="0.25">
      <c r="A5741" t="s">
        <v>5079</v>
      </c>
      <c r="B5741" t="s">
        <v>5080</v>
      </c>
    </row>
    <row r="5742" spans="1:2" x14ac:dyDescent="0.25">
      <c r="A5742" t="s">
        <v>5081</v>
      </c>
      <c r="B5742" t="s">
        <v>5082</v>
      </c>
    </row>
    <row r="5743" spans="1:2" x14ac:dyDescent="0.25">
      <c r="A5743" t="s">
        <v>5084</v>
      </c>
      <c r="B5743" t="s">
        <v>5085</v>
      </c>
    </row>
    <row r="5744" spans="1:2" x14ac:dyDescent="0.25">
      <c r="A5744" t="s">
        <v>5086</v>
      </c>
      <c r="B5744" t="s">
        <v>5087</v>
      </c>
    </row>
    <row r="5745" spans="1:2" x14ac:dyDescent="0.25">
      <c r="A5745" t="s">
        <v>5088</v>
      </c>
      <c r="B5745" t="s">
        <v>5089</v>
      </c>
    </row>
    <row r="5746" spans="1:2" x14ac:dyDescent="0.25">
      <c r="A5746" t="s">
        <v>5090</v>
      </c>
      <c r="B5746" t="s">
        <v>5091</v>
      </c>
    </row>
    <row r="5747" spans="1:2" x14ac:dyDescent="0.25">
      <c r="A5747" t="s">
        <v>5092</v>
      </c>
      <c r="B5747" t="s">
        <v>5093</v>
      </c>
    </row>
    <row r="5748" spans="1:2" x14ac:dyDescent="0.25">
      <c r="A5748" t="s">
        <v>5094</v>
      </c>
      <c r="B5748" t="s">
        <v>5095</v>
      </c>
    </row>
    <row r="5749" spans="1:2" x14ac:dyDescent="0.25">
      <c r="A5749" t="s">
        <v>5096</v>
      </c>
      <c r="B5749" t="s">
        <v>5097</v>
      </c>
    </row>
    <row r="5750" spans="1:2" x14ac:dyDescent="0.25">
      <c r="A5750" t="s">
        <v>5098</v>
      </c>
      <c r="B5750" t="s">
        <v>5099</v>
      </c>
    </row>
    <row r="5751" spans="1:2" x14ac:dyDescent="0.25">
      <c r="A5751" t="s">
        <v>5100</v>
      </c>
      <c r="B5751" t="s">
        <v>5101</v>
      </c>
    </row>
    <row r="5752" spans="1:2" x14ac:dyDescent="0.25">
      <c r="A5752" t="s">
        <v>5102</v>
      </c>
      <c r="B5752" t="s">
        <v>5103</v>
      </c>
    </row>
    <row r="5753" spans="1:2" x14ac:dyDescent="0.25">
      <c r="A5753" t="s">
        <v>5104</v>
      </c>
      <c r="B5753" t="s">
        <v>5105</v>
      </c>
    </row>
    <row r="5754" spans="1:2" x14ac:dyDescent="0.25">
      <c r="A5754" t="s">
        <v>5106</v>
      </c>
      <c r="B5754" t="s">
        <v>5107</v>
      </c>
    </row>
    <row r="5755" spans="1:2" x14ac:dyDescent="0.25">
      <c r="A5755" t="s">
        <v>5108</v>
      </c>
      <c r="B5755" t="s">
        <v>5109</v>
      </c>
    </row>
    <row r="5756" spans="1:2" x14ac:dyDescent="0.25">
      <c r="A5756" t="s">
        <v>5110</v>
      </c>
      <c r="B5756" t="s">
        <v>5111</v>
      </c>
    </row>
    <row r="5757" spans="1:2" x14ac:dyDescent="0.25">
      <c r="A5757" t="s">
        <v>5112</v>
      </c>
      <c r="B5757" t="s">
        <v>5113</v>
      </c>
    </row>
    <row r="5758" spans="1:2" x14ac:dyDescent="0.25">
      <c r="A5758" t="s">
        <v>5115</v>
      </c>
      <c r="B5758" t="s">
        <v>5116</v>
      </c>
    </row>
    <row r="5759" spans="1:2" x14ac:dyDescent="0.25">
      <c r="A5759" t="s">
        <v>5117</v>
      </c>
      <c r="B5759" t="s">
        <v>5118</v>
      </c>
    </row>
    <row r="5760" spans="1:2" x14ac:dyDescent="0.25">
      <c r="A5760" t="s">
        <v>5119</v>
      </c>
      <c r="B5760" t="s">
        <v>5120</v>
      </c>
    </row>
    <row r="5761" spans="1:2" x14ac:dyDescent="0.25">
      <c r="A5761" t="s">
        <v>5121</v>
      </c>
      <c r="B5761" t="s">
        <v>5122</v>
      </c>
    </row>
    <row r="5762" spans="1:2" x14ac:dyDescent="0.25">
      <c r="A5762" t="s">
        <v>5123</v>
      </c>
      <c r="B5762" t="s">
        <v>5124</v>
      </c>
    </row>
    <row r="5763" spans="1:2" x14ac:dyDescent="0.25">
      <c r="A5763" t="s">
        <v>5125</v>
      </c>
      <c r="B5763" t="s">
        <v>5126</v>
      </c>
    </row>
    <row r="5764" spans="1:2" x14ac:dyDescent="0.25">
      <c r="A5764" t="s">
        <v>5127</v>
      </c>
      <c r="B5764" t="s">
        <v>5128</v>
      </c>
    </row>
    <row r="5765" spans="1:2" x14ac:dyDescent="0.25">
      <c r="A5765" t="s">
        <v>5129</v>
      </c>
      <c r="B5765" t="s">
        <v>5130</v>
      </c>
    </row>
    <row r="5766" spans="1:2" x14ac:dyDescent="0.25">
      <c r="A5766" t="s">
        <v>5131</v>
      </c>
      <c r="B5766" t="s">
        <v>5132</v>
      </c>
    </row>
    <row r="5767" spans="1:2" x14ac:dyDescent="0.25">
      <c r="A5767" t="s">
        <v>5134</v>
      </c>
      <c r="B5767" t="s">
        <v>5135</v>
      </c>
    </row>
    <row r="5768" spans="1:2" x14ac:dyDescent="0.25">
      <c r="A5768" t="s">
        <v>5136</v>
      </c>
      <c r="B5768" t="s">
        <v>5137</v>
      </c>
    </row>
    <row r="5769" spans="1:2" x14ac:dyDescent="0.25">
      <c r="A5769" t="s">
        <v>5138</v>
      </c>
      <c r="B5769" t="s">
        <v>5139</v>
      </c>
    </row>
    <row r="5770" spans="1:2" x14ac:dyDescent="0.25">
      <c r="A5770" t="s">
        <v>5140</v>
      </c>
      <c r="B5770" t="s">
        <v>5141</v>
      </c>
    </row>
    <row r="5771" spans="1:2" x14ac:dyDescent="0.25">
      <c r="A5771" t="s">
        <v>5142</v>
      </c>
      <c r="B5771" t="s">
        <v>5143</v>
      </c>
    </row>
    <row r="5772" spans="1:2" x14ac:dyDescent="0.25">
      <c r="A5772" t="s">
        <v>5144</v>
      </c>
      <c r="B5772" t="s">
        <v>5145</v>
      </c>
    </row>
    <row r="5773" spans="1:2" x14ac:dyDescent="0.25">
      <c r="A5773" t="s">
        <v>5146</v>
      </c>
      <c r="B5773" t="s">
        <v>5147</v>
      </c>
    </row>
    <row r="5774" spans="1:2" x14ac:dyDescent="0.25">
      <c r="A5774" t="s">
        <v>5148</v>
      </c>
      <c r="B5774" t="s">
        <v>5149</v>
      </c>
    </row>
    <row r="5775" spans="1:2" x14ac:dyDescent="0.25">
      <c r="A5775" t="s">
        <v>5150</v>
      </c>
      <c r="B5775" t="s">
        <v>5151</v>
      </c>
    </row>
    <row r="5776" spans="1:2" x14ac:dyDescent="0.25">
      <c r="A5776" t="s">
        <v>5152</v>
      </c>
      <c r="B5776" t="s">
        <v>5153</v>
      </c>
    </row>
    <row r="5777" spans="1:2" x14ac:dyDescent="0.25">
      <c r="A5777" t="s">
        <v>5154</v>
      </c>
      <c r="B5777" t="s">
        <v>5155</v>
      </c>
    </row>
    <row r="5778" spans="1:2" x14ac:dyDescent="0.25">
      <c r="A5778" t="s">
        <v>5156</v>
      </c>
      <c r="B5778" t="s">
        <v>5157</v>
      </c>
    </row>
    <row r="5779" spans="1:2" x14ac:dyDescent="0.25">
      <c r="A5779" t="s">
        <v>5159</v>
      </c>
      <c r="B5779" t="s">
        <v>5160</v>
      </c>
    </row>
    <row r="5780" spans="1:2" x14ac:dyDescent="0.25">
      <c r="A5780" t="s">
        <v>5161</v>
      </c>
      <c r="B5780" t="s">
        <v>5162</v>
      </c>
    </row>
    <row r="5781" spans="1:2" x14ac:dyDescent="0.25">
      <c r="A5781" t="s">
        <v>5163</v>
      </c>
      <c r="B5781" t="s">
        <v>5164</v>
      </c>
    </row>
    <row r="5782" spans="1:2" x14ac:dyDescent="0.25">
      <c r="A5782" t="s">
        <v>5165</v>
      </c>
      <c r="B5782" t="s">
        <v>5166</v>
      </c>
    </row>
    <row r="5783" spans="1:2" x14ac:dyDescent="0.25">
      <c r="A5783" t="s">
        <v>5167</v>
      </c>
      <c r="B5783" t="s">
        <v>5168</v>
      </c>
    </row>
    <row r="5784" spans="1:2" x14ac:dyDescent="0.25">
      <c r="A5784" t="s">
        <v>5169</v>
      </c>
      <c r="B5784" t="s">
        <v>5170</v>
      </c>
    </row>
    <row r="5785" spans="1:2" x14ac:dyDescent="0.25">
      <c r="A5785" t="s">
        <v>5171</v>
      </c>
      <c r="B5785" t="s">
        <v>5172</v>
      </c>
    </row>
    <row r="5786" spans="1:2" x14ac:dyDescent="0.25">
      <c r="A5786" t="s">
        <v>5173</v>
      </c>
      <c r="B5786" t="s">
        <v>5174</v>
      </c>
    </row>
    <row r="5787" spans="1:2" x14ac:dyDescent="0.25">
      <c r="A5787" t="s">
        <v>5175</v>
      </c>
      <c r="B5787" t="s">
        <v>5176</v>
      </c>
    </row>
    <row r="5788" spans="1:2" x14ac:dyDescent="0.25">
      <c r="A5788" t="s">
        <v>5177</v>
      </c>
      <c r="B5788" t="s">
        <v>5178</v>
      </c>
    </row>
    <row r="5789" spans="1:2" x14ac:dyDescent="0.25">
      <c r="A5789" t="s">
        <v>5179</v>
      </c>
      <c r="B5789" t="s">
        <v>5180</v>
      </c>
    </row>
    <row r="5790" spans="1:2" x14ac:dyDescent="0.25">
      <c r="A5790" t="s">
        <v>5181</v>
      </c>
      <c r="B5790" t="s">
        <v>5182</v>
      </c>
    </row>
    <row r="5791" spans="1:2" x14ac:dyDescent="0.25">
      <c r="A5791" t="s">
        <v>5183</v>
      </c>
      <c r="B5791" t="s">
        <v>5184</v>
      </c>
    </row>
    <row r="5792" spans="1:2" x14ac:dyDescent="0.25">
      <c r="A5792" t="s">
        <v>5185</v>
      </c>
      <c r="B5792" t="s">
        <v>5186</v>
      </c>
    </row>
    <row r="5793" spans="1:2" x14ac:dyDescent="0.25">
      <c r="A5793" t="s">
        <v>5187</v>
      </c>
      <c r="B5793" t="s">
        <v>5188</v>
      </c>
    </row>
    <row r="5794" spans="1:2" x14ac:dyDescent="0.25">
      <c r="A5794" t="s">
        <v>5189</v>
      </c>
      <c r="B5794" t="s">
        <v>5190</v>
      </c>
    </row>
    <row r="5795" spans="1:2" x14ac:dyDescent="0.25">
      <c r="A5795" t="s">
        <v>5191</v>
      </c>
      <c r="B5795" t="s">
        <v>5192</v>
      </c>
    </row>
    <row r="5796" spans="1:2" x14ac:dyDescent="0.25">
      <c r="A5796" t="s">
        <v>5193</v>
      </c>
      <c r="B5796" t="s">
        <v>5194</v>
      </c>
    </row>
    <row r="5797" spans="1:2" x14ac:dyDescent="0.25">
      <c r="A5797" t="s">
        <v>5195</v>
      </c>
      <c r="B5797" t="s">
        <v>5196</v>
      </c>
    </row>
    <row r="5798" spans="1:2" x14ac:dyDescent="0.25">
      <c r="A5798" t="s">
        <v>5197</v>
      </c>
      <c r="B5798" t="s">
        <v>5198</v>
      </c>
    </row>
    <row r="5799" spans="1:2" x14ac:dyDescent="0.25">
      <c r="A5799" t="s">
        <v>5199</v>
      </c>
      <c r="B5799" t="s">
        <v>5200</v>
      </c>
    </row>
    <row r="5800" spans="1:2" x14ac:dyDescent="0.25">
      <c r="A5800" t="s">
        <v>5201</v>
      </c>
      <c r="B5800" t="s">
        <v>5202</v>
      </c>
    </row>
    <row r="5801" spans="1:2" x14ac:dyDescent="0.25">
      <c r="A5801" t="s">
        <v>5203</v>
      </c>
      <c r="B5801" t="s">
        <v>5204</v>
      </c>
    </row>
    <row r="5802" spans="1:2" x14ac:dyDescent="0.25">
      <c r="A5802" t="s">
        <v>5205</v>
      </c>
      <c r="B5802" t="s">
        <v>5206</v>
      </c>
    </row>
    <row r="5803" spans="1:2" x14ac:dyDescent="0.25">
      <c r="A5803" t="s">
        <v>5207</v>
      </c>
      <c r="B5803" t="s">
        <v>5208</v>
      </c>
    </row>
    <row r="5804" spans="1:2" x14ac:dyDescent="0.25">
      <c r="A5804" t="s">
        <v>5209</v>
      </c>
      <c r="B5804" t="s">
        <v>5210</v>
      </c>
    </row>
    <row r="5805" spans="1:2" x14ac:dyDescent="0.25">
      <c r="A5805" t="s">
        <v>5211</v>
      </c>
      <c r="B5805" t="s">
        <v>5212</v>
      </c>
    </row>
    <row r="5806" spans="1:2" x14ac:dyDescent="0.25">
      <c r="A5806" t="s">
        <v>5213</v>
      </c>
      <c r="B5806" t="s">
        <v>5214</v>
      </c>
    </row>
    <row r="5807" spans="1:2" x14ac:dyDescent="0.25">
      <c r="A5807" t="s">
        <v>5215</v>
      </c>
      <c r="B5807" t="s">
        <v>5216</v>
      </c>
    </row>
    <row r="5808" spans="1:2" x14ac:dyDescent="0.25">
      <c r="A5808" t="s">
        <v>5217</v>
      </c>
      <c r="B5808" t="s">
        <v>5218</v>
      </c>
    </row>
    <row r="5809" spans="1:2" x14ac:dyDescent="0.25">
      <c r="A5809" t="s">
        <v>5219</v>
      </c>
      <c r="B5809" t="s">
        <v>5220</v>
      </c>
    </row>
    <row r="5810" spans="1:2" x14ac:dyDescent="0.25">
      <c r="A5810" t="s">
        <v>5221</v>
      </c>
      <c r="B5810" t="s">
        <v>5222</v>
      </c>
    </row>
    <row r="5811" spans="1:2" x14ac:dyDescent="0.25">
      <c r="A5811" t="s">
        <v>5223</v>
      </c>
      <c r="B5811" t="s">
        <v>5224</v>
      </c>
    </row>
    <row r="5812" spans="1:2" x14ac:dyDescent="0.25">
      <c r="A5812" t="s">
        <v>5225</v>
      </c>
      <c r="B5812" t="s">
        <v>5226</v>
      </c>
    </row>
    <row r="5813" spans="1:2" x14ac:dyDescent="0.25">
      <c r="A5813" t="s">
        <v>5227</v>
      </c>
      <c r="B5813" t="s">
        <v>5228</v>
      </c>
    </row>
    <row r="5814" spans="1:2" x14ac:dyDescent="0.25">
      <c r="A5814" t="s">
        <v>5229</v>
      </c>
      <c r="B5814" t="s">
        <v>5230</v>
      </c>
    </row>
    <row r="5815" spans="1:2" x14ac:dyDescent="0.25">
      <c r="A5815" t="s">
        <v>5231</v>
      </c>
      <c r="B5815" t="s">
        <v>5232</v>
      </c>
    </row>
    <row r="5816" spans="1:2" x14ac:dyDescent="0.25">
      <c r="A5816" t="s">
        <v>5233</v>
      </c>
      <c r="B5816" t="s">
        <v>5234</v>
      </c>
    </row>
    <row r="5817" spans="1:2" x14ac:dyDescent="0.25">
      <c r="A5817" t="s">
        <v>5235</v>
      </c>
      <c r="B5817" t="s">
        <v>5236</v>
      </c>
    </row>
    <row r="5818" spans="1:2" x14ac:dyDescent="0.25">
      <c r="A5818" t="s">
        <v>5237</v>
      </c>
      <c r="B5818" t="s">
        <v>5238</v>
      </c>
    </row>
    <row r="5819" spans="1:2" x14ac:dyDescent="0.25">
      <c r="A5819" t="s">
        <v>5239</v>
      </c>
      <c r="B5819" t="s">
        <v>5240</v>
      </c>
    </row>
    <row r="5820" spans="1:2" x14ac:dyDescent="0.25">
      <c r="A5820" t="s">
        <v>5241</v>
      </c>
      <c r="B5820" t="s">
        <v>5242</v>
      </c>
    </row>
    <row r="5821" spans="1:2" x14ac:dyDescent="0.25">
      <c r="A5821" t="s">
        <v>5243</v>
      </c>
      <c r="B5821" t="s">
        <v>5244</v>
      </c>
    </row>
    <row r="5822" spans="1:2" x14ac:dyDescent="0.25">
      <c r="A5822" t="s">
        <v>5245</v>
      </c>
      <c r="B5822" t="s">
        <v>5246</v>
      </c>
    </row>
    <row r="5823" spans="1:2" x14ac:dyDescent="0.25">
      <c r="A5823" t="s">
        <v>5247</v>
      </c>
      <c r="B5823" t="s">
        <v>5248</v>
      </c>
    </row>
    <row r="5824" spans="1:2" x14ac:dyDescent="0.25">
      <c r="A5824" t="s">
        <v>5249</v>
      </c>
      <c r="B5824" t="s">
        <v>5250</v>
      </c>
    </row>
    <row r="5825" spans="1:2" x14ac:dyDescent="0.25">
      <c r="A5825" t="s">
        <v>5251</v>
      </c>
      <c r="B5825" t="s">
        <v>5252</v>
      </c>
    </row>
    <row r="5826" spans="1:2" x14ac:dyDescent="0.25">
      <c r="A5826" t="s">
        <v>5253</v>
      </c>
      <c r="B5826" t="s">
        <v>5254</v>
      </c>
    </row>
    <row r="5827" spans="1:2" x14ac:dyDescent="0.25">
      <c r="A5827" t="s">
        <v>5255</v>
      </c>
      <c r="B5827" t="s">
        <v>5256</v>
      </c>
    </row>
    <row r="5828" spans="1:2" x14ac:dyDescent="0.25">
      <c r="A5828" t="s">
        <v>5257</v>
      </c>
      <c r="B5828" t="s">
        <v>5258</v>
      </c>
    </row>
    <row r="5829" spans="1:2" x14ac:dyDescent="0.25">
      <c r="A5829" t="s">
        <v>5259</v>
      </c>
      <c r="B5829" t="s">
        <v>5260</v>
      </c>
    </row>
    <row r="5830" spans="1:2" x14ac:dyDescent="0.25">
      <c r="A5830" t="s">
        <v>5261</v>
      </c>
      <c r="B5830" t="s">
        <v>5262</v>
      </c>
    </row>
    <row r="5831" spans="1:2" x14ac:dyDescent="0.25">
      <c r="A5831" t="s">
        <v>5263</v>
      </c>
      <c r="B5831" t="s">
        <v>5264</v>
      </c>
    </row>
    <row r="5832" spans="1:2" x14ac:dyDescent="0.25">
      <c r="A5832" t="s">
        <v>5265</v>
      </c>
      <c r="B5832" t="s">
        <v>5266</v>
      </c>
    </row>
    <row r="5833" spans="1:2" x14ac:dyDescent="0.25">
      <c r="A5833" t="s">
        <v>5267</v>
      </c>
      <c r="B5833" t="s">
        <v>5268</v>
      </c>
    </row>
    <row r="5834" spans="1:2" x14ac:dyDescent="0.25">
      <c r="A5834" t="s">
        <v>5269</v>
      </c>
      <c r="B5834" t="s">
        <v>5270</v>
      </c>
    </row>
    <row r="5835" spans="1:2" x14ac:dyDescent="0.25">
      <c r="A5835" t="s">
        <v>5271</v>
      </c>
      <c r="B5835" t="s">
        <v>5272</v>
      </c>
    </row>
    <row r="5836" spans="1:2" x14ac:dyDescent="0.25">
      <c r="A5836" t="s">
        <v>5273</v>
      </c>
      <c r="B5836" t="s">
        <v>5274</v>
      </c>
    </row>
    <row r="5837" spans="1:2" x14ac:dyDescent="0.25">
      <c r="A5837" t="s">
        <v>5275</v>
      </c>
      <c r="B5837" t="s">
        <v>5276</v>
      </c>
    </row>
    <row r="5838" spans="1:2" x14ac:dyDescent="0.25">
      <c r="A5838" t="s">
        <v>5277</v>
      </c>
      <c r="B5838" t="s">
        <v>5278</v>
      </c>
    </row>
    <row r="5839" spans="1:2" x14ac:dyDescent="0.25">
      <c r="A5839" t="s">
        <v>5279</v>
      </c>
      <c r="B5839" t="s">
        <v>5280</v>
      </c>
    </row>
    <row r="5840" spans="1:2" x14ac:dyDescent="0.25">
      <c r="A5840" t="s">
        <v>5281</v>
      </c>
      <c r="B5840" t="s">
        <v>5282</v>
      </c>
    </row>
    <row r="5841" spans="1:2" x14ac:dyDescent="0.25">
      <c r="A5841" t="s">
        <v>5283</v>
      </c>
      <c r="B5841" t="s">
        <v>5284</v>
      </c>
    </row>
    <row r="5842" spans="1:2" x14ac:dyDescent="0.25">
      <c r="A5842" t="s">
        <v>5285</v>
      </c>
      <c r="B5842" t="s">
        <v>5286</v>
      </c>
    </row>
    <row r="5843" spans="1:2" x14ac:dyDescent="0.25">
      <c r="A5843" t="s">
        <v>5287</v>
      </c>
      <c r="B5843" t="s">
        <v>5288</v>
      </c>
    </row>
    <row r="5844" spans="1:2" x14ac:dyDescent="0.25">
      <c r="A5844" t="s">
        <v>5289</v>
      </c>
      <c r="B5844" t="s">
        <v>5290</v>
      </c>
    </row>
    <row r="5845" spans="1:2" x14ac:dyDescent="0.25">
      <c r="A5845" t="s">
        <v>5291</v>
      </c>
      <c r="B5845" t="s">
        <v>5292</v>
      </c>
    </row>
    <row r="5846" spans="1:2" x14ac:dyDescent="0.25">
      <c r="A5846" t="s">
        <v>5293</v>
      </c>
      <c r="B5846" t="s">
        <v>5294</v>
      </c>
    </row>
    <row r="5847" spans="1:2" x14ac:dyDescent="0.25">
      <c r="A5847" t="s">
        <v>5295</v>
      </c>
      <c r="B5847" t="s">
        <v>5296</v>
      </c>
    </row>
    <row r="5848" spans="1:2" x14ac:dyDescent="0.25">
      <c r="A5848" t="s">
        <v>5297</v>
      </c>
      <c r="B5848" t="s">
        <v>5298</v>
      </c>
    </row>
    <row r="5849" spans="1:2" x14ac:dyDescent="0.25">
      <c r="A5849" t="s">
        <v>5299</v>
      </c>
      <c r="B5849" t="s">
        <v>5300</v>
      </c>
    </row>
    <row r="5850" spans="1:2" x14ac:dyDescent="0.25">
      <c r="A5850" t="s">
        <v>5301</v>
      </c>
      <c r="B5850" t="s">
        <v>5302</v>
      </c>
    </row>
    <row r="5851" spans="1:2" x14ac:dyDescent="0.25">
      <c r="A5851" t="s">
        <v>5303</v>
      </c>
      <c r="B5851" t="s">
        <v>5304</v>
      </c>
    </row>
    <row r="5852" spans="1:2" x14ac:dyDescent="0.25">
      <c r="A5852" t="s">
        <v>5305</v>
      </c>
      <c r="B5852" t="s">
        <v>5306</v>
      </c>
    </row>
    <row r="5853" spans="1:2" x14ac:dyDescent="0.25">
      <c r="A5853" t="s">
        <v>5307</v>
      </c>
      <c r="B5853" t="s">
        <v>5308</v>
      </c>
    </row>
    <row r="5854" spans="1:2" x14ac:dyDescent="0.25">
      <c r="A5854" t="s">
        <v>5309</v>
      </c>
      <c r="B5854" t="s">
        <v>5310</v>
      </c>
    </row>
    <row r="5855" spans="1:2" x14ac:dyDescent="0.25">
      <c r="A5855" t="s">
        <v>5311</v>
      </c>
      <c r="B5855" t="s">
        <v>5312</v>
      </c>
    </row>
    <row r="5856" spans="1:2" x14ac:dyDescent="0.25">
      <c r="A5856" t="s">
        <v>5313</v>
      </c>
      <c r="B5856" t="s">
        <v>5314</v>
      </c>
    </row>
    <row r="5857" spans="1:2" x14ac:dyDescent="0.25">
      <c r="A5857" t="s">
        <v>5315</v>
      </c>
      <c r="B5857" t="s">
        <v>5316</v>
      </c>
    </row>
    <row r="5858" spans="1:2" x14ac:dyDescent="0.25">
      <c r="A5858" t="s">
        <v>5317</v>
      </c>
      <c r="B5858" t="s">
        <v>5318</v>
      </c>
    </row>
    <row r="5859" spans="1:2" x14ac:dyDescent="0.25">
      <c r="A5859" t="s">
        <v>5319</v>
      </c>
      <c r="B5859" t="s">
        <v>5320</v>
      </c>
    </row>
    <row r="5860" spans="1:2" x14ac:dyDescent="0.25">
      <c r="A5860" t="s">
        <v>5321</v>
      </c>
      <c r="B5860" t="s">
        <v>5322</v>
      </c>
    </row>
    <row r="5861" spans="1:2" x14ac:dyDescent="0.25">
      <c r="A5861" t="s">
        <v>5323</v>
      </c>
      <c r="B5861" t="s">
        <v>5324</v>
      </c>
    </row>
    <row r="5862" spans="1:2" x14ac:dyDescent="0.25">
      <c r="A5862" t="s">
        <v>5325</v>
      </c>
      <c r="B5862" t="s">
        <v>5326</v>
      </c>
    </row>
    <row r="5863" spans="1:2" x14ac:dyDescent="0.25">
      <c r="A5863" t="s">
        <v>5327</v>
      </c>
      <c r="B5863" t="s">
        <v>5328</v>
      </c>
    </row>
    <row r="5864" spans="1:2" x14ac:dyDescent="0.25">
      <c r="A5864" t="s">
        <v>5329</v>
      </c>
      <c r="B5864" t="s">
        <v>5330</v>
      </c>
    </row>
    <row r="5865" spans="1:2" x14ac:dyDescent="0.25">
      <c r="A5865" t="s">
        <v>5331</v>
      </c>
      <c r="B5865" t="s">
        <v>5332</v>
      </c>
    </row>
    <row r="5866" spans="1:2" x14ac:dyDescent="0.25">
      <c r="A5866" t="s">
        <v>5333</v>
      </c>
      <c r="B5866" t="s">
        <v>5334</v>
      </c>
    </row>
    <row r="5867" spans="1:2" x14ac:dyDescent="0.25">
      <c r="A5867" t="s">
        <v>5335</v>
      </c>
      <c r="B5867" t="s">
        <v>5336</v>
      </c>
    </row>
    <row r="5868" spans="1:2" x14ac:dyDescent="0.25">
      <c r="A5868" t="s">
        <v>5337</v>
      </c>
      <c r="B5868" t="s">
        <v>5338</v>
      </c>
    </row>
    <row r="5869" spans="1:2" x14ac:dyDescent="0.25">
      <c r="A5869" t="s">
        <v>5339</v>
      </c>
      <c r="B5869" t="s">
        <v>5340</v>
      </c>
    </row>
    <row r="5870" spans="1:2" x14ac:dyDescent="0.25">
      <c r="A5870" t="s">
        <v>5341</v>
      </c>
      <c r="B5870" t="s">
        <v>5342</v>
      </c>
    </row>
    <row r="5871" spans="1:2" x14ac:dyDescent="0.25">
      <c r="A5871" t="s">
        <v>5343</v>
      </c>
      <c r="B5871" t="s">
        <v>5344</v>
      </c>
    </row>
    <row r="5872" spans="1:2" x14ac:dyDescent="0.25">
      <c r="A5872" t="s">
        <v>5345</v>
      </c>
      <c r="B5872" t="s">
        <v>5346</v>
      </c>
    </row>
    <row r="5873" spans="1:2" x14ac:dyDescent="0.25">
      <c r="A5873" t="s">
        <v>5347</v>
      </c>
      <c r="B5873" t="s">
        <v>5348</v>
      </c>
    </row>
    <row r="5874" spans="1:2" x14ac:dyDescent="0.25">
      <c r="A5874" t="s">
        <v>5349</v>
      </c>
      <c r="B5874" t="s">
        <v>5350</v>
      </c>
    </row>
    <row r="5875" spans="1:2" x14ac:dyDescent="0.25">
      <c r="A5875" t="s">
        <v>5351</v>
      </c>
      <c r="B5875" t="s">
        <v>5352</v>
      </c>
    </row>
    <row r="5876" spans="1:2" x14ac:dyDescent="0.25">
      <c r="A5876" t="s">
        <v>5353</v>
      </c>
      <c r="B5876" t="s">
        <v>5354</v>
      </c>
    </row>
    <row r="5877" spans="1:2" x14ac:dyDescent="0.25">
      <c r="A5877" t="s">
        <v>5355</v>
      </c>
      <c r="B5877" t="s">
        <v>5356</v>
      </c>
    </row>
    <row r="5878" spans="1:2" x14ac:dyDescent="0.25">
      <c r="A5878" t="s">
        <v>5357</v>
      </c>
      <c r="B5878" t="s">
        <v>5358</v>
      </c>
    </row>
    <row r="5879" spans="1:2" x14ac:dyDescent="0.25">
      <c r="A5879" t="s">
        <v>5359</v>
      </c>
      <c r="B5879" t="s">
        <v>5360</v>
      </c>
    </row>
    <row r="5880" spans="1:2" x14ac:dyDescent="0.25">
      <c r="A5880" t="s">
        <v>5361</v>
      </c>
      <c r="B5880" t="s">
        <v>5362</v>
      </c>
    </row>
    <row r="5881" spans="1:2" x14ac:dyDescent="0.25">
      <c r="A5881" t="s">
        <v>5363</v>
      </c>
      <c r="B5881" t="s">
        <v>5364</v>
      </c>
    </row>
    <row r="5882" spans="1:2" x14ac:dyDescent="0.25">
      <c r="A5882" t="s">
        <v>5365</v>
      </c>
      <c r="B5882" t="s">
        <v>5366</v>
      </c>
    </row>
    <row r="5883" spans="1:2" x14ac:dyDescent="0.25">
      <c r="A5883" t="s">
        <v>5367</v>
      </c>
      <c r="B5883" t="s">
        <v>5368</v>
      </c>
    </row>
    <row r="5884" spans="1:2" x14ac:dyDescent="0.25">
      <c r="A5884" t="s">
        <v>5369</v>
      </c>
      <c r="B5884" t="s">
        <v>5370</v>
      </c>
    </row>
    <row r="5885" spans="1:2" x14ac:dyDescent="0.25">
      <c r="A5885" t="s">
        <v>5371</v>
      </c>
      <c r="B5885" t="s">
        <v>5372</v>
      </c>
    </row>
    <row r="5886" spans="1:2" x14ac:dyDescent="0.25">
      <c r="A5886" t="s">
        <v>5373</v>
      </c>
      <c r="B5886" t="s">
        <v>5374</v>
      </c>
    </row>
    <row r="5887" spans="1:2" x14ac:dyDescent="0.25">
      <c r="A5887" t="s">
        <v>5375</v>
      </c>
      <c r="B5887" t="s">
        <v>5376</v>
      </c>
    </row>
    <row r="5888" spans="1:2" x14ac:dyDescent="0.25">
      <c r="A5888" t="s">
        <v>5377</v>
      </c>
      <c r="B5888" t="s">
        <v>5378</v>
      </c>
    </row>
    <row r="5889" spans="1:2" x14ac:dyDescent="0.25">
      <c r="A5889" t="s">
        <v>5379</v>
      </c>
      <c r="B5889" t="s">
        <v>5380</v>
      </c>
    </row>
    <row r="5890" spans="1:2" x14ac:dyDescent="0.25">
      <c r="A5890" t="s">
        <v>5381</v>
      </c>
      <c r="B5890" t="s">
        <v>5382</v>
      </c>
    </row>
    <row r="5891" spans="1:2" x14ac:dyDescent="0.25">
      <c r="A5891" t="s">
        <v>5383</v>
      </c>
      <c r="B5891" t="s">
        <v>5384</v>
      </c>
    </row>
    <row r="5892" spans="1:2" x14ac:dyDescent="0.25">
      <c r="A5892" t="s">
        <v>5385</v>
      </c>
      <c r="B5892" t="s">
        <v>5386</v>
      </c>
    </row>
    <row r="5893" spans="1:2" x14ac:dyDescent="0.25">
      <c r="A5893" t="s">
        <v>5387</v>
      </c>
      <c r="B5893" t="s">
        <v>5388</v>
      </c>
    </row>
    <row r="5894" spans="1:2" x14ac:dyDescent="0.25">
      <c r="A5894" t="s">
        <v>5389</v>
      </c>
      <c r="B5894" t="s">
        <v>5390</v>
      </c>
    </row>
    <row r="5895" spans="1:2" x14ac:dyDescent="0.25">
      <c r="A5895" t="s">
        <v>5391</v>
      </c>
      <c r="B5895" t="s">
        <v>5392</v>
      </c>
    </row>
    <row r="5896" spans="1:2" x14ac:dyDescent="0.25">
      <c r="A5896" t="s">
        <v>5393</v>
      </c>
      <c r="B5896" t="s">
        <v>5394</v>
      </c>
    </row>
    <row r="5897" spans="1:2" x14ac:dyDescent="0.25">
      <c r="A5897" t="s">
        <v>5395</v>
      </c>
      <c r="B5897" t="s">
        <v>5396</v>
      </c>
    </row>
    <row r="5898" spans="1:2" x14ac:dyDescent="0.25">
      <c r="A5898" t="s">
        <v>5397</v>
      </c>
      <c r="B5898" t="s">
        <v>5398</v>
      </c>
    </row>
    <row r="5899" spans="1:2" x14ac:dyDescent="0.25">
      <c r="A5899" t="s">
        <v>5399</v>
      </c>
      <c r="B5899" t="s">
        <v>5400</v>
      </c>
    </row>
    <row r="5900" spans="1:2" x14ac:dyDescent="0.25">
      <c r="A5900" t="s">
        <v>5401</v>
      </c>
      <c r="B5900" t="s">
        <v>5402</v>
      </c>
    </row>
    <row r="5901" spans="1:2" x14ac:dyDescent="0.25">
      <c r="A5901" t="s">
        <v>5403</v>
      </c>
      <c r="B5901" t="s">
        <v>5404</v>
      </c>
    </row>
    <row r="5902" spans="1:2" x14ac:dyDescent="0.25">
      <c r="A5902" t="s">
        <v>5405</v>
      </c>
      <c r="B5902" t="s">
        <v>5406</v>
      </c>
    </row>
    <row r="5903" spans="1:2" x14ac:dyDescent="0.25">
      <c r="A5903" t="s">
        <v>5407</v>
      </c>
      <c r="B5903" t="s">
        <v>5408</v>
      </c>
    </row>
    <row r="5904" spans="1:2" x14ac:dyDescent="0.25">
      <c r="A5904" t="s">
        <v>5409</v>
      </c>
      <c r="B5904" t="s">
        <v>5410</v>
      </c>
    </row>
    <row r="5905" spans="1:2" x14ac:dyDescent="0.25">
      <c r="A5905" t="s">
        <v>5411</v>
      </c>
      <c r="B5905" t="s">
        <v>5412</v>
      </c>
    </row>
    <row r="5906" spans="1:2" x14ac:dyDescent="0.25">
      <c r="A5906" t="s">
        <v>5413</v>
      </c>
      <c r="B5906" t="s">
        <v>5414</v>
      </c>
    </row>
    <row r="5907" spans="1:2" x14ac:dyDescent="0.25">
      <c r="A5907" t="s">
        <v>5415</v>
      </c>
      <c r="B5907" t="s">
        <v>5416</v>
      </c>
    </row>
    <row r="5908" spans="1:2" x14ac:dyDescent="0.25">
      <c r="A5908" t="s">
        <v>5417</v>
      </c>
      <c r="B5908" t="s">
        <v>5418</v>
      </c>
    </row>
    <row r="5909" spans="1:2" x14ac:dyDescent="0.25">
      <c r="A5909" t="s">
        <v>5419</v>
      </c>
      <c r="B5909" t="s">
        <v>5420</v>
      </c>
    </row>
    <row r="5910" spans="1:2" x14ac:dyDescent="0.25">
      <c r="A5910" t="s">
        <v>5421</v>
      </c>
      <c r="B5910" t="s">
        <v>5422</v>
      </c>
    </row>
    <row r="5911" spans="1:2" x14ac:dyDescent="0.25">
      <c r="A5911" t="s">
        <v>5423</v>
      </c>
      <c r="B5911" t="s">
        <v>5424</v>
      </c>
    </row>
    <row r="5912" spans="1:2" x14ac:dyDescent="0.25">
      <c r="A5912" t="s">
        <v>5425</v>
      </c>
      <c r="B5912" t="s">
        <v>5426</v>
      </c>
    </row>
    <row r="5913" spans="1:2" x14ac:dyDescent="0.25">
      <c r="A5913" t="s">
        <v>5427</v>
      </c>
      <c r="B5913" t="s">
        <v>5428</v>
      </c>
    </row>
    <row r="5914" spans="1:2" x14ac:dyDescent="0.25">
      <c r="A5914" t="s">
        <v>5429</v>
      </c>
      <c r="B5914" t="s">
        <v>5430</v>
      </c>
    </row>
    <row r="5915" spans="1:2" x14ac:dyDescent="0.25">
      <c r="A5915" t="s">
        <v>5431</v>
      </c>
      <c r="B5915" t="s">
        <v>5432</v>
      </c>
    </row>
    <row r="5916" spans="1:2" x14ac:dyDescent="0.25">
      <c r="A5916" t="s">
        <v>4907</v>
      </c>
      <c r="B5916" t="s">
        <v>5433</v>
      </c>
    </row>
    <row r="5917" spans="1:2" x14ac:dyDescent="0.25">
      <c r="A5917" t="s">
        <v>5435</v>
      </c>
      <c r="B5917" t="s">
        <v>5436</v>
      </c>
    </row>
    <row r="5918" spans="1:2" x14ac:dyDescent="0.25">
      <c r="A5918" t="s">
        <v>5437</v>
      </c>
      <c r="B5918" t="s">
        <v>5438</v>
      </c>
    </row>
    <row r="5919" spans="1:2" x14ac:dyDescent="0.25">
      <c r="A5919" t="s">
        <v>5439</v>
      </c>
      <c r="B5919" t="s">
        <v>5440</v>
      </c>
    </row>
    <row r="5920" spans="1:2" x14ac:dyDescent="0.25">
      <c r="A5920" t="s">
        <v>5441</v>
      </c>
      <c r="B5920" t="s">
        <v>5442</v>
      </c>
    </row>
    <row r="5921" spans="1:2" x14ac:dyDescent="0.25">
      <c r="A5921" t="s">
        <v>5444</v>
      </c>
      <c r="B5921" t="s">
        <v>5445</v>
      </c>
    </row>
    <row r="5922" spans="1:2" x14ac:dyDescent="0.25">
      <c r="A5922" t="s">
        <v>5446</v>
      </c>
      <c r="B5922" t="s">
        <v>5447</v>
      </c>
    </row>
    <row r="5923" spans="1:2" x14ac:dyDescent="0.25">
      <c r="A5923" t="s">
        <v>5448</v>
      </c>
      <c r="B5923" t="s">
        <v>5449</v>
      </c>
    </row>
    <row r="5924" spans="1:2" x14ac:dyDescent="0.25">
      <c r="A5924" t="s">
        <v>5450</v>
      </c>
      <c r="B5924" t="s">
        <v>5451</v>
      </c>
    </row>
    <row r="5925" spans="1:2" x14ac:dyDescent="0.25">
      <c r="A5925" t="s">
        <v>5452</v>
      </c>
      <c r="B5925" t="s">
        <v>5453</v>
      </c>
    </row>
    <row r="5926" spans="1:2" x14ac:dyDescent="0.25">
      <c r="A5926" t="s">
        <v>5455</v>
      </c>
      <c r="B5926" t="s">
        <v>5456</v>
      </c>
    </row>
    <row r="5927" spans="1:2" x14ac:dyDescent="0.25">
      <c r="A5927" t="s">
        <v>5457</v>
      </c>
      <c r="B5927" t="s">
        <v>5458</v>
      </c>
    </row>
    <row r="5928" spans="1:2" x14ac:dyDescent="0.25">
      <c r="A5928" t="s">
        <v>5459</v>
      </c>
      <c r="B5928" t="s">
        <v>5460</v>
      </c>
    </row>
    <row r="5929" spans="1:2" x14ac:dyDescent="0.25">
      <c r="A5929" t="s">
        <v>5461</v>
      </c>
      <c r="B5929" t="s">
        <v>5462</v>
      </c>
    </row>
    <row r="5930" spans="1:2" x14ac:dyDescent="0.25">
      <c r="A5930" t="s">
        <v>5463</v>
      </c>
      <c r="B5930" t="s">
        <v>5464</v>
      </c>
    </row>
    <row r="5931" spans="1:2" x14ac:dyDescent="0.25">
      <c r="A5931" t="s">
        <v>5465</v>
      </c>
      <c r="B5931" t="s">
        <v>5466</v>
      </c>
    </row>
    <row r="5932" spans="1:2" x14ac:dyDescent="0.25">
      <c r="A5932" t="s">
        <v>5468</v>
      </c>
      <c r="B5932" t="s">
        <v>5469</v>
      </c>
    </row>
    <row r="5933" spans="1:2" x14ac:dyDescent="0.25">
      <c r="A5933" t="s">
        <v>5470</v>
      </c>
      <c r="B5933" t="s">
        <v>5471</v>
      </c>
    </row>
    <row r="5934" spans="1:2" x14ac:dyDescent="0.25">
      <c r="A5934" t="s">
        <v>5472</v>
      </c>
      <c r="B5934" t="s">
        <v>5473</v>
      </c>
    </row>
    <row r="5935" spans="1:2" x14ac:dyDescent="0.25">
      <c r="A5935" t="s">
        <v>5475</v>
      </c>
      <c r="B5935" t="s">
        <v>5476</v>
      </c>
    </row>
    <row r="5936" spans="1:2" x14ac:dyDescent="0.25">
      <c r="A5936" t="s">
        <v>5477</v>
      </c>
      <c r="B5936" t="s">
        <v>5478</v>
      </c>
    </row>
    <row r="5937" spans="1:2" x14ac:dyDescent="0.25">
      <c r="A5937" t="s">
        <v>5480</v>
      </c>
      <c r="B5937" t="s">
        <v>5481</v>
      </c>
    </row>
    <row r="5938" spans="1:2" x14ac:dyDescent="0.25">
      <c r="A5938" t="s">
        <v>5482</v>
      </c>
      <c r="B5938" t="s">
        <v>5483</v>
      </c>
    </row>
    <row r="5939" spans="1:2" x14ac:dyDescent="0.25">
      <c r="A5939" t="s">
        <v>5485</v>
      </c>
      <c r="B5939" t="s">
        <v>5486</v>
      </c>
    </row>
    <row r="5940" spans="1:2" x14ac:dyDescent="0.25">
      <c r="A5940" t="s">
        <v>5487</v>
      </c>
      <c r="B5940" t="s">
        <v>5488</v>
      </c>
    </row>
    <row r="5941" spans="1:2" x14ac:dyDescent="0.25">
      <c r="A5941" t="s">
        <v>5490</v>
      </c>
      <c r="B5941" t="s">
        <v>5491</v>
      </c>
    </row>
    <row r="5942" spans="1:2" x14ac:dyDescent="0.25">
      <c r="A5942" t="s">
        <v>5492</v>
      </c>
      <c r="B5942" t="s">
        <v>5493</v>
      </c>
    </row>
    <row r="5943" spans="1:2" x14ac:dyDescent="0.25">
      <c r="A5943" t="s">
        <v>5494</v>
      </c>
      <c r="B5943" t="s">
        <v>5495</v>
      </c>
    </row>
    <row r="5944" spans="1:2" x14ac:dyDescent="0.25">
      <c r="A5944" t="s">
        <v>5496</v>
      </c>
      <c r="B5944" t="s">
        <v>5497</v>
      </c>
    </row>
    <row r="5945" spans="1:2" x14ac:dyDescent="0.25">
      <c r="A5945" t="s">
        <v>5498</v>
      </c>
      <c r="B5945" t="s">
        <v>5499</v>
      </c>
    </row>
    <row r="5946" spans="1:2" x14ac:dyDescent="0.25">
      <c r="A5946" t="s">
        <v>5500</v>
      </c>
      <c r="B5946" t="s">
        <v>5501</v>
      </c>
    </row>
    <row r="5947" spans="1:2" x14ac:dyDescent="0.25">
      <c r="A5947" t="s">
        <v>5502</v>
      </c>
      <c r="B5947" t="s">
        <v>5503</v>
      </c>
    </row>
    <row r="5948" spans="1:2" x14ac:dyDescent="0.25">
      <c r="A5948" t="s">
        <v>5504</v>
      </c>
      <c r="B5948" t="s">
        <v>5505</v>
      </c>
    </row>
    <row r="5949" spans="1:2" x14ac:dyDescent="0.25">
      <c r="A5949" t="s">
        <v>5506</v>
      </c>
      <c r="B5949" t="s">
        <v>5507</v>
      </c>
    </row>
    <row r="5950" spans="1:2" x14ac:dyDescent="0.25">
      <c r="A5950" t="s">
        <v>5508</v>
      </c>
      <c r="B5950" t="s">
        <v>5509</v>
      </c>
    </row>
    <row r="5951" spans="1:2" x14ac:dyDescent="0.25">
      <c r="A5951" t="s">
        <v>5510</v>
      </c>
      <c r="B5951" t="s">
        <v>5511</v>
      </c>
    </row>
    <row r="5952" spans="1:2" x14ac:dyDescent="0.25">
      <c r="A5952" t="s">
        <v>5512</v>
      </c>
      <c r="B5952" t="s">
        <v>5513</v>
      </c>
    </row>
    <row r="5953" spans="1:2" x14ac:dyDescent="0.25">
      <c r="A5953" t="s">
        <v>5514</v>
      </c>
      <c r="B5953" t="s">
        <v>5515</v>
      </c>
    </row>
    <row r="5954" spans="1:2" x14ac:dyDescent="0.25">
      <c r="A5954" t="s">
        <v>5516</v>
      </c>
      <c r="B5954" t="s">
        <v>5517</v>
      </c>
    </row>
    <row r="5955" spans="1:2" x14ac:dyDescent="0.25">
      <c r="A5955" t="s">
        <v>5518</v>
      </c>
      <c r="B5955" t="s">
        <v>5519</v>
      </c>
    </row>
    <row r="5956" spans="1:2" x14ac:dyDescent="0.25">
      <c r="A5956" t="s">
        <v>5520</v>
      </c>
      <c r="B5956" t="s">
        <v>5521</v>
      </c>
    </row>
    <row r="5957" spans="1:2" x14ac:dyDescent="0.25">
      <c r="A5957" t="s">
        <v>5522</v>
      </c>
      <c r="B5957" t="s">
        <v>5523</v>
      </c>
    </row>
    <row r="5958" spans="1:2" x14ac:dyDescent="0.25">
      <c r="A5958" t="s">
        <v>5524</v>
      </c>
      <c r="B5958" t="s">
        <v>5525</v>
      </c>
    </row>
    <row r="5959" spans="1:2" x14ac:dyDescent="0.25">
      <c r="A5959" t="s">
        <v>5526</v>
      </c>
      <c r="B5959" t="s">
        <v>5527</v>
      </c>
    </row>
    <row r="5960" spans="1:2" x14ac:dyDescent="0.25">
      <c r="A5960" t="s">
        <v>5528</v>
      </c>
      <c r="B5960" t="s">
        <v>5529</v>
      </c>
    </row>
    <row r="5961" spans="1:2" x14ac:dyDescent="0.25">
      <c r="A5961" t="s">
        <v>5530</v>
      </c>
      <c r="B5961" t="s">
        <v>5531</v>
      </c>
    </row>
    <row r="5962" spans="1:2" x14ac:dyDescent="0.25">
      <c r="A5962" t="s">
        <v>5532</v>
      </c>
      <c r="B5962" t="s">
        <v>5533</v>
      </c>
    </row>
    <row r="5963" spans="1:2" x14ac:dyDescent="0.25">
      <c r="A5963" t="s">
        <v>5534</v>
      </c>
      <c r="B5963" t="s">
        <v>5535</v>
      </c>
    </row>
    <row r="5964" spans="1:2" x14ac:dyDescent="0.25">
      <c r="A5964" t="s">
        <v>5536</v>
      </c>
      <c r="B5964" t="s">
        <v>5537</v>
      </c>
    </row>
    <row r="5965" spans="1:2" x14ac:dyDescent="0.25">
      <c r="A5965" t="s">
        <v>5538</v>
      </c>
      <c r="B5965" t="s">
        <v>5539</v>
      </c>
    </row>
    <row r="5966" spans="1:2" x14ac:dyDescent="0.25">
      <c r="A5966" t="s">
        <v>5540</v>
      </c>
      <c r="B5966" t="s">
        <v>5541</v>
      </c>
    </row>
    <row r="5967" spans="1:2" x14ac:dyDescent="0.25">
      <c r="A5967" t="s">
        <v>5542</v>
      </c>
      <c r="B5967" t="s">
        <v>5543</v>
      </c>
    </row>
    <row r="5968" spans="1:2" x14ac:dyDescent="0.25">
      <c r="A5968" t="s">
        <v>5544</v>
      </c>
      <c r="B5968" t="s">
        <v>5545</v>
      </c>
    </row>
    <row r="5969" spans="1:2" x14ac:dyDescent="0.25">
      <c r="A5969" t="s">
        <v>5546</v>
      </c>
      <c r="B5969" t="s">
        <v>5547</v>
      </c>
    </row>
    <row r="5970" spans="1:2" x14ac:dyDescent="0.25">
      <c r="A5970" t="s">
        <v>5548</v>
      </c>
      <c r="B5970" t="s">
        <v>5549</v>
      </c>
    </row>
    <row r="5971" spans="1:2" x14ac:dyDescent="0.25">
      <c r="A5971" t="s">
        <v>5550</v>
      </c>
      <c r="B5971" t="s">
        <v>5551</v>
      </c>
    </row>
    <row r="5972" spans="1:2" x14ac:dyDescent="0.25">
      <c r="A5972" t="s">
        <v>5552</v>
      </c>
      <c r="B5972" t="s">
        <v>5553</v>
      </c>
    </row>
    <row r="5973" spans="1:2" x14ac:dyDescent="0.25">
      <c r="A5973" t="s">
        <v>5554</v>
      </c>
      <c r="B5973" t="s">
        <v>5555</v>
      </c>
    </row>
    <row r="5974" spans="1:2" x14ac:dyDescent="0.25">
      <c r="A5974" t="s">
        <v>5556</v>
      </c>
      <c r="B5974" t="s">
        <v>5557</v>
      </c>
    </row>
    <row r="5975" spans="1:2" x14ac:dyDescent="0.25">
      <c r="A5975" t="s">
        <v>5558</v>
      </c>
      <c r="B5975" t="s">
        <v>5559</v>
      </c>
    </row>
    <row r="5976" spans="1:2" x14ac:dyDescent="0.25">
      <c r="A5976" t="s">
        <v>5560</v>
      </c>
      <c r="B5976" t="s">
        <v>5561</v>
      </c>
    </row>
    <row r="5977" spans="1:2" x14ac:dyDescent="0.25">
      <c r="A5977" t="s">
        <v>5562</v>
      </c>
      <c r="B5977" t="s">
        <v>5563</v>
      </c>
    </row>
    <row r="5978" spans="1:2" x14ac:dyDescent="0.25">
      <c r="A5978" t="s">
        <v>5564</v>
      </c>
      <c r="B5978" t="s">
        <v>5565</v>
      </c>
    </row>
    <row r="5979" spans="1:2" x14ac:dyDescent="0.25">
      <c r="A5979" t="s">
        <v>5566</v>
      </c>
      <c r="B5979" t="s">
        <v>5567</v>
      </c>
    </row>
    <row r="5980" spans="1:2" x14ac:dyDescent="0.25">
      <c r="A5980" t="s">
        <v>5568</v>
      </c>
      <c r="B5980" t="s">
        <v>5569</v>
      </c>
    </row>
    <row r="5981" spans="1:2" x14ac:dyDescent="0.25">
      <c r="A5981" t="s">
        <v>5570</v>
      </c>
      <c r="B5981" t="s">
        <v>5571</v>
      </c>
    </row>
    <row r="5982" spans="1:2" x14ac:dyDescent="0.25">
      <c r="A5982" t="s">
        <v>5572</v>
      </c>
      <c r="B5982" t="s">
        <v>5573</v>
      </c>
    </row>
    <row r="5983" spans="1:2" x14ac:dyDescent="0.25">
      <c r="A5983" t="s">
        <v>5574</v>
      </c>
      <c r="B5983" t="s">
        <v>5575</v>
      </c>
    </row>
    <row r="5984" spans="1:2" x14ac:dyDescent="0.25">
      <c r="A5984" t="s">
        <v>5576</v>
      </c>
      <c r="B5984" t="s">
        <v>5577</v>
      </c>
    </row>
    <row r="5985" spans="1:2" x14ac:dyDescent="0.25">
      <c r="A5985" t="s">
        <v>5578</v>
      </c>
      <c r="B5985" t="s">
        <v>5579</v>
      </c>
    </row>
    <row r="5986" spans="1:2" x14ac:dyDescent="0.25">
      <c r="A5986" t="s">
        <v>5580</v>
      </c>
      <c r="B5986" t="s">
        <v>5581</v>
      </c>
    </row>
    <row r="5987" spans="1:2" x14ac:dyDescent="0.25">
      <c r="A5987" t="s">
        <v>5582</v>
      </c>
      <c r="B5987" t="s">
        <v>5583</v>
      </c>
    </row>
    <row r="5988" spans="1:2" x14ac:dyDescent="0.25">
      <c r="A5988" t="s">
        <v>5584</v>
      </c>
      <c r="B5988" t="s">
        <v>5585</v>
      </c>
    </row>
    <row r="5989" spans="1:2" x14ac:dyDescent="0.25">
      <c r="A5989" t="s">
        <v>5586</v>
      </c>
      <c r="B5989" t="s">
        <v>5587</v>
      </c>
    </row>
    <row r="5990" spans="1:2" x14ac:dyDescent="0.25">
      <c r="A5990" t="s">
        <v>5588</v>
      </c>
      <c r="B5990" t="s">
        <v>5589</v>
      </c>
    </row>
    <row r="5991" spans="1:2" x14ac:dyDescent="0.25">
      <c r="A5991" t="s">
        <v>5590</v>
      </c>
      <c r="B5991" t="s">
        <v>5591</v>
      </c>
    </row>
    <row r="5992" spans="1:2" x14ac:dyDescent="0.25">
      <c r="A5992" t="s">
        <v>5592</v>
      </c>
      <c r="B5992" t="s">
        <v>5593</v>
      </c>
    </row>
    <row r="5993" spans="1:2" x14ac:dyDescent="0.25">
      <c r="A5993" t="s">
        <v>5594</v>
      </c>
      <c r="B5993" t="s">
        <v>5595</v>
      </c>
    </row>
    <row r="5994" spans="1:2" x14ac:dyDescent="0.25">
      <c r="A5994" t="s">
        <v>5596</v>
      </c>
      <c r="B5994" t="s">
        <v>5597</v>
      </c>
    </row>
    <row r="5995" spans="1:2" x14ac:dyDescent="0.25">
      <c r="A5995" t="s">
        <v>5598</v>
      </c>
      <c r="B5995" t="s">
        <v>5599</v>
      </c>
    </row>
    <row r="5996" spans="1:2" x14ac:dyDescent="0.25">
      <c r="A5996" t="s">
        <v>5600</v>
      </c>
      <c r="B5996" t="s">
        <v>5601</v>
      </c>
    </row>
    <row r="5997" spans="1:2" x14ac:dyDescent="0.25">
      <c r="A5997" t="s">
        <v>5602</v>
      </c>
      <c r="B5997" t="s">
        <v>5603</v>
      </c>
    </row>
    <row r="5998" spans="1:2" x14ac:dyDescent="0.25">
      <c r="A5998" t="s">
        <v>5604</v>
      </c>
      <c r="B5998" t="s">
        <v>5605</v>
      </c>
    </row>
    <row r="5999" spans="1:2" x14ac:dyDescent="0.25">
      <c r="A5999" t="s">
        <v>5606</v>
      </c>
      <c r="B5999" t="s">
        <v>5607</v>
      </c>
    </row>
    <row r="6000" spans="1:2" x14ac:dyDescent="0.25">
      <c r="A6000" t="s">
        <v>5608</v>
      </c>
      <c r="B6000" t="s">
        <v>5609</v>
      </c>
    </row>
    <row r="6001" spans="1:2" x14ac:dyDescent="0.25">
      <c r="A6001" t="s">
        <v>5610</v>
      </c>
      <c r="B6001" t="s">
        <v>5611</v>
      </c>
    </row>
    <row r="6002" spans="1:2" x14ac:dyDescent="0.25">
      <c r="A6002" t="s">
        <v>5612</v>
      </c>
      <c r="B6002" t="s">
        <v>5613</v>
      </c>
    </row>
    <row r="6003" spans="1:2" x14ac:dyDescent="0.25">
      <c r="A6003" t="s">
        <v>5614</v>
      </c>
      <c r="B6003" t="s">
        <v>5615</v>
      </c>
    </row>
    <row r="6004" spans="1:2" x14ac:dyDescent="0.25">
      <c r="A6004" t="s">
        <v>5616</v>
      </c>
      <c r="B6004" t="s">
        <v>5617</v>
      </c>
    </row>
    <row r="6005" spans="1:2" x14ac:dyDescent="0.25">
      <c r="A6005" t="s">
        <v>5618</v>
      </c>
      <c r="B6005" t="s">
        <v>5619</v>
      </c>
    </row>
    <row r="6006" spans="1:2" x14ac:dyDescent="0.25">
      <c r="A6006" t="s">
        <v>5620</v>
      </c>
      <c r="B6006" t="s">
        <v>5621</v>
      </c>
    </row>
    <row r="6007" spans="1:2" x14ac:dyDescent="0.25">
      <c r="A6007" t="s">
        <v>5622</v>
      </c>
      <c r="B6007" t="s">
        <v>5623</v>
      </c>
    </row>
    <row r="6008" spans="1:2" x14ac:dyDescent="0.25">
      <c r="A6008" t="s">
        <v>5624</v>
      </c>
      <c r="B6008" t="s">
        <v>5625</v>
      </c>
    </row>
    <row r="6009" spans="1:2" x14ac:dyDescent="0.25">
      <c r="A6009" t="s">
        <v>5626</v>
      </c>
      <c r="B6009" t="s">
        <v>5627</v>
      </c>
    </row>
    <row r="6010" spans="1:2" x14ac:dyDescent="0.25">
      <c r="A6010" t="s">
        <v>5628</v>
      </c>
      <c r="B6010" t="s">
        <v>5629</v>
      </c>
    </row>
    <row r="6011" spans="1:2" x14ac:dyDescent="0.25">
      <c r="A6011" t="s">
        <v>5630</v>
      </c>
      <c r="B6011" t="s">
        <v>5631</v>
      </c>
    </row>
    <row r="6012" spans="1:2" x14ac:dyDescent="0.25">
      <c r="A6012" t="s">
        <v>5632</v>
      </c>
      <c r="B6012" t="s">
        <v>5633</v>
      </c>
    </row>
    <row r="6013" spans="1:2" x14ac:dyDescent="0.25">
      <c r="A6013" t="s">
        <v>5634</v>
      </c>
      <c r="B6013" t="s">
        <v>5635</v>
      </c>
    </row>
    <row r="6014" spans="1:2" x14ac:dyDescent="0.25">
      <c r="A6014" t="s">
        <v>5636</v>
      </c>
      <c r="B6014" t="s">
        <v>5637</v>
      </c>
    </row>
    <row r="6015" spans="1:2" x14ac:dyDescent="0.25">
      <c r="A6015" t="s">
        <v>5638</v>
      </c>
      <c r="B6015" t="s">
        <v>5639</v>
      </c>
    </row>
    <row r="6016" spans="1:2" x14ac:dyDescent="0.25">
      <c r="A6016" t="s">
        <v>5640</v>
      </c>
      <c r="B6016" t="s">
        <v>5641</v>
      </c>
    </row>
    <row r="6017" spans="1:2" x14ac:dyDescent="0.25">
      <c r="A6017" t="s">
        <v>5642</v>
      </c>
      <c r="B6017" t="s">
        <v>5643</v>
      </c>
    </row>
    <row r="6018" spans="1:2" x14ac:dyDescent="0.25">
      <c r="A6018" t="s">
        <v>5644</v>
      </c>
      <c r="B6018" t="s">
        <v>5645</v>
      </c>
    </row>
    <row r="6019" spans="1:2" x14ac:dyDescent="0.25">
      <c r="A6019" t="s">
        <v>5646</v>
      </c>
      <c r="B6019" t="s">
        <v>5647</v>
      </c>
    </row>
    <row r="6020" spans="1:2" x14ac:dyDescent="0.25">
      <c r="A6020" t="s">
        <v>5648</v>
      </c>
      <c r="B6020" t="s">
        <v>5649</v>
      </c>
    </row>
    <row r="6021" spans="1:2" x14ac:dyDescent="0.25">
      <c r="A6021" t="s">
        <v>5650</v>
      </c>
      <c r="B6021" t="s">
        <v>5651</v>
      </c>
    </row>
    <row r="6022" spans="1:2" x14ac:dyDescent="0.25">
      <c r="A6022" t="s">
        <v>5652</v>
      </c>
      <c r="B6022" t="s">
        <v>5653</v>
      </c>
    </row>
    <row r="6023" spans="1:2" x14ac:dyDescent="0.25">
      <c r="A6023" t="s">
        <v>5654</v>
      </c>
      <c r="B6023" t="s">
        <v>5655</v>
      </c>
    </row>
    <row r="6024" spans="1:2" x14ac:dyDescent="0.25">
      <c r="A6024" t="s">
        <v>5656</v>
      </c>
      <c r="B6024" t="s">
        <v>5657</v>
      </c>
    </row>
    <row r="6025" spans="1:2" x14ac:dyDescent="0.25">
      <c r="A6025" t="s">
        <v>5658</v>
      </c>
      <c r="B6025" t="s">
        <v>5659</v>
      </c>
    </row>
    <row r="6026" spans="1:2" x14ac:dyDescent="0.25">
      <c r="A6026" t="s">
        <v>5661</v>
      </c>
      <c r="B6026" t="s">
        <v>5662</v>
      </c>
    </row>
    <row r="6027" spans="1:2" x14ac:dyDescent="0.25">
      <c r="A6027" t="s">
        <v>5663</v>
      </c>
      <c r="B6027" t="s">
        <v>5664</v>
      </c>
    </row>
    <row r="6028" spans="1:2" x14ac:dyDescent="0.25">
      <c r="A6028" t="s">
        <v>5665</v>
      </c>
      <c r="B6028" t="s">
        <v>5666</v>
      </c>
    </row>
    <row r="6029" spans="1:2" x14ac:dyDescent="0.25">
      <c r="A6029" t="s">
        <v>5667</v>
      </c>
      <c r="B6029" t="s">
        <v>5668</v>
      </c>
    </row>
    <row r="6030" spans="1:2" x14ac:dyDescent="0.25">
      <c r="A6030" t="s">
        <v>5669</v>
      </c>
      <c r="B6030" t="s">
        <v>5670</v>
      </c>
    </row>
    <row r="6031" spans="1:2" x14ac:dyDescent="0.25">
      <c r="A6031" t="s">
        <v>5671</v>
      </c>
      <c r="B6031" t="s">
        <v>5672</v>
      </c>
    </row>
    <row r="6032" spans="1:2" x14ac:dyDescent="0.25">
      <c r="A6032" t="s">
        <v>5674</v>
      </c>
      <c r="B6032" t="s">
        <v>5675</v>
      </c>
    </row>
    <row r="6033" spans="1:2" x14ac:dyDescent="0.25">
      <c r="A6033" t="s">
        <v>5676</v>
      </c>
      <c r="B6033" t="s">
        <v>5677</v>
      </c>
    </row>
    <row r="6034" spans="1:2" x14ac:dyDescent="0.25">
      <c r="A6034" t="s">
        <v>5678</v>
      </c>
      <c r="B6034" t="s">
        <v>5679</v>
      </c>
    </row>
    <row r="6035" spans="1:2" x14ac:dyDescent="0.25">
      <c r="A6035" t="s">
        <v>5680</v>
      </c>
      <c r="B6035" t="s">
        <v>5681</v>
      </c>
    </row>
    <row r="6036" spans="1:2" x14ac:dyDescent="0.25">
      <c r="A6036" t="s">
        <v>5682</v>
      </c>
      <c r="B6036" t="s">
        <v>5683</v>
      </c>
    </row>
    <row r="6037" spans="1:2" x14ac:dyDescent="0.25">
      <c r="A6037" t="s">
        <v>5684</v>
      </c>
      <c r="B6037" t="s">
        <v>5685</v>
      </c>
    </row>
    <row r="6038" spans="1:2" x14ac:dyDescent="0.25">
      <c r="A6038" t="s">
        <v>5686</v>
      </c>
      <c r="B6038" t="s">
        <v>5687</v>
      </c>
    </row>
    <row r="6039" spans="1:2" x14ac:dyDescent="0.25">
      <c r="A6039" t="s">
        <v>5688</v>
      </c>
      <c r="B6039" t="s">
        <v>5689</v>
      </c>
    </row>
    <row r="6040" spans="1:2" x14ac:dyDescent="0.25">
      <c r="A6040" t="s">
        <v>5690</v>
      </c>
      <c r="B6040" t="s">
        <v>5691</v>
      </c>
    </row>
    <row r="6041" spans="1:2" x14ac:dyDescent="0.25">
      <c r="A6041" t="s">
        <v>2233</v>
      </c>
      <c r="B6041" t="s">
        <v>6892</v>
      </c>
    </row>
    <row r="6042" spans="1:2" x14ac:dyDescent="0.25">
      <c r="A6042" t="s">
        <v>2298</v>
      </c>
      <c r="B6042" t="s">
        <v>6893</v>
      </c>
    </row>
    <row r="6043" spans="1:2" x14ac:dyDescent="0.25">
      <c r="A6043" t="s">
        <v>2300</v>
      </c>
      <c r="B6043" t="s">
        <v>6895</v>
      </c>
    </row>
    <row r="6044" spans="1:2" x14ac:dyDescent="0.25">
      <c r="A6044" t="s">
        <v>479</v>
      </c>
      <c r="B6044" t="s">
        <v>6896</v>
      </c>
    </row>
    <row r="6045" spans="1:2" x14ac:dyDescent="0.25">
      <c r="A6045" t="s">
        <v>483</v>
      </c>
      <c r="B6045" t="s">
        <v>6897</v>
      </c>
    </row>
    <row r="6046" spans="1:2" x14ac:dyDescent="0.25">
      <c r="A6046" t="s">
        <v>496</v>
      </c>
      <c r="B6046" t="s">
        <v>6899</v>
      </c>
    </row>
    <row r="6047" spans="1:2" x14ac:dyDescent="0.25">
      <c r="A6047" t="s">
        <v>1297</v>
      </c>
      <c r="B6047" t="s">
        <v>6900</v>
      </c>
    </row>
    <row r="6048" spans="1:2" x14ac:dyDescent="0.25">
      <c r="A6048" t="s">
        <v>1300</v>
      </c>
      <c r="B6048" t="s">
        <v>6901</v>
      </c>
    </row>
    <row r="6049" spans="1:2" x14ac:dyDescent="0.25">
      <c r="A6049" t="s">
        <v>494</v>
      </c>
      <c r="B6049" t="s">
        <v>6898</v>
      </c>
    </row>
    <row r="6050" spans="1:2" x14ac:dyDescent="0.25">
      <c r="A6050" t="s">
        <v>1302</v>
      </c>
      <c r="B6050" t="s">
        <v>6902</v>
      </c>
    </row>
    <row r="6051" spans="1:2" x14ac:dyDescent="0.25">
      <c r="A6051" t="s">
        <v>498</v>
      </c>
      <c r="B6051" t="s">
        <v>6904</v>
      </c>
    </row>
    <row r="6052" spans="1:2" x14ac:dyDescent="0.25">
      <c r="A6052" t="s">
        <v>500</v>
      </c>
      <c r="B6052" t="s">
        <v>6905</v>
      </c>
    </row>
    <row r="6053" spans="1:2" x14ac:dyDescent="0.25">
      <c r="A6053" t="s">
        <v>2239</v>
      </c>
      <c r="B6053" t="s">
        <v>6906</v>
      </c>
    </row>
    <row r="6054" spans="1:2" x14ac:dyDescent="0.25">
      <c r="A6054" t="s">
        <v>502</v>
      </c>
      <c r="B6054" t="s">
        <v>6908</v>
      </c>
    </row>
    <row r="6055" spans="1:2" x14ac:dyDescent="0.25">
      <c r="A6055" t="s">
        <v>1316</v>
      </c>
      <c r="B6055" t="s">
        <v>6907</v>
      </c>
    </row>
    <row r="6056" spans="1:2" x14ac:dyDescent="0.25">
      <c r="A6056" t="s">
        <v>518</v>
      </c>
      <c r="B6056" t="s">
        <v>6909</v>
      </c>
    </row>
    <row r="6057" spans="1:2" x14ac:dyDescent="0.25">
      <c r="A6057" t="s">
        <v>521</v>
      </c>
      <c r="B6057" t="s">
        <v>6910</v>
      </c>
    </row>
    <row r="6058" spans="1:2" x14ac:dyDescent="0.25">
      <c r="A6058" t="s">
        <v>523</v>
      </c>
      <c r="B6058" t="s">
        <v>6911</v>
      </c>
    </row>
    <row r="6059" spans="1:2" x14ac:dyDescent="0.25">
      <c r="A6059" t="s">
        <v>525</v>
      </c>
      <c r="B6059" t="s">
        <v>6912</v>
      </c>
    </row>
    <row r="6060" spans="1:2" x14ac:dyDescent="0.25">
      <c r="A6060" t="s">
        <v>527</v>
      </c>
      <c r="B6060" t="s">
        <v>6913</v>
      </c>
    </row>
    <row r="6061" spans="1:2" x14ac:dyDescent="0.25">
      <c r="A6061" t="s">
        <v>529</v>
      </c>
      <c r="B6061" t="s">
        <v>6914</v>
      </c>
    </row>
    <row r="6062" spans="1:2" x14ac:dyDescent="0.25">
      <c r="A6062" t="s">
        <v>531</v>
      </c>
      <c r="B6062" t="s">
        <v>6915</v>
      </c>
    </row>
    <row r="6063" spans="1:2" x14ac:dyDescent="0.25">
      <c r="A6063" t="s">
        <v>535</v>
      </c>
      <c r="B6063" t="s">
        <v>6916</v>
      </c>
    </row>
    <row r="6064" spans="1:2" x14ac:dyDescent="0.25">
      <c r="A6064" t="s">
        <v>537</v>
      </c>
      <c r="B6064" t="s">
        <v>6917</v>
      </c>
    </row>
    <row r="6065" spans="1:2" x14ac:dyDescent="0.25">
      <c r="A6065" t="s">
        <v>544</v>
      </c>
      <c r="B6065" t="s">
        <v>6918</v>
      </c>
    </row>
    <row r="6066" spans="1:2" x14ac:dyDescent="0.25">
      <c r="A6066" t="s">
        <v>1337</v>
      </c>
      <c r="B6066" t="s">
        <v>6919</v>
      </c>
    </row>
    <row r="6067" spans="1:2" x14ac:dyDescent="0.25">
      <c r="A6067" t="s">
        <v>1339</v>
      </c>
      <c r="B6067" t="s">
        <v>6920</v>
      </c>
    </row>
    <row r="6068" spans="1:2" x14ac:dyDescent="0.25">
      <c r="A6068" t="s">
        <v>1341</v>
      </c>
      <c r="B6068" t="s">
        <v>6922</v>
      </c>
    </row>
    <row r="6069" spans="1:2" x14ac:dyDescent="0.25">
      <c r="A6069" t="s">
        <v>550</v>
      </c>
      <c r="B6069" t="s">
        <v>6923</v>
      </c>
    </row>
    <row r="6070" spans="1:2" x14ac:dyDescent="0.25">
      <c r="A6070" t="s">
        <v>577</v>
      </c>
      <c r="B6070" t="s">
        <v>6925</v>
      </c>
    </row>
    <row r="6071" spans="1:2" x14ac:dyDescent="0.25">
      <c r="A6071" t="s">
        <v>580</v>
      </c>
      <c r="B6071" t="s">
        <v>6926</v>
      </c>
    </row>
    <row r="6072" spans="1:2" x14ac:dyDescent="0.25">
      <c r="A6072" t="s">
        <v>582</v>
      </c>
      <c r="B6072" t="s">
        <v>6927</v>
      </c>
    </row>
    <row r="6073" spans="1:2" x14ac:dyDescent="0.25">
      <c r="A6073" t="s">
        <v>586</v>
      </c>
      <c r="B6073" t="s">
        <v>6928</v>
      </c>
    </row>
    <row r="6074" spans="1:2" x14ac:dyDescent="0.25">
      <c r="A6074" t="s">
        <v>588</v>
      </c>
      <c r="B6074" t="s">
        <v>6929</v>
      </c>
    </row>
    <row r="6075" spans="1:2" x14ac:dyDescent="0.25">
      <c r="A6075" t="s">
        <v>1353</v>
      </c>
      <c r="B6075" t="s">
        <v>6930</v>
      </c>
    </row>
    <row r="6076" spans="1:2" x14ac:dyDescent="0.25">
      <c r="A6076" t="s">
        <v>2331</v>
      </c>
      <c r="B6076" t="s">
        <v>6931</v>
      </c>
    </row>
    <row r="6077" spans="1:2" x14ac:dyDescent="0.25">
      <c r="A6077" t="s">
        <v>590</v>
      </c>
      <c r="B6077" t="s">
        <v>6932</v>
      </c>
    </row>
    <row r="6078" spans="1:2" x14ac:dyDescent="0.25">
      <c r="A6078" t="s">
        <v>593</v>
      </c>
      <c r="B6078" t="s">
        <v>6933</v>
      </c>
    </row>
    <row r="6079" spans="1:2" x14ac:dyDescent="0.25">
      <c r="A6079" t="s">
        <v>595</v>
      </c>
      <c r="B6079" t="s">
        <v>6934</v>
      </c>
    </row>
    <row r="6080" spans="1:2" x14ac:dyDescent="0.25">
      <c r="A6080" t="s">
        <v>598</v>
      </c>
      <c r="B6080" t="s">
        <v>6935</v>
      </c>
    </row>
    <row r="6081" spans="1:2" x14ac:dyDescent="0.25">
      <c r="A6081" t="s">
        <v>2266</v>
      </c>
      <c r="B6081" t="s">
        <v>6936</v>
      </c>
    </row>
    <row r="6082" spans="1:2" x14ac:dyDescent="0.25">
      <c r="A6082" t="s">
        <v>601</v>
      </c>
      <c r="B6082" t="s">
        <v>6937</v>
      </c>
    </row>
    <row r="6083" spans="1:2" x14ac:dyDescent="0.25">
      <c r="A6083" t="s">
        <v>603</v>
      </c>
      <c r="B6083" t="s">
        <v>6938</v>
      </c>
    </row>
    <row r="6084" spans="1:2" x14ac:dyDescent="0.25">
      <c r="A6084" t="s">
        <v>606</v>
      </c>
      <c r="B6084" t="s">
        <v>6939</v>
      </c>
    </row>
    <row r="6085" spans="1:2" x14ac:dyDescent="0.25">
      <c r="A6085" t="s">
        <v>2521</v>
      </c>
      <c r="B6085" t="s">
        <v>6940</v>
      </c>
    </row>
    <row r="6086" spans="1:2" x14ac:dyDescent="0.25">
      <c r="A6086" t="s">
        <v>858</v>
      </c>
      <c r="B6086" t="s">
        <v>6941</v>
      </c>
    </row>
    <row r="6087" spans="1:2" x14ac:dyDescent="0.25">
      <c r="A6087" t="s">
        <v>860</v>
      </c>
      <c r="B6087" t="s">
        <v>6942</v>
      </c>
    </row>
    <row r="6088" spans="1:2" x14ac:dyDescent="0.25">
      <c r="A6088" t="s">
        <v>862</v>
      </c>
      <c r="B6088" t="s">
        <v>6943</v>
      </c>
    </row>
    <row r="6089" spans="1:2" x14ac:dyDescent="0.25">
      <c r="A6089" t="s">
        <v>864</v>
      </c>
      <c r="B6089" t="s">
        <v>6944</v>
      </c>
    </row>
    <row r="6090" spans="1:2" x14ac:dyDescent="0.25">
      <c r="A6090" t="s">
        <v>875</v>
      </c>
      <c r="B6090" t="s">
        <v>6946</v>
      </c>
    </row>
    <row r="6091" spans="1:2" x14ac:dyDescent="0.25">
      <c r="A6091" t="s">
        <v>2346</v>
      </c>
      <c r="B6091" t="s">
        <v>6947</v>
      </c>
    </row>
    <row r="6092" spans="1:2" x14ac:dyDescent="0.25">
      <c r="A6092" t="s">
        <v>6948</v>
      </c>
      <c r="B6092" t="s">
        <v>6949</v>
      </c>
    </row>
    <row r="6093" spans="1:2" x14ac:dyDescent="0.25">
      <c r="A6093" t="s">
        <v>6950</v>
      </c>
      <c r="B6093" t="s">
        <v>6951</v>
      </c>
    </row>
    <row r="6094" spans="1:2" x14ac:dyDescent="0.25">
      <c r="A6094" t="s">
        <v>2350</v>
      </c>
      <c r="B6094" t="s">
        <v>6953</v>
      </c>
    </row>
    <row r="6095" spans="1:2" x14ac:dyDescent="0.25">
      <c r="A6095" t="s">
        <v>6954</v>
      </c>
      <c r="B6095" t="s">
        <v>6955</v>
      </c>
    </row>
    <row r="6096" spans="1:2" x14ac:dyDescent="0.25">
      <c r="A6096" t="s">
        <v>2352</v>
      </c>
      <c r="B6096" t="s">
        <v>6956</v>
      </c>
    </row>
    <row r="6097" spans="1:2" x14ac:dyDescent="0.25">
      <c r="A6097" t="s">
        <v>6957</v>
      </c>
      <c r="B6097" t="s">
        <v>6958</v>
      </c>
    </row>
    <row r="6098" spans="1:2" x14ac:dyDescent="0.25">
      <c r="A6098" t="s">
        <v>881</v>
      </c>
      <c r="B6098" t="s">
        <v>6960</v>
      </c>
    </row>
    <row r="6099" spans="1:2" x14ac:dyDescent="0.25">
      <c r="A6099" t="s">
        <v>884</v>
      </c>
      <c r="B6099" t="s">
        <v>6961</v>
      </c>
    </row>
    <row r="6100" spans="1:2" x14ac:dyDescent="0.25">
      <c r="A6100" t="s">
        <v>886</v>
      </c>
      <c r="B6100" t="s">
        <v>6962</v>
      </c>
    </row>
    <row r="6101" spans="1:2" x14ac:dyDescent="0.25">
      <c r="A6101" t="s">
        <v>888</v>
      </c>
      <c r="B6101" t="s">
        <v>6963</v>
      </c>
    </row>
    <row r="6102" spans="1:2" x14ac:dyDescent="0.25">
      <c r="A6102" t="s">
        <v>900</v>
      </c>
      <c r="B6102" t="s">
        <v>6965</v>
      </c>
    </row>
    <row r="6103" spans="1:2" x14ac:dyDescent="0.25">
      <c r="A6103" t="s">
        <v>903</v>
      </c>
      <c r="B6103" t="s">
        <v>6966</v>
      </c>
    </row>
    <row r="6104" spans="1:2" x14ac:dyDescent="0.25">
      <c r="A6104" t="s">
        <v>905</v>
      </c>
      <c r="B6104" t="s">
        <v>6967</v>
      </c>
    </row>
    <row r="6105" spans="1:2" x14ac:dyDescent="0.25">
      <c r="A6105" t="s">
        <v>907</v>
      </c>
      <c r="B6105" t="s">
        <v>6968</v>
      </c>
    </row>
    <row r="6106" spans="1:2" x14ac:dyDescent="0.25">
      <c r="A6106" t="s">
        <v>1387</v>
      </c>
      <c r="B6106" t="s">
        <v>6969</v>
      </c>
    </row>
    <row r="6107" spans="1:2" x14ac:dyDescent="0.25">
      <c r="A6107" t="s">
        <v>921</v>
      </c>
      <c r="B6107" t="s">
        <v>6970</v>
      </c>
    </row>
    <row r="6108" spans="1:2" x14ac:dyDescent="0.25">
      <c r="A6108" t="s">
        <v>924</v>
      </c>
      <c r="B6108" t="s">
        <v>6971</v>
      </c>
    </row>
    <row r="6109" spans="1:2" x14ac:dyDescent="0.25">
      <c r="A6109" t="s">
        <v>927</v>
      </c>
      <c r="B6109" t="s">
        <v>6972</v>
      </c>
    </row>
    <row r="6110" spans="1:2" x14ac:dyDescent="0.25">
      <c r="A6110" t="s">
        <v>942</v>
      </c>
      <c r="B6110" t="s">
        <v>6973</v>
      </c>
    </row>
    <row r="6111" spans="1:2" x14ac:dyDescent="0.25">
      <c r="A6111" t="s">
        <v>1397</v>
      </c>
      <c r="B6111" t="s">
        <v>6974</v>
      </c>
    </row>
    <row r="6112" spans="1:2" x14ac:dyDescent="0.25">
      <c r="A6112" t="s">
        <v>1399</v>
      </c>
      <c r="B6112" t="s">
        <v>6975</v>
      </c>
    </row>
    <row r="6113" spans="1:2" x14ac:dyDescent="0.25">
      <c r="A6113" t="s">
        <v>1401</v>
      </c>
      <c r="B6113" t="s">
        <v>6976</v>
      </c>
    </row>
    <row r="6114" spans="1:2" x14ac:dyDescent="0.25">
      <c r="A6114" t="s">
        <v>1411</v>
      </c>
      <c r="B6114" t="s">
        <v>6977</v>
      </c>
    </row>
    <row r="6115" spans="1:2" x14ac:dyDescent="0.25">
      <c r="A6115" t="s">
        <v>945</v>
      </c>
      <c r="B6115" t="s">
        <v>6978</v>
      </c>
    </row>
    <row r="6116" spans="1:2" x14ac:dyDescent="0.25">
      <c r="A6116" t="s">
        <v>948</v>
      </c>
      <c r="B6116" t="s">
        <v>6979</v>
      </c>
    </row>
    <row r="6117" spans="1:2" x14ac:dyDescent="0.25">
      <c r="A6117" t="s">
        <v>951</v>
      </c>
      <c r="B6117" t="s">
        <v>6980</v>
      </c>
    </row>
    <row r="6118" spans="1:2" x14ac:dyDescent="0.25">
      <c r="A6118" t="s">
        <v>965</v>
      </c>
      <c r="B6118" t="s">
        <v>6981</v>
      </c>
    </row>
    <row r="6119" spans="1:2" x14ac:dyDescent="0.25">
      <c r="A6119" t="s">
        <v>968</v>
      </c>
      <c r="B6119" t="s">
        <v>6982</v>
      </c>
    </row>
    <row r="6120" spans="1:2" x14ac:dyDescent="0.25">
      <c r="A6120" t="s">
        <v>970</v>
      </c>
      <c r="B6120" t="s">
        <v>6983</v>
      </c>
    </row>
    <row r="6121" spans="1:2" x14ac:dyDescent="0.25">
      <c r="A6121" t="s">
        <v>973</v>
      </c>
      <c r="B6121" t="s">
        <v>6984</v>
      </c>
    </row>
    <row r="6122" spans="1:2" x14ac:dyDescent="0.25">
      <c r="A6122" t="s">
        <v>983</v>
      </c>
      <c r="B6122" t="s">
        <v>6985</v>
      </c>
    </row>
    <row r="6123" spans="1:2" x14ac:dyDescent="0.25">
      <c r="A6123" t="s">
        <v>985</v>
      </c>
      <c r="B6123" t="s">
        <v>6986</v>
      </c>
    </row>
    <row r="6124" spans="1:2" x14ac:dyDescent="0.25">
      <c r="A6124" t="s">
        <v>987</v>
      </c>
      <c r="B6124" t="s">
        <v>6987</v>
      </c>
    </row>
    <row r="6125" spans="1:2" x14ac:dyDescent="0.25">
      <c r="A6125" t="s">
        <v>989</v>
      </c>
      <c r="B6125" t="s">
        <v>6988</v>
      </c>
    </row>
    <row r="6126" spans="1:2" x14ac:dyDescent="0.25">
      <c r="A6126" t="s">
        <v>1001</v>
      </c>
      <c r="B6126" t="s">
        <v>6989</v>
      </c>
    </row>
    <row r="6127" spans="1:2" x14ac:dyDescent="0.25">
      <c r="A6127" t="s">
        <v>1440</v>
      </c>
      <c r="B6127" t="s">
        <v>6990</v>
      </c>
    </row>
    <row r="6128" spans="1:2" x14ac:dyDescent="0.25">
      <c r="A6128" t="s">
        <v>1443</v>
      </c>
      <c r="B6128" t="s">
        <v>6991</v>
      </c>
    </row>
    <row r="6129" spans="1:2" x14ac:dyDescent="0.25">
      <c r="A6129" t="s">
        <v>1445</v>
      </c>
      <c r="B6129" t="s">
        <v>6992</v>
      </c>
    </row>
    <row r="6130" spans="1:2" x14ac:dyDescent="0.25">
      <c r="A6130" t="s">
        <v>1017</v>
      </c>
      <c r="B6130" t="s">
        <v>6993</v>
      </c>
    </row>
    <row r="6131" spans="1:2" x14ac:dyDescent="0.25">
      <c r="A6131" t="s">
        <v>1019</v>
      </c>
      <c r="B6131" t="s">
        <v>6994</v>
      </c>
    </row>
    <row r="6132" spans="1:2" x14ac:dyDescent="0.25">
      <c r="A6132" t="s">
        <v>1021</v>
      </c>
      <c r="B6132" t="s">
        <v>6995</v>
      </c>
    </row>
    <row r="6133" spans="1:2" x14ac:dyDescent="0.25">
      <c r="A6133" t="s">
        <v>1024</v>
      </c>
      <c r="B6133" t="s">
        <v>6996</v>
      </c>
    </row>
    <row r="6134" spans="1:2" x14ac:dyDescent="0.25">
      <c r="A6134" t="s">
        <v>1035</v>
      </c>
      <c r="B6134" t="s">
        <v>6997</v>
      </c>
    </row>
    <row r="6135" spans="1:2" x14ac:dyDescent="0.25">
      <c r="A6135" t="s">
        <v>1037</v>
      </c>
      <c r="B6135" t="s">
        <v>6998</v>
      </c>
    </row>
    <row r="6136" spans="1:2" x14ac:dyDescent="0.25">
      <c r="A6136" t="s">
        <v>1039</v>
      </c>
      <c r="B6136" t="s">
        <v>6999</v>
      </c>
    </row>
    <row r="6137" spans="1:2" x14ac:dyDescent="0.25">
      <c r="A6137" t="s">
        <v>1041</v>
      </c>
      <c r="B6137" t="s">
        <v>7000</v>
      </c>
    </row>
    <row r="6138" spans="1:2" x14ac:dyDescent="0.25">
      <c r="A6138" t="s">
        <v>7001</v>
      </c>
      <c r="B6138" t="s">
        <v>7002</v>
      </c>
    </row>
    <row r="6139" spans="1:2" x14ac:dyDescent="0.25">
      <c r="A6139" t="s">
        <v>7003</v>
      </c>
      <c r="B6139" t="s">
        <v>7004</v>
      </c>
    </row>
    <row r="6140" spans="1:2" x14ac:dyDescent="0.25">
      <c r="A6140" t="s">
        <v>7005</v>
      </c>
      <c r="B6140" t="s">
        <v>7006</v>
      </c>
    </row>
    <row r="6141" spans="1:2" x14ac:dyDescent="0.25">
      <c r="A6141" t="s">
        <v>7007</v>
      </c>
      <c r="B6141" t="s">
        <v>7008</v>
      </c>
    </row>
    <row r="6142" spans="1:2" x14ac:dyDescent="0.25">
      <c r="A6142" t="s">
        <v>7009</v>
      </c>
      <c r="B6142" t="s">
        <v>7010</v>
      </c>
    </row>
    <row r="6143" spans="1:2" x14ac:dyDescent="0.25">
      <c r="A6143" t="s">
        <v>7011</v>
      </c>
      <c r="B6143" t="s">
        <v>7012</v>
      </c>
    </row>
    <row r="6144" spans="1:2" x14ac:dyDescent="0.25">
      <c r="A6144" t="s">
        <v>7013</v>
      </c>
      <c r="B6144" t="s">
        <v>7014</v>
      </c>
    </row>
    <row r="6145" spans="1:2" x14ac:dyDescent="0.25">
      <c r="A6145" t="s">
        <v>7015</v>
      </c>
      <c r="B6145" t="s">
        <v>7016</v>
      </c>
    </row>
    <row r="6146" spans="1:2" x14ac:dyDescent="0.25">
      <c r="A6146" t="s">
        <v>7017</v>
      </c>
      <c r="B6146" t="s">
        <v>7018</v>
      </c>
    </row>
    <row r="6147" spans="1:2" x14ac:dyDescent="0.25">
      <c r="A6147" t="s">
        <v>7019</v>
      </c>
      <c r="B6147" t="s">
        <v>7020</v>
      </c>
    </row>
    <row r="6148" spans="1:2" x14ac:dyDescent="0.25">
      <c r="A6148" t="s">
        <v>7021</v>
      </c>
      <c r="B6148" t="s">
        <v>7022</v>
      </c>
    </row>
    <row r="6149" spans="1:2" x14ac:dyDescent="0.25">
      <c r="A6149" t="s">
        <v>7023</v>
      </c>
      <c r="B6149" t="s">
        <v>7024</v>
      </c>
    </row>
    <row r="6150" spans="1:2" x14ac:dyDescent="0.25">
      <c r="A6150" t="s">
        <v>1236</v>
      </c>
      <c r="B6150" t="s">
        <v>7025</v>
      </c>
    </row>
    <row r="6151" spans="1:2" x14ac:dyDescent="0.25">
      <c r="A6151" t="s">
        <v>1238</v>
      </c>
      <c r="B6151" t="s">
        <v>7026</v>
      </c>
    </row>
    <row r="6152" spans="1:2" x14ac:dyDescent="0.25">
      <c r="A6152" t="s">
        <v>1241</v>
      </c>
      <c r="B6152" t="s">
        <v>7027</v>
      </c>
    </row>
    <row r="6153" spans="1:2" x14ac:dyDescent="0.25">
      <c r="A6153" t="s">
        <v>1243</v>
      </c>
      <c r="B6153" t="s">
        <v>7028</v>
      </c>
    </row>
    <row r="6154" spans="1:2" x14ac:dyDescent="0.25">
      <c r="A6154" t="s">
        <v>1246</v>
      </c>
      <c r="B6154" t="s">
        <v>7029</v>
      </c>
    </row>
    <row r="6155" spans="1:2" x14ac:dyDescent="0.25">
      <c r="A6155" t="s">
        <v>1248</v>
      </c>
      <c r="B6155" t="s">
        <v>7030</v>
      </c>
    </row>
    <row r="6156" spans="1:2" x14ac:dyDescent="0.25">
      <c r="A6156" t="s">
        <v>1251</v>
      </c>
      <c r="B6156" t="s">
        <v>7031</v>
      </c>
    </row>
    <row r="6157" spans="1:2" x14ac:dyDescent="0.25">
      <c r="A6157" t="s">
        <v>1253</v>
      </c>
      <c r="B6157" t="s">
        <v>7032</v>
      </c>
    </row>
    <row r="6158" spans="1:2" x14ac:dyDescent="0.25">
      <c r="A6158" t="s">
        <v>1256</v>
      </c>
      <c r="B6158" t="s">
        <v>7033</v>
      </c>
    </row>
    <row r="6159" spans="1:2" x14ac:dyDescent="0.25">
      <c r="A6159" t="s">
        <v>1259</v>
      </c>
      <c r="B6159" t="s">
        <v>7034</v>
      </c>
    </row>
    <row r="6160" spans="1:2" x14ac:dyDescent="0.25">
      <c r="A6160" t="s">
        <v>1261</v>
      </c>
      <c r="B6160" t="s">
        <v>7035</v>
      </c>
    </row>
    <row r="6161" spans="1:2" x14ac:dyDescent="0.25">
      <c r="A6161" t="s">
        <v>1263</v>
      </c>
      <c r="B6161" t="s">
        <v>7036</v>
      </c>
    </row>
    <row r="6162" spans="1:2" x14ac:dyDescent="0.25">
      <c r="A6162" t="s">
        <v>1594</v>
      </c>
      <c r="B6162" t="s">
        <v>7037</v>
      </c>
    </row>
    <row r="6163" spans="1:2" x14ac:dyDescent="0.25">
      <c r="A6163" t="s">
        <v>1596</v>
      </c>
      <c r="B6163" t="s">
        <v>7038</v>
      </c>
    </row>
    <row r="6164" spans="1:2" x14ac:dyDescent="0.25">
      <c r="A6164" t="s">
        <v>1598</v>
      </c>
      <c r="B6164" t="s">
        <v>7039</v>
      </c>
    </row>
    <row r="6165" spans="1:2" x14ac:dyDescent="0.25">
      <c r="A6165" t="s">
        <v>1600</v>
      </c>
      <c r="B6165" t="s">
        <v>7040</v>
      </c>
    </row>
    <row r="6166" spans="1:2" x14ac:dyDescent="0.25">
      <c r="A6166" t="s">
        <v>1602</v>
      </c>
      <c r="B6166" t="s">
        <v>7041</v>
      </c>
    </row>
    <row r="6167" spans="1:2" x14ac:dyDescent="0.25">
      <c r="A6167" t="s">
        <v>1604</v>
      </c>
      <c r="B6167" t="s">
        <v>7042</v>
      </c>
    </row>
    <row r="6168" spans="1:2" x14ac:dyDescent="0.25">
      <c r="A6168" t="s">
        <v>1606</v>
      </c>
      <c r="B6168" t="s">
        <v>7043</v>
      </c>
    </row>
    <row r="6169" spans="1:2" x14ac:dyDescent="0.25">
      <c r="A6169" t="s">
        <v>1608</v>
      </c>
      <c r="B6169" t="s">
        <v>7044</v>
      </c>
    </row>
    <row r="6170" spans="1:2" x14ac:dyDescent="0.25">
      <c r="A6170" t="s">
        <v>1610</v>
      </c>
      <c r="B6170" t="s">
        <v>7045</v>
      </c>
    </row>
    <row r="6171" spans="1:2" x14ac:dyDescent="0.25">
      <c r="A6171" t="s">
        <v>1612</v>
      </c>
      <c r="B6171" t="s">
        <v>7046</v>
      </c>
    </row>
    <row r="6172" spans="1:2" x14ac:dyDescent="0.25">
      <c r="A6172" t="s">
        <v>1614</v>
      </c>
      <c r="B6172" t="s">
        <v>7047</v>
      </c>
    </row>
    <row r="6173" spans="1:2" x14ac:dyDescent="0.25">
      <c r="A6173" t="s">
        <v>1616</v>
      </c>
      <c r="B6173" t="s">
        <v>7048</v>
      </c>
    </row>
    <row r="6174" spans="1:2" x14ac:dyDescent="0.25">
      <c r="A6174" t="s">
        <v>1618</v>
      </c>
      <c r="B6174" t="s">
        <v>7049</v>
      </c>
    </row>
    <row r="6175" spans="1:2" x14ac:dyDescent="0.25">
      <c r="A6175" t="s">
        <v>1620</v>
      </c>
      <c r="B6175" t="s">
        <v>7050</v>
      </c>
    </row>
    <row r="6176" spans="1:2" x14ac:dyDescent="0.25">
      <c r="A6176" t="s">
        <v>1622</v>
      </c>
      <c r="B6176" t="s">
        <v>7051</v>
      </c>
    </row>
    <row r="6177" spans="1:2" x14ac:dyDescent="0.25">
      <c r="A6177" t="s">
        <v>1624</v>
      </c>
      <c r="B6177" t="s">
        <v>7052</v>
      </c>
    </row>
    <row r="6178" spans="1:2" x14ac:dyDescent="0.25">
      <c r="A6178" t="s">
        <v>1626</v>
      </c>
      <c r="B6178" t="s">
        <v>7053</v>
      </c>
    </row>
    <row r="6179" spans="1:2" x14ac:dyDescent="0.25">
      <c r="A6179" t="s">
        <v>1628</v>
      </c>
      <c r="B6179" t="s">
        <v>7054</v>
      </c>
    </row>
    <row r="6180" spans="1:2" x14ac:dyDescent="0.25">
      <c r="A6180" t="s">
        <v>1631</v>
      </c>
      <c r="B6180" t="s">
        <v>7055</v>
      </c>
    </row>
    <row r="6181" spans="1:2" x14ac:dyDescent="0.25">
      <c r="A6181" t="s">
        <v>1633</v>
      </c>
      <c r="B6181" t="s">
        <v>7056</v>
      </c>
    </row>
    <row r="6182" spans="1:2" x14ac:dyDescent="0.25">
      <c r="A6182" t="s">
        <v>1635</v>
      </c>
      <c r="B6182" t="s">
        <v>7057</v>
      </c>
    </row>
    <row r="6183" spans="1:2" x14ac:dyDescent="0.25">
      <c r="A6183" t="s">
        <v>1637</v>
      </c>
      <c r="B6183" t="s">
        <v>7058</v>
      </c>
    </row>
    <row r="6184" spans="1:2" x14ac:dyDescent="0.25">
      <c r="A6184" t="s">
        <v>1639</v>
      </c>
      <c r="B6184" t="s">
        <v>7059</v>
      </c>
    </row>
    <row r="6185" spans="1:2" x14ac:dyDescent="0.25">
      <c r="A6185" t="s">
        <v>1641</v>
      </c>
      <c r="B6185" t="s">
        <v>7061</v>
      </c>
    </row>
    <row r="6186" spans="1:2" x14ac:dyDescent="0.25">
      <c r="A6186" t="s">
        <v>1643</v>
      </c>
      <c r="B6186" t="s">
        <v>7062</v>
      </c>
    </row>
    <row r="6187" spans="1:2" x14ac:dyDescent="0.25">
      <c r="A6187" t="s">
        <v>1645</v>
      </c>
      <c r="B6187" t="s">
        <v>7063</v>
      </c>
    </row>
    <row r="6188" spans="1:2" x14ac:dyDescent="0.25">
      <c r="A6188" t="s">
        <v>1647</v>
      </c>
      <c r="B6188" t="s">
        <v>7064</v>
      </c>
    </row>
    <row r="6189" spans="1:2" x14ac:dyDescent="0.25">
      <c r="A6189" t="s">
        <v>1650</v>
      </c>
      <c r="B6189" t="s">
        <v>7065</v>
      </c>
    </row>
    <row r="6190" spans="1:2" x14ac:dyDescent="0.25">
      <c r="A6190" t="s">
        <v>1652</v>
      </c>
      <c r="B6190" t="s">
        <v>7066</v>
      </c>
    </row>
    <row r="6191" spans="1:2" x14ac:dyDescent="0.25">
      <c r="A6191" t="s">
        <v>1654</v>
      </c>
      <c r="B6191" t="s">
        <v>7067</v>
      </c>
    </row>
    <row r="6192" spans="1:2" x14ac:dyDescent="0.25">
      <c r="A6192" t="s">
        <v>1656</v>
      </c>
      <c r="B6192" t="s">
        <v>7068</v>
      </c>
    </row>
    <row r="6193" spans="1:2" x14ac:dyDescent="0.25">
      <c r="A6193" t="s">
        <v>1658</v>
      </c>
      <c r="B6193" t="s">
        <v>7069</v>
      </c>
    </row>
    <row r="6194" spans="1:2" x14ac:dyDescent="0.25">
      <c r="A6194" t="s">
        <v>7070</v>
      </c>
      <c r="B6194" t="s">
        <v>7071</v>
      </c>
    </row>
    <row r="6195" spans="1:2" x14ac:dyDescent="0.25">
      <c r="A6195" t="s">
        <v>7072</v>
      </c>
      <c r="B6195" t="s">
        <v>7073</v>
      </c>
    </row>
    <row r="6196" spans="1:2" x14ac:dyDescent="0.25">
      <c r="A6196" t="s">
        <v>7074</v>
      </c>
      <c r="B6196" t="s">
        <v>7075</v>
      </c>
    </row>
    <row r="6197" spans="1:2" x14ac:dyDescent="0.25">
      <c r="A6197" t="s">
        <v>7076</v>
      </c>
      <c r="B6197" t="s">
        <v>7077</v>
      </c>
    </row>
    <row r="6198" spans="1:2" x14ac:dyDescent="0.25">
      <c r="A6198" t="s">
        <v>7078</v>
      </c>
      <c r="B6198" t="s">
        <v>7079</v>
      </c>
    </row>
    <row r="6199" spans="1:2" x14ac:dyDescent="0.25">
      <c r="A6199" t="s">
        <v>7080</v>
      </c>
      <c r="B6199" t="s">
        <v>7081</v>
      </c>
    </row>
    <row r="6200" spans="1:2" x14ac:dyDescent="0.25">
      <c r="A6200" t="s">
        <v>7082</v>
      </c>
      <c r="B6200" t="s">
        <v>7083</v>
      </c>
    </row>
    <row r="6201" spans="1:2" x14ac:dyDescent="0.25">
      <c r="A6201" t="s">
        <v>7084</v>
      </c>
      <c r="B6201" t="s">
        <v>7085</v>
      </c>
    </row>
    <row r="6202" spans="1:2" x14ac:dyDescent="0.25">
      <c r="A6202" t="s">
        <v>7086</v>
      </c>
      <c r="B6202" t="s">
        <v>7087</v>
      </c>
    </row>
    <row r="6203" spans="1:2" x14ac:dyDescent="0.25">
      <c r="A6203" t="s">
        <v>7088</v>
      </c>
      <c r="B6203" t="s">
        <v>7089</v>
      </c>
    </row>
    <row r="6204" spans="1:2" x14ac:dyDescent="0.25">
      <c r="A6204" t="s">
        <v>7090</v>
      </c>
      <c r="B6204" t="s">
        <v>7091</v>
      </c>
    </row>
    <row r="6205" spans="1:2" x14ac:dyDescent="0.25">
      <c r="A6205" t="s">
        <v>7092</v>
      </c>
      <c r="B6205" t="s">
        <v>7093</v>
      </c>
    </row>
    <row r="6206" spans="1:2" x14ac:dyDescent="0.25">
      <c r="A6206" t="s">
        <v>1660</v>
      </c>
      <c r="B6206" t="s">
        <v>7094</v>
      </c>
    </row>
    <row r="6207" spans="1:2" x14ac:dyDescent="0.25">
      <c r="A6207" t="s">
        <v>1662</v>
      </c>
      <c r="B6207" t="s">
        <v>7095</v>
      </c>
    </row>
    <row r="6208" spans="1:2" x14ac:dyDescent="0.25">
      <c r="A6208" t="s">
        <v>1664</v>
      </c>
      <c r="B6208" t="s">
        <v>7096</v>
      </c>
    </row>
    <row r="6209" spans="1:2" x14ac:dyDescent="0.25">
      <c r="A6209" t="s">
        <v>1666</v>
      </c>
      <c r="B6209" t="s">
        <v>7097</v>
      </c>
    </row>
    <row r="6210" spans="1:2" x14ac:dyDescent="0.25">
      <c r="A6210" t="s">
        <v>1668</v>
      </c>
      <c r="B6210" t="s">
        <v>7098</v>
      </c>
    </row>
    <row r="6211" spans="1:2" x14ac:dyDescent="0.25">
      <c r="A6211" t="s">
        <v>1670</v>
      </c>
      <c r="B6211" t="s">
        <v>7099</v>
      </c>
    </row>
    <row r="6212" spans="1:2" x14ac:dyDescent="0.25">
      <c r="A6212" t="s">
        <v>1672</v>
      </c>
      <c r="B6212" t="s">
        <v>7100</v>
      </c>
    </row>
    <row r="6213" spans="1:2" x14ac:dyDescent="0.25">
      <c r="A6213" t="s">
        <v>1674</v>
      </c>
      <c r="B6213" t="s">
        <v>7101</v>
      </c>
    </row>
    <row r="6214" spans="1:2" x14ac:dyDescent="0.25">
      <c r="A6214" t="s">
        <v>1676</v>
      </c>
      <c r="B6214" t="s">
        <v>7102</v>
      </c>
    </row>
    <row r="6215" spans="1:2" x14ac:dyDescent="0.25">
      <c r="A6215" t="s">
        <v>2263</v>
      </c>
      <c r="B6215" t="s">
        <v>7103</v>
      </c>
    </row>
    <row r="6216" spans="1:2" x14ac:dyDescent="0.25">
      <c r="A6216" t="s">
        <v>3306</v>
      </c>
      <c r="B6216" t="s">
        <v>7104</v>
      </c>
    </row>
    <row r="6217" spans="1:2" x14ac:dyDescent="0.25">
      <c r="A6217" t="s">
        <v>6205</v>
      </c>
      <c r="B6217" t="s">
        <v>7105</v>
      </c>
    </row>
    <row r="6218" spans="1:2" x14ac:dyDescent="0.25">
      <c r="A6218" t="s">
        <v>3308</v>
      </c>
      <c r="B6218" t="s">
        <v>7106</v>
      </c>
    </row>
    <row r="6219" spans="1:2" x14ac:dyDescent="0.25">
      <c r="A6219" t="s">
        <v>1304</v>
      </c>
      <c r="B6219" t="s">
        <v>6903</v>
      </c>
    </row>
    <row r="6220" spans="1:2" x14ac:dyDescent="0.25">
      <c r="A6220" t="s">
        <v>3310</v>
      </c>
      <c r="B6220" t="s">
        <v>7107</v>
      </c>
    </row>
    <row r="6221" spans="1:2" x14ac:dyDescent="0.25">
      <c r="A6221" t="s">
        <v>3312</v>
      </c>
      <c r="B6221" t="s">
        <v>7108</v>
      </c>
    </row>
    <row r="6222" spans="1:2" x14ac:dyDescent="0.25">
      <c r="A6222" t="s">
        <v>6218</v>
      </c>
      <c r="B6222" t="s">
        <v>7109</v>
      </c>
    </row>
    <row r="6223" spans="1:2" x14ac:dyDescent="0.25">
      <c r="A6223" t="s">
        <v>3314</v>
      </c>
      <c r="B6223" t="s">
        <v>7110</v>
      </c>
    </row>
    <row r="6224" spans="1:2" x14ac:dyDescent="0.25">
      <c r="A6224" t="s">
        <v>6221</v>
      </c>
      <c r="B6224" t="s">
        <v>7111</v>
      </c>
    </row>
    <row r="6225" spans="1:2" x14ac:dyDescent="0.25">
      <c r="A6225" t="s">
        <v>3316</v>
      </c>
      <c r="B6225" t="s">
        <v>7112</v>
      </c>
    </row>
    <row r="6226" spans="1:2" x14ac:dyDescent="0.25">
      <c r="A6226" t="s">
        <v>6847</v>
      </c>
      <c r="B6226" t="s">
        <v>13398</v>
      </c>
    </row>
    <row r="6227" spans="1:2" x14ac:dyDescent="0.25">
      <c r="A6227" t="s">
        <v>6850</v>
      </c>
      <c r="B6227" t="s">
        <v>13399</v>
      </c>
    </row>
    <row r="6228" spans="1:2" x14ac:dyDescent="0.25">
      <c r="A6228" t="s">
        <v>10855</v>
      </c>
      <c r="B6228" t="s">
        <v>13400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vt:i4>
      </vt:variant>
    </vt:vector>
  </HeadingPairs>
  <TitlesOfParts>
    <vt:vector size="22" baseType="lpstr">
      <vt:lpstr>C</vt:lpstr>
      <vt:lpstr>SCORECARD</vt:lpstr>
      <vt:lpstr>STRUCT</vt:lpstr>
      <vt:lpstr>ALC</vt:lpstr>
      <vt:lpstr>INPUT</vt:lpstr>
      <vt:lpstr>SWCs</vt:lpstr>
      <vt:lpstr>ALCs</vt:lpstr>
      <vt:lpstr>STRUCTb</vt:lpstr>
      <vt:lpstr>STRUCTs</vt:lpstr>
      <vt:lpstr>DCC</vt:lpstr>
      <vt:lpstr>TRAINING</vt:lpstr>
      <vt:lpstr>AUTO</vt:lpstr>
      <vt:lpstr>ENUM</vt:lpstr>
      <vt:lpstr>REL</vt:lpstr>
      <vt:lpstr>ENUM_BOOLEAN</vt:lpstr>
      <vt:lpstr>ENUM_CLK_MODE</vt:lpstr>
      <vt:lpstr>ENUM_VOLTAGE_RAIL</vt:lpstr>
      <vt:lpstr>MC_CLK_MAX</vt:lpstr>
      <vt:lpstr>MC_CLK_MIN</vt:lpstr>
      <vt:lpstr>MC_POLICY_TABLE</vt:lpstr>
      <vt:lpstr>S3_TABLE</vt:lpstr>
      <vt:lpstr>VOLTAGE_RAIL_TABLE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 User</dc:creator>
  <cp:lastModifiedBy>Nidhi Agarwal</cp:lastModifiedBy>
  <dcterms:created xsi:type="dcterms:W3CDTF">2017-04-08T15:43:19Z</dcterms:created>
  <dcterms:modified xsi:type="dcterms:W3CDTF">2018-04-06T08:38:04Z</dcterms:modified>
</cp:coreProperties>
</file>